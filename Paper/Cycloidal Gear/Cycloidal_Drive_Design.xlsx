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YU\YJU_Obsidian\Paper\Cycloidal Gear\"/>
    </mc:Choice>
  </mc:AlternateContent>
  <xr:revisionPtr revIDLastSave="0" documentId="13_ncr:1_{AF189BC1-5325-4055-B2DE-3C381331E3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.설계입력" sheetId="1" r:id="rId1"/>
    <sheet name="2.치형좌표" sheetId="2" r:id="rId2"/>
    <sheet name="3.치형그래프" sheetId="3" r:id="rId3"/>
    <sheet name="4.CAD출력" sheetId="4" r:id="rId4"/>
    <sheet name="5.사용설명" sheetId="5" r:id="rId5"/>
    <sheet name="6.성능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N10" i="2"/>
  <c r="N9" i="2"/>
  <c r="N8" i="2"/>
  <c r="A6" i="2"/>
  <c r="A7" i="2" s="1"/>
  <c r="C39" i="1"/>
  <c r="D38" i="1"/>
  <c r="C38" i="1"/>
  <c r="C27" i="1"/>
  <c r="C26" i="1"/>
  <c r="C25" i="1"/>
  <c r="C20" i="1"/>
  <c r="C18" i="1"/>
  <c r="C17" i="1"/>
  <c r="C15" i="1"/>
  <c r="A8" i="2" l="1"/>
  <c r="K7" i="2"/>
  <c r="B7" i="2"/>
  <c r="D25" i="1"/>
  <c r="F6" i="2"/>
  <c r="C19" i="1"/>
  <c r="C6" i="2"/>
  <c r="D23" i="1"/>
  <c r="F7" i="2"/>
  <c r="C23" i="1"/>
  <c r="C7" i="2"/>
  <c r="A2" i="2"/>
  <c r="C16" i="1"/>
  <c r="B6" i="2"/>
  <c r="K6" i="2"/>
  <c r="H6" i="2" l="1"/>
  <c r="C7" i="4" s="1"/>
  <c r="G6" i="2"/>
  <c r="E6" i="2"/>
  <c r="D6" i="2"/>
  <c r="I6" i="2" s="1"/>
  <c r="C37" i="1"/>
  <c r="C36" i="1"/>
  <c r="D24" i="1"/>
  <c r="C24" i="1"/>
  <c r="D7" i="2"/>
  <c r="I7" i="2" s="1"/>
  <c r="H7" i="2"/>
  <c r="C8" i="4" s="1"/>
  <c r="G7" i="2"/>
  <c r="E7" i="2"/>
  <c r="B8" i="2"/>
  <c r="A9" i="2"/>
  <c r="B9" i="2" l="1"/>
  <c r="A10" i="2"/>
  <c r="K9" i="2"/>
  <c r="F8" i="2"/>
  <c r="H8" i="2" s="1"/>
  <c r="C9" i="4" s="1"/>
  <c r="C8" i="2"/>
  <c r="E8" i="2" s="1"/>
  <c r="K8" i="2"/>
  <c r="B7" i="4"/>
  <c r="D7" i="4" s="1"/>
  <c r="J6" i="2"/>
  <c r="B8" i="4"/>
  <c r="D8" i="4" s="1"/>
  <c r="J7" i="2"/>
  <c r="G8" i="2" l="1"/>
  <c r="D8" i="2"/>
  <c r="I8" i="2" s="1"/>
  <c r="A11" i="2"/>
  <c r="B10" i="2"/>
  <c r="F9" i="2"/>
  <c r="G9" i="2" s="1"/>
  <c r="C9" i="2"/>
  <c r="D9" i="2" s="1"/>
  <c r="B10" i="4" l="1"/>
  <c r="F10" i="2"/>
  <c r="H10" i="2" s="1"/>
  <c r="C11" i="4" s="1"/>
  <c r="C10" i="2"/>
  <c r="D10" i="2" s="1"/>
  <c r="H9" i="2"/>
  <c r="C10" i="4" s="1"/>
  <c r="A12" i="2"/>
  <c r="B11" i="2"/>
  <c r="E9" i="2"/>
  <c r="I9" i="2" s="1"/>
  <c r="K10" i="2"/>
  <c r="B9" i="4"/>
  <c r="D9" i="4" s="1"/>
  <c r="J8" i="2"/>
  <c r="F11" i="2" l="1"/>
  <c r="H11" i="2" s="1"/>
  <c r="C12" i="4" s="1"/>
  <c r="C11" i="2"/>
  <c r="E11" i="2" s="1"/>
  <c r="B12" i="2"/>
  <c r="A13" i="2"/>
  <c r="K12" i="2"/>
  <c r="K11" i="2"/>
  <c r="G10" i="2"/>
  <c r="E10" i="2"/>
  <c r="I10" i="2" s="1"/>
  <c r="D10" i="4"/>
  <c r="J9" i="2"/>
  <c r="B13" i="2" l="1"/>
  <c r="A14" i="2"/>
  <c r="K13" i="2"/>
  <c r="B11" i="4"/>
  <c r="D11" i="4" s="1"/>
  <c r="J10" i="2"/>
  <c r="E12" i="2"/>
  <c r="F12" i="2"/>
  <c r="G12" i="2" s="1"/>
  <c r="D12" i="2"/>
  <c r="C12" i="2"/>
  <c r="G11" i="2"/>
  <c r="D11" i="2"/>
  <c r="I11" i="2" s="1"/>
  <c r="B13" i="4" l="1"/>
  <c r="H12" i="2"/>
  <c r="C13" i="4" s="1"/>
  <c r="I12" i="2"/>
  <c r="A15" i="2"/>
  <c r="B14" i="2"/>
  <c r="F13" i="2"/>
  <c r="H13" i="2" s="1"/>
  <c r="C14" i="4" s="1"/>
  <c r="C13" i="2"/>
  <c r="E13" i="2" s="1"/>
  <c r="B12" i="4"/>
  <c r="D12" i="4" s="1"/>
  <c r="J11" i="2"/>
  <c r="D13" i="2" l="1"/>
  <c r="I13" i="2" s="1"/>
  <c r="F14" i="2"/>
  <c r="H14" i="2" s="1"/>
  <c r="C15" i="4" s="1"/>
  <c r="C14" i="2"/>
  <c r="E14" i="2" s="1"/>
  <c r="K14" i="2"/>
  <c r="G13" i="2"/>
  <c r="A16" i="2"/>
  <c r="K15" i="2"/>
  <c r="B15" i="2"/>
  <c r="J12" i="2"/>
  <c r="D13" i="4"/>
  <c r="F15" i="2" l="1"/>
  <c r="H15" i="2" s="1"/>
  <c r="C16" i="4" s="1"/>
  <c r="C15" i="2"/>
  <c r="E15" i="2" s="1"/>
  <c r="B16" i="2"/>
  <c r="A17" i="2"/>
  <c r="K16" i="2"/>
  <c r="B14" i="4"/>
  <c r="D14" i="4" s="1"/>
  <c r="J13" i="2"/>
  <c r="D14" i="2"/>
  <c r="I14" i="2" s="1"/>
  <c r="G14" i="2"/>
  <c r="B15" i="4" l="1"/>
  <c r="D15" i="4" s="1"/>
  <c r="J14" i="2"/>
  <c r="B17" i="2"/>
  <c r="A18" i="2"/>
  <c r="K17" i="2"/>
  <c r="F16" i="2"/>
  <c r="G16" i="2" s="1"/>
  <c r="C16" i="2"/>
  <c r="E16" i="2" s="1"/>
  <c r="D15" i="2"/>
  <c r="I15" i="2" s="1"/>
  <c r="G15" i="2"/>
  <c r="B17" i="4" l="1"/>
  <c r="B16" i="4"/>
  <c r="D16" i="4" s="1"/>
  <c r="J15" i="2"/>
  <c r="H16" i="2"/>
  <c r="C17" i="4" s="1"/>
  <c r="D16" i="2"/>
  <c r="I16" i="2" s="1"/>
  <c r="A19" i="2"/>
  <c r="K18" i="2"/>
  <c r="B18" i="2"/>
  <c r="F17" i="2"/>
  <c r="G17" i="2" s="1"/>
  <c r="C17" i="2"/>
  <c r="D17" i="2" s="1"/>
  <c r="B18" i="4" l="1"/>
  <c r="E17" i="2"/>
  <c r="I17" i="2" s="1"/>
  <c r="H17" i="2"/>
  <c r="C18" i="4" s="1"/>
  <c r="C18" i="2"/>
  <c r="E18" i="2" s="1"/>
  <c r="F18" i="2"/>
  <c r="G18" i="2" s="1"/>
  <c r="B19" i="2"/>
  <c r="A20" i="2"/>
  <c r="K19" i="2"/>
  <c r="J16" i="2"/>
  <c r="D17" i="4"/>
  <c r="B19" i="4" l="1"/>
  <c r="F19" i="2"/>
  <c r="H19" i="2" s="1"/>
  <c r="C20" i="4" s="1"/>
  <c r="C19" i="2"/>
  <c r="E19" i="2" s="1"/>
  <c r="D18" i="2"/>
  <c r="I18" i="2" s="1"/>
  <c r="H18" i="2"/>
  <c r="C19" i="4" s="1"/>
  <c r="B20" i="2"/>
  <c r="A21" i="2"/>
  <c r="K20" i="2"/>
  <c r="J17" i="2"/>
  <c r="D18" i="4"/>
  <c r="B21" i="2" l="1"/>
  <c r="A22" i="2"/>
  <c r="C20" i="2"/>
  <c r="E20" i="2" s="1"/>
  <c r="F20" i="2"/>
  <c r="G20" i="2" s="1"/>
  <c r="D19" i="2"/>
  <c r="I19" i="2" s="1"/>
  <c r="G19" i="2"/>
  <c r="J18" i="2"/>
  <c r="D19" i="4"/>
  <c r="B21" i="4" l="1"/>
  <c r="B20" i="4"/>
  <c r="D20" i="4" s="1"/>
  <c r="J19" i="2"/>
  <c r="D20" i="2"/>
  <c r="I20" i="2" s="1"/>
  <c r="A23" i="2"/>
  <c r="B22" i="2"/>
  <c r="H20" i="2"/>
  <c r="C21" i="4" s="1"/>
  <c r="C21" i="2"/>
  <c r="E21" i="2" s="1"/>
  <c r="F21" i="2"/>
  <c r="G21" i="2" s="1"/>
  <c r="K21" i="2"/>
  <c r="B22" i="4" l="1"/>
  <c r="D21" i="2"/>
  <c r="I21" i="2" s="1"/>
  <c r="H21" i="2"/>
  <c r="C22" i="4" s="1"/>
  <c r="C22" i="2"/>
  <c r="E22" i="2" s="1"/>
  <c r="F22" i="2"/>
  <c r="H22" i="2" s="1"/>
  <c r="C23" i="4" s="1"/>
  <c r="K22" i="2"/>
  <c r="B23" i="2"/>
  <c r="A24" i="2"/>
  <c r="K23" i="2"/>
  <c r="J20" i="2"/>
  <c r="D21" i="4"/>
  <c r="G22" i="2" l="1"/>
  <c r="B24" i="2"/>
  <c r="A25" i="2"/>
  <c r="K24" i="2"/>
  <c r="C23" i="2"/>
  <c r="D23" i="2" s="1"/>
  <c r="F23" i="2"/>
  <c r="H23" i="2" s="1"/>
  <c r="C24" i="4" s="1"/>
  <c r="D22" i="2"/>
  <c r="I22" i="2" s="1"/>
  <c r="J21" i="2"/>
  <c r="D22" i="4"/>
  <c r="E23" i="2" l="1"/>
  <c r="I23" i="2" s="1"/>
  <c r="G23" i="2"/>
  <c r="F24" i="2"/>
  <c r="G24" i="2" s="1"/>
  <c r="C24" i="2"/>
  <c r="D24" i="2" s="1"/>
  <c r="A26" i="2"/>
  <c r="B25" i="2"/>
  <c r="B23" i="4"/>
  <c r="D23" i="4" s="1"/>
  <c r="J22" i="2"/>
  <c r="B25" i="4" l="1"/>
  <c r="F25" i="2"/>
  <c r="G25" i="2" s="1"/>
  <c r="C25" i="2"/>
  <c r="D25" i="2" s="1"/>
  <c r="E24" i="2"/>
  <c r="I24" i="2" s="1"/>
  <c r="H24" i="2"/>
  <c r="C25" i="4" s="1"/>
  <c r="K25" i="2"/>
  <c r="B26" i="2"/>
  <c r="A27" i="2"/>
  <c r="K26" i="2"/>
  <c r="B24" i="4"/>
  <c r="D24" i="4" s="1"/>
  <c r="J23" i="2"/>
  <c r="B26" i="4" l="1"/>
  <c r="B27" i="2"/>
  <c r="A28" i="2"/>
  <c r="K27" i="2"/>
  <c r="C26" i="2"/>
  <c r="E26" i="2" s="1"/>
  <c r="F26" i="2"/>
  <c r="H26" i="2" s="1"/>
  <c r="C27" i="4" s="1"/>
  <c r="E25" i="2"/>
  <c r="I25" i="2" s="1"/>
  <c r="H25" i="2"/>
  <c r="C26" i="4" s="1"/>
  <c r="J24" i="2"/>
  <c r="D25" i="4"/>
  <c r="D26" i="2" l="1"/>
  <c r="I26" i="2" s="1"/>
  <c r="G26" i="2"/>
  <c r="A29" i="2"/>
  <c r="B28" i="2"/>
  <c r="F27" i="2"/>
  <c r="G27" i="2" s="1"/>
  <c r="C27" i="2"/>
  <c r="D27" i="2" s="1"/>
  <c r="J25" i="2"/>
  <c r="D26" i="4"/>
  <c r="B28" i="4" l="1"/>
  <c r="E27" i="2"/>
  <c r="I27" i="2" s="1"/>
  <c r="H27" i="2"/>
  <c r="C28" i="4" s="1"/>
  <c r="B27" i="4"/>
  <c r="D27" i="4" s="1"/>
  <c r="J26" i="2"/>
  <c r="F28" i="2"/>
  <c r="H28" i="2" s="1"/>
  <c r="C29" i="4" s="1"/>
  <c r="C28" i="2"/>
  <c r="E28" i="2" s="1"/>
  <c r="K28" i="2"/>
  <c r="A30" i="2"/>
  <c r="K29" i="2"/>
  <c r="B29" i="2"/>
  <c r="B30" i="2" l="1"/>
  <c r="A31" i="2"/>
  <c r="K30" i="2"/>
  <c r="G28" i="2"/>
  <c r="D28" i="2"/>
  <c r="I28" i="2" s="1"/>
  <c r="J27" i="2"/>
  <c r="D28" i="4"/>
  <c r="F29" i="2"/>
  <c r="G29" i="2" s="1"/>
  <c r="C29" i="2"/>
  <c r="E29" i="2" s="1"/>
  <c r="B30" i="4" l="1"/>
  <c r="J29" i="2"/>
  <c r="D29" i="2"/>
  <c r="I29" i="2" s="1"/>
  <c r="H29" i="2"/>
  <c r="C30" i="4" s="1"/>
  <c r="B29" i="4"/>
  <c r="D29" i="4" s="1"/>
  <c r="J28" i="2"/>
  <c r="K31" i="2"/>
  <c r="B31" i="2"/>
  <c r="A32" i="2"/>
  <c r="C30" i="2"/>
  <c r="D30" i="2" s="1"/>
  <c r="F30" i="2"/>
  <c r="H30" i="2" s="1"/>
  <c r="C31" i="4" s="1"/>
  <c r="G30" i="2" l="1"/>
  <c r="E30" i="2"/>
  <c r="I30" i="2" s="1"/>
  <c r="A33" i="2"/>
  <c r="B32" i="2"/>
  <c r="C31" i="2"/>
  <c r="E31" i="2" s="1"/>
  <c r="F31" i="2"/>
  <c r="H31" i="2" s="1"/>
  <c r="C32" i="4" s="1"/>
  <c r="D30" i="4"/>
  <c r="G31" i="2" l="1"/>
  <c r="F32" i="2"/>
  <c r="G32" i="2" s="1"/>
  <c r="C32" i="2"/>
  <c r="E32" i="2" s="1"/>
  <c r="D31" i="2"/>
  <c r="I31" i="2" s="1"/>
  <c r="K32" i="2"/>
  <c r="B33" i="2"/>
  <c r="A34" i="2"/>
  <c r="K33" i="2"/>
  <c r="B31" i="4"/>
  <c r="D31" i="4" s="1"/>
  <c r="J30" i="2"/>
  <c r="B33" i="4" l="1"/>
  <c r="F33" i="2"/>
  <c r="H33" i="2" s="1"/>
  <c r="C34" i="4" s="1"/>
  <c r="C33" i="2"/>
  <c r="E33" i="2" s="1"/>
  <c r="B34" i="2"/>
  <c r="A35" i="2"/>
  <c r="K34" i="2"/>
  <c r="D32" i="2"/>
  <c r="I32" i="2" s="1"/>
  <c r="H32" i="2"/>
  <c r="C33" i="4" s="1"/>
  <c r="B32" i="4"/>
  <c r="D32" i="4" s="1"/>
  <c r="J31" i="2"/>
  <c r="C34" i="2" l="1"/>
  <c r="E34" i="2" s="1"/>
  <c r="F34" i="2"/>
  <c r="H34" i="2" s="1"/>
  <c r="C35" i="4" s="1"/>
  <c r="G33" i="2"/>
  <c r="D33" i="2"/>
  <c r="I33" i="2" s="1"/>
  <c r="J32" i="2"/>
  <c r="A36" i="2"/>
  <c r="K35" i="2"/>
  <c r="B35" i="2"/>
  <c r="D33" i="4"/>
  <c r="B34" i="4" l="1"/>
  <c r="D34" i="4" s="1"/>
  <c r="J33" i="2"/>
  <c r="C35" i="2"/>
  <c r="E35" i="2" s="1"/>
  <c r="F35" i="2"/>
  <c r="H35" i="2" s="1"/>
  <c r="C36" i="4" s="1"/>
  <c r="B36" i="2"/>
  <c r="A37" i="2"/>
  <c r="K36" i="2"/>
  <c r="G34" i="2"/>
  <c r="D34" i="2"/>
  <c r="I34" i="2" s="1"/>
  <c r="C36" i="2" l="1"/>
  <c r="D36" i="2" s="1"/>
  <c r="F36" i="2"/>
  <c r="G36" i="2" s="1"/>
  <c r="B35" i="4"/>
  <c r="D35" i="4" s="1"/>
  <c r="J34" i="2"/>
  <c r="B37" i="2"/>
  <c r="A38" i="2"/>
  <c r="K37" i="2"/>
  <c r="D35" i="2"/>
  <c r="I35" i="2" s="1"/>
  <c r="G35" i="2"/>
  <c r="B37" i="4" l="1"/>
  <c r="B36" i="4"/>
  <c r="D36" i="4" s="1"/>
  <c r="J35" i="2"/>
  <c r="A39" i="2"/>
  <c r="B38" i="2"/>
  <c r="C37" i="2"/>
  <c r="D37" i="2" s="1"/>
  <c r="F37" i="2"/>
  <c r="G37" i="2" s="1"/>
  <c r="H36" i="2"/>
  <c r="C37" i="4" s="1"/>
  <c r="E36" i="2"/>
  <c r="I36" i="2" s="1"/>
  <c r="B38" i="4" l="1"/>
  <c r="E37" i="2"/>
  <c r="I37" i="2" s="1"/>
  <c r="H37" i="2"/>
  <c r="C38" i="4" s="1"/>
  <c r="J36" i="2"/>
  <c r="F38" i="2"/>
  <c r="H38" i="2" s="1"/>
  <c r="C39" i="4" s="1"/>
  <c r="C38" i="2"/>
  <c r="E38" i="2" s="1"/>
  <c r="K38" i="2"/>
  <c r="B39" i="2"/>
  <c r="A40" i="2"/>
  <c r="K39" i="2"/>
  <c r="D37" i="4"/>
  <c r="B40" i="2" l="1"/>
  <c r="A41" i="2"/>
  <c r="K40" i="2"/>
  <c r="F39" i="2"/>
  <c r="H39" i="2" s="1"/>
  <c r="C40" i="4" s="1"/>
  <c r="C39" i="2"/>
  <c r="E39" i="2" s="1"/>
  <c r="G38" i="2"/>
  <c r="D38" i="2"/>
  <c r="I38" i="2" s="1"/>
  <c r="J37" i="2"/>
  <c r="D38" i="4"/>
  <c r="D39" i="2" l="1"/>
  <c r="I39" i="2" s="1"/>
  <c r="G39" i="2"/>
  <c r="A42" i="2"/>
  <c r="B41" i="2"/>
  <c r="B39" i="4"/>
  <c r="D39" i="4" s="1"/>
  <c r="J38" i="2"/>
  <c r="F40" i="2"/>
  <c r="H40" i="2" s="1"/>
  <c r="C41" i="4" s="1"/>
  <c r="C40" i="2"/>
  <c r="E40" i="2" s="1"/>
  <c r="G40" i="2" l="1"/>
  <c r="B40" i="4"/>
  <c r="D40" i="4" s="1"/>
  <c r="J39" i="2"/>
  <c r="D40" i="2"/>
  <c r="I40" i="2" s="1"/>
  <c r="F41" i="2"/>
  <c r="H41" i="2" s="1"/>
  <c r="C42" i="4" s="1"/>
  <c r="C41" i="2"/>
  <c r="E41" i="2" s="1"/>
  <c r="K41" i="2"/>
  <c r="B42" i="2"/>
  <c r="A43" i="2"/>
  <c r="K42" i="2"/>
  <c r="C42" i="2" l="1"/>
  <c r="E42" i="2" s="1"/>
  <c r="F42" i="2"/>
  <c r="H42" i="2" s="1"/>
  <c r="C43" i="4" s="1"/>
  <c r="B43" i="2"/>
  <c r="A44" i="2"/>
  <c r="K43" i="2"/>
  <c r="G41" i="2"/>
  <c r="D41" i="2"/>
  <c r="I41" i="2" s="1"/>
  <c r="B41" i="4"/>
  <c r="D41" i="4" s="1"/>
  <c r="J40" i="2"/>
  <c r="B42" i="4" l="1"/>
  <c r="D42" i="4" s="1"/>
  <c r="J41" i="2"/>
  <c r="G42" i="2"/>
  <c r="A45" i="2"/>
  <c r="K44" i="2"/>
  <c r="B44" i="2"/>
  <c r="F43" i="2"/>
  <c r="G43" i="2" s="1"/>
  <c r="C43" i="2"/>
  <c r="E43" i="2" s="1"/>
  <c r="D42" i="2"/>
  <c r="I42" i="2" s="1"/>
  <c r="B44" i="4" l="1"/>
  <c r="D43" i="2"/>
  <c r="I43" i="2" s="1"/>
  <c r="H43" i="2"/>
  <c r="C44" i="4" s="1"/>
  <c r="F44" i="2"/>
  <c r="H44" i="2" s="1"/>
  <c r="C45" i="4" s="1"/>
  <c r="C44" i="2"/>
  <c r="E44" i="2" s="1"/>
  <c r="A46" i="2"/>
  <c r="B45" i="2"/>
  <c r="B43" i="4"/>
  <c r="D43" i="4" s="1"/>
  <c r="J42" i="2"/>
  <c r="F45" i="2" l="1"/>
  <c r="H45" i="2" s="1"/>
  <c r="C46" i="4" s="1"/>
  <c r="C45" i="2"/>
  <c r="E45" i="2" s="1"/>
  <c r="K45" i="2"/>
  <c r="B46" i="2"/>
  <c r="A47" i="2"/>
  <c r="K46" i="2"/>
  <c r="J43" i="2"/>
  <c r="D44" i="2"/>
  <c r="I44" i="2" s="1"/>
  <c r="G44" i="2"/>
  <c r="D44" i="4"/>
  <c r="B45" i="4" l="1"/>
  <c r="D45" i="4" s="1"/>
  <c r="J44" i="2"/>
  <c r="B47" i="2"/>
  <c r="A48" i="2"/>
  <c r="G46" i="2"/>
  <c r="F46" i="2"/>
  <c r="H46" i="2" s="1"/>
  <c r="C47" i="4" s="1"/>
  <c r="C46" i="2"/>
  <c r="E46" i="2" s="1"/>
  <c r="D45" i="2"/>
  <c r="I45" i="2" s="1"/>
  <c r="G45" i="2"/>
  <c r="B46" i="4" l="1"/>
  <c r="D46" i="4" s="1"/>
  <c r="J45" i="2"/>
  <c r="B47" i="4"/>
  <c r="D47" i="4" s="1"/>
  <c r="J46" i="2"/>
  <c r="D46" i="2"/>
  <c r="I46" i="2" s="1"/>
  <c r="C47" i="2"/>
  <c r="E47" i="2" s="1"/>
  <c r="F47" i="2"/>
  <c r="H47" i="2" s="1"/>
  <c r="C48" i="4" s="1"/>
  <c r="A49" i="2"/>
  <c r="K48" i="2"/>
  <c r="B48" i="2"/>
  <c r="K47" i="2"/>
  <c r="F48" i="2" l="1"/>
  <c r="H48" i="2" s="1"/>
  <c r="C49" i="4" s="1"/>
  <c r="C48" i="2"/>
  <c r="E48" i="2" s="1"/>
  <c r="B49" i="2"/>
  <c r="A50" i="2"/>
  <c r="K49" i="2"/>
  <c r="G47" i="2"/>
  <c r="D47" i="2"/>
  <c r="I47" i="2" s="1"/>
  <c r="B50" i="2" l="1"/>
  <c r="A51" i="2"/>
  <c r="K50" i="2"/>
  <c r="B48" i="4"/>
  <c r="D48" i="4" s="1"/>
  <c r="J47" i="2"/>
  <c r="F49" i="2"/>
  <c r="H49" i="2" s="1"/>
  <c r="C50" i="4" s="1"/>
  <c r="C49" i="2"/>
  <c r="E49" i="2" s="1"/>
  <c r="D48" i="2"/>
  <c r="I48" i="2" s="1"/>
  <c r="G48" i="2"/>
  <c r="B49" i="4" l="1"/>
  <c r="D49" i="4" s="1"/>
  <c r="J48" i="2"/>
  <c r="G49" i="2"/>
  <c r="D49" i="2"/>
  <c r="I49" i="2" s="1"/>
  <c r="A52" i="2"/>
  <c r="K51" i="2"/>
  <c r="B51" i="2"/>
  <c r="C50" i="2"/>
  <c r="E50" i="2" s="1"/>
  <c r="F50" i="2"/>
  <c r="H50" i="2" s="1"/>
  <c r="C51" i="4" s="1"/>
  <c r="D50" i="2" l="1"/>
  <c r="I50" i="2" s="1"/>
  <c r="G50" i="2"/>
  <c r="C51" i="2"/>
  <c r="E51" i="2" s="1"/>
  <c r="F51" i="2"/>
  <c r="H51" i="2" s="1"/>
  <c r="C52" i="4" s="1"/>
  <c r="B52" i="2"/>
  <c r="A53" i="2"/>
  <c r="K52" i="2"/>
  <c r="B50" i="4"/>
  <c r="D50" i="4" s="1"/>
  <c r="J49" i="2"/>
  <c r="B53" i="2" l="1"/>
  <c r="A54" i="2"/>
  <c r="K53" i="2"/>
  <c r="F52" i="2"/>
  <c r="H52" i="2" s="1"/>
  <c r="C53" i="4" s="1"/>
  <c r="C52" i="2"/>
  <c r="D52" i="2" s="1"/>
  <c r="B51" i="4"/>
  <c r="D51" i="4" s="1"/>
  <c r="J50" i="2"/>
  <c r="D51" i="2"/>
  <c r="I51" i="2" s="1"/>
  <c r="G51" i="2"/>
  <c r="B52" i="4" l="1"/>
  <c r="D52" i="4" s="1"/>
  <c r="J51" i="2"/>
  <c r="G52" i="2"/>
  <c r="E52" i="2"/>
  <c r="I52" i="2" s="1"/>
  <c r="A55" i="2"/>
  <c r="K54" i="2"/>
  <c r="B54" i="2"/>
  <c r="C53" i="2"/>
  <c r="D53" i="2" s="1"/>
  <c r="F53" i="2"/>
  <c r="G53" i="2" s="1"/>
  <c r="B54" i="4" l="1"/>
  <c r="E53" i="2"/>
  <c r="I53" i="2" s="1"/>
  <c r="H53" i="2"/>
  <c r="C54" i="4" s="1"/>
  <c r="C54" i="2"/>
  <c r="D54" i="2" s="1"/>
  <c r="F54" i="2"/>
  <c r="H54" i="2" s="1"/>
  <c r="C55" i="4" s="1"/>
  <c r="B55" i="2"/>
  <c r="A56" i="2"/>
  <c r="K55" i="2"/>
  <c r="B53" i="4"/>
  <c r="D53" i="4" s="1"/>
  <c r="J52" i="2"/>
  <c r="C55" i="2" l="1"/>
  <c r="E55" i="2" s="1"/>
  <c r="F55" i="2"/>
  <c r="H55" i="2" s="1"/>
  <c r="C56" i="4" s="1"/>
  <c r="E54" i="2"/>
  <c r="I54" i="2" s="1"/>
  <c r="B56" i="2"/>
  <c r="A57" i="2"/>
  <c r="K56" i="2"/>
  <c r="G54" i="2"/>
  <c r="J53" i="2"/>
  <c r="D54" i="4"/>
  <c r="B55" i="4" l="1"/>
  <c r="D55" i="4" s="1"/>
  <c r="J54" i="2"/>
  <c r="A58" i="2"/>
  <c r="B57" i="2"/>
  <c r="C56" i="2"/>
  <c r="D56" i="2" s="1"/>
  <c r="F56" i="2"/>
  <c r="G56" i="2" s="1"/>
  <c r="D55" i="2"/>
  <c r="I55" i="2" s="1"/>
  <c r="G55" i="2"/>
  <c r="B57" i="4" l="1"/>
  <c r="B56" i="4"/>
  <c r="D56" i="4" s="1"/>
  <c r="J55" i="2"/>
  <c r="E56" i="2"/>
  <c r="I56" i="2" s="1"/>
  <c r="H56" i="2"/>
  <c r="C57" i="4" s="1"/>
  <c r="C57" i="2"/>
  <c r="E57" i="2" s="1"/>
  <c r="F57" i="2"/>
  <c r="H57" i="2" s="1"/>
  <c r="C58" i="4" s="1"/>
  <c r="K57" i="2"/>
  <c r="B58" i="2"/>
  <c r="A59" i="2"/>
  <c r="C58" i="2" l="1"/>
  <c r="E58" i="2" s="1"/>
  <c r="F58" i="2"/>
  <c r="H58" i="2" s="1"/>
  <c r="C59" i="4" s="1"/>
  <c r="G57" i="2"/>
  <c r="B59" i="2"/>
  <c r="A60" i="2"/>
  <c r="K59" i="2"/>
  <c r="D57" i="2"/>
  <c r="I57" i="2" s="1"/>
  <c r="J56" i="2"/>
  <c r="K58" i="2"/>
  <c r="D57" i="4"/>
  <c r="A61" i="2" l="1"/>
  <c r="B60" i="2"/>
  <c r="F59" i="2"/>
  <c r="G59" i="2" s="1"/>
  <c r="C59" i="2"/>
  <c r="D59" i="2" s="1"/>
  <c r="B58" i="4"/>
  <c r="D58" i="4" s="1"/>
  <c r="J57" i="2"/>
  <c r="D58" i="2"/>
  <c r="I58" i="2" s="1"/>
  <c r="G58" i="2"/>
  <c r="B60" i="4" l="1"/>
  <c r="B59" i="4"/>
  <c r="D59" i="4" s="1"/>
  <c r="J58" i="2"/>
  <c r="E59" i="2"/>
  <c r="I59" i="2" s="1"/>
  <c r="H59" i="2"/>
  <c r="C60" i="4" s="1"/>
  <c r="F60" i="2"/>
  <c r="H60" i="2" s="1"/>
  <c r="C61" i="4" s="1"/>
  <c r="C60" i="2"/>
  <c r="D60" i="2" s="1"/>
  <c r="K60" i="2"/>
  <c r="A62" i="2"/>
  <c r="K61" i="2"/>
  <c r="B61" i="2"/>
  <c r="B62" i="2" l="1"/>
  <c r="A63" i="2"/>
  <c r="K62" i="2"/>
  <c r="E60" i="2"/>
  <c r="I60" i="2" s="1"/>
  <c r="G60" i="2"/>
  <c r="J59" i="2"/>
  <c r="D60" i="4"/>
  <c r="F61" i="2"/>
  <c r="G61" i="2" s="1"/>
  <c r="C61" i="2"/>
  <c r="D61" i="2" s="1"/>
  <c r="B62" i="4" l="1"/>
  <c r="E61" i="2"/>
  <c r="I61" i="2" s="1"/>
  <c r="H61" i="2"/>
  <c r="C62" i="4" s="1"/>
  <c r="B61" i="4"/>
  <c r="D61" i="4" s="1"/>
  <c r="J60" i="2"/>
  <c r="B63" i="2"/>
  <c r="A64" i="2"/>
  <c r="F62" i="2"/>
  <c r="H62" i="2" s="1"/>
  <c r="C63" i="4" s="1"/>
  <c r="C62" i="2"/>
  <c r="D62" i="2" s="1"/>
  <c r="G62" i="2" l="1"/>
  <c r="A65" i="2"/>
  <c r="B64" i="2"/>
  <c r="F63" i="2"/>
  <c r="H63" i="2" s="1"/>
  <c r="C64" i="4" s="1"/>
  <c r="C63" i="2"/>
  <c r="D63" i="2" s="1"/>
  <c r="E62" i="2"/>
  <c r="I62" i="2" s="1"/>
  <c r="K63" i="2"/>
  <c r="J61" i="2"/>
  <c r="D62" i="4"/>
  <c r="E63" i="2" l="1"/>
  <c r="I63" i="2" s="1"/>
  <c r="F64" i="2"/>
  <c r="H64" i="2" s="1"/>
  <c r="C65" i="4" s="1"/>
  <c r="C64" i="2"/>
  <c r="E64" i="2" s="1"/>
  <c r="B65" i="2"/>
  <c r="A66" i="2"/>
  <c r="K65" i="2"/>
  <c r="G63" i="2"/>
  <c r="K64" i="2"/>
  <c r="B63" i="4"/>
  <c r="D63" i="4" s="1"/>
  <c r="J62" i="2"/>
  <c r="B64" i="4" l="1"/>
  <c r="D64" i="4" s="1"/>
  <c r="J63" i="2"/>
  <c r="B66" i="2"/>
  <c r="A67" i="2"/>
  <c r="K66" i="2"/>
  <c r="F65" i="2"/>
  <c r="H65" i="2" s="1"/>
  <c r="C66" i="4" s="1"/>
  <c r="C65" i="2"/>
  <c r="E65" i="2" s="1"/>
  <c r="D64" i="2"/>
  <c r="I64" i="2" s="1"/>
  <c r="G64" i="2"/>
  <c r="B65" i="4" l="1"/>
  <c r="D65" i="4" s="1"/>
  <c r="J64" i="2"/>
  <c r="G65" i="2"/>
  <c r="D65" i="2"/>
  <c r="I65" i="2" s="1"/>
  <c r="A68" i="2"/>
  <c r="K67" i="2"/>
  <c r="B67" i="2"/>
  <c r="F66" i="2"/>
  <c r="G66" i="2" s="1"/>
  <c r="C66" i="2"/>
  <c r="D66" i="2" s="1"/>
  <c r="B67" i="4" l="1"/>
  <c r="D67" i="4" s="1"/>
  <c r="H66" i="2"/>
  <c r="C67" i="4" s="1"/>
  <c r="E66" i="2"/>
  <c r="I66" i="2" s="1"/>
  <c r="F67" i="2"/>
  <c r="G67" i="2" s="1"/>
  <c r="C67" i="2"/>
  <c r="E67" i="2" s="1"/>
  <c r="B68" i="2"/>
  <c r="A69" i="2"/>
  <c r="K68" i="2"/>
  <c r="B66" i="4"/>
  <c r="D66" i="4" s="1"/>
  <c r="J65" i="2"/>
  <c r="B68" i="4" l="1"/>
  <c r="B69" i="2"/>
  <c r="A70" i="2"/>
  <c r="K69" i="2"/>
  <c r="H67" i="2"/>
  <c r="C68" i="4" s="1"/>
  <c r="D67" i="2"/>
  <c r="I67" i="2" s="1"/>
  <c r="F68" i="2"/>
  <c r="H68" i="2" s="1"/>
  <c r="C69" i="4" s="1"/>
  <c r="C68" i="2"/>
  <c r="D68" i="2" s="1"/>
  <c r="J66" i="2"/>
  <c r="G68" i="2" l="1"/>
  <c r="E68" i="2"/>
  <c r="I68" i="2" s="1"/>
  <c r="A71" i="2"/>
  <c r="B70" i="2"/>
  <c r="J67" i="2"/>
  <c r="C69" i="2"/>
  <c r="E69" i="2" s="1"/>
  <c r="F69" i="2"/>
  <c r="G69" i="2" s="1"/>
  <c r="D68" i="4"/>
  <c r="B70" i="4" l="1"/>
  <c r="D69" i="2"/>
  <c r="I69" i="2" s="1"/>
  <c r="H69" i="2"/>
  <c r="C70" i="4" s="1"/>
  <c r="C70" i="2"/>
  <c r="D70" i="2" s="1"/>
  <c r="F70" i="2"/>
  <c r="G70" i="2" s="1"/>
  <c r="B69" i="4"/>
  <c r="D69" i="4" s="1"/>
  <c r="J68" i="2"/>
  <c r="K70" i="2"/>
  <c r="B71" i="2"/>
  <c r="A72" i="2"/>
  <c r="K71" i="2"/>
  <c r="B71" i="4" l="1"/>
  <c r="F71" i="2"/>
  <c r="H71" i="2" s="1"/>
  <c r="C72" i="4" s="1"/>
  <c r="C71" i="2"/>
  <c r="D71" i="2" s="1"/>
  <c r="B72" i="2"/>
  <c r="A73" i="2"/>
  <c r="K72" i="2"/>
  <c r="E70" i="2"/>
  <c r="I70" i="2" s="1"/>
  <c r="H70" i="2"/>
  <c r="C71" i="4" s="1"/>
  <c r="J69" i="2"/>
  <c r="D70" i="4"/>
  <c r="A74" i="2" l="1"/>
  <c r="B73" i="2"/>
  <c r="C72" i="2"/>
  <c r="E72" i="2" s="1"/>
  <c r="F72" i="2"/>
  <c r="G72" i="2" s="1"/>
  <c r="E71" i="2"/>
  <c r="I71" i="2" s="1"/>
  <c r="G71" i="2"/>
  <c r="J70" i="2"/>
  <c r="D71" i="4"/>
  <c r="B73" i="4" l="1"/>
  <c r="B72" i="4"/>
  <c r="D72" i="4" s="1"/>
  <c r="J71" i="2"/>
  <c r="D72" i="2"/>
  <c r="I72" i="2" s="1"/>
  <c r="H72" i="2"/>
  <c r="C73" i="4" s="1"/>
  <c r="C73" i="2"/>
  <c r="E73" i="2" s="1"/>
  <c r="F73" i="2"/>
  <c r="H73" i="2" s="1"/>
  <c r="C74" i="4" s="1"/>
  <c r="K73" i="2"/>
  <c r="B74" i="2"/>
  <c r="A75" i="2"/>
  <c r="K74" i="2"/>
  <c r="C74" i="2" l="1"/>
  <c r="E74" i="2" s="1"/>
  <c r="F74" i="2"/>
  <c r="H74" i="2" s="1"/>
  <c r="C75" i="4" s="1"/>
  <c r="B75" i="2"/>
  <c r="A76" i="2"/>
  <c r="K75" i="2"/>
  <c r="G73" i="2"/>
  <c r="D73" i="2"/>
  <c r="I73" i="2" s="1"/>
  <c r="J72" i="2"/>
  <c r="D73" i="4"/>
  <c r="B74" i="4" l="1"/>
  <c r="D74" i="4" s="1"/>
  <c r="J73" i="2"/>
  <c r="A77" i="2"/>
  <c r="B76" i="2"/>
  <c r="F75" i="2"/>
  <c r="H75" i="2" s="1"/>
  <c r="C76" i="4" s="1"/>
  <c r="C75" i="2"/>
  <c r="D75" i="2" s="1"/>
  <c r="D74" i="2"/>
  <c r="I74" i="2" s="1"/>
  <c r="G74" i="2"/>
  <c r="B75" i="4" l="1"/>
  <c r="D75" i="4" s="1"/>
  <c r="J74" i="2"/>
  <c r="G75" i="2"/>
  <c r="E75" i="2"/>
  <c r="I75" i="2" s="1"/>
  <c r="F76" i="2"/>
  <c r="H76" i="2" s="1"/>
  <c r="C77" i="4" s="1"/>
  <c r="C76" i="2"/>
  <c r="E76" i="2" s="1"/>
  <c r="A78" i="2"/>
  <c r="B77" i="2"/>
  <c r="K76" i="2"/>
  <c r="C77" i="2" l="1"/>
  <c r="E77" i="2" s="1"/>
  <c r="F77" i="2"/>
  <c r="H77" i="2" s="1"/>
  <c r="C78" i="4" s="1"/>
  <c r="D76" i="2"/>
  <c r="I76" i="2" s="1"/>
  <c r="B78" i="2"/>
  <c r="A79" i="2"/>
  <c r="K78" i="2"/>
  <c r="G76" i="2"/>
  <c r="K77" i="2"/>
  <c r="B76" i="4"/>
  <c r="D76" i="4" s="1"/>
  <c r="J75" i="2"/>
  <c r="B77" i="4" l="1"/>
  <c r="D77" i="4" s="1"/>
  <c r="J76" i="2"/>
  <c r="B79" i="2"/>
  <c r="A80" i="2"/>
  <c r="F78" i="2"/>
  <c r="G78" i="2" s="1"/>
  <c r="C78" i="2"/>
  <c r="E78" i="2" s="1"/>
  <c r="D77" i="2"/>
  <c r="I77" i="2" s="1"/>
  <c r="G77" i="2"/>
  <c r="B79" i="4" l="1"/>
  <c r="H78" i="2"/>
  <c r="C79" i="4" s="1"/>
  <c r="B78" i="4"/>
  <c r="D78" i="4" s="1"/>
  <c r="J77" i="2"/>
  <c r="F79" i="2"/>
  <c r="G79" i="2" s="1"/>
  <c r="C79" i="2"/>
  <c r="E79" i="2" s="1"/>
  <c r="D78" i="2"/>
  <c r="I78" i="2" s="1"/>
  <c r="A81" i="2"/>
  <c r="B80" i="2"/>
  <c r="K79" i="2"/>
  <c r="B80" i="4" l="1"/>
  <c r="F80" i="2"/>
  <c r="H80" i="2" s="1"/>
  <c r="C81" i="4" s="1"/>
  <c r="C80" i="2"/>
  <c r="E80" i="2" s="1"/>
  <c r="B81" i="2"/>
  <c r="A82" i="2"/>
  <c r="K81" i="2"/>
  <c r="D79" i="2"/>
  <c r="I79" i="2" s="1"/>
  <c r="H79" i="2"/>
  <c r="C80" i="4" s="1"/>
  <c r="K80" i="2"/>
  <c r="J78" i="2"/>
  <c r="D79" i="4"/>
  <c r="B82" i="2" l="1"/>
  <c r="A83" i="2"/>
  <c r="K82" i="2"/>
  <c r="F81" i="2"/>
  <c r="G81" i="2" s="1"/>
  <c r="C81" i="2"/>
  <c r="E81" i="2" s="1"/>
  <c r="D80" i="2"/>
  <c r="I80" i="2" s="1"/>
  <c r="G80" i="2"/>
  <c r="J79" i="2"/>
  <c r="D80" i="4"/>
  <c r="B82" i="4" l="1"/>
  <c r="D82" i="4" s="1"/>
  <c r="B81" i="4"/>
  <c r="D81" i="4" s="1"/>
  <c r="J80" i="2"/>
  <c r="H81" i="2"/>
  <c r="C82" i="4" s="1"/>
  <c r="D81" i="2"/>
  <c r="I81" i="2" s="1"/>
  <c r="A84" i="2"/>
  <c r="K83" i="2"/>
  <c r="B83" i="2"/>
  <c r="F82" i="2"/>
  <c r="H82" i="2" s="1"/>
  <c r="C83" i="4" s="1"/>
  <c r="C82" i="2"/>
  <c r="E82" i="2" s="1"/>
  <c r="G82" i="2" l="1"/>
  <c r="B84" i="2"/>
  <c r="A85" i="2"/>
  <c r="K84" i="2"/>
  <c r="D82" i="2"/>
  <c r="I82" i="2" s="1"/>
  <c r="F83" i="2"/>
  <c r="H83" i="2" s="1"/>
  <c r="C84" i="4" s="1"/>
  <c r="C83" i="2"/>
  <c r="D83" i="2" s="1"/>
  <c r="J81" i="2"/>
  <c r="E83" i="2" l="1"/>
  <c r="I83" i="2" s="1"/>
  <c r="G83" i="2"/>
  <c r="B85" i="2"/>
  <c r="A86" i="2"/>
  <c r="K85" i="2"/>
  <c r="C84" i="2"/>
  <c r="D84" i="2" s="1"/>
  <c r="F84" i="2"/>
  <c r="G84" i="2" s="1"/>
  <c r="B83" i="4"/>
  <c r="D83" i="4" s="1"/>
  <c r="J82" i="2"/>
  <c r="B85" i="4" l="1"/>
  <c r="E84" i="2"/>
  <c r="I84" i="2" s="1"/>
  <c r="H84" i="2"/>
  <c r="C85" i="4" s="1"/>
  <c r="C85" i="2"/>
  <c r="E85" i="2" s="1"/>
  <c r="F85" i="2"/>
  <c r="G85" i="2" s="1"/>
  <c r="B84" i="4"/>
  <c r="D84" i="4" s="1"/>
  <c r="J83" i="2"/>
  <c r="A87" i="2"/>
  <c r="K86" i="2"/>
  <c r="B86" i="2"/>
  <c r="B86" i="4" l="1"/>
  <c r="F86" i="2"/>
  <c r="H86" i="2" s="1"/>
  <c r="C87" i="4" s="1"/>
  <c r="C86" i="2"/>
  <c r="E86" i="2" s="1"/>
  <c r="B87" i="2"/>
  <c r="A88" i="2"/>
  <c r="K87" i="2"/>
  <c r="D85" i="2"/>
  <c r="I85" i="2" s="1"/>
  <c r="H85" i="2"/>
  <c r="C86" i="4" s="1"/>
  <c r="J84" i="2"/>
  <c r="D85" i="4"/>
  <c r="B88" i="2" l="1"/>
  <c r="A89" i="2"/>
  <c r="K88" i="2"/>
  <c r="C87" i="2"/>
  <c r="E87" i="2" s="1"/>
  <c r="F87" i="2"/>
  <c r="H87" i="2" s="1"/>
  <c r="C88" i="4" s="1"/>
  <c r="D86" i="2"/>
  <c r="I86" i="2" s="1"/>
  <c r="G86" i="2"/>
  <c r="J85" i="2"/>
  <c r="D86" i="4"/>
  <c r="B87" i="4" l="1"/>
  <c r="D87" i="4" s="1"/>
  <c r="J86" i="2"/>
  <c r="D87" i="2"/>
  <c r="I87" i="2" s="1"/>
  <c r="G87" i="2"/>
  <c r="A90" i="2"/>
  <c r="K89" i="2"/>
  <c r="B89" i="2"/>
  <c r="C88" i="2"/>
  <c r="D88" i="2" s="1"/>
  <c r="F88" i="2"/>
  <c r="H88" i="2" s="1"/>
  <c r="C89" i="4" s="1"/>
  <c r="G88" i="2" l="1"/>
  <c r="E88" i="2"/>
  <c r="I88" i="2" s="1"/>
  <c r="B90" i="2"/>
  <c r="A91" i="2"/>
  <c r="K90" i="2"/>
  <c r="C89" i="2"/>
  <c r="D89" i="2" s="1"/>
  <c r="F89" i="2"/>
  <c r="H89" i="2" s="1"/>
  <c r="C90" i="4" s="1"/>
  <c r="B88" i="4"/>
  <c r="D88" i="4" s="1"/>
  <c r="J87" i="2"/>
  <c r="E89" i="2" l="1"/>
  <c r="I89" i="2" s="1"/>
  <c r="C90" i="2"/>
  <c r="E90" i="2" s="1"/>
  <c r="F90" i="2"/>
  <c r="G90" i="2" s="1"/>
  <c r="G89" i="2"/>
  <c r="B91" i="2"/>
  <c r="A92" i="2"/>
  <c r="K91" i="2"/>
  <c r="B89" i="4"/>
  <c r="D89" i="4" s="1"/>
  <c r="J88" i="2"/>
  <c r="B91" i="4" l="1"/>
  <c r="A93" i="2"/>
  <c r="K92" i="2"/>
  <c r="B92" i="2"/>
  <c r="C91" i="2"/>
  <c r="E91" i="2" s="1"/>
  <c r="F91" i="2"/>
  <c r="G91" i="2" s="1"/>
  <c r="H90" i="2"/>
  <c r="C91" i="4" s="1"/>
  <c r="B90" i="4"/>
  <c r="D90" i="4" s="1"/>
  <c r="J89" i="2"/>
  <c r="D90" i="2"/>
  <c r="I90" i="2" s="1"/>
  <c r="B92" i="4" l="1"/>
  <c r="H91" i="2"/>
  <c r="C92" i="4" s="1"/>
  <c r="D91" i="2"/>
  <c r="I91" i="2" s="1"/>
  <c r="C92" i="2"/>
  <c r="E92" i="2" s="1"/>
  <c r="F92" i="2"/>
  <c r="H92" i="2" s="1"/>
  <c r="C93" i="4" s="1"/>
  <c r="A94" i="2"/>
  <c r="B93" i="2"/>
  <c r="J90" i="2"/>
  <c r="D91" i="4"/>
  <c r="C93" i="2" l="1"/>
  <c r="E93" i="2" s="1"/>
  <c r="F93" i="2"/>
  <c r="H93" i="2" s="1"/>
  <c r="C94" i="4" s="1"/>
  <c r="K93" i="2"/>
  <c r="G92" i="2"/>
  <c r="B94" i="2"/>
  <c r="K94" i="2" s="1"/>
  <c r="A95" i="2"/>
  <c r="D92" i="2"/>
  <c r="I92" i="2" s="1"/>
  <c r="J91" i="2"/>
  <c r="D92" i="4"/>
  <c r="F94" i="2" l="1"/>
  <c r="H94" i="2" s="1"/>
  <c r="C95" i="4" s="1"/>
  <c r="C94" i="2"/>
  <c r="E94" i="2" s="1"/>
  <c r="B95" i="2"/>
  <c r="A96" i="2"/>
  <c r="B93" i="4"/>
  <c r="D93" i="4" s="1"/>
  <c r="J92" i="2"/>
  <c r="G93" i="2"/>
  <c r="D93" i="2"/>
  <c r="I93" i="2" s="1"/>
  <c r="A97" i="2" l="1"/>
  <c r="K96" i="2"/>
  <c r="B96" i="2"/>
  <c r="B94" i="4"/>
  <c r="D94" i="4" s="1"/>
  <c r="J93" i="2"/>
  <c r="F95" i="2"/>
  <c r="H95" i="2" s="1"/>
  <c r="C96" i="4" s="1"/>
  <c r="C95" i="2"/>
  <c r="E95" i="2" s="1"/>
  <c r="D94" i="2"/>
  <c r="I94" i="2" s="1"/>
  <c r="K95" i="2"/>
  <c r="G94" i="2"/>
  <c r="B95" i="4" l="1"/>
  <c r="D95" i="4" s="1"/>
  <c r="J94" i="2"/>
  <c r="D95" i="2"/>
  <c r="I95" i="2" s="1"/>
  <c r="G95" i="2"/>
  <c r="F96" i="2"/>
  <c r="H96" i="2" s="1"/>
  <c r="C97" i="4" s="1"/>
  <c r="C96" i="2"/>
  <c r="E96" i="2" s="1"/>
  <c r="B97" i="2"/>
  <c r="A98" i="2"/>
  <c r="K97" i="2"/>
  <c r="D96" i="2" l="1"/>
  <c r="I96" i="2" s="1"/>
  <c r="B98" i="2"/>
  <c r="A99" i="2"/>
  <c r="K98" i="2"/>
  <c r="G96" i="2"/>
  <c r="F97" i="2"/>
  <c r="G97" i="2" s="1"/>
  <c r="C97" i="2"/>
  <c r="E97" i="2" s="1"/>
  <c r="B96" i="4"/>
  <c r="D96" i="4" s="1"/>
  <c r="J95" i="2"/>
  <c r="B98" i="4" l="1"/>
  <c r="H97" i="2"/>
  <c r="C98" i="4" s="1"/>
  <c r="D97" i="2"/>
  <c r="I97" i="2" s="1"/>
  <c r="A100" i="2"/>
  <c r="K99" i="2"/>
  <c r="B99" i="2"/>
  <c r="F98" i="2"/>
  <c r="H98" i="2" s="1"/>
  <c r="C99" i="4" s="1"/>
  <c r="C98" i="2"/>
  <c r="E98" i="2" s="1"/>
  <c r="B97" i="4"/>
  <c r="D97" i="4" s="1"/>
  <c r="J96" i="2"/>
  <c r="D98" i="2" l="1"/>
  <c r="I98" i="2" s="1"/>
  <c r="G98" i="2"/>
  <c r="F99" i="2"/>
  <c r="H99" i="2" s="1"/>
  <c r="C100" i="4" s="1"/>
  <c r="C99" i="2"/>
  <c r="E99" i="2" s="1"/>
  <c r="B100" i="2"/>
  <c r="A101" i="2"/>
  <c r="K100" i="2"/>
  <c r="J97" i="2"/>
  <c r="D98" i="4"/>
  <c r="B101" i="2" l="1"/>
  <c r="A102" i="2"/>
  <c r="K101" i="2"/>
  <c r="F100" i="2"/>
  <c r="H100" i="2" s="1"/>
  <c r="C101" i="4" s="1"/>
  <c r="C100" i="2"/>
  <c r="D100" i="2" s="1"/>
  <c r="D99" i="2"/>
  <c r="I99" i="2" s="1"/>
  <c r="B99" i="4"/>
  <c r="D99" i="4" s="1"/>
  <c r="J98" i="2"/>
  <c r="G99" i="2"/>
  <c r="B100" i="4" l="1"/>
  <c r="D100" i="4" s="1"/>
  <c r="J99" i="2"/>
  <c r="E100" i="2"/>
  <c r="I100" i="2" s="1"/>
  <c r="G100" i="2"/>
  <c r="A103" i="2"/>
  <c r="B102" i="2"/>
  <c r="F101" i="2"/>
  <c r="H101" i="2" s="1"/>
  <c r="C102" i="4" s="1"/>
  <c r="C101" i="2"/>
  <c r="E101" i="2" s="1"/>
  <c r="G101" i="2" l="1"/>
  <c r="D101" i="2"/>
  <c r="I101" i="2" s="1"/>
  <c r="F102" i="2"/>
  <c r="H102" i="2" s="1"/>
  <c r="C103" i="4" s="1"/>
  <c r="C102" i="2"/>
  <c r="E102" i="2" s="1"/>
  <c r="B103" i="2"/>
  <c r="A104" i="2"/>
  <c r="K103" i="2"/>
  <c r="K102" i="2"/>
  <c r="B101" i="4"/>
  <c r="D101" i="4" s="1"/>
  <c r="J100" i="2"/>
  <c r="F103" i="2" l="1"/>
  <c r="H103" i="2" s="1"/>
  <c r="C104" i="4" s="1"/>
  <c r="C103" i="2"/>
  <c r="E103" i="2" s="1"/>
  <c r="B104" i="2"/>
  <c r="A105" i="2"/>
  <c r="K104" i="2"/>
  <c r="D102" i="2"/>
  <c r="I102" i="2" s="1"/>
  <c r="G102" i="2"/>
  <c r="B102" i="4"/>
  <c r="D102" i="4" s="1"/>
  <c r="J101" i="2"/>
  <c r="B103" i="4" l="1"/>
  <c r="D103" i="4" s="1"/>
  <c r="J102" i="2"/>
  <c r="A106" i="2"/>
  <c r="B105" i="2"/>
  <c r="C104" i="2"/>
  <c r="E104" i="2" s="1"/>
  <c r="F104" i="2"/>
  <c r="H104" i="2" s="1"/>
  <c r="C105" i="4" s="1"/>
  <c r="D103" i="2"/>
  <c r="I103" i="2" s="1"/>
  <c r="G103" i="2"/>
  <c r="B104" i="4" l="1"/>
  <c r="D104" i="4" s="1"/>
  <c r="J103" i="2"/>
  <c r="G104" i="2"/>
  <c r="D104" i="2"/>
  <c r="I104" i="2" s="1"/>
  <c r="C105" i="2"/>
  <c r="E105" i="2" s="1"/>
  <c r="F105" i="2"/>
  <c r="H105" i="2" s="1"/>
  <c r="C106" i="4" s="1"/>
  <c r="K105" i="2"/>
  <c r="B106" i="2"/>
  <c r="A107" i="2"/>
  <c r="K106" i="2"/>
  <c r="B107" i="2" l="1"/>
  <c r="A108" i="2"/>
  <c r="K107" i="2"/>
  <c r="C106" i="2"/>
  <c r="E106" i="2" s="1"/>
  <c r="F106" i="2"/>
  <c r="H106" i="2" s="1"/>
  <c r="C107" i="4" s="1"/>
  <c r="D105" i="2"/>
  <c r="I105" i="2" s="1"/>
  <c r="G105" i="2"/>
  <c r="B105" i="4"/>
  <c r="D105" i="4" s="1"/>
  <c r="J104" i="2"/>
  <c r="B106" i="4" l="1"/>
  <c r="D106" i="4" s="1"/>
  <c r="J105" i="2"/>
  <c r="D106" i="2"/>
  <c r="I106" i="2" s="1"/>
  <c r="G106" i="2"/>
  <c r="A109" i="2"/>
  <c r="B108" i="2"/>
  <c r="K108" i="2" s="1"/>
  <c r="C107" i="2"/>
  <c r="D107" i="2" s="1"/>
  <c r="F107" i="2"/>
  <c r="H107" i="2" s="1"/>
  <c r="C108" i="4" s="1"/>
  <c r="E107" i="2" l="1"/>
  <c r="I107" i="2" s="1"/>
  <c r="G107" i="2"/>
  <c r="A110" i="2"/>
  <c r="B109" i="2"/>
  <c r="C108" i="2"/>
  <c r="E108" i="2" s="1"/>
  <c r="F108" i="2"/>
  <c r="H108" i="2" s="1"/>
  <c r="C109" i="4" s="1"/>
  <c r="B107" i="4"/>
  <c r="D107" i="4" s="1"/>
  <c r="J106" i="2"/>
  <c r="B108" i="4" l="1"/>
  <c r="D108" i="4" s="1"/>
  <c r="J107" i="2"/>
  <c r="D108" i="2"/>
  <c r="I108" i="2" s="1"/>
  <c r="G108" i="2"/>
  <c r="F109" i="2"/>
  <c r="H109" i="2" s="1"/>
  <c r="C110" i="4" s="1"/>
  <c r="C109" i="2"/>
  <c r="E109" i="2" s="1"/>
  <c r="K109" i="2"/>
  <c r="B110" i="2"/>
  <c r="A111" i="2"/>
  <c r="K110" i="2"/>
  <c r="B111" i="2" l="1"/>
  <c r="A112" i="2"/>
  <c r="F110" i="2"/>
  <c r="H110" i="2" s="1"/>
  <c r="C111" i="4" s="1"/>
  <c r="C110" i="2"/>
  <c r="E110" i="2" s="1"/>
  <c r="D109" i="2"/>
  <c r="I109" i="2" s="1"/>
  <c r="G109" i="2"/>
  <c r="B109" i="4"/>
  <c r="D109" i="4" s="1"/>
  <c r="J108" i="2"/>
  <c r="D110" i="2" l="1"/>
  <c r="I110" i="2" s="1"/>
  <c r="F111" i="2"/>
  <c r="H111" i="2" s="1"/>
  <c r="C112" i="4" s="1"/>
  <c r="C111" i="2"/>
  <c r="E111" i="2" s="1"/>
  <c r="B110" i="4"/>
  <c r="D110" i="4" s="1"/>
  <c r="J109" i="2"/>
  <c r="G110" i="2"/>
  <c r="A113" i="2"/>
  <c r="K112" i="2"/>
  <c r="B112" i="2"/>
  <c r="K111" i="2"/>
  <c r="C112" i="2" l="1"/>
  <c r="E112" i="2" s="1"/>
  <c r="F112" i="2"/>
  <c r="H112" i="2" s="1"/>
  <c r="C113" i="4" s="1"/>
  <c r="B113" i="2"/>
  <c r="A114" i="2"/>
  <c r="K113" i="2"/>
  <c r="D111" i="2"/>
  <c r="I111" i="2" s="1"/>
  <c r="G111" i="2"/>
  <c r="B111" i="4"/>
  <c r="D111" i="4" s="1"/>
  <c r="J110" i="2"/>
  <c r="F113" i="2" l="1"/>
  <c r="H113" i="2" s="1"/>
  <c r="C114" i="4" s="1"/>
  <c r="C113" i="2"/>
  <c r="E113" i="2" s="1"/>
  <c r="G112" i="2"/>
  <c r="B112" i="4"/>
  <c r="D112" i="4" s="1"/>
  <c r="J111" i="2"/>
  <c r="B114" i="2"/>
  <c r="A115" i="2"/>
  <c r="K114" i="2"/>
  <c r="D112" i="2"/>
  <c r="I112" i="2" s="1"/>
  <c r="A116" i="2" l="1"/>
  <c r="K115" i="2"/>
  <c r="B115" i="2"/>
  <c r="D113" i="2"/>
  <c r="I113" i="2" s="1"/>
  <c r="F114" i="2"/>
  <c r="H114" i="2" s="1"/>
  <c r="C115" i="4" s="1"/>
  <c r="C114" i="2"/>
  <c r="E114" i="2" s="1"/>
  <c r="B113" i="4"/>
  <c r="D113" i="4" s="1"/>
  <c r="J112" i="2"/>
  <c r="G113" i="2"/>
  <c r="B114" i="4" l="1"/>
  <c r="D114" i="4" s="1"/>
  <c r="J113" i="2"/>
  <c r="D114" i="2"/>
  <c r="I114" i="2" s="1"/>
  <c r="G114" i="2"/>
  <c r="F115" i="2"/>
  <c r="H115" i="2" s="1"/>
  <c r="C116" i="4" s="1"/>
  <c r="C115" i="2"/>
  <c r="D115" i="2" s="1"/>
  <c r="B116" i="2"/>
  <c r="A117" i="2"/>
  <c r="K116" i="2"/>
  <c r="E115" i="2" l="1"/>
  <c r="I115" i="2" s="1"/>
  <c r="G115" i="2"/>
  <c r="B117" i="2"/>
  <c r="A118" i="2"/>
  <c r="K117" i="2"/>
  <c r="C116" i="2"/>
  <c r="D116" i="2" s="1"/>
  <c r="F116" i="2"/>
  <c r="H116" i="2" s="1"/>
  <c r="C117" i="4" s="1"/>
  <c r="B115" i="4"/>
  <c r="D115" i="4" s="1"/>
  <c r="J114" i="2"/>
  <c r="E116" i="2" l="1"/>
  <c r="I116" i="2" s="1"/>
  <c r="F117" i="2"/>
  <c r="G117" i="2" s="1"/>
  <c r="C117" i="2"/>
  <c r="E117" i="2" s="1"/>
  <c r="G116" i="2"/>
  <c r="A119" i="2"/>
  <c r="K118" i="2"/>
  <c r="B118" i="2"/>
  <c r="B116" i="4"/>
  <c r="D116" i="4" s="1"/>
  <c r="J115" i="2"/>
  <c r="B118" i="4" l="1"/>
  <c r="F118" i="2"/>
  <c r="G118" i="2" s="1"/>
  <c r="C118" i="2"/>
  <c r="E118" i="2" s="1"/>
  <c r="B119" i="2"/>
  <c r="A120" i="2"/>
  <c r="K119" i="2"/>
  <c r="D117" i="2"/>
  <c r="I117" i="2" s="1"/>
  <c r="H117" i="2"/>
  <c r="C118" i="4" s="1"/>
  <c r="B117" i="4"/>
  <c r="D117" i="4" s="1"/>
  <c r="J116" i="2"/>
  <c r="B119" i="4" l="1"/>
  <c r="C119" i="2"/>
  <c r="E119" i="2" s="1"/>
  <c r="F119" i="2"/>
  <c r="G119" i="2" s="1"/>
  <c r="D118" i="2"/>
  <c r="I118" i="2" s="1"/>
  <c r="H118" i="2"/>
  <c r="C119" i="4" s="1"/>
  <c r="J117" i="2"/>
  <c r="B120" i="2"/>
  <c r="A121" i="2"/>
  <c r="K120" i="2"/>
  <c r="D118" i="4"/>
  <c r="B120" i="4" l="1"/>
  <c r="A122" i="2"/>
  <c r="B121" i="2"/>
  <c r="C120" i="2"/>
  <c r="D120" i="2" s="1"/>
  <c r="F120" i="2"/>
  <c r="G120" i="2" s="1"/>
  <c r="D119" i="2"/>
  <c r="I119" i="2" s="1"/>
  <c r="H119" i="2"/>
  <c r="C120" i="4" s="1"/>
  <c r="J118" i="2"/>
  <c r="D119" i="4"/>
  <c r="B121" i="4" l="1"/>
  <c r="E120" i="2"/>
  <c r="I120" i="2" s="1"/>
  <c r="H120" i="2"/>
  <c r="C121" i="4" s="1"/>
  <c r="F121" i="2"/>
  <c r="H121" i="2" s="1"/>
  <c r="C122" i="4" s="1"/>
  <c r="C121" i="2"/>
  <c r="E121" i="2" s="1"/>
  <c r="B122" i="2"/>
  <c r="A123" i="2"/>
  <c r="K122" i="2"/>
  <c r="J119" i="2"/>
  <c r="K121" i="2"/>
  <c r="D120" i="4"/>
  <c r="B123" i="2" l="1"/>
  <c r="A124" i="2"/>
  <c r="K123" i="2"/>
  <c r="C122" i="2"/>
  <c r="E122" i="2" s="1"/>
  <c r="F122" i="2"/>
  <c r="H122" i="2" s="1"/>
  <c r="C123" i="4" s="1"/>
  <c r="D121" i="2"/>
  <c r="I121" i="2" s="1"/>
  <c r="G121" i="2"/>
  <c r="J120" i="2"/>
  <c r="D121" i="4"/>
  <c r="B122" i="4" l="1"/>
  <c r="D122" i="4" s="1"/>
  <c r="J121" i="2"/>
  <c r="D122" i="2"/>
  <c r="I122" i="2" s="1"/>
  <c r="G122" i="2"/>
  <c r="A125" i="2"/>
  <c r="B124" i="2"/>
  <c r="K124" i="2" s="1"/>
  <c r="C123" i="2"/>
  <c r="E123" i="2" s="1"/>
  <c r="F123" i="2"/>
  <c r="H123" i="2" s="1"/>
  <c r="C124" i="4" s="1"/>
  <c r="G123" i="2" l="1"/>
  <c r="D123" i="2"/>
  <c r="I123" i="2" s="1"/>
  <c r="A126" i="2"/>
  <c r="B125" i="2"/>
  <c r="C124" i="2"/>
  <c r="E124" i="2" s="1"/>
  <c r="F124" i="2"/>
  <c r="G124" i="2" s="1"/>
  <c r="B123" i="4"/>
  <c r="D123" i="4" s="1"/>
  <c r="J122" i="2"/>
  <c r="B125" i="4" l="1"/>
  <c r="D124" i="2"/>
  <c r="I124" i="2" s="1"/>
  <c r="H124" i="2"/>
  <c r="C125" i="4" s="1"/>
  <c r="F125" i="2"/>
  <c r="H125" i="2" s="1"/>
  <c r="C126" i="4" s="1"/>
  <c r="C125" i="2"/>
  <c r="D125" i="2" s="1"/>
  <c r="K125" i="2"/>
  <c r="B126" i="2"/>
  <c r="A127" i="2"/>
  <c r="K126" i="2"/>
  <c r="B124" i="4"/>
  <c r="D124" i="4" s="1"/>
  <c r="J123" i="2"/>
  <c r="F126" i="2" l="1"/>
  <c r="H126" i="2" s="1"/>
  <c r="C127" i="4" s="1"/>
  <c r="C126" i="2"/>
  <c r="D126" i="2" s="1"/>
  <c r="K127" i="2"/>
  <c r="B127" i="2"/>
  <c r="A128" i="2"/>
  <c r="E125" i="2"/>
  <c r="I125" i="2" s="1"/>
  <c r="G125" i="2"/>
  <c r="J124" i="2"/>
  <c r="D125" i="4"/>
  <c r="B126" i="4" l="1"/>
  <c r="D126" i="4" s="1"/>
  <c r="J125" i="2"/>
  <c r="A129" i="2"/>
  <c r="B128" i="2"/>
  <c r="F127" i="2"/>
  <c r="G127" i="2" s="1"/>
  <c r="C127" i="2"/>
  <c r="E127" i="2" s="1"/>
  <c r="E126" i="2"/>
  <c r="I126" i="2" s="1"/>
  <c r="G126" i="2"/>
  <c r="B128" i="4" l="1"/>
  <c r="B127" i="4"/>
  <c r="D127" i="4" s="1"/>
  <c r="J126" i="2"/>
  <c r="D127" i="2"/>
  <c r="I127" i="2" s="1"/>
  <c r="H127" i="2"/>
  <c r="C128" i="4" s="1"/>
  <c r="C128" i="2"/>
  <c r="D128" i="2" s="1"/>
  <c r="F128" i="2"/>
  <c r="H128" i="2" s="1"/>
  <c r="C129" i="4" s="1"/>
  <c r="K128" i="2"/>
  <c r="B129" i="2"/>
  <c r="A130" i="2"/>
  <c r="K129" i="2"/>
  <c r="B130" i="2" l="1"/>
  <c r="A131" i="2"/>
  <c r="K130" i="2"/>
  <c r="F129" i="2"/>
  <c r="H129" i="2" s="1"/>
  <c r="C130" i="4" s="1"/>
  <c r="C129" i="2"/>
  <c r="E129" i="2" s="1"/>
  <c r="E128" i="2"/>
  <c r="I128" i="2" s="1"/>
  <c r="G128" i="2"/>
  <c r="J127" i="2"/>
  <c r="D128" i="4"/>
  <c r="B129" i="4" l="1"/>
  <c r="D129" i="4" s="1"/>
  <c r="J128" i="2"/>
  <c r="G129" i="2"/>
  <c r="D129" i="2"/>
  <c r="I129" i="2" s="1"/>
  <c r="A132" i="2"/>
  <c r="B131" i="2"/>
  <c r="F130" i="2"/>
  <c r="H130" i="2" s="1"/>
  <c r="C131" i="4" s="1"/>
  <c r="C130" i="2"/>
  <c r="E130" i="2" s="1"/>
  <c r="C131" i="2" l="1"/>
  <c r="E131" i="2" s="1"/>
  <c r="F131" i="2"/>
  <c r="H131" i="2" s="1"/>
  <c r="C132" i="4" s="1"/>
  <c r="G130" i="2"/>
  <c r="K131" i="2"/>
  <c r="B132" i="2"/>
  <c r="A133" i="2"/>
  <c r="K132" i="2"/>
  <c r="D130" i="2"/>
  <c r="I130" i="2" s="1"/>
  <c r="B130" i="4"/>
  <c r="D130" i="4" s="1"/>
  <c r="J129" i="2"/>
  <c r="B133" i="2" l="1"/>
  <c r="A134" i="2"/>
  <c r="K133" i="2"/>
  <c r="F132" i="2"/>
  <c r="H132" i="2" s="1"/>
  <c r="C133" i="4" s="1"/>
  <c r="C132" i="2"/>
  <c r="D132" i="2" s="1"/>
  <c r="G131" i="2"/>
  <c r="B131" i="4"/>
  <c r="D131" i="4" s="1"/>
  <c r="J130" i="2"/>
  <c r="D131" i="2"/>
  <c r="I131" i="2" s="1"/>
  <c r="B132" i="4" l="1"/>
  <c r="D132" i="4" s="1"/>
  <c r="J131" i="2"/>
  <c r="E132" i="2"/>
  <c r="I132" i="2" s="1"/>
  <c r="G132" i="2"/>
  <c r="A135" i="2"/>
  <c r="B134" i="2"/>
  <c r="F133" i="2"/>
  <c r="H133" i="2" s="1"/>
  <c r="C134" i="4" s="1"/>
  <c r="C133" i="2"/>
  <c r="E133" i="2" s="1"/>
  <c r="G133" i="2" l="1"/>
  <c r="D133" i="2"/>
  <c r="I133" i="2" s="1"/>
  <c r="F134" i="2"/>
  <c r="H134" i="2" s="1"/>
  <c r="C135" i="4" s="1"/>
  <c r="C134" i="2"/>
  <c r="E134" i="2" s="1"/>
  <c r="B135" i="2"/>
  <c r="A136" i="2"/>
  <c r="K135" i="2"/>
  <c r="K134" i="2"/>
  <c r="B133" i="4"/>
  <c r="D133" i="4" s="1"/>
  <c r="J132" i="2"/>
  <c r="B136" i="2" l="1"/>
  <c r="A137" i="2"/>
  <c r="K136" i="2"/>
  <c r="F135" i="2"/>
  <c r="H135" i="2" s="1"/>
  <c r="C136" i="4" s="1"/>
  <c r="C135" i="2"/>
  <c r="D135" i="2" s="1"/>
  <c r="D134" i="2"/>
  <c r="I134" i="2" s="1"/>
  <c r="G134" i="2"/>
  <c r="B134" i="4"/>
  <c r="D134" i="4" s="1"/>
  <c r="J133" i="2"/>
  <c r="B135" i="4" l="1"/>
  <c r="D135" i="4" s="1"/>
  <c r="J134" i="2"/>
  <c r="E135" i="2"/>
  <c r="I135" i="2" s="1"/>
  <c r="G135" i="2"/>
  <c r="A138" i="2"/>
  <c r="K137" i="2"/>
  <c r="B137" i="2"/>
  <c r="F136" i="2"/>
  <c r="H136" i="2" s="1"/>
  <c r="C137" i="4" s="1"/>
  <c r="C136" i="2"/>
  <c r="E136" i="2" s="1"/>
  <c r="D136" i="2" l="1"/>
  <c r="I136" i="2" s="1"/>
  <c r="G136" i="2"/>
  <c r="F137" i="2"/>
  <c r="H137" i="2" s="1"/>
  <c r="C138" i="4" s="1"/>
  <c r="C137" i="2"/>
  <c r="E137" i="2" s="1"/>
  <c r="B138" i="2"/>
  <c r="A139" i="2"/>
  <c r="K138" i="2"/>
  <c r="B136" i="4"/>
  <c r="D136" i="4" s="1"/>
  <c r="J135" i="2"/>
  <c r="B139" i="2" l="1"/>
  <c r="A140" i="2"/>
  <c r="K139" i="2"/>
  <c r="C138" i="2"/>
  <c r="E138" i="2" s="1"/>
  <c r="F138" i="2"/>
  <c r="H138" i="2" s="1"/>
  <c r="C139" i="4" s="1"/>
  <c r="D137" i="2"/>
  <c r="I137" i="2" s="1"/>
  <c r="B137" i="4"/>
  <c r="D137" i="4" s="1"/>
  <c r="J136" i="2"/>
  <c r="G137" i="2"/>
  <c r="B138" i="4" l="1"/>
  <c r="D138" i="4" s="1"/>
  <c r="J137" i="2"/>
  <c r="D138" i="2"/>
  <c r="I138" i="2" s="1"/>
  <c r="G138" i="2"/>
  <c r="A141" i="2"/>
  <c r="B140" i="2"/>
  <c r="C139" i="2"/>
  <c r="E139" i="2" s="1"/>
  <c r="F139" i="2"/>
  <c r="G139" i="2" s="1"/>
  <c r="B140" i="4" l="1"/>
  <c r="H139" i="2"/>
  <c r="C140" i="4" s="1"/>
  <c r="D139" i="2"/>
  <c r="I139" i="2" s="1"/>
  <c r="F140" i="2"/>
  <c r="H140" i="2" s="1"/>
  <c r="C141" i="4" s="1"/>
  <c r="C140" i="2"/>
  <c r="D140" i="2" s="1"/>
  <c r="B139" i="4"/>
  <c r="D139" i="4" s="1"/>
  <c r="J138" i="2"/>
  <c r="K140" i="2"/>
  <c r="A142" i="2"/>
  <c r="B141" i="2"/>
  <c r="F141" i="2" l="1"/>
  <c r="G141" i="2" s="1"/>
  <c r="C141" i="2"/>
  <c r="E141" i="2" s="1"/>
  <c r="B142" i="2"/>
  <c r="A143" i="2"/>
  <c r="G140" i="2"/>
  <c r="K141" i="2"/>
  <c r="E140" i="2"/>
  <c r="I140" i="2" s="1"/>
  <c r="J139" i="2"/>
  <c r="D140" i="4"/>
  <c r="B142" i="4" l="1"/>
  <c r="C142" i="2"/>
  <c r="D142" i="2" s="1"/>
  <c r="F142" i="2"/>
  <c r="H142" i="2" s="1"/>
  <c r="C143" i="4" s="1"/>
  <c r="B141" i="4"/>
  <c r="D141" i="4" s="1"/>
  <c r="J140" i="2"/>
  <c r="K143" i="2"/>
  <c r="B143" i="2"/>
  <c r="A144" i="2"/>
  <c r="H141" i="2"/>
  <c r="C142" i="4" s="1"/>
  <c r="K142" i="2"/>
  <c r="D141" i="2"/>
  <c r="I141" i="2" s="1"/>
  <c r="A145" i="2" l="1"/>
  <c r="K144" i="2"/>
  <c r="B144" i="2"/>
  <c r="G142" i="2"/>
  <c r="E142" i="2"/>
  <c r="I142" i="2" s="1"/>
  <c r="J141" i="2"/>
  <c r="C143" i="2"/>
  <c r="E143" i="2" s="1"/>
  <c r="F143" i="2"/>
  <c r="H143" i="2" s="1"/>
  <c r="C144" i="4" s="1"/>
  <c r="D142" i="4"/>
  <c r="D143" i="2" l="1"/>
  <c r="I143" i="2" s="1"/>
  <c r="G143" i="2"/>
  <c r="B143" i="4"/>
  <c r="D143" i="4" s="1"/>
  <c r="J142" i="2"/>
  <c r="F144" i="2"/>
  <c r="H144" i="2" s="1"/>
  <c r="C145" i="4" s="1"/>
  <c r="C144" i="2"/>
  <c r="D144" i="2" s="1"/>
  <c r="B145" i="2"/>
  <c r="A146" i="2"/>
  <c r="K145" i="2"/>
  <c r="F145" i="2" l="1"/>
  <c r="G145" i="2" s="1"/>
  <c r="C145" i="2"/>
  <c r="E145" i="2" s="1"/>
  <c r="E144" i="2"/>
  <c r="I144" i="2" s="1"/>
  <c r="B146" i="2"/>
  <c r="A147" i="2"/>
  <c r="K146" i="2"/>
  <c r="G144" i="2"/>
  <c r="B144" i="4"/>
  <c r="D144" i="4" s="1"/>
  <c r="J143" i="2"/>
  <c r="B146" i="4" l="1"/>
  <c r="B145" i="4"/>
  <c r="D145" i="4" s="1"/>
  <c r="J144" i="2"/>
  <c r="A148" i="2"/>
  <c r="B147" i="2"/>
  <c r="C146" i="2"/>
  <c r="E146" i="2" s="1"/>
  <c r="F146" i="2"/>
  <c r="G146" i="2" s="1"/>
  <c r="H145" i="2"/>
  <c r="C146" i="4" s="1"/>
  <c r="D145" i="2"/>
  <c r="I145" i="2" s="1"/>
  <c r="B147" i="4" l="1"/>
  <c r="D146" i="2"/>
  <c r="I146" i="2" s="1"/>
  <c r="H146" i="2"/>
  <c r="C147" i="4" s="1"/>
  <c r="J145" i="2"/>
  <c r="C147" i="2"/>
  <c r="D147" i="2" s="1"/>
  <c r="F147" i="2"/>
  <c r="H147" i="2" s="1"/>
  <c r="C148" i="4" s="1"/>
  <c r="K147" i="2"/>
  <c r="B148" i="2"/>
  <c r="A149" i="2"/>
  <c r="K148" i="2"/>
  <c r="D146" i="4"/>
  <c r="B149" i="2" l="1"/>
  <c r="A150" i="2"/>
  <c r="K149" i="2"/>
  <c r="C148" i="2"/>
  <c r="D148" i="2" s="1"/>
  <c r="F148" i="2"/>
  <c r="H148" i="2" s="1"/>
  <c r="C149" i="4" s="1"/>
  <c r="G147" i="2"/>
  <c r="E147" i="2"/>
  <c r="I147" i="2" s="1"/>
  <c r="J146" i="2"/>
  <c r="D147" i="4"/>
  <c r="B148" i="4" l="1"/>
  <c r="D148" i="4" s="1"/>
  <c r="J147" i="2"/>
  <c r="E148" i="2"/>
  <c r="I148" i="2" s="1"/>
  <c r="G148" i="2"/>
  <c r="A151" i="2"/>
  <c r="B150" i="2"/>
  <c r="F149" i="2"/>
  <c r="G149" i="2" s="1"/>
  <c r="C149" i="2"/>
  <c r="D149" i="2" s="1"/>
  <c r="B150" i="4" l="1"/>
  <c r="H149" i="2"/>
  <c r="C150" i="4" s="1"/>
  <c r="E149" i="2"/>
  <c r="I149" i="2" s="1"/>
  <c r="F150" i="2"/>
  <c r="H150" i="2" s="1"/>
  <c r="C151" i="4" s="1"/>
  <c r="C150" i="2"/>
  <c r="D150" i="2" s="1"/>
  <c r="B151" i="2"/>
  <c r="A152" i="2"/>
  <c r="K151" i="2"/>
  <c r="K150" i="2"/>
  <c r="B149" i="4"/>
  <c r="D149" i="4" s="1"/>
  <c r="J148" i="2"/>
  <c r="B152" i="2" l="1"/>
  <c r="A153" i="2"/>
  <c r="K152" i="2"/>
  <c r="C151" i="2"/>
  <c r="E151" i="2" s="1"/>
  <c r="F151" i="2"/>
  <c r="H151" i="2" s="1"/>
  <c r="C152" i="4" s="1"/>
  <c r="E150" i="2"/>
  <c r="I150" i="2" s="1"/>
  <c r="J149" i="2"/>
  <c r="G150" i="2"/>
  <c r="D150" i="4"/>
  <c r="B151" i="4" l="1"/>
  <c r="D151" i="4" s="1"/>
  <c r="J150" i="2"/>
  <c r="D151" i="2"/>
  <c r="I151" i="2" s="1"/>
  <c r="G151" i="2"/>
  <c r="F152" i="2"/>
  <c r="H152" i="2" s="1"/>
  <c r="C153" i="4" s="1"/>
  <c r="C152" i="2"/>
  <c r="D152" i="2" s="1"/>
  <c r="A154" i="2"/>
  <c r="K153" i="2"/>
  <c r="B153" i="2"/>
  <c r="F153" i="2" l="1"/>
  <c r="G153" i="2" s="1"/>
  <c r="C153" i="2"/>
  <c r="E153" i="2" s="1"/>
  <c r="B154" i="2"/>
  <c r="A155" i="2"/>
  <c r="K154" i="2"/>
  <c r="E152" i="2"/>
  <c r="I152" i="2" s="1"/>
  <c r="G152" i="2"/>
  <c r="B152" i="4"/>
  <c r="D152" i="4" s="1"/>
  <c r="J151" i="2"/>
  <c r="B154" i="4" l="1"/>
  <c r="B153" i="4"/>
  <c r="D153" i="4" s="1"/>
  <c r="J152" i="2"/>
  <c r="C154" i="2"/>
  <c r="E154" i="2" s="1"/>
  <c r="F154" i="2"/>
  <c r="H154" i="2" s="1"/>
  <c r="C155" i="4" s="1"/>
  <c r="H153" i="2"/>
  <c r="C154" i="4" s="1"/>
  <c r="B155" i="2"/>
  <c r="A156" i="2"/>
  <c r="K155" i="2"/>
  <c r="D153" i="2"/>
  <c r="I153" i="2" s="1"/>
  <c r="A157" i="2" l="1"/>
  <c r="K156" i="2"/>
  <c r="B156" i="2"/>
  <c r="F155" i="2"/>
  <c r="G155" i="2" s="1"/>
  <c r="C155" i="2"/>
  <c r="E155" i="2" s="1"/>
  <c r="J153" i="2"/>
  <c r="D154" i="2"/>
  <c r="I154" i="2" s="1"/>
  <c r="G154" i="2"/>
  <c r="D154" i="4"/>
  <c r="B156" i="4" l="1"/>
  <c r="B155" i="4"/>
  <c r="D155" i="4" s="1"/>
  <c r="J154" i="2"/>
  <c r="H155" i="2"/>
  <c r="C156" i="4" s="1"/>
  <c r="D155" i="2"/>
  <c r="I155" i="2" s="1"/>
  <c r="F156" i="2"/>
  <c r="H156" i="2" s="1"/>
  <c r="C157" i="4" s="1"/>
  <c r="C156" i="2"/>
  <c r="D156" i="2" s="1"/>
  <c r="A158" i="2"/>
  <c r="B157" i="2"/>
  <c r="K157" i="2" s="1"/>
  <c r="F157" i="2" l="1"/>
  <c r="H157" i="2" s="1"/>
  <c r="C158" i="4" s="1"/>
  <c r="C157" i="2"/>
  <c r="D157" i="2" s="1"/>
  <c r="B158" i="2"/>
  <c r="A159" i="2"/>
  <c r="K158" i="2"/>
  <c r="E156" i="2"/>
  <c r="I156" i="2" s="1"/>
  <c r="G156" i="2"/>
  <c r="J155" i="2"/>
  <c r="D156" i="4"/>
  <c r="B157" i="4" l="1"/>
  <c r="D157" i="4" s="1"/>
  <c r="J156" i="2"/>
  <c r="B159" i="2"/>
  <c r="A160" i="2"/>
  <c r="E157" i="2"/>
  <c r="I157" i="2" s="1"/>
  <c r="C158" i="2"/>
  <c r="D158" i="2" s="1"/>
  <c r="F158" i="2"/>
  <c r="G158" i="2" s="1"/>
  <c r="G157" i="2"/>
  <c r="B159" i="4" l="1"/>
  <c r="H158" i="2"/>
  <c r="C159" i="4" s="1"/>
  <c r="E158" i="2"/>
  <c r="I158" i="2" s="1"/>
  <c r="B158" i="4"/>
  <c r="D158" i="4" s="1"/>
  <c r="J157" i="2"/>
  <c r="A161" i="2"/>
  <c r="B160" i="2"/>
  <c r="K160" i="2" s="1"/>
  <c r="C159" i="2"/>
  <c r="E159" i="2" s="1"/>
  <c r="F159" i="2"/>
  <c r="H159" i="2" s="1"/>
  <c r="C160" i="4" s="1"/>
  <c r="K159" i="2"/>
  <c r="G159" i="2" l="1"/>
  <c r="B161" i="2"/>
  <c r="A162" i="2"/>
  <c r="K161" i="2"/>
  <c r="D159" i="2"/>
  <c r="I159" i="2" s="1"/>
  <c r="F160" i="2"/>
  <c r="H160" i="2" s="1"/>
  <c r="C161" i="4" s="1"/>
  <c r="C160" i="2"/>
  <c r="E160" i="2" s="1"/>
  <c r="J158" i="2"/>
  <c r="D159" i="4"/>
  <c r="B162" i="2" l="1"/>
  <c r="K162" i="2" s="1"/>
  <c r="A163" i="2"/>
  <c r="F161" i="2"/>
  <c r="G161" i="2" s="1"/>
  <c r="C161" i="2"/>
  <c r="E161" i="2" s="1"/>
  <c r="D160" i="2"/>
  <c r="I160" i="2" s="1"/>
  <c r="G160" i="2"/>
  <c r="B160" i="4"/>
  <c r="D160" i="4" s="1"/>
  <c r="J159" i="2"/>
  <c r="B162" i="4" l="1"/>
  <c r="B161" i="4"/>
  <c r="D161" i="4" s="1"/>
  <c r="J160" i="2"/>
  <c r="H161" i="2"/>
  <c r="C162" i="4" s="1"/>
  <c r="D161" i="2"/>
  <c r="I161" i="2" s="1"/>
  <c r="A164" i="2"/>
  <c r="K163" i="2"/>
  <c r="B163" i="2"/>
  <c r="C162" i="2"/>
  <c r="E162" i="2" s="1"/>
  <c r="F162" i="2"/>
  <c r="G162" i="2" s="1"/>
  <c r="B163" i="4" l="1"/>
  <c r="H162" i="2"/>
  <c r="C163" i="4" s="1"/>
  <c r="D162" i="2"/>
  <c r="I162" i="2" s="1"/>
  <c r="C163" i="2"/>
  <c r="D163" i="2" s="1"/>
  <c r="F163" i="2"/>
  <c r="H163" i="2" s="1"/>
  <c r="C164" i="4" s="1"/>
  <c r="B164" i="2"/>
  <c r="A165" i="2"/>
  <c r="K164" i="2"/>
  <c r="J161" i="2"/>
  <c r="D162" i="4"/>
  <c r="B165" i="2" l="1"/>
  <c r="A166" i="2"/>
  <c r="K165" i="2"/>
  <c r="F164" i="2"/>
  <c r="H164" i="2" s="1"/>
  <c r="C165" i="4" s="1"/>
  <c r="C164" i="2"/>
  <c r="D164" i="2" s="1"/>
  <c r="G163" i="2"/>
  <c r="E163" i="2"/>
  <c r="I163" i="2" s="1"/>
  <c r="J162" i="2"/>
  <c r="D163" i="4"/>
  <c r="B164" i="4" l="1"/>
  <c r="D164" i="4" s="1"/>
  <c r="J163" i="2"/>
  <c r="G164" i="2"/>
  <c r="E164" i="2"/>
  <c r="I164" i="2" s="1"/>
  <c r="A167" i="2"/>
  <c r="B166" i="2"/>
  <c r="K166" i="2" s="1"/>
  <c r="C165" i="2"/>
  <c r="E165" i="2" s="1"/>
  <c r="F165" i="2"/>
  <c r="H165" i="2" s="1"/>
  <c r="C166" i="4" s="1"/>
  <c r="G165" i="2" l="1"/>
  <c r="B167" i="2"/>
  <c r="A168" i="2"/>
  <c r="K167" i="2"/>
  <c r="D165" i="2"/>
  <c r="I165" i="2" s="1"/>
  <c r="F166" i="2"/>
  <c r="G166" i="2" s="1"/>
  <c r="C166" i="2"/>
  <c r="E166" i="2" s="1"/>
  <c r="B165" i="4"/>
  <c r="D165" i="4" s="1"/>
  <c r="J164" i="2"/>
  <c r="B167" i="4" l="1"/>
  <c r="D166" i="2"/>
  <c r="I166" i="2" s="1"/>
  <c r="H166" i="2"/>
  <c r="C167" i="4" s="1"/>
  <c r="B168" i="2"/>
  <c r="A169" i="2"/>
  <c r="K168" i="2"/>
  <c r="F167" i="2"/>
  <c r="G167" i="2" s="1"/>
  <c r="C167" i="2"/>
  <c r="E167" i="2" s="1"/>
  <c r="B166" i="4"/>
  <c r="D166" i="4" s="1"/>
  <c r="J165" i="2"/>
  <c r="B168" i="4" l="1"/>
  <c r="D167" i="2"/>
  <c r="I167" i="2" s="1"/>
  <c r="H167" i="2"/>
  <c r="C168" i="4" s="1"/>
  <c r="A170" i="2"/>
  <c r="B169" i="2"/>
  <c r="K169" i="2" s="1"/>
  <c r="J166" i="2"/>
  <c r="F168" i="2"/>
  <c r="H168" i="2" s="1"/>
  <c r="C169" i="4" s="1"/>
  <c r="C168" i="2"/>
  <c r="D168" i="2" s="1"/>
  <c r="D167" i="4"/>
  <c r="G168" i="2" l="1"/>
  <c r="E168" i="2"/>
  <c r="I168" i="2" s="1"/>
  <c r="J167" i="2"/>
  <c r="F169" i="2"/>
  <c r="H169" i="2" s="1"/>
  <c r="C170" i="4" s="1"/>
  <c r="C169" i="2"/>
  <c r="D169" i="2" s="1"/>
  <c r="B170" i="2"/>
  <c r="A171" i="2"/>
  <c r="K170" i="2"/>
  <c r="D168" i="4"/>
  <c r="B171" i="2" l="1"/>
  <c r="A172" i="2"/>
  <c r="K171" i="2"/>
  <c r="C170" i="2"/>
  <c r="E170" i="2" s="1"/>
  <c r="F170" i="2"/>
  <c r="H170" i="2" s="1"/>
  <c r="C171" i="4" s="1"/>
  <c r="E169" i="2"/>
  <c r="I169" i="2" s="1"/>
  <c r="B169" i="4"/>
  <c r="D169" i="4" s="1"/>
  <c r="J168" i="2"/>
  <c r="G169" i="2"/>
  <c r="B170" i="4" l="1"/>
  <c r="D170" i="4" s="1"/>
  <c r="J169" i="2"/>
  <c r="D170" i="2"/>
  <c r="I170" i="2" s="1"/>
  <c r="G170" i="2"/>
  <c r="F171" i="2"/>
  <c r="G171" i="2" s="1"/>
  <c r="C171" i="2"/>
  <c r="E171" i="2" s="1"/>
  <c r="A173" i="2"/>
  <c r="K172" i="2"/>
  <c r="B172" i="2"/>
  <c r="B172" i="4" l="1"/>
  <c r="F172" i="2"/>
  <c r="G172" i="2" s="1"/>
  <c r="C172" i="2"/>
  <c r="E172" i="2" s="1"/>
  <c r="A174" i="2"/>
  <c r="B173" i="2"/>
  <c r="K173" i="2" s="1"/>
  <c r="H171" i="2"/>
  <c r="C172" i="4" s="1"/>
  <c r="D171" i="2"/>
  <c r="I171" i="2" s="1"/>
  <c r="B171" i="4"/>
  <c r="D171" i="4" s="1"/>
  <c r="J170" i="2"/>
  <c r="B173" i="4" l="1"/>
  <c r="B174" i="2"/>
  <c r="A175" i="2"/>
  <c r="K174" i="2"/>
  <c r="D172" i="2"/>
  <c r="I172" i="2" s="1"/>
  <c r="H172" i="2"/>
  <c r="C173" i="4" s="1"/>
  <c r="J171" i="2"/>
  <c r="F173" i="2"/>
  <c r="H173" i="2" s="1"/>
  <c r="C174" i="4" s="1"/>
  <c r="C173" i="2"/>
  <c r="E173" i="2" s="1"/>
  <c r="D172" i="4"/>
  <c r="D173" i="2" l="1"/>
  <c r="I173" i="2" s="1"/>
  <c r="F174" i="2"/>
  <c r="G174" i="2" s="1"/>
  <c r="C174" i="2"/>
  <c r="E174" i="2" s="1"/>
  <c r="J172" i="2"/>
  <c r="G173" i="2"/>
  <c r="K175" i="2"/>
  <c r="B175" i="2"/>
  <c r="A176" i="2"/>
  <c r="D173" i="4"/>
  <c r="B175" i="4" l="1"/>
  <c r="A177" i="2"/>
  <c r="K176" i="2"/>
  <c r="B176" i="2"/>
  <c r="B174" i="4"/>
  <c r="D174" i="4" s="1"/>
  <c r="J173" i="2"/>
  <c r="H174" i="2"/>
  <c r="C175" i="4" s="1"/>
  <c r="D174" i="2"/>
  <c r="I174" i="2" s="1"/>
  <c r="C175" i="2"/>
  <c r="E175" i="2" s="1"/>
  <c r="F175" i="2"/>
  <c r="H175" i="2" s="1"/>
  <c r="C176" i="4" s="1"/>
  <c r="G175" i="2" l="1"/>
  <c r="D175" i="2"/>
  <c r="I175" i="2" s="1"/>
  <c r="F176" i="2"/>
  <c r="H176" i="2" s="1"/>
  <c r="C177" i="4" s="1"/>
  <c r="C176" i="2"/>
  <c r="E176" i="2" s="1"/>
  <c r="B177" i="2"/>
  <c r="A178" i="2"/>
  <c r="K177" i="2"/>
  <c r="J174" i="2"/>
  <c r="D175" i="4"/>
  <c r="B178" i="2" l="1"/>
  <c r="A179" i="2"/>
  <c r="K178" i="2"/>
  <c r="F177" i="2"/>
  <c r="H177" i="2" s="1"/>
  <c r="C178" i="4" s="1"/>
  <c r="C177" i="2"/>
  <c r="E177" i="2" s="1"/>
  <c r="D176" i="2"/>
  <c r="I176" i="2" s="1"/>
  <c r="G176" i="2"/>
  <c r="B176" i="4"/>
  <c r="D176" i="4" s="1"/>
  <c r="J175" i="2"/>
  <c r="G177" i="2" l="1"/>
  <c r="D177" i="2"/>
  <c r="I177" i="2" s="1"/>
  <c r="A180" i="2"/>
  <c r="B179" i="2"/>
  <c r="B177" i="4"/>
  <c r="D177" i="4" s="1"/>
  <c r="J176" i="2"/>
  <c r="C178" i="2"/>
  <c r="D178" i="2" s="1"/>
  <c r="F178" i="2"/>
  <c r="H178" i="2" s="1"/>
  <c r="C179" i="4" s="1"/>
  <c r="E178" i="2" l="1"/>
  <c r="I178" i="2" s="1"/>
  <c r="F179" i="2"/>
  <c r="H179" i="2" s="1"/>
  <c r="C180" i="4" s="1"/>
  <c r="C179" i="2"/>
  <c r="E179" i="2" s="1"/>
  <c r="G178" i="2"/>
  <c r="K179" i="2"/>
  <c r="B180" i="2"/>
  <c r="A181" i="2"/>
  <c r="K180" i="2"/>
  <c r="B178" i="4"/>
  <c r="D178" i="4" s="1"/>
  <c r="J177" i="2"/>
  <c r="B181" i="2" l="1"/>
  <c r="A182" i="2"/>
  <c r="K181" i="2"/>
  <c r="B179" i="4"/>
  <c r="D179" i="4" s="1"/>
  <c r="J178" i="2"/>
  <c r="F180" i="2"/>
  <c r="H180" i="2" s="1"/>
  <c r="C181" i="4" s="1"/>
  <c r="C180" i="2"/>
  <c r="D180" i="2" s="1"/>
  <c r="G179" i="2"/>
  <c r="D179" i="2"/>
  <c r="I179" i="2" s="1"/>
  <c r="B180" i="4" l="1"/>
  <c r="D180" i="4" s="1"/>
  <c r="J179" i="2"/>
  <c r="E180" i="2"/>
  <c r="I180" i="2" s="1"/>
  <c r="G180" i="2"/>
  <c r="A183" i="2"/>
  <c r="K182" i="2"/>
  <c r="B182" i="2"/>
  <c r="C181" i="2"/>
  <c r="E181" i="2" s="1"/>
  <c r="F181" i="2"/>
  <c r="H181" i="2" s="1"/>
  <c r="C182" i="4" s="1"/>
  <c r="G181" i="2" l="1"/>
  <c r="D181" i="2"/>
  <c r="I181" i="2" s="1"/>
  <c r="C182" i="2"/>
  <c r="E182" i="2" s="1"/>
  <c r="F182" i="2"/>
  <c r="H182" i="2" s="1"/>
  <c r="C183" i="4" s="1"/>
  <c r="B183" i="2"/>
  <c r="A184" i="2"/>
  <c r="K183" i="2"/>
  <c r="B181" i="4"/>
  <c r="D181" i="4" s="1"/>
  <c r="J180" i="2"/>
  <c r="B184" i="2" l="1"/>
  <c r="A185" i="2"/>
  <c r="K184" i="2"/>
  <c r="C183" i="2"/>
  <c r="E183" i="2" s="1"/>
  <c r="F183" i="2"/>
  <c r="H183" i="2" s="1"/>
  <c r="C184" i="4" s="1"/>
  <c r="D182" i="2"/>
  <c r="I182" i="2" s="1"/>
  <c r="G182" i="2"/>
  <c r="B182" i="4"/>
  <c r="D182" i="4" s="1"/>
  <c r="J181" i="2"/>
  <c r="B183" i="4" l="1"/>
  <c r="D183" i="4" s="1"/>
  <c r="J182" i="2"/>
  <c r="D183" i="2"/>
  <c r="I183" i="2" s="1"/>
  <c r="G183" i="2"/>
  <c r="A186" i="2"/>
  <c r="B185" i="2"/>
  <c r="F184" i="2"/>
  <c r="H184" i="2" s="1"/>
  <c r="C185" i="4" s="1"/>
  <c r="C184" i="2"/>
  <c r="D184" i="2" s="1"/>
  <c r="E184" i="2" l="1"/>
  <c r="I184" i="2" s="1"/>
  <c r="C185" i="2"/>
  <c r="E185" i="2" s="1"/>
  <c r="F185" i="2"/>
  <c r="H185" i="2" s="1"/>
  <c r="C186" i="4" s="1"/>
  <c r="K185" i="2"/>
  <c r="B186" i="2"/>
  <c r="A187" i="2"/>
  <c r="K186" i="2"/>
  <c r="G184" i="2"/>
  <c r="B184" i="4"/>
  <c r="D184" i="4" s="1"/>
  <c r="J183" i="2"/>
  <c r="B185" i="4" l="1"/>
  <c r="D185" i="4" s="1"/>
  <c r="J184" i="2"/>
  <c r="B187" i="2"/>
  <c r="A188" i="2"/>
  <c r="K187" i="2"/>
  <c r="C186" i="2"/>
  <c r="E186" i="2" s="1"/>
  <c r="F186" i="2"/>
  <c r="H186" i="2" s="1"/>
  <c r="C187" i="4" s="1"/>
  <c r="D185" i="2"/>
  <c r="I185" i="2" s="1"/>
  <c r="G185" i="2"/>
  <c r="B186" i="4" l="1"/>
  <c r="D186" i="4" s="1"/>
  <c r="J185" i="2"/>
  <c r="D186" i="2"/>
  <c r="I186" i="2" s="1"/>
  <c r="G186" i="2"/>
  <c r="A189" i="2"/>
  <c r="B188" i="2"/>
  <c r="F187" i="2"/>
  <c r="G187" i="2" s="1"/>
  <c r="C187" i="2"/>
  <c r="E187" i="2" s="1"/>
  <c r="B188" i="4" l="1"/>
  <c r="D187" i="2"/>
  <c r="I187" i="2" s="1"/>
  <c r="F188" i="2"/>
  <c r="H188" i="2" s="1"/>
  <c r="C189" i="4" s="1"/>
  <c r="C188" i="2"/>
  <c r="E188" i="2" s="1"/>
  <c r="K188" i="2"/>
  <c r="A190" i="2"/>
  <c r="K189" i="2"/>
  <c r="B189" i="2"/>
  <c r="H187" i="2"/>
  <c r="C188" i="4" s="1"/>
  <c r="B187" i="4"/>
  <c r="D187" i="4" s="1"/>
  <c r="J186" i="2"/>
  <c r="F189" i="2" l="1"/>
  <c r="H189" i="2" s="1"/>
  <c r="C190" i="4" s="1"/>
  <c r="C189" i="2"/>
  <c r="E189" i="2" s="1"/>
  <c r="B190" i="2"/>
  <c r="A191" i="2"/>
  <c r="K190" i="2"/>
  <c r="D188" i="2"/>
  <c r="I188" i="2" s="1"/>
  <c r="G188" i="2"/>
  <c r="J187" i="2"/>
  <c r="D188" i="4"/>
  <c r="B189" i="4" l="1"/>
  <c r="D189" i="4" s="1"/>
  <c r="J188" i="2"/>
  <c r="B191" i="2"/>
  <c r="A192" i="2"/>
  <c r="G189" i="2"/>
  <c r="F190" i="2"/>
  <c r="H190" i="2" s="1"/>
  <c r="C191" i="4" s="1"/>
  <c r="C190" i="2"/>
  <c r="E190" i="2" s="1"/>
  <c r="D189" i="2"/>
  <c r="I189" i="2" s="1"/>
  <c r="G190" i="2" l="1"/>
  <c r="D190" i="2"/>
  <c r="I190" i="2" s="1"/>
  <c r="B190" i="4"/>
  <c r="D190" i="4" s="1"/>
  <c r="J189" i="2"/>
  <c r="A193" i="2"/>
  <c r="B192" i="2"/>
  <c r="F191" i="2"/>
  <c r="G191" i="2" s="1"/>
  <c r="C191" i="2"/>
  <c r="D191" i="2" s="1"/>
  <c r="K191" i="2"/>
  <c r="B192" i="4" l="1"/>
  <c r="E191" i="2"/>
  <c r="I191" i="2" s="1"/>
  <c r="H191" i="2"/>
  <c r="C192" i="4" s="1"/>
  <c r="F192" i="2"/>
  <c r="H192" i="2" s="1"/>
  <c r="C193" i="4" s="1"/>
  <c r="C192" i="2"/>
  <c r="E192" i="2" s="1"/>
  <c r="K192" i="2"/>
  <c r="B193" i="2"/>
  <c r="A194" i="2"/>
  <c r="K193" i="2"/>
  <c r="B191" i="4"/>
  <c r="D191" i="4" s="1"/>
  <c r="J190" i="2"/>
  <c r="B194" i="2" l="1"/>
  <c r="A195" i="2"/>
  <c r="K194" i="2"/>
  <c r="F193" i="2"/>
  <c r="H193" i="2" s="1"/>
  <c r="C194" i="4" s="1"/>
  <c r="C193" i="2"/>
  <c r="E193" i="2" s="1"/>
  <c r="D192" i="2"/>
  <c r="I192" i="2" s="1"/>
  <c r="G192" i="2"/>
  <c r="D192" i="4"/>
  <c r="J191" i="2"/>
  <c r="B193" i="4" l="1"/>
  <c r="D193" i="4" s="1"/>
  <c r="J192" i="2"/>
  <c r="G193" i="2"/>
  <c r="D193" i="2"/>
  <c r="I193" i="2" s="1"/>
  <c r="A196" i="2"/>
  <c r="K195" i="2"/>
  <c r="B195" i="2"/>
  <c r="F194" i="2"/>
  <c r="G194" i="2" s="1"/>
  <c r="C194" i="2"/>
  <c r="E194" i="2" s="1"/>
  <c r="B195" i="4" l="1"/>
  <c r="D194" i="2"/>
  <c r="I194" i="2" s="1"/>
  <c r="H194" i="2"/>
  <c r="C195" i="4" s="1"/>
  <c r="B196" i="2"/>
  <c r="A197" i="2"/>
  <c r="K196" i="2"/>
  <c r="F195" i="2"/>
  <c r="H195" i="2" s="1"/>
  <c r="C196" i="4" s="1"/>
  <c r="C195" i="2"/>
  <c r="E195" i="2" s="1"/>
  <c r="B194" i="4"/>
  <c r="D194" i="4" s="1"/>
  <c r="J193" i="2"/>
  <c r="D195" i="2" l="1"/>
  <c r="I195" i="2" s="1"/>
  <c r="G195" i="2"/>
  <c r="J194" i="2"/>
  <c r="B197" i="2"/>
  <c r="A198" i="2"/>
  <c r="K197" i="2"/>
  <c r="F196" i="2"/>
  <c r="G196" i="2" s="1"/>
  <c r="C196" i="2"/>
  <c r="D196" i="2" s="1"/>
  <c r="D195" i="4"/>
  <c r="B197" i="4" l="1"/>
  <c r="H196" i="2"/>
  <c r="C197" i="4" s="1"/>
  <c r="E196" i="2"/>
  <c r="I196" i="2" s="1"/>
  <c r="A199" i="2"/>
  <c r="B198" i="2"/>
  <c r="B196" i="4"/>
  <c r="D196" i="4" s="1"/>
  <c r="J195" i="2"/>
  <c r="C197" i="2"/>
  <c r="E197" i="2" s="1"/>
  <c r="F197" i="2"/>
  <c r="H197" i="2" s="1"/>
  <c r="C198" i="4" s="1"/>
  <c r="G197" i="2" l="1"/>
  <c r="D197" i="2"/>
  <c r="I197" i="2" s="1"/>
  <c r="C198" i="2"/>
  <c r="D198" i="2" s="1"/>
  <c r="F198" i="2"/>
  <c r="H198" i="2" s="1"/>
  <c r="C199" i="4" s="1"/>
  <c r="J196" i="2"/>
  <c r="K198" i="2"/>
  <c r="B199" i="2"/>
  <c r="A200" i="2"/>
  <c r="K199" i="2"/>
  <c r="D197" i="4"/>
  <c r="B200" i="2" l="1"/>
  <c r="A201" i="2"/>
  <c r="K200" i="2"/>
  <c r="E198" i="2"/>
  <c r="I198" i="2" s="1"/>
  <c r="F199" i="2"/>
  <c r="H199" i="2" s="1"/>
  <c r="C200" i="4" s="1"/>
  <c r="C199" i="2"/>
  <c r="E199" i="2" s="1"/>
  <c r="G198" i="2"/>
  <c r="B198" i="4"/>
  <c r="D198" i="4" s="1"/>
  <c r="J197" i="2"/>
  <c r="B199" i="4" l="1"/>
  <c r="D199" i="4" s="1"/>
  <c r="J198" i="2"/>
  <c r="D199" i="2"/>
  <c r="I199" i="2" s="1"/>
  <c r="G199" i="2"/>
  <c r="A202" i="2"/>
  <c r="B201" i="2"/>
  <c r="K201" i="2" s="1"/>
  <c r="C200" i="2"/>
  <c r="E200" i="2" s="1"/>
  <c r="F200" i="2"/>
  <c r="G200" i="2" s="1"/>
  <c r="B201" i="4" l="1"/>
  <c r="D200" i="2"/>
  <c r="I200" i="2" s="1"/>
  <c r="H200" i="2"/>
  <c r="C201" i="4" s="1"/>
  <c r="B202" i="2"/>
  <c r="A203" i="2"/>
  <c r="K202" i="2"/>
  <c r="C201" i="2"/>
  <c r="E201" i="2" s="1"/>
  <c r="F201" i="2"/>
  <c r="H201" i="2" s="1"/>
  <c r="C202" i="4" s="1"/>
  <c r="B200" i="4"/>
  <c r="D200" i="4" s="1"/>
  <c r="J199" i="2"/>
  <c r="D201" i="2" l="1"/>
  <c r="I201" i="2" s="1"/>
  <c r="G201" i="2"/>
  <c r="J200" i="2"/>
  <c r="B203" i="2"/>
  <c r="A204" i="2"/>
  <c r="K203" i="2"/>
  <c r="C202" i="2"/>
  <c r="D202" i="2" s="1"/>
  <c r="F202" i="2"/>
  <c r="H202" i="2" s="1"/>
  <c r="C203" i="4" s="1"/>
  <c r="D201" i="4"/>
  <c r="E202" i="2" l="1"/>
  <c r="I202" i="2" s="1"/>
  <c r="G202" i="2"/>
  <c r="B202" i="4"/>
  <c r="D202" i="4" s="1"/>
  <c r="J201" i="2"/>
  <c r="A205" i="2"/>
  <c r="B204" i="2"/>
  <c r="F203" i="2"/>
  <c r="G203" i="2" s="1"/>
  <c r="C203" i="2"/>
  <c r="D203" i="2" s="1"/>
  <c r="B204" i="4" l="1"/>
  <c r="H203" i="2"/>
  <c r="C204" i="4" s="1"/>
  <c r="E203" i="2"/>
  <c r="I203" i="2" s="1"/>
  <c r="F204" i="2"/>
  <c r="H204" i="2" s="1"/>
  <c r="C205" i="4" s="1"/>
  <c r="C204" i="2"/>
  <c r="E204" i="2" s="1"/>
  <c r="K204" i="2"/>
  <c r="A206" i="2"/>
  <c r="B205" i="2"/>
  <c r="K205" i="2" s="1"/>
  <c r="B203" i="4"/>
  <c r="D203" i="4" s="1"/>
  <c r="J202" i="2"/>
  <c r="B206" i="2" l="1"/>
  <c r="A207" i="2"/>
  <c r="K206" i="2"/>
  <c r="D204" i="2"/>
  <c r="I204" i="2" s="1"/>
  <c r="F205" i="2"/>
  <c r="H205" i="2" s="1"/>
  <c r="C206" i="4" s="1"/>
  <c r="C205" i="2"/>
  <c r="E205" i="2" s="1"/>
  <c r="G204" i="2"/>
  <c r="D204" i="4"/>
  <c r="J203" i="2"/>
  <c r="B205" i="4" l="1"/>
  <c r="D205" i="4" s="1"/>
  <c r="J204" i="2"/>
  <c r="D205" i="2"/>
  <c r="I205" i="2" s="1"/>
  <c r="G205" i="2"/>
  <c r="B207" i="2"/>
  <c r="K207" i="2" s="1"/>
  <c r="A208" i="2"/>
  <c r="F206" i="2"/>
  <c r="G206" i="2" s="1"/>
  <c r="C206" i="2"/>
  <c r="D206" i="2" s="1"/>
  <c r="B207" i="4" l="1"/>
  <c r="E206" i="2"/>
  <c r="I206" i="2" s="1"/>
  <c r="H206" i="2"/>
  <c r="C207" i="4" s="1"/>
  <c r="A209" i="2"/>
  <c r="B208" i="2"/>
  <c r="F207" i="2"/>
  <c r="G207" i="2" s="1"/>
  <c r="C207" i="2"/>
  <c r="E207" i="2" s="1"/>
  <c r="B206" i="4"/>
  <c r="D206" i="4" s="1"/>
  <c r="J205" i="2"/>
  <c r="B208" i="4" l="1"/>
  <c r="D207" i="2"/>
  <c r="I207" i="2" s="1"/>
  <c r="F208" i="2"/>
  <c r="H208" i="2" s="1"/>
  <c r="C209" i="4" s="1"/>
  <c r="C208" i="2"/>
  <c r="E208" i="2" s="1"/>
  <c r="H207" i="2"/>
  <c r="C208" i="4" s="1"/>
  <c r="K208" i="2"/>
  <c r="B209" i="2"/>
  <c r="A210" i="2"/>
  <c r="K209" i="2"/>
  <c r="D207" i="4"/>
  <c r="J206" i="2"/>
  <c r="B210" i="2" l="1"/>
  <c r="A211" i="2"/>
  <c r="K210" i="2"/>
  <c r="D208" i="2"/>
  <c r="I208" i="2" s="1"/>
  <c r="G208" i="2"/>
  <c r="J207" i="2"/>
  <c r="F209" i="2"/>
  <c r="H209" i="2" s="1"/>
  <c r="C210" i="4" s="1"/>
  <c r="C209" i="2"/>
  <c r="E209" i="2" s="1"/>
  <c r="D208" i="4"/>
  <c r="G209" i="2" l="1"/>
  <c r="B209" i="4"/>
  <c r="D209" i="4" s="1"/>
  <c r="J208" i="2"/>
  <c r="A212" i="2"/>
  <c r="B211" i="2"/>
  <c r="D209" i="2"/>
  <c r="I209" i="2" s="1"/>
  <c r="F210" i="2"/>
  <c r="H210" i="2" s="1"/>
  <c r="C211" i="4" s="1"/>
  <c r="C210" i="2"/>
  <c r="E210" i="2" s="1"/>
  <c r="D210" i="2" l="1"/>
  <c r="I210" i="2" s="1"/>
  <c r="G210" i="2"/>
  <c r="F211" i="2"/>
  <c r="H211" i="2" s="1"/>
  <c r="C212" i="4" s="1"/>
  <c r="C211" i="2"/>
  <c r="E211" i="2" s="1"/>
  <c r="K211" i="2"/>
  <c r="B212" i="2"/>
  <c r="A213" i="2"/>
  <c r="K212" i="2"/>
  <c r="B210" i="4"/>
  <c r="D210" i="4" s="1"/>
  <c r="J209" i="2"/>
  <c r="C212" i="2" l="1"/>
  <c r="E212" i="2" s="1"/>
  <c r="F212" i="2"/>
  <c r="H212" i="2" s="1"/>
  <c r="C213" i="4" s="1"/>
  <c r="B213" i="2"/>
  <c r="A214" i="2"/>
  <c r="D211" i="2"/>
  <c r="I211" i="2" s="1"/>
  <c r="B211" i="4"/>
  <c r="D211" i="4" s="1"/>
  <c r="J210" i="2"/>
  <c r="G211" i="2"/>
  <c r="B212" i="4" l="1"/>
  <c r="D212" i="4" s="1"/>
  <c r="J211" i="2"/>
  <c r="A215" i="2"/>
  <c r="B214" i="2"/>
  <c r="F213" i="2"/>
  <c r="H213" i="2" s="1"/>
  <c r="C214" i="4" s="1"/>
  <c r="C213" i="2"/>
  <c r="E213" i="2" s="1"/>
  <c r="D212" i="2"/>
  <c r="I212" i="2" s="1"/>
  <c r="K213" i="2"/>
  <c r="G212" i="2"/>
  <c r="G213" i="2" l="1"/>
  <c r="B213" i="4"/>
  <c r="D213" i="4" s="1"/>
  <c r="J212" i="2"/>
  <c r="D213" i="2"/>
  <c r="I213" i="2" s="1"/>
  <c r="C214" i="2"/>
  <c r="E214" i="2" s="1"/>
  <c r="F214" i="2"/>
  <c r="G214" i="2" s="1"/>
  <c r="K214" i="2"/>
  <c r="A216" i="2"/>
  <c r="B215" i="2"/>
  <c r="K215" i="2" s="1"/>
  <c r="B215" i="4" l="1"/>
  <c r="F215" i="2"/>
  <c r="G215" i="2" s="1"/>
  <c r="C215" i="2"/>
  <c r="D215" i="2" s="1"/>
  <c r="B216" i="2"/>
  <c r="A217" i="2"/>
  <c r="K216" i="2"/>
  <c r="H214" i="2"/>
  <c r="C215" i="4" s="1"/>
  <c r="D214" i="2"/>
  <c r="I214" i="2" s="1"/>
  <c r="B214" i="4"/>
  <c r="D214" i="4" s="1"/>
  <c r="J213" i="2"/>
  <c r="B216" i="4" l="1"/>
  <c r="F216" i="2"/>
  <c r="H216" i="2" s="1"/>
  <c r="C217" i="4" s="1"/>
  <c r="C216" i="2"/>
  <c r="D216" i="2" s="1"/>
  <c r="E215" i="2"/>
  <c r="I215" i="2" s="1"/>
  <c r="H215" i="2"/>
  <c r="C216" i="4" s="1"/>
  <c r="J214" i="2"/>
  <c r="K217" i="2"/>
  <c r="B217" i="2"/>
  <c r="A218" i="2"/>
  <c r="D215" i="4"/>
  <c r="A219" i="2" l="1"/>
  <c r="B218" i="2"/>
  <c r="K218" i="2"/>
  <c r="C217" i="2"/>
  <c r="E217" i="2" s="1"/>
  <c r="F217" i="2"/>
  <c r="H217" i="2" s="1"/>
  <c r="C218" i="4" s="1"/>
  <c r="G216" i="2"/>
  <c r="E216" i="2"/>
  <c r="I216" i="2" s="1"/>
  <c r="J215" i="2"/>
  <c r="D216" i="4"/>
  <c r="B217" i="4" l="1"/>
  <c r="D217" i="4" s="1"/>
  <c r="J216" i="2"/>
  <c r="D217" i="2"/>
  <c r="I217" i="2" s="1"/>
  <c r="G217" i="2"/>
  <c r="C218" i="2"/>
  <c r="D218" i="2" s="1"/>
  <c r="F218" i="2"/>
  <c r="H218" i="2" s="1"/>
  <c r="C219" i="4" s="1"/>
  <c r="B219" i="2"/>
  <c r="A220" i="2"/>
  <c r="K219" i="2"/>
  <c r="B220" i="2" l="1"/>
  <c r="A221" i="2"/>
  <c r="K220" i="2"/>
  <c r="F219" i="2"/>
  <c r="G219" i="2" s="1"/>
  <c r="C219" i="2"/>
  <c r="E219" i="2" s="1"/>
  <c r="E218" i="2"/>
  <c r="I218" i="2" s="1"/>
  <c r="G218" i="2"/>
  <c r="B218" i="4"/>
  <c r="D218" i="4" s="1"/>
  <c r="J217" i="2"/>
  <c r="B220" i="4" l="1"/>
  <c r="B219" i="4"/>
  <c r="D219" i="4" s="1"/>
  <c r="J218" i="2"/>
  <c r="H219" i="2"/>
  <c r="C220" i="4" s="1"/>
  <c r="D219" i="2"/>
  <c r="I219" i="2" s="1"/>
  <c r="A222" i="2"/>
  <c r="B221" i="2"/>
  <c r="C220" i="2"/>
  <c r="D220" i="2" s="1"/>
  <c r="F220" i="2"/>
  <c r="H220" i="2" s="1"/>
  <c r="C221" i="4" s="1"/>
  <c r="E220" i="2" l="1"/>
  <c r="I220" i="2" s="1"/>
  <c r="C221" i="2"/>
  <c r="E221" i="2" s="1"/>
  <c r="F221" i="2"/>
  <c r="G221" i="2" s="1"/>
  <c r="G220" i="2"/>
  <c r="K221" i="2"/>
  <c r="B222" i="2"/>
  <c r="A223" i="2"/>
  <c r="K222" i="2"/>
  <c r="J219" i="2"/>
  <c r="D220" i="4"/>
  <c r="B222" i="4" l="1"/>
  <c r="B223" i="2"/>
  <c r="K223" i="2"/>
  <c r="A224" i="2"/>
  <c r="B221" i="4"/>
  <c r="D221" i="4" s="1"/>
  <c r="J220" i="2"/>
  <c r="C222" i="2"/>
  <c r="D222" i="2" s="1"/>
  <c r="F222" i="2"/>
  <c r="G222" i="2" s="1"/>
  <c r="D221" i="2"/>
  <c r="I221" i="2" s="1"/>
  <c r="H221" i="2"/>
  <c r="C222" i="4" s="1"/>
  <c r="B223" i="4" l="1"/>
  <c r="H222" i="2"/>
  <c r="C223" i="4" s="1"/>
  <c r="E222" i="2"/>
  <c r="I222" i="2" s="1"/>
  <c r="A225" i="2"/>
  <c r="K224" i="2"/>
  <c r="B224" i="2"/>
  <c r="C223" i="2"/>
  <c r="E223" i="2" s="1"/>
  <c r="F223" i="2"/>
  <c r="G223" i="2" s="1"/>
  <c r="J221" i="2"/>
  <c r="D222" i="4"/>
  <c r="B224" i="4" l="1"/>
  <c r="H223" i="2"/>
  <c r="C224" i="4" s="1"/>
  <c r="D223" i="2"/>
  <c r="I223" i="2" s="1"/>
  <c r="C224" i="2"/>
  <c r="E224" i="2" s="1"/>
  <c r="F224" i="2"/>
  <c r="H224" i="2" s="1"/>
  <c r="C225" i="4" s="1"/>
  <c r="B225" i="2"/>
  <c r="A226" i="2"/>
  <c r="K225" i="2"/>
  <c r="J222" i="2"/>
  <c r="D223" i="4"/>
  <c r="B226" i="2" l="1"/>
  <c r="A227" i="2"/>
  <c r="K226" i="2"/>
  <c r="C225" i="2"/>
  <c r="E225" i="2" s="1"/>
  <c r="F225" i="2"/>
  <c r="H225" i="2" s="1"/>
  <c r="C226" i="4" s="1"/>
  <c r="D224" i="2"/>
  <c r="I224" i="2" s="1"/>
  <c r="J223" i="2"/>
  <c r="G224" i="2"/>
  <c r="D224" i="4"/>
  <c r="B225" i="4" l="1"/>
  <c r="D225" i="4" s="1"/>
  <c r="J224" i="2"/>
  <c r="D225" i="2"/>
  <c r="I225" i="2" s="1"/>
  <c r="G225" i="2"/>
  <c r="A228" i="2"/>
  <c r="B227" i="2"/>
  <c r="K227" i="2" s="1"/>
  <c r="C226" i="2"/>
  <c r="D226" i="2" s="1"/>
  <c r="F226" i="2"/>
  <c r="G226" i="2" s="1"/>
  <c r="B227" i="4" l="1"/>
  <c r="H226" i="2"/>
  <c r="C227" i="4" s="1"/>
  <c r="E226" i="2"/>
  <c r="I226" i="2" s="1"/>
  <c r="B228" i="2"/>
  <c r="A229" i="2"/>
  <c r="K228" i="2"/>
  <c r="C227" i="2"/>
  <c r="D227" i="2" s="1"/>
  <c r="F227" i="2"/>
  <c r="G227" i="2" s="1"/>
  <c r="B226" i="4"/>
  <c r="D226" i="4" s="1"/>
  <c r="J225" i="2"/>
  <c r="B228" i="4" l="1"/>
  <c r="E227" i="2"/>
  <c r="I227" i="2" s="1"/>
  <c r="F228" i="2"/>
  <c r="H228" i="2" s="1"/>
  <c r="C229" i="4" s="1"/>
  <c r="C228" i="2"/>
  <c r="E228" i="2" s="1"/>
  <c r="J226" i="2"/>
  <c r="H227" i="2"/>
  <c r="C228" i="4" s="1"/>
  <c r="A230" i="2"/>
  <c r="B229" i="2"/>
  <c r="D227" i="4"/>
  <c r="F229" i="2" l="1"/>
  <c r="G229" i="2" s="1"/>
  <c r="C229" i="2"/>
  <c r="D229" i="2" s="1"/>
  <c r="A231" i="2"/>
  <c r="K230" i="2"/>
  <c r="B230" i="2"/>
  <c r="K229" i="2"/>
  <c r="D228" i="2"/>
  <c r="I228" i="2" s="1"/>
  <c r="G228" i="2"/>
  <c r="J227" i="2"/>
  <c r="D228" i="4"/>
  <c r="B230" i="4" l="1"/>
  <c r="B229" i="4"/>
  <c r="D229" i="4" s="1"/>
  <c r="J228" i="2"/>
  <c r="C230" i="2"/>
  <c r="E230" i="2" s="1"/>
  <c r="F230" i="2"/>
  <c r="H230" i="2" s="1"/>
  <c r="C231" i="4" s="1"/>
  <c r="E229" i="2"/>
  <c r="I229" i="2" s="1"/>
  <c r="A232" i="2"/>
  <c r="K231" i="2"/>
  <c r="B231" i="2"/>
  <c r="H229" i="2"/>
  <c r="C230" i="4" s="1"/>
  <c r="C231" i="2" l="1"/>
  <c r="E231" i="2" s="1"/>
  <c r="F231" i="2"/>
  <c r="H231" i="2" s="1"/>
  <c r="C232" i="4" s="1"/>
  <c r="J229" i="2"/>
  <c r="B232" i="2"/>
  <c r="A233" i="2"/>
  <c r="K232" i="2"/>
  <c r="D230" i="2"/>
  <c r="I230" i="2" s="1"/>
  <c r="G230" i="2"/>
  <c r="D230" i="4"/>
  <c r="B231" i="4" l="1"/>
  <c r="D231" i="4" s="1"/>
  <c r="J230" i="2"/>
  <c r="B233" i="2"/>
  <c r="A234" i="2"/>
  <c r="G231" i="2"/>
  <c r="F232" i="2"/>
  <c r="H232" i="2" s="1"/>
  <c r="C233" i="4" s="1"/>
  <c r="C232" i="2"/>
  <c r="E232" i="2" s="1"/>
  <c r="D231" i="2"/>
  <c r="I231" i="2" s="1"/>
  <c r="B232" i="4" l="1"/>
  <c r="D232" i="4" s="1"/>
  <c r="J231" i="2"/>
  <c r="G232" i="2"/>
  <c r="D232" i="2"/>
  <c r="I232" i="2" s="1"/>
  <c r="A235" i="2"/>
  <c r="B234" i="2"/>
  <c r="F233" i="2"/>
  <c r="G233" i="2" s="1"/>
  <c r="C233" i="2"/>
  <c r="D233" i="2" s="1"/>
  <c r="K233" i="2"/>
  <c r="B234" i="4" l="1"/>
  <c r="E233" i="2"/>
  <c r="I233" i="2" s="1"/>
  <c r="H233" i="2"/>
  <c r="C234" i="4" s="1"/>
  <c r="F234" i="2"/>
  <c r="H234" i="2" s="1"/>
  <c r="C235" i="4" s="1"/>
  <c r="C234" i="2"/>
  <c r="D234" i="2" s="1"/>
  <c r="K234" i="2"/>
  <c r="B235" i="2"/>
  <c r="A236" i="2"/>
  <c r="K235" i="2"/>
  <c r="B233" i="4"/>
  <c r="D233" i="4" s="1"/>
  <c r="J232" i="2"/>
  <c r="E234" i="2" l="1"/>
  <c r="I234" i="2" s="1"/>
  <c r="B236" i="2"/>
  <c r="A237" i="2"/>
  <c r="K236" i="2"/>
  <c r="C235" i="2"/>
  <c r="E235" i="2" s="1"/>
  <c r="F235" i="2"/>
  <c r="H235" i="2" s="1"/>
  <c r="C236" i="4" s="1"/>
  <c r="J233" i="2"/>
  <c r="G234" i="2"/>
  <c r="D234" i="4"/>
  <c r="C236" i="2" l="1"/>
  <c r="E236" i="2" s="1"/>
  <c r="F236" i="2"/>
  <c r="H236" i="2" s="1"/>
  <c r="C237" i="4" s="1"/>
  <c r="B235" i="4"/>
  <c r="D235" i="4" s="1"/>
  <c r="J234" i="2"/>
  <c r="G235" i="2"/>
  <c r="D235" i="2"/>
  <c r="I235" i="2" s="1"/>
  <c r="A238" i="2"/>
  <c r="K237" i="2"/>
  <c r="B237" i="2"/>
  <c r="C237" i="2" l="1"/>
  <c r="E237" i="2" s="1"/>
  <c r="F237" i="2"/>
  <c r="H237" i="2" s="1"/>
  <c r="C238" i="4" s="1"/>
  <c r="B238" i="2"/>
  <c r="A239" i="2"/>
  <c r="K238" i="2"/>
  <c r="B236" i="4"/>
  <c r="D236" i="4" s="1"/>
  <c r="J235" i="2"/>
  <c r="D236" i="2"/>
  <c r="I236" i="2" s="1"/>
  <c r="G236" i="2"/>
  <c r="B237" i="4" l="1"/>
  <c r="D237" i="4" s="1"/>
  <c r="J236" i="2"/>
  <c r="B239" i="2"/>
  <c r="A240" i="2"/>
  <c r="K239" i="2"/>
  <c r="F238" i="2"/>
  <c r="H238" i="2" s="1"/>
  <c r="C239" i="4" s="1"/>
  <c r="C238" i="2"/>
  <c r="D238" i="2" s="1"/>
  <c r="D237" i="2"/>
  <c r="I237" i="2" s="1"/>
  <c r="G237" i="2"/>
  <c r="E238" i="2" l="1"/>
  <c r="I238" i="2" s="1"/>
  <c r="G238" i="2"/>
  <c r="B238" i="4"/>
  <c r="D238" i="4" s="1"/>
  <c r="J237" i="2"/>
  <c r="A241" i="2"/>
  <c r="B240" i="2"/>
  <c r="C239" i="2"/>
  <c r="E239" i="2" s="1"/>
  <c r="F239" i="2"/>
  <c r="G239" i="2" s="1"/>
  <c r="B240" i="4" l="1"/>
  <c r="D239" i="2"/>
  <c r="I239" i="2" s="1"/>
  <c r="H239" i="2"/>
  <c r="C240" i="4" s="1"/>
  <c r="C240" i="2"/>
  <c r="D240" i="2" s="1"/>
  <c r="F240" i="2"/>
  <c r="H240" i="2" s="1"/>
  <c r="C241" i="4" s="1"/>
  <c r="K240" i="2"/>
  <c r="B241" i="2"/>
  <c r="A242" i="2"/>
  <c r="K241" i="2"/>
  <c r="B239" i="4"/>
  <c r="D239" i="4" s="1"/>
  <c r="J238" i="2"/>
  <c r="B242" i="2" l="1"/>
  <c r="A243" i="2"/>
  <c r="K242" i="2"/>
  <c r="C241" i="2"/>
  <c r="E241" i="2" s="1"/>
  <c r="F241" i="2"/>
  <c r="H241" i="2" s="1"/>
  <c r="C242" i="4" s="1"/>
  <c r="E240" i="2"/>
  <c r="I240" i="2" s="1"/>
  <c r="J239" i="2"/>
  <c r="G240" i="2"/>
  <c r="D240" i="4"/>
  <c r="D241" i="2" l="1"/>
  <c r="I241" i="2" s="1"/>
  <c r="G241" i="2"/>
  <c r="B241" i="4"/>
  <c r="D241" i="4" s="1"/>
  <c r="J240" i="2"/>
  <c r="A244" i="2"/>
  <c r="B243" i="2"/>
  <c r="F242" i="2"/>
  <c r="H242" i="2" s="1"/>
  <c r="C243" i="4" s="1"/>
  <c r="C242" i="2"/>
  <c r="D242" i="2" s="1"/>
  <c r="G242" i="2" l="1"/>
  <c r="E242" i="2"/>
  <c r="I242" i="2" s="1"/>
  <c r="C243" i="2"/>
  <c r="E243" i="2" s="1"/>
  <c r="F243" i="2"/>
  <c r="H243" i="2" s="1"/>
  <c r="C244" i="4" s="1"/>
  <c r="B244" i="2"/>
  <c r="A245" i="2"/>
  <c r="K244" i="2"/>
  <c r="K243" i="2"/>
  <c r="B242" i="4"/>
  <c r="D242" i="4" s="1"/>
  <c r="J241" i="2"/>
  <c r="B245" i="2" l="1"/>
  <c r="K245" i="2" s="1"/>
  <c r="A246" i="2"/>
  <c r="F244" i="2"/>
  <c r="H244" i="2" s="1"/>
  <c r="C245" i="4" s="1"/>
  <c r="C244" i="2"/>
  <c r="D244" i="2" s="1"/>
  <c r="G243" i="2"/>
  <c r="D243" i="2"/>
  <c r="I243" i="2" s="1"/>
  <c r="B243" i="4"/>
  <c r="D243" i="4" s="1"/>
  <c r="J242" i="2"/>
  <c r="B244" i="4" l="1"/>
  <c r="D244" i="4" s="1"/>
  <c r="J243" i="2"/>
  <c r="E244" i="2"/>
  <c r="I244" i="2" s="1"/>
  <c r="G244" i="2"/>
  <c r="A247" i="2"/>
  <c r="K246" i="2"/>
  <c r="B246" i="2"/>
  <c r="C245" i="2"/>
  <c r="E245" i="2" s="1"/>
  <c r="F245" i="2"/>
  <c r="G245" i="2" s="1"/>
  <c r="B246" i="4" l="1"/>
  <c r="H245" i="2"/>
  <c r="C246" i="4" s="1"/>
  <c r="B245" i="4"/>
  <c r="D245" i="4" s="1"/>
  <c r="J244" i="2"/>
  <c r="D245" i="2"/>
  <c r="I245" i="2" s="1"/>
  <c r="C246" i="2"/>
  <c r="E246" i="2" s="1"/>
  <c r="F246" i="2"/>
  <c r="H246" i="2" s="1"/>
  <c r="C247" i="4" s="1"/>
  <c r="A248" i="2"/>
  <c r="B247" i="2"/>
  <c r="B248" i="2" l="1"/>
  <c r="A249" i="2"/>
  <c r="K248" i="2"/>
  <c r="C247" i="2"/>
  <c r="D247" i="2" s="1"/>
  <c r="F247" i="2"/>
  <c r="H247" i="2" s="1"/>
  <c r="C248" i="4" s="1"/>
  <c r="G246" i="2"/>
  <c r="D246" i="2"/>
  <c r="I246" i="2" s="1"/>
  <c r="K247" i="2"/>
  <c r="J245" i="2"/>
  <c r="D246" i="4"/>
  <c r="B247" i="4" l="1"/>
  <c r="D247" i="4" s="1"/>
  <c r="J246" i="2"/>
  <c r="E247" i="2"/>
  <c r="I247" i="2" s="1"/>
  <c r="G247" i="2"/>
  <c r="B249" i="2"/>
  <c r="A250" i="2"/>
  <c r="F248" i="2"/>
  <c r="H248" i="2" s="1"/>
  <c r="C249" i="4" s="1"/>
  <c r="C248" i="2"/>
  <c r="E248" i="2" s="1"/>
  <c r="A251" i="2" l="1"/>
  <c r="B250" i="2"/>
  <c r="G248" i="2"/>
  <c r="C249" i="2"/>
  <c r="E249" i="2" s="1"/>
  <c r="F249" i="2"/>
  <c r="H249" i="2" s="1"/>
  <c r="C250" i="4" s="1"/>
  <c r="B248" i="4"/>
  <c r="D248" i="4" s="1"/>
  <c r="J247" i="2"/>
  <c r="D248" i="2"/>
  <c r="I248" i="2" s="1"/>
  <c r="K249" i="2"/>
  <c r="D249" i="2" l="1"/>
  <c r="I249" i="2" s="1"/>
  <c r="G249" i="2"/>
  <c r="B249" i="4"/>
  <c r="D249" i="4" s="1"/>
  <c r="J248" i="2"/>
  <c r="F250" i="2"/>
  <c r="G250" i="2" s="1"/>
  <c r="C250" i="2"/>
  <c r="E250" i="2" s="1"/>
  <c r="K250" i="2"/>
  <c r="B251" i="2"/>
  <c r="A252" i="2"/>
  <c r="K251" i="2"/>
  <c r="B251" i="4" l="1"/>
  <c r="F251" i="2"/>
  <c r="G251" i="2" s="1"/>
  <c r="C251" i="2"/>
  <c r="E251" i="2" s="1"/>
  <c r="D250" i="2"/>
  <c r="I250" i="2" s="1"/>
  <c r="B252" i="2"/>
  <c r="A253" i="2"/>
  <c r="K252" i="2"/>
  <c r="H250" i="2"/>
  <c r="C251" i="4" s="1"/>
  <c r="B250" i="4"/>
  <c r="D250" i="4" s="1"/>
  <c r="J249" i="2"/>
  <c r="B252" i="4" l="1"/>
  <c r="C252" i="2"/>
  <c r="D252" i="2" s="1"/>
  <c r="F252" i="2"/>
  <c r="H252" i="2" s="1"/>
  <c r="C253" i="4" s="1"/>
  <c r="A254" i="2"/>
  <c r="K253" i="2"/>
  <c r="B253" i="2"/>
  <c r="H251" i="2"/>
  <c r="C252" i="4" s="1"/>
  <c r="D251" i="2"/>
  <c r="I251" i="2" s="1"/>
  <c r="J250" i="2"/>
  <c r="D251" i="4"/>
  <c r="B254" i="2" l="1"/>
  <c r="A255" i="2"/>
  <c r="K254" i="2"/>
  <c r="E252" i="2"/>
  <c r="I252" i="2" s="1"/>
  <c r="C253" i="2"/>
  <c r="D253" i="2" s="1"/>
  <c r="F253" i="2"/>
  <c r="G253" i="2" s="1"/>
  <c r="G252" i="2"/>
  <c r="J251" i="2"/>
  <c r="D252" i="4"/>
  <c r="B254" i="4" l="1"/>
  <c r="E253" i="2"/>
  <c r="I253" i="2" s="1"/>
  <c r="B253" i="4"/>
  <c r="D253" i="4" s="1"/>
  <c r="J252" i="2"/>
  <c r="H253" i="2"/>
  <c r="C254" i="4" s="1"/>
  <c r="F254" i="2"/>
  <c r="G254" i="2" s="1"/>
  <c r="C254" i="2"/>
  <c r="D254" i="2" s="1"/>
  <c r="B255" i="2"/>
  <c r="A256" i="2"/>
  <c r="K255" i="2"/>
  <c r="B255" i="4" l="1"/>
  <c r="C255" i="2"/>
  <c r="E255" i="2" s="1"/>
  <c r="F255" i="2"/>
  <c r="H255" i="2" s="1"/>
  <c r="C256" i="4" s="1"/>
  <c r="A257" i="2"/>
  <c r="B256" i="2"/>
  <c r="H254" i="2"/>
  <c r="C255" i="4" s="1"/>
  <c r="E254" i="2"/>
  <c r="I254" i="2" s="1"/>
  <c r="J253" i="2"/>
  <c r="D254" i="4"/>
  <c r="C256" i="2" l="1"/>
  <c r="E256" i="2" s="1"/>
  <c r="F256" i="2"/>
  <c r="H256" i="2" s="1"/>
  <c r="C257" i="4" s="1"/>
  <c r="K256" i="2"/>
  <c r="B257" i="2"/>
  <c r="A258" i="2"/>
  <c r="K257" i="2"/>
  <c r="J254" i="2"/>
  <c r="D255" i="2"/>
  <c r="I255" i="2" s="1"/>
  <c r="G255" i="2"/>
  <c r="D255" i="4"/>
  <c r="B256" i="4" l="1"/>
  <c r="D256" i="4" s="1"/>
  <c r="J255" i="2"/>
  <c r="C257" i="2"/>
  <c r="E257" i="2" s="1"/>
  <c r="F257" i="2"/>
  <c r="H257" i="2" s="1"/>
  <c r="C258" i="4" s="1"/>
  <c r="B258" i="2"/>
  <c r="A259" i="2"/>
  <c r="K258" i="2"/>
  <c r="D256" i="2"/>
  <c r="I256" i="2" s="1"/>
  <c r="G256" i="2"/>
  <c r="B257" i="4" l="1"/>
  <c r="D257" i="4" s="1"/>
  <c r="J256" i="2"/>
  <c r="A260" i="2"/>
  <c r="B259" i="2"/>
  <c r="D257" i="2"/>
  <c r="I257" i="2" s="1"/>
  <c r="G257" i="2"/>
  <c r="F258" i="2"/>
  <c r="H258" i="2" s="1"/>
  <c r="C259" i="4" s="1"/>
  <c r="C258" i="2"/>
  <c r="D258" i="2" s="1"/>
  <c r="E258" i="2" l="1"/>
  <c r="I258" i="2" s="1"/>
  <c r="G258" i="2"/>
  <c r="C259" i="2"/>
  <c r="E259" i="2" s="1"/>
  <c r="F259" i="2"/>
  <c r="H259" i="2" s="1"/>
  <c r="C260" i="4" s="1"/>
  <c r="B258" i="4"/>
  <c r="D258" i="4" s="1"/>
  <c r="J257" i="2"/>
  <c r="K259" i="2"/>
  <c r="B260" i="2"/>
  <c r="A261" i="2"/>
  <c r="K260" i="2"/>
  <c r="B261" i="2" l="1"/>
  <c r="A262" i="2"/>
  <c r="K261" i="2"/>
  <c r="F260" i="2"/>
  <c r="H260" i="2" s="1"/>
  <c r="C261" i="4" s="1"/>
  <c r="C260" i="2"/>
  <c r="E260" i="2" s="1"/>
  <c r="B259" i="4"/>
  <c r="D259" i="4" s="1"/>
  <c r="J258" i="2"/>
  <c r="D259" i="2"/>
  <c r="I259" i="2" s="1"/>
  <c r="G259" i="2"/>
  <c r="B260" i="4" l="1"/>
  <c r="D260" i="4" s="1"/>
  <c r="J259" i="2"/>
  <c r="D260" i="2"/>
  <c r="I260" i="2" s="1"/>
  <c r="G260" i="2"/>
  <c r="A263" i="2"/>
  <c r="K262" i="2"/>
  <c r="B262" i="2"/>
  <c r="C261" i="2"/>
  <c r="D261" i="2" s="1"/>
  <c r="F261" i="2"/>
  <c r="G261" i="2" s="1"/>
  <c r="B262" i="4" l="1"/>
  <c r="E261" i="2"/>
  <c r="I261" i="2" s="1"/>
  <c r="C262" i="2"/>
  <c r="E262" i="2" s="1"/>
  <c r="F262" i="2"/>
  <c r="H262" i="2" s="1"/>
  <c r="C263" i="4" s="1"/>
  <c r="A264" i="2"/>
  <c r="B263" i="2"/>
  <c r="H261" i="2"/>
  <c r="C262" i="4" s="1"/>
  <c r="B261" i="4"/>
  <c r="D261" i="4" s="1"/>
  <c r="J260" i="2"/>
  <c r="F263" i="2" l="1"/>
  <c r="H263" i="2" s="1"/>
  <c r="C264" i="4" s="1"/>
  <c r="C263" i="2"/>
  <c r="E263" i="2" s="1"/>
  <c r="K263" i="2"/>
  <c r="B264" i="2"/>
  <c r="A265" i="2"/>
  <c r="K264" i="2"/>
  <c r="D262" i="2"/>
  <c r="I262" i="2" s="1"/>
  <c r="G262" i="2"/>
  <c r="J261" i="2"/>
  <c r="D262" i="4"/>
  <c r="B263" i="4" l="1"/>
  <c r="D263" i="4" s="1"/>
  <c r="J262" i="2"/>
  <c r="C264" i="2"/>
  <c r="E264" i="2" s="1"/>
  <c r="F264" i="2"/>
  <c r="H264" i="2" s="1"/>
  <c r="C265" i="4" s="1"/>
  <c r="K265" i="2"/>
  <c r="B265" i="2"/>
  <c r="A266" i="2"/>
  <c r="D263" i="2"/>
  <c r="I263" i="2" s="1"/>
  <c r="G263" i="2"/>
  <c r="B264" i="4" l="1"/>
  <c r="D264" i="4" s="1"/>
  <c r="J263" i="2"/>
  <c r="A267" i="2"/>
  <c r="B266" i="2"/>
  <c r="C265" i="2"/>
  <c r="E265" i="2" s="1"/>
  <c r="F265" i="2"/>
  <c r="G265" i="2" s="1"/>
  <c r="G264" i="2"/>
  <c r="D264" i="2"/>
  <c r="I264" i="2" s="1"/>
  <c r="B266" i="4" l="1"/>
  <c r="B265" i="4"/>
  <c r="D265" i="4" s="1"/>
  <c r="J264" i="2"/>
  <c r="D265" i="2"/>
  <c r="I265" i="2" s="1"/>
  <c r="H265" i="2"/>
  <c r="C266" i="4" s="1"/>
  <c r="F266" i="2"/>
  <c r="H266" i="2" s="1"/>
  <c r="C267" i="4" s="1"/>
  <c r="C266" i="2"/>
  <c r="D266" i="2" s="1"/>
  <c r="K266" i="2"/>
  <c r="B267" i="2"/>
  <c r="A268" i="2"/>
  <c r="K267" i="2"/>
  <c r="E266" i="2" l="1"/>
  <c r="I266" i="2" s="1"/>
  <c r="B268" i="2"/>
  <c r="A269" i="2"/>
  <c r="K268" i="2"/>
  <c r="F267" i="2"/>
  <c r="H267" i="2" s="1"/>
  <c r="C268" i="4" s="1"/>
  <c r="C267" i="2"/>
  <c r="E267" i="2" s="1"/>
  <c r="G266" i="2"/>
  <c r="J265" i="2"/>
  <c r="D266" i="4"/>
  <c r="B267" i="4" l="1"/>
  <c r="D267" i="4" s="1"/>
  <c r="J266" i="2"/>
  <c r="C268" i="2"/>
  <c r="E268" i="2" s="1"/>
  <c r="F268" i="2"/>
  <c r="H268" i="2" s="1"/>
  <c r="C269" i="4" s="1"/>
  <c r="G267" i="2"/>
  <c r="D267" i="2"/>
  <c r="I267" i="2" s="1"/>
  <c r="A270" i="2"/>
  <c r="K269" i="2"/>
  <c r="B269" i="2"/>
  <c r="B268" i="4" l="1"/>
  <c r="D268" i="4" s="1"/>
  <c r="J267" i="2"/>
  <c r="B270" i="2"/>
  <c r="A271" i="2"/>
  <c r="K270" i="2"/>
  <c r="F269" i="2"/>
  <c r="H269" i="2" s="1"/>
  <c r="C270" i="4" s="1"/>
  <c r="C269" i="2"/>
  <c r="E269" i="2" s="1"/>
  <c r="D268" i="2"/>
  <c r="I268" i="2" s="1"/>
  <c r="G268" i="2"/>
  <c r="D269" i="2" l="1"/>
  <c r="I269" i="2" s="1"/>
  <c r="G269" i="2"/>
  <c r="B269" i="4"/>
  <c r="D269" i="4" s="1"/>
  <c r="J268" i="2"/>
  <c r="B271" i="2"/>
  <c r="A272" i="2"/>
  <c r="K271" i="2"/>
  <c r="C270" i="2"/>
  <c r="D270" i="2" s="1"/>
  <c r="F270" i="2"/>
  <c r="H270" i="2" s="1"/>
  <c r="C271" i="4" s="1"/>
  <c r="G270" i="2" l="1"/>
  <c r="E270" i="2"/>
  <c r="I270" i="2" s="1"/>
  <c r="A273" i="2"/>
  <c r="B272" i="2"/>
  <c r="C271" i="2"/>
  <c r="E271" i="2" s="1"/>
  <c r="F271" i="2"/>
  <c r="G271" i="2" s="1"/>
  <c r="B270" i="4"/>
  <c r="D270" i="4" s="1"/>
  <c r="J269" i="2"/>
  <c r="B272" i="4" l="1"/>
  <c r="D272" i="4" s="1"/>
  <c r="D271" i="2"/>
  <c r="I271" i="2" s="1"/>
  <c r="H271" i="2"/>
  <c r="C272" i="4" s="1"/>
  <c r="F272" i="2"/>
  <c r="H272" i="2" s="1"/>
  <c r="C273" i="4" s="1"/>
  <c r="C272" i="2"/>
  <c r="D272" i="2" s="1"/>
  <c r="K272" i="2"/>
  <c r="B273" i="2"/>
  <c r="A274" i="2"/>
  <c r="K273" i="2"/>
  <c r="B271" i="4"/>
  <c r="D271" i="4" s="1"/>
  <c r="J270" i="2"/>
  <c r="E272" i="2" l="1"/>
  <c r="I272" i="2" s="1"/>
  <c r="G272" i="2"/>
  <c r="B274" i="2"/>
  <c r="A275" i="2"/>
  <c r="K274" i="2"/>
  <c r="F273" i="2"/>
  <c r="H273" i="2" s="1"/>
  <c r="C274" i="4" s="1"/>
  <c r="C273" i="2"/>
  <c r="E273" i="2" s="1"/>
  <c r="J271" i="2"/>
  <c r="G273" i="2" l="1"/>
  <c r="D273" i="2"/>
  <c r="I273" i="2" s="1"/>
  <c r="B273" i="4"/>
  <c r="D273" i="4" s="1"/>
  <c r="J272" i="2"/>
  <c r="A276" i="2"/>
  <c r="B275" i="2"/>
  <c r="F274" i="2"/>
  <c r="H274" i="2" s="1"/>
  <c r="C275" i="4" s="1"/>
  <c r="C274" i="2"/>
  <c r="D274" i="2" s="1"/>
  <c r="E274" i="2" l="1"/>
  <c r="I274" i="2" s="1"/>
  <c r="G274" i="2"/>
  <c r="C275" i="2"/>
  <c r="E275" i="2" s="1"/>
  <c r="F275" i="2"/>
  <c r="H275" i="2" s="1"/>
  <c r="C276" i="4" s="1"/>
  <c r="B276" i="2"/>
  <c r="A277" i="2"/>
  <c r="K276" i="2"/>
  <c r="K275" i="2"/>
  <c r="B274" i="4"/>
  <c r="D274" i="4" s="1"/>
  <c r="J273" i="2"/>
  <c r="B277" i="2" l="1"/>
  <c r="A278" i="2"/>
  <c r="K277" i="2"/>
  <c r="C276" i="2"/>
  <c r="E276" i="2" s="1"/>
  <c r="F276" i="2"/>
  <c r="H276" i="2" s="1"/>
  <c r="C277" i="4" s="1"/>
  <c r="B275" i="4"/>
  <c r="D275" i="4" s="1"/>
  <c r="J274" i="2"/>
  <c r="D275" i="2"/>
  <c r="I275" i="2" s="1"/>
  <c r="G275" i="2"/>
  <c r="B276" i="4" l="1"/>
  <c r="D276" i="4" s="1"/>
  <c r="J275" i="2"/>
  <c r="D276" i="2"/>
  <c r="I276" i="2" s="1"/>
  <c r="G276" i="2"/>
  <c r="A279" i="2"/>
  <c r="B278" i="2"/>
  <c r="C277" i="2"/>
  <c r="E277" i="2" s="1"/>
  <c r="F277" i="2"/>
  <c r="G277" i="2" s="1"/>
  <c r="B278" i="4" l="1"/>
  <c r="C278" i="2"/>
  <c r="D278" i="2" s="1"/>
  <c r="F278" i="2"/>
  <c r="H278" i="2" s="1"/>
  <c r="C279" i="4" s="1"/>
  <c r="H277" i="2"/>
  <c r="C278" i="4" s="1"/>
  <c r="B277" i="4"/>
  <c r="D277" i="4" s="1"/>
  <c r="J276" i="2"/>
  <c r="D277" i="2"/>
  <c r="I277" i="2" s="1"/>
  <c r="K278" i="2"/>
  <c r="A280" i="2"/>
  <c r="K279" i="2"/>
  <c r="B279" i="2"/>
  <c r="B280" i="2" l="1"/>
  <c r="A281" i="2"/>
  <c r="K280" i="2"/>
  <c r="C279" i="2"/>
  <c r="E279" i="2" s="1"/>
  <c r="F279" i="2"/>
  <c r="H279" i="2" s="1"/>
  <c r="C280" i="4" s="1"/>
  <c r="E278" i="2"/>
  <c r="I278" i="2" s="1"/>
  <c r="J277" i="2"/>
  <c r="G278" i="2"/>
  <c r="D278" i="4"/>
  <c r="D279" i="2" l="1"/>
  <c r="I279" i="2" s="1"/>
  <c r="G279" i="2"/>
  <c r="B279" i="4"/>
  <c r="D279" i="4" s="1"/>
  <c r="J278" i="2"/>
  <c r="B281" i="2"/>
  <c r="A282" i="2"/>
  <c r="C280" i="2"/>
  <c r="E280" i="2" s="1"/>
  <c r="F280" i="2"/>
  <c r="H280" i="2" s="1"/>
  <c r="C281" i="4" s="1"/>
  <c r="D280" i="2" l="1"/>
  <c r="I280" i="2" s="1"/>
  <c r="G280" i="2"/>
  <c r="C281" i="2"/>
  <c r="E281" i="2" s="1"/>
  <c r="F281" i="2"/>
  <c r="H281" i="2" s="1"/>
  <c r="C282" i="4" s="1"/>
  <c r="A283" i="2"/>
  <c r="B282" i="2"/>
  <c r="K281" i="2"/>
  <c r="B280" i="4"/>
  <c r="D280" i="4" s="1"/>
  <c r="J279" i="2"/>
  <c r="C282" i="2" l="1"/>
  <c r="E282" i="2" s="1"/>
  <c r="F282" i="2"/>
  <c r="H282" i="2" s="1"/>
  <c r="C283" i="4" s="1"/>
  <c r="K282" i="2"/>
  <c r="B283" i="2"/>
  <c r="A284" i="2"/>
  <c r="K283" i="2"/>
  <c r="B281" i="4"/>
  <c r="D281" i="4" s="1"/>
  <c r="J280" i="2"/>
  <c r="D281" i="2"/>
  <c r="I281" i="2" s="1"/>
  <c r="G281" i="2"/>
  <c r="B282" i="4" l="1"/>
  <c r="D282" i="4" s="1"/>
  <c r="J281" i="2"/>
  <c r="C283" i="2"/>
  <c r="D283" i="2" s="1"/>
  <c r="F283" i="2"/>
  <c r="G283" i="2" s="1"/>
  <c r="B284" i="2"/>
  <c r="A285" i="2"/>
  <c r="K284" i="2"/>
  <c r="D282" i="2"/>
  <c r="I282" i="2" s="1"/>
  <c r="G282" i="2"/>
  <c r="B284" i="4" l="1"/>
  <c r="A286" i="2"/>
  <c r="K285" i="2"/>
  <c r="B285" i="2"/>
  <c r="C284" i="2"/>
  <c r="E284" i="2" s="1"/>
  <c r="F284" i="2"/>
  <c r="H284" i="2" s="1"/>
  <c r="C285" i="4" s="1"/>
  <c r="H283" i="2"/>
  <c r="C284" i="4" s="1"/>
  <c r="E283" i="2"/>
  <c r="I283" i="2" s="1"/>
  <c r="B283" i="4"/>
  <c r="D283" i="4" s="1"/>
  <c r="J282" i="2"/>
  <c r="G284" i="2" l="1"/>
  <c r="D284" i="2"/>
  <c r="I284" i="2" s="1"/>
  <c r="F285" i="2"/>
  <c r="G285" i="2" s="1"/>
  <c r="C285" i="2"/>
  <c r="D285" i="2" s="1"/>
  <c r="B286" i="2"/>
  <c r="A287" i="2"/>
  <c r="K286" i="2"/>
  <c r="J283" i="2"/>
  <c r="D284" i="4"/>
  <c r="B286" i="4" l="1"/>
  <c r="C286" i="2"/>
  <c r="D286" i="2" s="1"/>
  <c r="F286" i="2"/>
  <c r="G286" i="2" s="1"/>
  <c r="E285" i="2"/>
  <c r="I285" i="2" s="1"/>
  <c r="H285" i="2"/>
  <c r="C286" i="4" s="1"/>
  <c r="B287" i="2"/>
  <c r="A288" i="2"/>
  <c r="K287" i="2"/>
  <c r="B285" i="4"/>
  <c r="D285" i="4" s="1"/>
  <c r="J284" i="2"/>
  <c r="B287" i="4" l="1"/>
  <c r="C287" i="2"/>
  <c r="E287" i="2" s="1"/>
  <c r="F287" i="2"/>
  <c r="H287" i="2" s="1"/>
  <c r="C288" i="4" s="1"/>
  <c r="A289" i="2"/>
  <c r="B288" i="2"/>
  <c r="E286" i="2"/>
  <c r="I286" i="2" s="1"/>
  <c r="H286" i="2"/>
  <c r="C287" i="4" s="1"/>
  <c r="J285" i="2"/>
  <c r="D286" i="4"/>
  <c r="F288" i="2" l="1"/>
  <c r="H288" i="2" s="1"/>
  <c r="C289" i="4" s="1"/>
  <c r="C288" i="2"/>
  <c r="E288" i="2" s="1"/>
  <c r="K288" i="2"/>
  <c r="B289" i="2"/>
  <c r="A290" i="2"/>
  <c r="K289" i="2"/>
  <c r="D287" i="2"/>
  <c r="I287" i="2" s="1"/>
  <c r="G287" i="2"/>
  <c r="J286" i="2"/>
  <c r="D287" i="4"/>
  <c r="B288" i="4" l="1"/>
  <c r="D288" i="4" s="1"/>
  <c r="J287" i="2"/>
  <c r="F289" i="2"/>
  <c r="H289" i="2" s="1"/>
  <c r="C290" i="4" s="1"/>
  <c r="C289" i="2"/>
  <c r="E289" i="2" s="1"/>
  <c r="B290" i="2"/>
  <c r="A291" i="2"/>
  <c r="K290" i="2"/>
  <c r="D288" i="2"/>
  <c r="I288" i="2" s="1"/>
  <c r="G288" i="2"/>
  <c r="A292" i="2" l="1"/>
  <c r="B291" i="2"/>
  <c r="F290" i="2"/>
  <c r="G290" i="2" s="1"/>
  <c r="C290" i="2"/>
  <c r="D290" i="2" s="1"/>
  <c r="G289" i="2"/>
  <c r="B289" i="4"/>
  <c r="D289" i="4" s="1"/>
  <c r="J288" i="2"/>
  <c r="D289" i="2"/>
  <c r="I289" i="2" s="1"/>
  <c r="B291" i="4" l="1"/>
  <c r="B290" i="4"/>
  <c r="D290" i="4" s="1"/>
  <c r="J289" i="2"/>
  <c r="E290" i="2"/>
  <c r="I290" i="2" s="1"/>
  <c r="H290" i="2"/>
  <c r="C291" i="4" s="1"/>
  <c r="F291" i="2"/>
  <c r="G291" i="2" s="1"/>
  <c r="C291" i="2"/>
  <c r="D291" i="2" s="1"/>
  <c r="K291" i="2"/>
  <c r="B292" i="2"/>
  <c r="A293" i="2"/>
  <c r="B292" i="4" l="1"/>
  <c r="B293" i="2"/>
  <c r="A294" i="2"/>
  <c r="K293" i="2"/>
  <c r="E291" i="2"/>
  <c r="I291" i="2" s="1"/>
  <c r="C292" i="2"/>
  <c r="E292" i="2" s="1"/>
  <c r="F292" i="2"/>
  <c r="G292" i="2" s="1"/>
  <c r="H291" i="2"/>
  <c r="C292" i="4" s="1"/>
  <c r="D291" i="4"/>
  <c r="J290" i="2"/>
  <c r="K292" i="2"/>
  <c r="B293" i="4" l="1"/>
  <c r="H292" i="2"/>
  <c r="C293" i="4" s="1"/>
  <c r="D292" i="2"/>
  <c r="I292" i="2" s="1"/>
  <c r="A295" i="2"/>
  <c r="B294" i="2"/>
  <c r="K294" i="2" s="1"/>
  <c r="C293" i="2"/>
  <c r="E293" i="2" s="1"/>
  <c r="F293" i="2"/>
  <c r="G293" i="2" s="1"/>
  <c r="J291" i="2"/>
  <c r="D292" i="4"/>
  <c r="B294" i="4" l="1"/>
  <c r="H293" i="2"/>
  <c r="C294" i="4" s="1"/>
  <c r="A296" i="2"/>
  <c r="B295" i="2"/>
  <c r="D293" i="2"/>
  <c r="I293" i="2" s="1"/>
  <c r="J292" i="2"/>
  <c r="F294" i="2"/>
  <c r="G294" i="2" s="1"/>
  <c r="C294" i="2"/>
  <c r="D294" i="2" s="1"/>
  <c r="D293" i="4"/>
  <c r="B295" i="4" l="1"/>
  <c r="E294" i="2"/>
  <c r="I294" i="2" s="1"/>
  <c r="H294" i="2"/>
  <c r="C295" i="4" s="1"/>
  <c r="C295" i="2"/>
  <c r="D295" i="2" s="1"/>
  <c r="F295" i="2"/>
  <c r="G295" i="2" s="1"/>
  <c r="K295" i="2"/>
  <c r="B296" i="2"/>
  <c r="A297" i="2"/>
  <c r="K296" i="2"/>
  <c r="J293" i="2"/>
  <c r="D294" i="4"/>
  <c r="B296" i="4" l="1"/>
  <c r="C296" i="2"/>
  <c r="E296" i="2" s="1"/>
  <c r="F296" i="2"/>
  <c r="H296" i="2" s="1"/>
  <c r="C297" i="4" s="1"/>
  <c r="E295" i="2"/>
  <c r="I295" i="2" s="1"/>
  <c r="H295" i="2"/>
  <c r="C296" i="4" s="1"/>
  <c r="K297" i="2"/>
  <c r="B297" i="2"/>
  <c r="A298" i="2"/>
  <c r="J294" i="2"/>
  <c r="D295" i="4"/>
  <c r="F297" i="2" l="1"/>
  <c r="H297" i="2" s="1"/>
  <c r="C298" i="4" s="1"/>
  <c r="C297" i="2"/>
  <c r="E297" i="2" s="1"/>
  <c r="A299" i="2"/>
  <c r="B298" i="2"/>
  <c r="G296" i="2"/>
  <c r="D296" i="2"/>
  <c r="I296" i="2" s="1"/>
  <c r="J295" i="2"/>
  <c r="D296" i="4"/>
  <c r="C298" i="2" l="1"/>
  <c r="E298" i="2" s="1"/>
  <c r="F298" i="2"/>
  <c r="H298" i="2" s="1"/>
  <c r="C299" i="4" s="1"/>
  <c r="K298" i="2"/>
  <c r="B299" i="2"/>
  <c r="A300" i="2"/>
  <c r="K299" i="2"/>
  <c r="G297" i="2"/>
  <c r="B297" i="4"/>
  <c r="D297" i="4" s="1"/>
  <c r="J296" i="2"/>
  <c r="D297" i="2"/>
  <c r="I297" i="2" s="1"/>
  <c r="B298" i="4" l="1"/>
  <c r="D298" i="4" s="1"/>
  <c r="J297" i="2"/>
  <c r="B300" i="2"/>
  <c r="A301" i="2"/>
  <c r="K300" i="2"/>
  <c r="D298" i="2"/>
  <c r="I298" i="2" s="1"/>
  <c r="C299" i="2"/>
  <c r="D299" i="2" s="1"/>
  <c r="F299" i="2"/>
  <c r="H299" i="2" s="1"/>
  <c r="C300" i="4" s="1"/>
  <c r="G298" i="2"/>
  <c r="G299" i="2" l="1"/>
  <c r="E299" i="2"/>
  <c r="I299" i="2" s="1"/>
  <c r="B299" i="4"/>
  <c r="D299" i="4" s="1"/>
  <c r="J298" i="2"/>
  <c r="A302" i="2"/>
  <c r="K301" i="2"/>
  <c r="B301" i="2"/>
  <c r="C300" i="2"/>
  <c r="D300" i="2" s="1"/>
  <c r="F300" i="2"/>
  <c r="H300" i="2" s="1"/>
  <c r="C301" i="4" s="1"/>
  <c r="E300" i="2" l="1"/>
  <c r="I300" i="2" s="1"/>
  <c r="G300" i="2"/>
  <c r="C301" i="2"/>
  <c r="E301" i="2" s="1"/>
  <c r="F301" i="2"/>
  <c r="H301" i="2" s="1"/>
  <c r="C302" i="4" s="1"/>
  <c r="B302" i="2"/>
  <c r="A303" i="2"/>
  <c r="K302" i="2"/>
  <c r="B300" i="4"/>
  <c r="D300" i="4" s="1"/>
  <c r="J299" i="2"/>
  <c r="B303" i="2" l="1"/>
  <c r="A304" i="2"/>
  <c r="K303" i="2"/>
  <c r="C302" i="2"/>
  <c r="D302" i="2" s="1"/>
  <c r="F302" i="2"/>
  <c r="H302" i="2" s="1"/>
  <c r="C303" i="4" s="1"/>
  <c r="B301" i="4"/>
  <c r="D301" i="4" s="1"/>
  <c r="J300" i="2"/>
  <c r="D301" i="2"/>
  <c r="I301" i="2" s="1"/>
  <c r="G301" i="2"/>
  <c r="B302" i="4" l="1"/>
  <c r="D302" i="4" s="1"/>
  <c r="J301" i="2"/>
  <c r="G302" i="2"/>
  <c r="E302" i="2"/>
  <c r="I302" i="2" s="1"/>
  <c r="A305" i="2"/>
  <c r="B304" i="2"/>
  <c r="C303" i="2"/>
  <c r="D303" i="2" s="1"/>
  <c r="F303" i="2"/>
  <c r="H303" i="2" s="1"/>
  <c r="C304" i="4" s="1"/>
  <c r="E303" i="2" l="1"/>
  <c r="I303" i="2" s="1"/>
  <c r="G303" i="2"/>
  <c r="C304" i="2"/>
  <c r="E304" i="2" s="1"/>
  <c r="F304" i="2"/>
  <c r="H304" i="2" s="1"/>
  <c r="C305" i="4" s="1"/>
  <c r="B305" i="2"/>
  <c r="A306" i="2"/>
  <c r="K305" i="2"/>
  <c r="K304" i="2"/>
  <c r="B303" i="4"/>
  <c r="D303" i="4" s="1"/>
  <c r="J302" i="2"/>
  <c r="D304" i="2" l="1"/>
  <c r="I304" i="2" s="1"/>
  <c r="G304" i="2"/>
  <c r="F305" i="2"/>
  <c r="H305" i="2" s="1"/>
  <c r="C306" i="4" s="1"/>
  <c r="C305" i="2"/>
  <c r="E305" i="2" s="1"/>
  <c r="B304" i="4"/>
  <c r="D304" i="4" s="1"/>
  <c r="J303" i="2"/>
  <c r="B306" i="2"/>
  <c r="A307" i="2"/>
  <c r="K306" i="2"/>
  <c r="A308" i="2" l="1"/>
  <c r="B307" i="2"/>
  <c r="F306" i="2"/>
  <c r="H306" i="2" s="1"/>
  <c r="C307" i="4" s="1"/>
  <c r="C306" i="2"/>
  <c r="E306" i="2" s="1"/>
  <c r="B305" i="4"/>
  <c r="D305" i="4" s="1"/>
  <c r="J304" i="2"/>
  <c r="D305" i="2"/>
  <c r="I305" i="2" s="1"/>
  <c r="G305" i="2"/>
  <c r="D306" i="2" l="1"/>
  <c r="I306" i="2" s="1"/>
  <c r="B306" i="4"/>
  <c r="D306" i="4" s="1"/>
  <c r="J305" i="2"/>
  <c r="G306" i="2"/>
  <c r="F307" i="2"/>
  <c r="H307" i="2" s="1"/>
  <c r="C308" i="4" s="1"/>
  <c r="C307" i="2"/>
  <c r="E307" i="2" s="1"/>
  <c r="K307" i="2"/>
  <c r="B308" i="2"/>
  <c r="A309" i="2"/>
  <c r="K308" i="2"/>
  <c r="B309" i="2" l="1"/>
  <c r="A310" i="2"/>
  <c r="K309" i="2"/>
  <c r="C308" i="2"/>
  <c r="E308" i="2" s="1"/>
  <c r="F308" i="2"/>
  <c r="H308" i="2" s="1"/>
  <c r="C309" i="4" s="1"/>
  <c r="D307" i="2"/>
  <c r="I307" i="2" s="1"/>
  <c r="G307" i="2"/>
  <c r="B307" i="4"/>
  <c r="D307" i="4" s="1"/>
  <c r="J306" i="2"/>
  <c r="D308" i="2" l="1"/>
  <c r="I308" i="2" s="1"/>
  <c r="B308" i="4"/>
  <c r="D308" i="4" s="1"/>
  <c r="J307" i="2"/>
  <c r="G308" i="2"/>
  <c r="A311" i="2"/>
  <c r="B310" i="2"/>
  <c r="C309" i="2"/>
  <c r="E309" i="2" s="1"/>
  <c r="F309" i="2"/>
  <c r="H309" i="2" s="1"/>
  <c r="C310" i="4" s="1"/>
  <c r="D309" i="2" l="1"/>
  <c r="I309" i="2" s="1"/>
  <c r="G309" i="2"/>
  <c r="C310" i="2"/>
  <c r="E310" i="2" s="1"/>
  <c r="F310" i="2"/>
  <c r="H310" i="2" s="1"/>
  <c r="C311" i="4" s="1"/>
  <c r="A312" i="2"/>
  <c r="K311" i="2"/>
  <c r="B311" i="2"/>
  <c r="K310" i="2"/>
  <c r="B309" i="4"/>
  <c r="D309" i="4" s="1"/>
  <c r="J308" i="2"/>
  <c r="C311" i="2" l="1"/>
  <c r="E311" i="2" s="1"/>
  <c r="F311" i="2"/>
  <c r="H311" i="2" s="1"/>
  <c r="C312" i="4" s="1"/>
  <c r="B312" i="2"/>
  <c r="A313" i="2"/>
  <c r="K312" i="2"/>
  <c r="B310" i="4"/>
  <c r="D310" i="4" s="1"/>
  <c r="J309" i="2"/>
  <c r="D310" i="2"/>
  <c r="I310" i="2" s="1"/>
  <c r="G310" i="2"/>
  <c r="B311" i="4" l="1"/>
  <c r="D311" i="4" s="1"/>
  <c r="J310" i="2"/>
  <c r="B313" i="2"/>
  <c r="A314" i="2"/>
  <c r="C312" i="2"/>
  <c r="E312" i="2" s="1"/>
  <c r="F312" i="2"/>
  <c r="H312" i="2" s="1"/>
  <c r="C313" i="4" s="1"/>
  <c r="D311" i="2"/>
  <c r="I311" i="2" s="1"/>
  <c r="G311" i="2"/>
  <c r="B312" i="4" l="1"/>
  <c r="D312" i="4" s="1"/>
  <c r="J311" i="2"/>
  <c r="D312" i="2"/>
  <c r="I312" i="2" s="1"/>
  <c r="G312" i="2"/>
  <c r="F313" i="2"/>
  <c r="G313" i="2" s="1"/>
  <c r="C313" i="2"/>
  <c r="E313" i="2" s="1"/>
  <c r="A315" i="2"/>
  <c r="B314" i="2"/>
  <c r="K313" i="2"/>
  <c r="B314" i="4" l="1"/>
  <c r="C314" i="2"/>
  <c r="D314" i="2" s="1"/>
  <c r="F314" i="2"/>
  <c r="H314" i="2" s="1"/>
  <c r="C315" i="4" s="1"/>
  <c r="B315" i="2"/>
  <c r="A316" i="2"/>
  <c r="K315" i="2"/>
  <c r="H313" i="2"/>
  <c r="C314" i="4" s="1"/>
  <c r="K314" i="2"/>
  <c r="B313" i="4"/>
  <c r="D313" i="4" s="1"/>
  <c r="J312" i="2"/>
  <c r="D313" i="2"/>
  <c r="I313" i="2" s="1"/>
  <c r="B316" i="2" l="1"/>
  <c r="A317" i="2"/>
  <c r="K316" i="2"/>
  <c r="C315" i="2"/>
  <c r="E315" i="2" s="1"/>
  <c r="F315" i="2"/>
  <c r="H315" i="2" s="1"/>
  <c r="C316" i="4" s="1"/>
  <c r="E314" i="2"/>
  <c r="I314" i="2" s="1"/>
  <c r="G314" i="2"/>
  <c r="J313" i="2"/>
  <c r="D314" i="4"/>
  <c r="B315" i="4" l="1"/>
  <c r="D315" i="4" s="1"/>
  <c r="J314" i="2"/>
  <c r="G315" i="2"/>
  <c r="D315" i="2"/>
  <c r="I315" i="2" s="1"/>
  <c r="A318" i="2"/>
  <c r="K317" i="2"/>
  <c r="B317" i="2"/>
  <c r="F316" i="2"/>
  <c r="G316" i="2" s="1"/>
  <c r="C316" i="2"/>
  <c r="E316" i="2" s="1"/>
  <c r="B317" i="4" l="1"/>
  <c r="H316" i="2"/>
  <c r="C317" i="4" s="1"/>
  <c r="D316" i="2"/>
  <c r="I316" i="2" s="1"/>
  <c r="C317" i="2"/>
  <c r="E317" i="2" s="1"/>
  <c r="F317" i="2"/>
  <c r="H317" i="2" s="1"/>
  <c r="C318" i="4" s="1"/>
  <c r="B318" i="2"/>
  <c r="K318" i="2" s="1"/>
  <c r="A319" i="2"/>
  <c r="B316" i="4"/>
  <c r="D316" i="4" s="1"/>
  <c r="J315" i="2"/>
  <c r="B319" i="2" l="1"/>
  <c r="A320" i="2"/>
  <c r="K319" i="2"/>
  <c r="G317" i="2"/>
  <c r="C318" i="2"/>
  <c r="E318" i="2" s="1"/>
  <c r="F318" i="2"/>
  <c r="H318" i="2" s="1"/>
  <c r="C319" i="4" s="1"/>
  <c r="D317" i="2"/>
  <c r="I317" i="2" s="1"/>
  <c r="J316" i="2"/>
  <c r="D317" i="4"/>
  <c r="G318" i="2" l="1"/>
  <c r="D318" i="2"/>
  <c r="I318" i="2" s="1"/>
  <c r="B318" i="4"/>
  <c r="D318" i="4" s="1"/>
  <c r="J317" i="2"/>
  <c r="A321" i="2"/>
  <c r="B320" i="2"/>
  <c r="K320" i="2" s="1"/>
  <c r="F319" i="2"/>
  <c r="G319" i="2" s="1"/>
  <c r="C319" i="2"/>
  <c r="E319" i="2" s="1"/>
  <c r="B320" i="4" l="1"/>
  <c r="D319" i="2"/>
  <c r="I319" i="2" s="1"/>
  <c r="H319" i="2"/>
  <c r="C320" i="4" s="1"/>
  <c r="C320" i="2"/>
  <c r="D320" i="2" s="1"/>
  <c r="F320" i="2"/>
  <c r="G320" i="2" s="1"/>
  <c r="B321" i="2"/>
  <c r="A322" i="2"/>
  <c r="K321" i="2"/>
  <c r="B319" i="4"/>
  <c r="D319" i="4" s="1"/>
  <c r="J318" i="2"/>
  <c r="B321" i="4" l="1"/>
  <c r="B322" i="2"/>
  <c r="A323" i="2"/>
  <c r="K322" i="2"/>
  <c r="F321" i="2"/>
  <c r="H321" i="2" s="1"/>
  <c r="C322" i="4" s="1"/>
  <c r="C321" i="2"/>
  <c r="E321" i="2" s="1"/>
  <c r="E320" i="2"/>
  <c r="I320" i="2" s="1"/>
  <c r="H320" i="2"/>
  <c r="C321" i="4" s="1"/>
  <c r="J319" i="2"/>
  <c r="D320" i="4"/>
  <c r="D321" i="2" l="1"/>
  <c r="I321" i="2" s="1"/>
  <c r="G321" i="2"/>
  <c r="A324" i="2"/>
  <c r="B323" i="2"/>
  <c r="J320" i="2"/>
  <c r="F322" i="2"/>
  <c r="H322" i="2" s="1"/>
  <c r="C323" i="4" s="1"/>
  <c r="C322" i="2"/>
  <c r="E322" i="2" s="1"/>
  <c r="D321" i="4"/>
  <c r="D322" i="2" l="1"/>
  <c r="I322" i="2" s="1"/>
  <c r="G322" i="2"/>
  <c r="C323" i="2"/>
  <c r="E323" i="2" s="1"/>
  <c r="F323" i="2"/>
  <c r="H323" i="2" s="1"/>
  <c r="C324" i="4" s="1"/>
  <c r="B322" i="4"/>
  <c r="D322" i="4" s="1"/>
  <c r="J321" i="2"/>
  <c r="K323" i="2"/>
  <c r="B324" i="2"/>
  <c r="A325" i="2"/>
  <c r="K324" i="2"/>
  <c r="B325" i="2" l="1"/>
  <c r="A326" i="2"/>
  <c r="K325" i="2"/>
  <c r="C324" i="2"/>
  <c r="E324" i="2" s="1"/>
  <c r="F324" i="2"/>
  <c r="H324" i="2" s="1"/>
  <c r="C325" i="4" s="1"/>
  <c r="B323" i="4"/>
  <c r="D323" i="4" s="1"/>
  <c r="J322" i="2"/>
  <c r="D323" i="2"/>
  <c r="I323" i="2" s="1"/>
  <c r="G323" i="2"/>
  <c r="B324" i="4" l="1"/>
  <c r="D324" i="4" s="1"/>
  <c r="J323" i="2"/>
  <c r="D324" i="2"/>
  <c r="I324" i="2" s="1"/>
  <c r="G324" i="2"/>
  <c r="A327" i="2"/>
  <c r="B326" i="2"/>
  <c r="F325" i="2"/>
  <c r="G325" i="2" s="1"/>
  <c r="C325" i="2"/>
  <c r="E325" i="2" s="1"/>
  <c r="B326" i="4" l="1"/>
  <c r="C326" i="2"/>
  <c r="D326" i="2" s="1"/>
  <c r="F326" i="2"/>
  <c r="H326" i="2" s="1"/>
  <c r="C327" i="4" s="1"/>
  <c r="H325" i="2"/>
  <c r="C326" i="4" s="1"/>
  <c r="K326" i="2"/>
  <c r="D325" i="2"/>
  <c r="I325" i="2" s="1"/>
  <c r="A328" i="2"/>
  <c r="K327" i="2"/>
  <c r="B327" i="2"/>
  <c r="B325" i="4"/>
  <c r="D325" i="4" s="1"/>
  <c r="J324" i="2"/>
  <c r="C327" i="2" l="1"/>
  <c r="E327" i="2" s="1"/>
  <c r="F327" i="2"/>
  <c r="H327" i="2" s="1"/>
  <c r="C328" i="4" s="1"/>
  <c r="B328" i="2"/>
  <c r="A329" i="2"/>
  <c r="K328" i="2"/>
  <c r="E326" i="2"/>
  <c r="I326" i="2" s="1"/>
  <c r="G326" i="2"/>
  <c r="J325" i="2"/>
  <c r="D326" i="4"/>
  <c r="B327" i="4" l="1"/>
  <c r="D327" i="4" s="1"/>
  <c r="J326" i="2"/>
  <c r="C328" i="2"/>
  <c r="D328" i="2" s="1"/>
  <c r="F328" i="2"/>
  <c r="H328" i="2" s="1"/>
  <c r="C329" i="4" s="1"/>
  <c r="B329" i="2"/>
  <c r="A330" i="2"/>
  <c r="D327" i="2"/>
  <c r="I327" i="2" s="1"/>
  <c r="G327" i="2"/>
  <c r="F329" i="2" l="1"/>
  <c r="H329" i="2" s="1"/>
  <c r="C330" i="4" s="1"/>
  <c r="C329" i="2"/>
  <c r="E329" i="2" s="1"/>
  <c r="K329" i="2"/>
  <c r="A331" i="2"/>
  <c r="K330" i="2"/>
  <c r="B330" i="2"/>
  <c r="E328" i="2"/>
  <c r="I328" i="2" s="1"/>
  <c r="B328" i="4"/>
  <c r="D328" i="4" s="1"/>
  <c r="J327" i="2"/>
  <c r="G328" i="2"/>
  <c r="B329" i="4" l="1"/>
  <c r="D329" i="4" s="1"/>
  <c r="J328" i="2"/>
  <c r="C330" i="2"/>
  <c r="E330" i="2" s="1"/>
  <c r="F330" i="2"/>
  <c r="H330" i="2" s="1"/>
  <c r="C331" i="4" s="1"/>
  <c r="B331" i="2"/>
  <c r="A332" i="2"/>
  <c r="K331" i="2"/>
  <c r="D329" i="2"/>
  <c r="I329" i="2" s="1"/>
  <c r="G329" i="2"/>
  <c r="B332" i="2" l="1"/>
  <c r="A333" i="2"/>
  <c r="K332" i="2"/>
  <c r="C331" i="2"/>
  <c r="E331" i="2" s="1"/>
  <c r="F331" i="2"/>
  <c r="H331" i="2" s="1"/>
  <c r="C332" i="4" s="1"/>
  <c r="G330" i="2"/>
  <c r="B330" i="4"/>
  <c r="D330" i="4" s="1"/>
  <c r="J329" i="2"/>
  <c r="D330" i="2"/>
  <c r="I330" i="2" s="1"/>
  <c r="B331" i="4" l="1"/>
  <c r="D331" i="4" s="1"/>
  <c r="J330" i="2"/>
  <c r="D331" i="2"/>
  <c r="I331" i="2" s="1"/>
  <c r="G331" i="2"/>
  <c r="A334" i="2"/>
  <c r="B333" i="2"/>
  <c r="C332" i="2"/>
  <c r="D332" i="2" s="1"/>
  <c r="F332" i="2"/>
  <c r="G332" i="2" s="1"/>
  <c r="B333" i="4" l="1"/>
  <c r="H332" i="2"/>
  <c r="C333" i="4" s="1"/>
  <c r="E332" i="2"/>
  <c r="I332" i="2" s="1"/>
  <c r="C333" i="2"/>
  <c r="E333" i="2" s="1"/>
  <c r="F333" i="2"/>
  <c r="G333" i="2" s="1"/>
  <c r="B334" i="2"/>
  <c r="A335" i="2"/>
  <c r="K334" i="2"/>
  <c r="K333" i="2"/>
  <c r="B332" i="4"/>
  <c r="D332" i="4" s="1"/>
  <c r="J331" i="2"/>
  <c r="B334" i="4" l="1"/>
  <c r="C334" i="2"/>
  <c r="D334" i="2" s="1"/>
  <c r="F334" i="2"/>
  <c r="H334" i="2" s="1"/>
  <c r="C335" i="4" s="1"/>
  <c r="D333" i="2"/>
  <c r="I333" i="2" s="1"/>
  <c r="H333" i="2"/>
  <c r="C334" i="4" s="1"/>
  <c r="B335" i="2"/>
  <c r="A336" i="2"/>
  <c r="K335" i="2"/>
  <c r="J332" i="2"/>
  <c r="D333" i="4"/>
  <c r="G334" i="2" l="1"/>
  <c r="J333" i="2"/>
  <c r="A337" i="2"/>
  <c r="B336" i="2"/>
  <c r="F335" i="2"/>
  <c r="H335" i="2" s="1"/>
  <c r="C336" i="4" s="1"/>
  <c r="C335" i="2"/>
  <c r="E335" i="2" s="1"/>
  <c r="E334" i="2"/>
  <c r="I334" i="2" s="1"/>
  <c r="D334" i="4"/>
  <c r="D335" i="2" l="1"/>
  <c r="I335" i="2" s="1"/>
  <c r="C336" i="2"/>
  <c r="E336" i="2" s="1"/>
  <c r="F336" i="2"/>
  <c r="G336" i="2" s="1"/>
  <c r="K336" i="2"/>
  <c r="G335" i="2"/>
  <c r="B337" i="2"/>
  <c r="A338" i="2"/>
  <c r="K337" i="2"/>
  <c r="B335" i="4"/>
  <c r="D335" i="4" s="1"/>
  <c r="J334" i="2"/>
  <c r="B337" i="4" l="1"/>
  <c r="B336" i="4"/>
  <c r="D336" i="4" s="1"/>
  <c r="J335" i="2"/>
  <c r="D336" i="2"/>
  <c r="I336" i="2" s="1"/>
  <c r="H336" i="2"/>
  <c r="C337" i="4" s="1"/>
  <c r="B338" i="2"/>
  <c r="A339" i="2"/>
  <c r="K338" i="2"/>
  <c r="F337" i="2"/>
  <c r="G337" i="2" s="1"/>
  <c r="C337" i="2"/>
  <c r="D337" i="2" s="1"/>
  <c r="B338" i="4" l="1"/>
  <c r="H337" i="2"/>
  <c r="C338" i="4" s="1"/>
  <c r="C338" i="2"/>
  <c r="D338" i="2" s="1"/>
  <c r="F338" i="2"/>
  <c r="H338" i="2" s="1"/>
  <c r="C339" i="4" s="1"/>
  <c r="E337" i="2"/>
  <c r="I337" i="2" s="1"/>
  <c r="A340" i="2"/>
  <c r="B339" i="2"/>
  <c r="K339" i="2" s="1"/>
  <c r="J336" i="2"/>
  <c r="D337" i="4"/>
  <c r="B340" i="2" l="1"/>
  <c r="A341" i="2"/>
  <c r="K340" i="2"/>
  <c r="E338" i="2"/>
  <c r="I338" i="2" s="1"/>
  <c r="G338" i="2"/>
  <c r="J337" i="2"/>
  <c r="C339" i="2"/>
  <c r="E339" i="2" s="1"/>
  <c r="F339" i="2"/>
  <c r="H339" i="2" s="1"/>
  <c r="C340" i="4" s="1"/>
  <c r="D338" i="4"/>
  <c r="G339" i="2" l="1"/>
  <c r="B339" i="4"/>
  <c r="D339" i="4" s="1"/>
  <c r="J338" i="2"/>
  <c r="D339" i="2"/>
  <c r="I339" i="2" s="1"/>
  <c r="B341" i="2"/>
  <c r="A342" i="2"/>
  <c r="K341" i="2"/>
  <c r="F340" i="2"/>
  <c r="H340" i="2" s="1"/>
  <c r="C341" i="4" s="1"/>
  <c r="C340" i="2"/>
  <c r="E340" i="2" s="1"/>
  <c r="D340" i="2" l="1"/>
  <c r="I340" i="2" s="1"/>
  <c r="G340" i="2"/>
  <c r="A343" i="2"/>
  <c r="B342" i="2"/>
  <c r="F341" i="2"/>
  <c r="G341" i="2" s="1"/>
  <c r="C341" i="2"/>
  <c r="E341" i="2" s="1"/>
  <c r="B340" i="4"/>
  <c r="D340" i="4" s="1"/>
  <c r="J339" i="2"/>
  <c r="B342" i="4" l="1"/>
  <c r="D341" i="2"/>
  <c r="I341" i="2" s="1"/>
  <c r="C342" i="2"/>
  <c r="E342" i="2" s="1"/>
  <c r="F342" i="2"/>
  <c r="H342" i="2" s="1"/>
  <c r="C343" i="4" s="1"/>
  <c r="H341" i="2"/>
  <c r="C342" i="4" s="1"/>
  <c r="B341" i="4"/>
  <c r="D341" i="4" s="1"/>
  <c r="J340" i="2"/>
  <c r="K342" i="2"/>
  <c r="A344" i="2"/>
  <c r="B343" i="2"/>
  <c r="C343" i="2" l="1"/>
  <c r="E343" i="2" s="1"/>
  <c r="F343" i="2"/>
  <c r="H343" i="2" s="1"/>
  <c r="C344" i="4" s="1"/>
  <c r="D342" i="2"/>
  <c r="I342" i="2" s="1"/>
  <c r="K343" i="2"/>
  <c r="B344" i="2"/>
  <c r="A345" i="2"/>
  <c r="K344" i="2"/>
  <c r="G342" i="2"/>
  <c r="J341" i="2"/>
  <c r="D342" i="4"/>
  <c r="B343" i="4" l="1"/>
  <c r="D343" i="4" s="1"/>
  <c r="J342" i="2"/>
  <c r="F344" i="2"/>
  <c r="G344" i="2" s="1"/>
  <c r="C344" i="2"/>
  <c r="D344" i="2" s="1"/>
  <c r="B345" i="2"/>
  <c r="A346" i="2"/>
  <c r="D343" i="2"/>
  <c r="I343" i="2" s="1"/>
  <c r="G343" i="2"/>
  <c r="B345" i="4" l="1"/>
  <c r="A347" i="2"/>
  <c r="B346" i="2"/>
  <c r="K346" i="2" s="1"/>
  <c r="B344" i="4"/>
  <c r="D344" i="4" s="1"/>
  <c r="J343" i="2"/>
  <c r="H344" i="2"/>
  <c r="C345" i="4" s="1"/>
  <c r="E344" i="2"/>
  <c r="I344" i="2" s="1"/>
  <c r="F345" i="2"/>
  <c r="H345" i="2" s="1"/>
  <c r="C346" i="4" s="1"/>
  <c r="C345" i="2"/>
  <c r="E345" i="2" s="1"/>
  <c r="K345" i="2"/>
  <c r="D345" i="2" l="1"/>
  <c r="I345" i="2" s="1"/>
  <c r="G345" i="2"/>
  <c r="J344" i="2"/>
  <c r="C346" i="2"/>
  <c r="E346" i="2" s="1"/>
  <c r="F346" i="2"/>
  <c r="H346" i="2" s="1"/>
  <c r="C347" i="4" s="1"/>
  <c r="B347" i="2"/>
  <c r="A348" i="2"/>
  <c r="K347" i="2"/>
  <c r="D345" i="4"/>
  <c r="B348" i="2" l="1"/>
  <c r="A349" i="2"/>
  <c r="K348" i="2"/>
  <c r="D346" i="2"/>
  <c r="I346" i="2" s="1"/>
  <c r="B346" i="4"/>
  <c r="D346" i="4" s="1"/>
  <c r="J345" i="2"/>
  <c r="F347" i="2"/>
  <c r="H347" i="2" s="1"/>
  <c r="C348" i="4" s="1"/>
  <c r="C347" i="2"/>
  <c r="E347" i="2" s="1"/>
  <c r="G346" i="2"/>
  <c r="B347" i="4" l="1"/>
  <c r="D347" i="4" s="1"/>
  <c r="J346" i="2"/>
  <c r="G347" i="2"/>
  <c r="D347" i="2"/>
  <c r="I347" i="2" s="1"/>
  <c r="A350" i="2"/>
  <c r="B349" i="2"/>
  <c r="C348" i="2"/>
  <c r="E348" i="2" s="1"/>
  <c r="F348" i="2"/>
  <c r="G348" i="2" s="1"/>
  <c r="B349" i="4" l="1"/>
  <c r="H348" i="2"/>
  <c r="C349" i="4" s="1"/>
  <c r="C349" i="2"/>
  <c r="E349" i="2" s="1"/>
  <c r="F349" i="2"/>
  <c r="H349" i="2" s="1"/>
  <c r="C350" i="4" s="1"/>
  <c r="B350" i="2"/>
  <c r="A351" i="2"/>
  <c r="K350" i="2"/>
  <c r="D348" i="2"/>
  <c r="I348" i="2" s="1"/>
  <c r="B348" i="4"/>
  <c r="D348" i="4" s="1"/>
  <c r="J347" i="2"/>
  <c r="K349" i="2"/>
  <c r="B351" i="2" l="1"/>
  <c r="A352" i="2"/>
  <c r="K351" i="2"/>
  <c r="D349" i="2"/>
  <c r="I349" i="2" s="1"/>
  <c r="G349" i="2"/>
  <c r="J348" i="2"/>
  <c r="C350" i="2"/>
  <c r="D350" i="2" s="1"/>
  <c r="F350" i="2"/>
  <c r="H350" i="2" s="1"/>
  <c r="C351" i="4" s="1"/>
  <c r="D349" i="4"/>
  <c r="E350" i="2" l="1"/>
  <c r="I350" i="2" s="1"/>
  <c r="B350" i="4"/>
  <c r="D350" i="4" s="1"/>
  <c r="J349" i="2"/>
  <c r="G350" i="2"/>
  <c r="A353" i="2"/>
  <c r="K352" i="2"/>
  <c r="B352" i="2"/>
  <c r="C351" i="2"/>
  <c r="D351" i="2" s="1"/>
  <c r="F351" i="2"/>
  <c r="G351" i="2" s="1"/>
  <c r="B352" i="4" l="1"/>
  <c r="E351" i="2"/>
  <c r="I351" i="2" s="1"/>
  <c r="H351" i="2"/>
  <c r="C352" i="4" s="1"/>
  <c r="B353" i="2"/>
  <c r="A354" i="2"/>
  <c r="K353" i="2"/>
  <c r="C352" i="2"/>
  <c r="E352" i="2" s="1"/>
  <c r="F352" i="2"/>
  <c r="G352" i="2" s="1"/>
  <c r="B351" i="4"/>
  <c r="D351" i="4" s="1"/>
  <c r="J350" i="2"/>
  <c r="B353" i="4" l="1"/>
  <c r="H352" i="2"/>
  <c r="C353" i="4" s="1"/>
  <c r="F353" i="2"/>
  <c r="H353" i="2" s="1"/>
  <c r="C354" i="4" s="1"/>
  <c r="C353" i="2"/>
  <c r="E353" i="2" s="1"/>
  <c r="D352" i="2"/>
  <c r="I352" i="2" s="1"/>
  <c r="B354" i="2"/>
  <c r="A355" i="2"/>
  <c r="K354" i="2"/>
  <c r="J351" i="2"/>
  <c r="D352" i="4"/>
  <c r="A356" i="2" l="1"/>
  <c r="K355" i="2"/>
  <c r="B355" i="2"/>
  <c r="C354" i="2"/>
  <c r="E354" i="2" s="1"/>
  <c r="F354" i="2"/>
  <c r="H354" i="2" s="1"/>
  <c r="C355" i="4" s="1"/>
  <c r="D353" i="2"/>
  <c r="I353" i="2" s="1"/>
  <c r="G353" i="2"/>
  <c r="J352" i="2"/>
  <c r="D353" i="4"/>
  <c r="B354" i="4" l="1"/>
  <c r="D354" i="4" s="1"/>
  <c r="J353" i="2"/>
  <c r="D354" i="2"/>
  <c r="I354" i="2" s="1"/>
  <c r="G354" i="2"/>
  <c r="C355" i="2"/>
  <c r="E355" i="2" s="1"/>
  <c r="F355" i="2"/>
  <c r="G355" i="2" s="1"/>
  <c r="B356" i="2"/>
  <c r="A357" i="2"/>
  <c r="K356" i="2"/>
  <c r="B356" i="4" l="1"/>
  <c r="F356" i="2"/>
  <c r="H356" i="2" s="1"/>
  <c r="C357" i="4" s="1"/>
  <c r="C356" i="2"/>
  <c r="E356" i="2" s="1"/>
  <c r="H355" i="2"/>
  <c r="C356" i="4" s="1"/>
  <c r="B355" i="4"/>
  <c r="D355" i="4" s="1"/>
  <c r="J354" i="2"/>
  <c r="B357" i="2"/>
  <c r="A358" i="2"/>
  <c r="K357" i="2"/>
  <c r="D355" i="2"/>
  <c r="I355" i="2" s="1"/>
  <c r="A359" i="2" l="1"/>
  <c r="B358" i="2"/>
  <c r="F357" i="2"/>
  <c r="G357" i="2" s="1"/>
  <c r="C357" i="2"/>
  <c r="E357" i="2" s="1"/>
  <c r="D356" i="2"/>
  <c r="I356" i="2" s="1"/>
  <c r="J355" i="2"/>
  <c r="G356" i="2"/>
  <c r="D356" i="4"/>
  <c r="B358" i="4" l="1"/>
  <c r="D357" i="2"/>
  <c r="I357" i="2" s="1"/>
  <c r="H357" i="2"/>
  <c r="C358" i="4" s="1"/>
  <c r="C358" i="2"/>
  <c r="E358" i="2" s="1"/>
  <c r="F358" i="2"/>
  <c r="H358" i="2" s="1"/>
  <c r="C359" i="4" s="1"/>
  <c r="B357" i="4"/>
  <c r="D357" i="4" s="1"/>
  <c r="J356" i="2"/>
  <c r="K358" i="2"/>
  <c r="A360" i="2"/>
  <c r="K359" i="2"/>
  <c r="B359" i="2"/>
  <c r="C359" i="2" l="1"/>
  <c r="E359" i="2" s="1"/>
  <c r="F359" i="2"/>
  <c r="H359" i="2" s="1"/>
  <c r="C360" i="4" s="1"/>
  <c r="D358" i="2"/>
  <c r="I358" i="2" s="1"/>
  <c r="G358" i="2"/>
  <c r="B360" i="2"/>
  <c r="A361" i="2"/>
  <c r="K360" i="2"/>
  <c r="J357" i="2"/>
  <c r="D358" i="4"/>
  <c r="K361" i="2" l="1"/>
  <c r="B361" i="2"/>
  <c r="A362" i="2"/>
  <c r="B359" i="4"/>
  <c r="D359" i="4" s="1"/>
  <c r="J358" i="2"/>
  <c r="F360" i="2"/>
  <c r="G360" i="2" s="1"/>
  <c r="C360" i="2"/>
  <c r="E360" i="2" s="1"/>
  <c r="D359" i="2"/>
  <c r="I359" i="2" s="1"/>
  <c r="G359" i="2"/>
  <c r="B361" i="4" l="1"/>
  <c r="B360" i="4"/>
  <c r="D360" i="4" s="1"/>
  <c r="J359" i="2"/>
  <c r="H360" i="2"/>
  <c r="C361" i="4" s="1"/>
  <c r="D360" i="2"/>
  <c r="I360" i="2" s="1"/>
  <c r="A363" i="2"/>
  <c r="B362" i="2"/>
  <c r="F361" i="2"/>
  <c r="H361" i="2" s="1"/>
  <c r="C362" i="4" s="1"/>
  <c r="C361" i="2"/>
  <c r="D361" i="2" s="1"/>
  <c r="G361" i="2" l="1"/>
  <c r="E361" i="2"/>
  <c r="I361" i="2" s="1"/>
  <c r="C362" i="2"/>
  <c r="E362" i="2" s="1"/>
  <c r="F362" i="2"/>
  <c r="H362" i="2" s="1"/>
  <c r="C363" i="4" s="1"/>
  <c r="B363" i="2"/>
  <c r="A364" i="2"/>
  <c r="K363" i="2"/>
  <c r="K362" i="2"/>
  <c r="J360" i="2"/>
  <c r="D361" i="4"/>
  <c r="B364" i="2" l="1"/>
  <c r="A365" i="2"/>
  <c r="K364" i="2"/>
  <c r="G362" i="2"/>
  <c r="F363" i="2"/>
  <c r="H363" i="2" s="1"/>
  <c r="C364" i="4" s="1"/>
  <c r="C363" i="2"/>
  <c r="E363" i="2" s="1"/>
  <c r="D362" i="2"/>
  <c r="I362" i="2" s="1"/>
  <c r="B362" i="4"/>
  <c r="D362" i="4" s="1"/>
  <c r="J361" i="2"/>
  <c r="G363" i="2" l="1"/>
  <c r="D363" i="2"/>
  <c r="I363" i="2" s="1"/>
  <c r="B363" i="4"/>
  <c r="D363" i="4" s="1"/>
  <c r="J362" i="2"/>
  <c r="A366" i="2"/>
  <c r="K365" i="2"/>
  <c r="B365" i="2"/>
  <c r="C364" i="2"/>
  <c r="E364" i="2" s="1"/>
  <c r="F364" i="2"/>
  <c r="G364" i="2" s="1"/>
  <c r="B365" i="4" l="1"/>
  <c r="D364" i="2"/>
  <c r="I364" i="2" s="1"/>
  <c r="H364" i="2"/>
  <c r="C365" i="4" s="1"/>
  <c r="C365" i="2"/>
  <c r="E365" i="2" s="1"/>
  <c r="F365" i="2"/>
  <c r="G365" i="2" s="1"/>
  <c r="B366" i="2"/>
  <c r="A367" i="2"/>
  <c r="K366" i="2"/>
  <c r="B364" i="4"/>
  <c r="D364" i="4" s="1"/>
  <c r="J363" i="2"/>
  <c r="B366" i="4" l="1"/>
  <c r="B367" i="2"/>
  <c r="A368" i="2"/>
  <c r="K367" i="2"/>
  <c r="D365" i="2"/>
  <c r="I365" i="2" s="1"/>
  <c r="H365" i="2"/>
  <c r="C366" i="4" s="1"/>
  <c r="F366" i="2"/>
  <c r="H366" i="2" s="1"/>
  <c r="C367" i="4" s="1"/>
  <c r="C366" i="2"/>
  <c r="D366" i="2" s="1"/>
  <c r="J364" i="2"/>
  <c r="D365" i="4"/>
  <c r="G366" i="2" l="1"/>
  <c r="J365" i="2"/>
  <c r="E366" i="2"/>
  <c r="I366" i="2" s="1"/>
  <c r="A369" i="2"/>
  <c r="B368" i="2"/>
  <c r="C367" i="2"/>
  <c r="D367" i="2" s="1"/>
  <c r="F367" i="2"/>
  <c r="H367" i="2" s="1"/>
  <c r="C368" i="4" s="1"/>
  <c r="D366" i="4"/>
  <c r="G367" i="2" l="1"/>
  <c r="C368" i="2"/>
  <c r="E368" i="2" s="1"/>
  <c r="F368" i="2"/>
  <c r="H368" i="2" s="1"/>
  <c r="C369" i="4" s="1"/>
  <c r="E367" i="2"/>
  <c r="I367" i="2" s="1"/>
  <c r="K368" i="2"/>
  <c r="B369" i="2"/>
  <c r="A370" i="2"/>
  <c r="K369" i="2"/>
  <c r="B367" i="4"/>
  <c r="D367" i="4" s="1"/>
  <c r="J366" i="2"/>
  <c r="B370" i="2" l="1"/>
  <c r="A371" i="2"/>
  <c r="K370" i="2"/>
  <c r="D368" i="2"/>
  <c r="I368" i="2" s="1"/>
  <c r="C369" i="2"/>
  <c r="E369" i="2" s="1"/>
  <c r="F369" i="2"/>
  <c r="H369" i="2" s="1"/>
  <c r="C370" i="4" s="1"/>
  <c r="G368" i="2"/>
  <c r="B368" i="4"/>
  <c r="D368" i="4" s="1"/>
  <c r="J367" i="2"/>
  <c r="B369" i="4" l="1"/>
  <c r="D369" i="4" s="1"/>
  <c r="J368" i="2"/>
  <c r="D369" i="2"/>
  <c r="I369" i="2" s="1"/>
  <c r="G369" i="2"/>
  <c r="A372" i="2"/>
  <c r="B371" i="2"/>
  <c r="F370" i="2"/>
  <c r="H370" i="2" s="1"/>
  <c r="C371" i="4" s="1"/>
  <c r="C370" i="2"/>
  <c r="D370" i="2" s="1"/>
  <c r="G370" i="2" l="1"/>
  <c r="C371" i="2"/>
  <c r="E371" i="2" s="1"/>
  <c r="F371" i="2"/>
  <c r="H371" i="2" s="1"/>
  <c r="C372" i="4" s="1"/>
  <c r="B372" i="2"/>
  <c r="A373" i="2"/>
  <c r="K372" i="2"/>
  <c r="E370" i="2"/>
  <c r="I370" i="2" s="1"/>
  <c r="K371" i="2"/>
  <c r="B370" i="4"/>
  <c r="D370" i="4" s="1"/>
  <c r="J369" i="2"/>
  <c r="B373" i="2" l="1"/>
  <c r="A374" i="2"/>
  <c r="K373" i="2"/>
  <c r="F372" i="2"/>
  <c r="H372" i="2" s="1"/>
  <c r="C373" i="4" s="1"/>
  <c r="C372" i="2"/>
  <c r="E372" i="2" s="1"/>
  <c r="D371" i="2"/>
  <c r="I371" i="2" s="1"/>
  <c r="G371" i="2"/>
  <c r="B371" i="4"/>
  <c r="D371" i="4" s="1"/>
  <c r="J370" i="2"/>
  <c r="D372" i="2" l="1"/>
  <c r="I372" i="2" s="1"/>
  <c r="G372" i="2"/>
  <c r="B372" i="4"/>
  <c r="D372" i="4" s="1"/>
  <c r="J371" i="2"/>
  <c r="A375" i="2"/>
  <c r="K374" i="2"/>
  <c r="B374" i="2"/>
  <c r="C373" i="2"/>
  <c r="E373" i="2" s="1"/>
  <c r="F373" i="2"/>
  <c r="G373" i="2" s="1"/>
  <c r="B374" i="4" l="1"/>
  <c r="H373" i="2"/>
  <c r="C374" i="4" s="1"/>
  <c r="D373" i="2"/>
  <c r="I373" i="2" s="1"/>
  <c r="C374" i="2"/>
  <c r="D374" i="2" s="1"/>
  <c r="F374" i="2"/>
  <c r="H374" i="2" s="1"/>
  <c r="C375" i="4" s="1"/>
  <c r="A376" i="2"/>
  <c r="B375" i="2"/>
  <c r="B373" i="4"/>
  <c r="D373" i="4" s="1"/>
  <c r="J372" i="2"/>
  <c r="C375" i="2" l="1"/>
  <c r="E375" i="2" s="1"/>
  <c r="F375" i="2"/>
  <c r="H375" i="2" s="1"/>
  <c r="C376" i="4" s="1"/>
  <c r="B376" i="2"/>
  <c r="A377" i="2"/>
  <c r="K376" i="2"/>
  <c r="E374" i="2"/>
  <c r="I374" i="2" s="1"/>
  <c r="G374" i="2"/>
  <c r="J373" i="2"/>
  <c r="K375" i="2"/>
  <c r="D374" i="4"/>
  <c r="B377" i="2" l="1"/>
  <c r="A378" i="2"/>
  <c r="F376" i="2"/>
  <c r="H376" i="2" s="1"/>
  <c r="C377" i="4" s="1"/>
  <c r="C376" i="2"/>
  <c r="D376" i="2" s="1"/>
  <c r="B375" i="4"/>
  <c r="D375" i="4" s="1"/>
  <c r="J374" i="2"/>
  <c r="D375" i="2"/>
  <c r="I375" i="2" s="1"/>
  <c r="G375" i="2"/>
  <c r="B376" i="4" l="1"/>
  <c r="D376" i="4" s="1"/>
  <c r="J375" i="2"/>
  <c r="G376" i="2"/>
  <c r="E376" i="2"/>
  <c r="I376" i="2" s="1"/>
  <c r="C377" i="2"/>
  <c r="D377" i="2" s="1"/>
  <c r="F377" i="2"/>
  <c r="G377" i="2" s="1"/>
  <c r="A379" i="2"/>
  <c r="B378" i="2"/>
  <c r="K377" i="2"/>
  <c r="B378" i="4" l="1"/>
  <c r="F378" i="2"/>
  <c r="H378" i="2" s="1"/>
  <c r="C379" i="4" s="1"/>
  <c r="C378" i="2"/>
  <c r="E378" i="2" s="1"/>
  <c r="K378" i="2"/>
  <c r="B379" i="2"/>
  <c r="A380" i="2"/>
  <c r="K379" i="2"/>
  <c r="E377" i="2"/>
  <c r="I377" i="2" s="1"/>
  <c r="H377" i="2"/>
  <c r="C378" i="4" s="1"/>
  <c r="B377" i="4"/>
  <c r="D377" i="4" s="1"/>
  <c r="J376" i="2"/>
  <c r="B380" i="2" l="1"/>
  <c r="A381" i="2"/>
  <c r="K380" i="2"/>
  <c r="F379" i="2"/>
  <c r="H379" i="2" s="1"/>
  <c r="C380" i="4" s="1"/>
  <c r="C379" i="2"/>
  <c r="E379" i="2" s="1"/>
  <c r="G378" i="2"/>
  <c r="J377" i="2"/>
  <c r="D378" i="2"/>
  <c r="I378" i="2" s="1"/>
  <c r="D378" i="4"/>
  <c r="B379" i="4" l="1"/>
  <c r="D379" i="4" s="1"/>
  <c r="J378" i="2"/>
  <c r="G379" i="2"/>
  <c r="D379" i="2"/>
  <c r="I379" i="2" s="1"/>
  <c r="A382" i="2"/>
  <c r="K381" i="2"/>
  <c r="B381" i="2"/>
  <c r="C380" i="2"/>
  <c r="D380" i="2" s="1"/>
  <c r="F380" i="2"/>
  <c r="H380" i="2" s="1"/>
  <c r="C381" i="4" s="1"/>
  <c r="E380" i="2" l="1"/>
  <c r="I380" i="2" s="1"/>
  <c r="G380" i="2"/>
  <c r="C381" i="2"/>
  <c r="E381" i="2" s="1"/>
  <c r="F381" i="2"/>
  <c r="H381" i="2" s="1"/>
  <c r="C382" i="4" s="1"/>
  <c r="B382" i="2"/>
  <c r="A383" i="2"/>
  <c r="K382" i="2"/>
  <c r="B380" i="4"/>
  <c r="D380" i="4" s="1"/>
  <c r="J379" i="2"/>
  <c r="F382" i="2" l="1"/>
  <c r="H382" i="2" s="1"/>
  <c r="C383" i="4" s="1"/>
  <c r="C382" i="2"/>
  <c r="D382" i="2" s="1"/>
  <c r="B383" i="2"/>
  <c r="A384" i="2"/>
  <c r="K383" i="2"/>
  <c r="B381" i="4"/>
  <c r="D381" i="4" s="1"/>
  <c r="J380" i="2"/>
  <c r="D381" i="2"/>
  <c r="I381" i="2" s="1"/>
  <c r="G381" i="2"/>
  <c r="B382" i="4" l="1"/>
  <c r="D382" i="4" s="1"/>
  <c r="J381" i="2"/>
  <c r="A385" i="2"/>
  <c r="B384" i="2"/>
  <c r="C383" i="2"/>
  <c r="D383" i="2" s="1"/>
  <c r="F383" i="2"/>
  <c r="G383" i="2" s="1"/>
  <c r="E382" i="2"/>
  <c r="I382" i="2" s="1"/>
  <c r="G382" i="2"/>
  <c r="B384" i="4" l="1"/>
  <c r="B383" i="4"/>
  <c r="D383" i="4" s="1"/>
  <c r="J382" i="2"/>
  <c r="E383" i="2"/>
  <c r="I383" i="2" s="1"/>
  <c r="H383" i="2"/>
  <c r="C384" i="4" s="1"/>
  <c r="C384" i="2"/>
  <c r="E384" i="2" s="1"/>
  <c r="F384" i="2"/>
  <c r="G384" i="2" s="1"/>
  <c r="K384" i="2"/>
  <c r="B385" i="2"/>
  <c r="A386" i="2"/>
  <c r="B385" i="4" l="1"/>
  <c r="D384" i="2"/>
  <c r="I384" i="2" s="1"/>
  <c r="H384" i="2"/>
  <c r="C385" i="4" s="1"/>
  <c r="J383" i="2"/>
  <c r="B386" i="2"/>
  <c r="A387" i="2"/>
  <c r="K386" i="2"/>
  <c r="C385" i="2"/>
  <c r="E385" i="2" s="1"/>
  <c r="F385" i="2"/>
  <c r="H385" i="2" s="1"/>
  <c r="C386" i="4" s="1"/>
  <c r="K385" i="2"/>
  <c r="D384" i="4"/>
  <c r="D385" i="2" l="1"/>
  <c r="I385" i="2" s="1"/>
  <c r="F386" i="2"/>
  <c r="G386" i="2" s="1"/>
  <c r="C386" i="2"/>
  <c r="E386" i="2" s="1"/>
  <c r="G385" i="2"/>
  <c r="J384" i="2"/>
  <c r="A388" i="2"/>
  <c r="K387" i="2"/>
  <c r="B387" i="2"/>
  <c r="D385" i="4"/>
  <c r="B387" i="4" l="1"/>
  <c r="B388" i="2"/>
  <c r="A389" i="2"/>
  <c r="K388" i="2"/>
  <c r="C387" i="2"/>
  <c r="E387" i="2" s="1"/>
  <c r="F387" i="2"/>
  <c r="H387" i="2" s="1"/>
  <c r="C388" i="4" s="1"/>
  <c r="B386" i="4"/>
  <c r="D386" i="4" s="1"/>
  <c r="J385" i="2"/>
  <c r="D386" i="2"/>
  <c r="I386" i="2" s="1"/>
  <c r="H386" i="2"/>
  <c r="C387" i="4" s="1"/>
  <c r="D387" i="2" l="1"/>
  <c r="I387" i="2" s="1"/>
  <c r="G387" i="2"/>
  <c r="B389" i="2"/>
  <c r="A390" i="2"/>
  <c r="K389" i="2"/>
  <c r="J386" i="2"/>
  <c r="F388" i="2"/>
  <c r="G388" i="2" s="1"/>
  <c r="C388" i="2"/>
  <c r="D388" i="2" s="1"/>
  <c r="D387" i="4"/>
  <c r="B389" i="4" l="1"/>
  <c r="E388" i="2"/>
  <c r="I388" i="2" s="1"/>
  <c r="H388" i="2"/>
  <c r="C389" i="4" s="1"/>
  <c r="B388" i="4"/>
  <c r="D388" i="4" s="1"/>
  <c r="J387" i="2"/>
  <c r="A391" i="2"/>
  <c r="B390" i="2"/>
  <c r="C389" i="2"/>
  <c r="E389" i="2" s="1"/>
  <c r="F389" i="2"/>
  <c r="G389" i="2" s="1"/>
  <c r="B390" i="4" l="1"/>
  <c r="H389" i="2"/>
  <c r="C390" i="4" s="1"/>
  <c r="C390" i="2"/>
  <c r="E390" i="2" s="1"/>
  <c r="F390" i="2"/>
  <c r="H390" i="2" s="1"/>
  <c r="C391" i="4" s="1"/>
  <c r="D389" i="2"/>
  <c r="I389" i="2" s="1"/>
  <c r="J388" i="2"/>
  <c r="K390" i="2"/>
  <c r="A392" i="2"/>
  <c r="B391" i="2"/>
  <c r="D389" i="4"/>
  <c r="F391" i="2" l="1"/>
  <c r="H391" i="2" s="1"/>
  <c r="C392" i="4" s="1"/>
  <c r="C391" i="2"/>
  <c r="E391" i="2" s="1"/>
  <c r="B392" i="2"/>
  <c r="A393" i="2"/>
  <c r="K392" i="2"/>
  <c r="K391" i="2"/>
  <c r="D390" i="2"/>
  <c r="I390" i="2" s="1"/>
  <c r="G390" i="2"/>
  <c r="J389" i="2"/>
  <c r="D390" i="4"/>
  <c r="C392" i="2" l="1"/>
  <c r="E392" i="2" s="1"/>
  <c r="F392" i="2"/>
  <c r="H392" i="2" s="1"/>
  <c r="C393" i="4" s="1"/>
  <c r="B391" i="4"/>
  <c r="D391" i="4" s="1"/>
  <c r="J390" i="2"/>
  <c r="K393" i="2"/>
  <c r="B393" i="2"/>
  <c r="A394" i="2"/>
  <c r="D391" i="2"/>
  <c r="I391" i="2" s="1"/>
  <c r="G391" i="2"/>
  <c r="B392" i="4" l="1"/>
  <c r="D392" i="4" s="1"/>
  <c r="J391" i="2"/>
  <c r="A395" i="2"/>
  <c r="B394" i="2"/>
  <c r="C393" i="2"/>
  <c r="D393" i="2" s="1"/>
  <c r="F393" i="2"/>
  <c r="G393" i="2" s="1"/>
  <c r="G392" i="2"/>
  <c r="D392" i="2"/>
  <c r="I392" i="2" s="1"/>
  <c r="B394" i="4" l="1"/>
  <c r="B393" i="4"/>
  <c r="D393" i="4" s="1"/>
  <c r="J392" i="2"/>
  <c r="E393" i="2"/>
  <c r="I393" i="2" s="1"/>
  <c r="H393" i="2"/>
  <c r="C394" i="4" s="1"/>
  <c r="B395" i="2"/>
  <c r="A396" i="2"/>
  <c r="K395" i="2"/>
  <c r="F394" i="2"/>
  <c r="G394" i="2" s="1"/>
  <c r="C394" i="2"/>
  <c r="E394" i="2" s="1"/>
  <c r="K394" i="2"/>
  <c r="B395" i="4" l="1"/>
  <c r="H394" i="2"/>
  <c r="C395" i="4" s="1"/>
  <c r="D394" i="2"/>
  <c r="I394" i="2" s="1"/>
  <c r="J393" i="2"/>
  <c r="B396" i="2"/>
  <c r="A397" i="2"/>
  <c r="K396" i="2"/>
  <c r="F395" i="2"/>
  <c r="H395" i="2" s="1"/>
  <c r="C396" i="4" s="1"/>
  <c r="C395" i="2"/>
  <c r="E395" i="2" s="1"/>
  <c r="D394" i="4"/>
  <c r="G395" i="2" l="1"/>
  <c r="A398" i="2"/>
  <c r="B397" i="2"/>
  <c r="K397" i="2" s="1"/>
  <c r="D395" i="2"/>
  <c r="I395" i="2" s="1"/>
  <c r="J394" i="2"/>
  <c r="C396" i="2"/>
  <c r="D396" i="2" s="1"/>
  <c r="F396" i="2"/>
  <c r="H396" i="2" s="1"/>
  <c r="C397" i="4" s="1"/>
  <c r="D395" i="4"/>
  <c r="E396" i="2" l="1"/>
  <c r="I396" i="2" s="1"/>
  <c r="G396" i="2"/>
  <c r="B398" i="2"/>
  <c r="A399" i="2"/>
  <c r="K398" i="2"/>
  <c r="F397" i="2"/>
  <c r="G397" i="2" s="1"/>
  <c r="C397" i="2"/>
  <c r="E397" i="2" s="1"/>
  <c r="B396" i="4"/>
  <c r="D396" i="4" s="1"/>
  <c r="J395" i="2"/>
  <c r="B398" i="4" l="1"/>
  <c r="D397" i="2"/>
  <c r="I397" i="2" s="1"/>
  <c r="H397" i="2"/>
  <c r="C398" i="4" s="1"/>
  <c r="B397" i="4"/>
  <c r="D397" i="4" s="1"/>
  <c r="J396" i="2"/>
  <c r="B399" i="2"/>
  <c r="A400" i="2"/>
  <c r="K399" i="2"/>
  <c r="C398" i="2"/>
  <c r="D398" i="2" s="1"/>
  <c r="F398" i="2"/>
  <c r="G398" i="2" s="1"/>
  <c r="B399" i="4" l="1"/>
  <c r="E398" i="2"/>
  <c r="I398" i="2" s="1"/>
  <c r="H398" i="2"/>
  <c r="C399" i="4" s="1"/>
  <c r="J397" i="2"/>
  <c r="A401" i="2"/>
  <c r="B400" i="2"/>
  <c r="C399" i="2"/>
  <c r="D399" i="2" s="1"/>
  <c r="F399" i="2"/>
  <c r="G399" i="2" s="1"/>
  <c r="D398" i="4"/>
  <c r="B400" i="4" l="1"/>
  <c r="H399" i="2"/>
  <c r="C400" i="4" s="1"/>
  <c r="E399" i="2"/>
  <c r="I399" i="2" s="1"/>
  <c r="F400" i="2"/>
  <c r="H400" i="2" s="1"/>
  <c r="C401" i="4" s="1"/>
  <c r="C400" i="2"/>
  <c r="D400" i="2" s="1"/>
  <c r="K400" i="2"/>
  <c r="B401" i="2"/>
  <c r="A402" i="2"/>
  <c r="K401" i="2"/>
  <c r="J398" i="2"/>
  <c r="D399" i="4"/>
  <c r="G400" i="2" l="1"/>
  <c r="E400" i="2"/>
  <c r="I400" i="2" s="1"/>
  <c r="B402" i="2"/>
  <c r="A403" i="2"/>
  <c r="K402" i="2"/>
  <c r="F401" i="2"/>
  <c r="H401" i="2" s="1"/>
  <c r="C402" i="4" s="1"/>
  <c r="C401" i="2"/>
  <c r="E401" i="2" s="1"/>
  <c r="J399" i="2"/>
  <c r="D400" i="4"/>
  <c r="D401" i="2" l="1"/>
  <c r="I401" i="2" s="1"/>
  <c r="G401" i="2"/>
  <c r="A404" i="2"/>
  <c r="B403" i="2"/>
  <c r="F402" i="2"/>
  <c r="H402" i="2" s="1"/>
  <c r="C403" i="4" s="1"/>
  <c r="C402" i="2"/>
  <c r="D402" i="2" s="1"/>
  <c r="B401" i="4"/>
  <c r="D401" i="4" s="1"/>
  <c r="J400" i="2"/>
  <c r="G402" i="2" l="1"/>
  <c r="C403" i="2"/>
  <c r="E403" i="2" s="1"/>
  <c r="F403" i="2"/>
  <c r="H403" i="2" s="1"/>
  <c r="C404" i="4" s="1"/>
  <c r="E402" i="2"/>
  <c r="I402" i="2" s="1"/>
  <c r="B402" i="4"/>
  <c r="D402" i="4" s="1"/>
  <c r="J401" i="2"/>
  <c r="K403" i="2"/>
  <c r="B404" i="2"/>
  <c r="A405" i="2"/>
  <c r="K404" i="2"/>
  <c r="B405" i="2" l="1"/>
  <c r="A406" i="2"/>
  <c r="K405" i="2"/>
  <c r="D403" i="2"/>
  <c r="I403" i="2" s="1"/>
  <c r="C404" i="2"/>
  <c r="E404" i="2" s="1"/>
  <c r="F404" i="2"/>
  <c r="H404" i="2" s="1"/>
  <c r="C405" i="4" s="1"/>
  <c r="G403" i="2"/>
  <c r="B403" i="4"/>
  <c r="D403" i="4" s="1"/>
  <c r="J402" i="2"/>
  <c r="D404" i="2" l="1"/>
  <c r="I404" i="2" s="1"/>
  <c r="G404" i="2"/>
  <c r="B404" i="4"/>
  <c r="D404" i="4" s="1"/>
  <c r="J403" i="2"/>
  <c r="A407" i="2"/>
  <c r="B406" i="2"/>
  <c r="C405" i="2"/>
  <c r="E405" i="2" s="1"/>
  <c r="F405" i="2"/>
  <c r="G405" i="2" s="1"/>
  <c r="B406" i="4" l="1"/>
  <c r="H405" i="2"/>
  <c r="C406" i="4" s="1"/>
  <c r="C406" i="2"/>
  <c r="E406" i="2" s="1"/>
  <c r="F406" i="2"/>
  <c r="H406" i="2" s="1"/>
  <c r="C407" i="4" s="1"/>
  <c r="K406" i="2"/>
  <c r="D405" i="2"/>
  <c r="I405" i="2" s="1"/>
  <c r="A408" i="2"/>
  <c r="K407" i="2"/>
  <c r="B407" i="2"/>
  <c r="B405" i="4"/>
  <c r="D405" i="4" s="1"/>
  <c r="J404" i="2"/>
  <c r="C407" i="2" l="1"/>
  <c r="E407" i="2" s="1"/>
  <c r="F407" i="2"/>
  <c r="H407" i="2" s="1"/>
  <c r="C408" i="4" s="1"/>
  <c r="D406" i="2"/>
  <c r="I406" i="2" s="1"/>
  <c r="B408" i="2"/>
  <c r="A409" i="2"/>
  <c r="K408" i="2"/>
  <c r="G406" i="2"/>
  <c r="J405" i="2"/>
  <c r="D406" i="4"/>
  <c r="B409" i="2" l="1"/>
  <c r="A410" i="2"/>
  <c r="B407" i="4"/>
  <c r="D407" i="4" s="1"/>
  <c r="J406" i="2"/>
  <c r="D407" i="2"/>
  <c r="I407" i="2" s="1"/>
  <c r="C408" i="2"/>
  <c r="E408" i="2" s="1"/>
  <c r="F408" i="2"/>
  <c r="H408" i="2" s="1"/>
  <c r="C409" i="4" s="1"/>
  <c r="G407" i="2"/>
  <c r="B408" i="4" l="1"/>
  <c r="D408" i="4" s="1"/>
  <c r="J407" i="2"/>
  <c r="G408" i="2"/>
  <c r="D408" i="2"/>
  <c r="I408" i="2" s="1"/>
  <c r="C409" i="2"/>
  <c r="E409" i="2" s="1"/>
  <c r="F409" i="2"/>
  <c r="G409" i="2" s="1"/>
  <c r="A411" i="2"/>
  <c r="B410" i="2"/>
  <c r="K409" i="2"/>
  <c r="B410" i="4" l="1"/>
  <c r="D410" i="4" s="1"/>
  <c r="C410" i="2"/>
  <c r="E410" i="2" s="1"/>
  <c r="F410" i="2"/>
  <c r="G410" i="2" s="1"/>
  <c r="B411" i="2"/>
  <c r="A412" i="2"/>
  <c r="K411" i="2"/>
  <c r="H409" i="2"/>
  <c r="C410" i="4" s="1"/>
  <c r="K410" i="2"/>
  <c r="D409" i="2"/>
  <c r="I409" i="2" s="1"/>
  <c r="B409" i="4"/>
  <c r="D409" i="4" s="1"/>
  <c r="J408" i="2"/>
  <c r="B411" i="4" l="1"/>
  <c r="B412" i="2"/>
  <c r="A413" i="2"/>
  <c r="K412" i="2"/>
  <c r="C411" i="2"/>
  <c r="E411" i="2" s="1"/>
  <c r="F411" i="2"/>
  <c r="H411" i="2" s="1"/>
  <c r="C412" i="4" s="1"/>
  <c r="D410" i="2"/>
  <c r="I410" i="2" s="1"/>
  <c r="H410" i="2"/>
  <c r="C411" i="4" s="1"/>
  <c r="J409" i="2"/>
  <c r="D411" i="2" l="1"/>
  <c r="I411" i="2" s="1"/>
  <c r="G411" i="2"/>
  <c r="A414" i="2"/>
  <c r="B413" i="2"/>
  <c r="C412" i="2"/>
  <c r="E412" i="2" s="1"/>
  <c r="F412" i="2"/>
  <c r="G412" i="2" s="1"/>
  <c r="J410" i="2"/>
  <c r="D411" i="4"/>
  <c r="B413" i="4" l="1"/>
  <c r="D412" i="2"/>
  <c r="I412" i="2" s="1"/>
  <c r="H412" i="2"/>
  <c r="C413" i="4" s="1"/>
  <c r="B414" i="2"/>
  <c r="A415" i="2"/>
  <c r="K414" i="2"/>
  <c r="B412" i="4"/>
  <c r="D412" i="4" s="1"/>
  <c r="J411" i="2"/>
  <c r="F413" i="2"/>
  <c r="H413" i="2" s="1"/>
  <c r="C414" i="4" s="1"/>
  <c r="C413" i="2"/>
  <c r="E413" i="2" s="1"/>
  <c r="K413" i="2"/>
  <c r="D413" i="2" l="1"/>
  <c r="I413" i="2" s="1"/>
  <c r="G413" i="2"/>
  <c r="C414" i="2"/>
  <c r="D414" i="2" s="1"/>
  <c r="F414" i="2"/>
  <c r="H414" i="2" s="1"/>
  <c r="C415" i="4" s="1"/>
  <c r="J412" i="2"/>
  <c r="B415" i="2"/>
  <c r="A416" i="2"/>
  <c r="K415" i="2"/>
  <c r="D413" i="4"/>
  <c r="C415" i="2" l="1"/>
  <c r="E415" i="2" s="1"/>
  <c r="F415" i="2"/>
  <c r="H415" i="2" s="1"/>
  <c r="C416" i="4" s="1"/>
  <c r="G414" i="2"/>
  <c r="B414" i="4"/>
  <c r="D414" i="4" s="1"/>
  <c r="J413" i="2"/>
  <c r="A417" i="2"/>
  <c r="K416" i="2"/>
  <c r="B416" i="2"/>
  <c r="E414" i="2"/>
  <c r="I414" i="2" s="1"/>
  <c r="B417" i="2" l="1"/>
  <c r="A418" i="2"/>
  <c r="K417" i="2"/>
  <c r="F416" i="2"/>
  <c r="H416" i="2" s="1"/>
  <c r="C417" i="4" s="1"/>
  <c r="C416" i="2"/>
  <c r="E416" i="2" s="1"/>
  <c r="B415" i="4"/>
  <c r="D415" i="4" s="1"/>
  <c r="J414" i="2"/>
  <c r="D415" i="2"/>
  <c r="I415" i="2" s="1"/>
  <c r="G415" i="2"/>
  <c r="B416" i="4" l="1"/>
  <c r="D416" i="4" s="1"/>
  <c r="J415" i="2"/>
  <c r="D416" i="2"/>
  <c r="I416" i="2" s="1"/>
  <c r="G416" i="2"/>
  <c r="B418" i="2"/>
  <c r="A419" i="2"/>
  <c r="K418" i="2"/>
  <c r="C417" i="2"/>
  <c r="D417" i="2" s="1"/>
  <c r="F417" i="2"/>
  <c r="H417" i="2" s="1"/>
  <c r="C418" i="4" s="1"/>
  <c r="E417" i="2" l="1"/>
  <c r="I417" i="2" s="1"/>
  <c r="G417" i="2"/>
  <c r="F418" i="2"/>
  <c r="H418" i="2" s="1"/>
  <c r="C419" i="4" s="1"/>
  <c r="C418" i="2"/>
  <c r="E418" i="2" s="1"/>
  <c r="B417" i="4"/>
  <c r="D417" i="4" s="1"/>
  <c r="J416" i="2"/>
  <c r="A420" i="2"/>
  <c r="B419" i="2"/>
  <c r="F419" i="2" l="1"/>
  <c r="H419" i="2" s="1"/>
  <c r="C420" i="4" s="1"/>
  <c r="C419" i="2"/>
  <c r="E419" i="2" s="1"/>
  <c r="B420" i="2"/>
  <c r="A421" i="2"/>
  <c r="K420" i="2"/>
  <c r="B418" i="4"/>
  <c r="D418" i="4" s="1"/>
  <c r="J417" i="2"/>
  <c r="K419" i="2"/>
  <c r="D418" i="2"/>
  <c r="I418" i="2" s="1"/>
  <c r="G418" i="2"/>
  <c r="B419" i="4" l="1"/>
  <c r="D419" i="4" s="1"/>
  <c r="J418" i="2"/>
  <c r="B421" i="2"/>
  <c r="A422" i="2"/>
  <c r="K421" i="2"/>
  <c r="C420" i="2"/>
  <c r="E420" i="2" s="1"/>
  <c r="F420" i="2"/>
  <c r="H420" i="2" s="1"/>
  <c r="C421" i="4" s="1"/>
  <c r="D419" i="2"/>
  <c r="I419" i="2" s="1"/>
  <c r="G419" i="2"/>
  <c r="B420" i="4" l="1"/>
  <c r="D420" i="4" s="1"/>
  <c r="J419" i="2"/>
  <c r="D420" i="2"/>
  <c r="I420" i="2" s="1"/>
  <c r="G420" i="2"/>
  <c r="A423" i="2"/>
  <c r="K422" i="2"/>
  <c r="B422" i="2"/>
  <c r="C421" i="2"/>
  <c r="D421" i="2" s="1"/>
  <c r="F421" i="2"/>
  <c r="G421" i="2" s="1"/>
  <c r="B422" i="4" l="1"/>
  <c r="D422" i="4" s="1"/>
  <c r="E421" i="2"/>
  <c r="I421" i="2" s="1"/>
  <c r="H421" i="2"/>
  <c r="C422" i="4" s="1"/>
  <c r="F422" i="2"/>
  <c r="G422" i="2" s="1"/>
  <c r="C422" i="2"/>
  <c r="E422" i="2" s="1"/>
  <c r="A424" i="2"/>
  <c r="B423" i="2"/>
  <c r="B421" i="4"/>
  <c r="D421" i="4" s="1"/>
  <c r="J420" i="2"/>
  <c r="B423" i="4" l="1"/>
  <c r="C423" i="2"/>
  <c r="D423" i="2" s="1"/>
  <c r="F423" i="2"/>
  <c r="H423" i="2" s="1"/>
  <c r="C424" i="4" s="1"/>
  <c r="B424" i="2"/>
  <c r="A425" i="2"/>
  <c r="K424" i="2"/>
  <c r="H422" i="2"/>
  <c r="C423" i="4" s="1"/>
  <c r="K423" i="2"/>
  <c r="D422" i="2"/>
  <c r="I422" i="2" s="1"/>
  <c r="J421" i="2"/>
  <c r="K425" i="2" l="1"/>
  <c r="B425" i="2"/>
  <c r="A426" i="2"/>
  <c r="E423" i="2"/>
  <c r="I423" i="2" s="1"/>
  <c r="G423" i="2"/>
  <c r="J422" i="2"/>
  <c r="C424" i="2"/>
  <c r="D424" i="2" s="1"/>
  <c r="F424" i="2"/>
  <c r="H424" i="2" s="1"/>
  <c r="C425" i="4" s="1"/>
  <c r="D423" i="4"/>
  <c r="G424" i="2" l="1"/>
  <c r="E424" i="2"/>
  <c r="I424" i="2" s="1"/>
  <c r="B424" i="4"/>
  <c r="D424" i="4" s="1"/>
  <c r="J423" i="2"/>
  <c r="A427" i="2"/>
  <c r="B426" i="2"/>
  <c r="F425" i="2"/>
  <c r="G425" i="2" s="1"/>
  <c r="C425" i="2"/>
  <c r="D425" i="2" s="1"/>
  <c r="B426" i="4" l="1"/>
  <c r="C426" i="2"/>
  <c r="E426" i="2" s="1"/>
  <c r="F426" i="2"/>
  <c r="G426" i="2" s="1"/>
  <c r="E425" i="2"/>
  <c r="I425" i="2" s="1"/>
  <c r="H425" i="2"/>
  <c r="C426" i="4" s="1"/>
  <c r="A428" i="2"/>
  <c r="B427" i="2"/>
  <c r="K426" i="2"/>
  <c r="B425" i="4"/>
  <c r="D425" i="4" s="1"/>
  <c r="J424" i="2"/>
  <c r="B427" i="4" l="1"/>
  <c r="F427" i="2"/>
  <c r="G427" i="2" s="1"/>
  <c r="C427" i="2"/>
  <c r="E427" i="2" s="1"/>
  <c r="K427" i="2"/>
  <c r="K428" i="2"/>
  <c r="B428" i="2"/>
  <c r="A429" i="2"/>
  <c r="D426" i="2"/>
  <c r="I426" i="2" s="1"/>
  <c r="H426" i="2"/>
  <c r="C427" i="4" s="1"/>
  <c r="J425" i="2"/>
  <c r="D426" i="4"/>
  <c r="B428" i="4" l="1"/>
  <c r="F428" i="2"/>
  <c r="G428" i="2" s="1"/>
  <c r="C428" i="2"/>
  <c r="D428" i="2" s="1"/>
  <c r="H427" i="2"/>
  <c r="C428" i="4" s="1"/>
  <c r="J426" i="2"/>
  <c r="A430" i="2"/>
  <c r="B429" i="2"/>
  <c r="K429" i="2"/>
  <c r="D427" i="2"/>
  <c r="I427" i="2" s="1"/>
  <c r="D427" i="4"/>
  <c r="B429" i="4" l="1"/>
  <c r="F429" i="2"/>
  <c r="H429" i="2" s="1"/>
  <c r="C430" i="4" s="1"/>
  <c r="C429" i="2"/>
  <c r="D429" i="2" s="1"/>
  <c r="A431" i="2"/>
  <c r="B430" i="2"/>
  <c r="E428" i="2"/>
  <c r="I428" i="2" s="1"/>
  <c r="J427" i="2"/>
  <c r="H428" i="2"/>
  <c r="C429" i="4" s="1"/>
  <c r="D428" i="4"/>
  <c r="F430" i="2" l="1"/>
  <c r="G430" i="2" s="1"/>
  <c r="C430" i="2"/>
  <c r="E430" i="2" s="1"/>
  <c r="G429" i="2"/>
  <c r="J428" i="2"/>
  <c r="K430" i="2"/>
  <c r="B431" i="2"/>
  <c r="A432" i="2"/>
  <c r="K431" i="2"/>
  <c r="E429" i="2"/>
  <c r="I429" i="2" s="1"/>
  <c r="D429" i="4"/>
  <c r="B431" i="4" l="1"/>
  <c r="A433" i="2"/>
  <c r="B432" i="2"/>
  <c r="B430" i="4"/>
  <c r="D430" i="4" s="1"/>
  <c r="J429" i="2"/>
  <c r="F431" i="2"/>
  <c r="H431" i="2" s="1"/>
  <c r="C432" i="4" s="1"/>
  <c r="C431" i="2"/>
  <c r="E431" i="2" s="1"/>
  <c r="H430" i="2"/>
  <c r="C431" i="4" s="1"/>
  <c r="D430" i="2"/>
  <c r="I430" i="2" s="1"/>
  <c r="G431" i="2" l="1"/>
  <c r="D431" i="2"/>
  <c r="I431" i="2" s="1"/>
  <c r="C432" i="2"/>
  <c r="E432" i="2" s="1"/>
  <c r="F432" i="2"/>
  <c r="G432" i="2" s="1"/>
  <c r="B433" i="2"/>
  <c r="A434" i="2"/>
  <c r="K433" i="2"/>
  <c r="J430" i="2"/>
  <c r="K432" i="2"/>
  <c r="D431" i="4"/>
  <c r="B433" i="4" l="1"/>
  <c r="C433" i="2"/>
  <c r="D433" i="2" s="1"/>
  <c r="F433" i="2"/>
  <c r="H433" i="2" s="1"/>
  <c r="C434" i="4" s="1"/>
  <c r="H432" i="2"/>
  <c r="C433" i="4" s="1"/>
  <c r="B434" i="2"/>
  <c r="K434" i="2"/>
  <c r="A435" i="2"/>
  <c r="D432" i="2"/>
  <c r="I432" i="2" s="1"/>
  <c r="B432" i="4"/>
  <c r="D432" i="4" s="1"/>
  <c r="J431" i="2"/>
  <c r="A436" i="2" l="1"/>
  <c r="B435" i="2"/>
  <c r="K435" i="2"/>
  <c r="C434" i="2"/>
  <c r="E434" i="2" s="1"/>
  <c r="F434" i="2"/>
  <c r="H434" i="2" s="1"/>
  <c r="C435" i="4" s="1"/>
  <c r="G433" i="2"/>
  <c r="J432" i="2"/>
  <c r="E433" i="2"/>
  <c r="I433" i="2" s="1"/>
  <c r="D433" i="4"/>
  <c r="B434" i="4" l="1"/>
  <c r="D434" i="4" s="1"/>
  <c r="J433" i="2"/>
  <c r="D434" i="2"/>
  <c r="I434" i="2" s="1"/>
  <c r="G434" i="2"/>
  <c r="F435" i="2"/>
  <c r="G435" i="2" s="1"/>
  <c r="C435" i="2"/>
  <c r="E435" i="2" s="1"/>
  <c r="B436" i="2"/>
  <c r="A437" i="2"/>
  <c r="K436" i="2"/>
  <c r="B436" i="4" l="1"/>
  <c r="C436" i="2"/>
  <c r="E436" i="2" s="1"/>
  <c r="F436" i="2"/>
  <c r="G436" i="2" s="1"/>
  <c r="H435" i="2"/>
  <c r="C436" i="4" s="1"/>
  <c r="B437" i="2"/>
  <c r="A438" i="2"/>
  <c r="K437" i="2"/>
  <c r="B435" i="4"/>
  <c r="D435" i="4" s="1"/>
  <c r="J434" i="2"/>
  <c r="D435" i="2"/>
  <c r="I435" i="2" s="1"/>
  <c r="B437" i="4" l="1"/>
  <c r="C437" i="2"/>
  <c r="E437" i="2" s="1"/>
  <c r="F437" i="2"/>
  <c r="H437" i="2" s="1"/>
  <c r="C438" i="4" s="1"/>
  <c r="H436" i="2"/>
  <c r="C437" i="4" s="1"/>
  <c r="J435" i="2"/>
  <c r="A439" i="2"/>
  <c r="B438" i="2"/>
  <c r="D436" i="2"/>
  <c r="I436" i="2" s="1"/>
  <c r="D436" i="4"/>
  <c r="C438" i="2" l="1"/>
  <c r="E438" i="2" s="1"/>
  <c r="F438" i="2"/>
  <c r="G438" i="2" s="1"/>
  <c r="B439" i="2"/>
  <c r="A440" i="2"/>
  <c r="K439" i="2"/>
  <c r="D437" i="2"/>
  <c r="I437" i="2" s="1"/>
  <c r="J436" i="2"/>
  <c r="K438" i="2"/>
  <c r="G437" i="2"/>
  <c r="D437" i="4"/>
  <c r="B439" i="4" l="1"/>
  <c r="B438" i="4"/>
  <c r="D438" i="4" s="1"/>
  <c r="J437" i="2"/>
  <c r="A441" i="2"/>
  <c r="B440" i="2"/>
  <c r="F439" i="2"/>
  <c r="H439" i="2" s="1"/>
  <c r="C440" i="4" s="1"/>
  <c r="C439" i="2"/>
  <c r="E439" i="2" s="1"/>
  <c r="H438" i="2"/>
  <c r="C439" i="4" s="1"/>
  <c r="D438" i="2"/>
  <c r="I438" i="2" s="1"/>
  <c r="D439" i="2" l="1"/>
  <c r="I439" i="2" s="1"/>
  <c r="G439" i="2"/>
  <c r="C440" i="2"/>
  <c r="E440" i="2" s="1"/>
  <c r="F440" i="2"/>
  <c r="H440" i="2" s="1"/>
  <c r="C441" i="4" s="1"/>
  <c r="A442" i="2"/>
  <c r="K441" i="2"/>
  <c r="B441" i="2"/>
  <c r="K440" i="2"/>
  <c r="J438" i="2"/>
  <c r="D439" i="4"/>
  <c r="F441" i="2" l="1"/>
  <c r="H441" i="2" s="1"/>
  <c r="C442" i="4" s="1"/>
  <c r="C441" i="2"/>
  <c r="E441" i="2" s="1"/>
  <c r="K442" i="2"/>
  <c r="B442" i="2"/>
  <c r="A443" i="2"/>
  <c r="D440" i="2"/>
  <c r="I440" i="2" s="1"/>
  <c r="G440" i="2"/>
  <c r="B440" i="4"/>
  <c r="D440" i="4" s="1"/>
  <c r="J439" i="2"/>
  <c r="B441" i="4" l="1"/>
  <c r="D441" i="4" s="1"/>
  <c r="J440" i="2"/>
  <c r="B443" i="2"/>
  <c r="A444" i="2"/>
  <c r="K443" i="2"/>
  <c r="C442" i="2"/>
  <c r="D442" i="2" s="1"/>
  <c r="F442" i="2"/>
  <c r="H442" i="2" s="1"/>
  <c r="C443" i="4" s="1"/>
  <c r="G441" i="2"/>
  <c r="D441" i="2"/>
  <c r="I441" i="2" s="1"/>
  <c r="B442" i="4" l="1"/>
  <c r="D442" i="4" s="1"/>
  <c r="J441" i="2"/>
  <c r="E442" i="2"/>
  <c r="I442" i="2" s="1"/>
  <c r="G442" i="2"/>
  <c r="K444" i="2"/>
  <c r="B444" i="2"/>
  <c r="A445" i="2"/>
  <c r="F443" i="2"/>
  <c r="G443" i="2" s="1"/>
  <c r="C443" i="2"/>
  <c r="E443" i="2" s="1"/>
  <c r="B444" i="4" l="1"/>
  <c r="H443" i="2"/>
  <c r="C444" i="4" s="1"/>
  <c r="D443" i="2"/>
  <c r="I443" i="2" s="1"/>
  <c r="A446" i="2"/>
  <c r="B445" i="2"/>
  <c r="K445" i="2"/>
  <c r="C444" i="2"/>
  <c r="E444" i="2" s="1"/>
  <c r="F444" i="2"/>
  <c r="H444" i="2" s="1"/>
  <c r="C445" i="4" s="1"/>
  <c r="B443" i="4"/>
  <c r="D443" i="4" s="1"/>
  <c r="J442" i="2"/>
  <c r="G444" i="2" l="1"/>
  <c r="A447" i="2"/>
  <c r="K446" i="2"/>
  <c r="B446" i="2"/>
  <c r="J443" i="2"/>
  <c r="D444" i="2"/>
  <c r="I444" i="2" s="1"/>
  <c r="C445" i="2"/>
  <c r="D445" i="2" s="1"/>
  <c r="F445" i="2"/>
  <c r="H445" i="2" s="1"/>
  <c r="C446" i="4" s="1"/>
  <c r="D444" i="4"/>
  <c r="G445" i="2" l="1"/>
  <c r="E445" i="2"/>
  <c r="I445" i="2" s="1"/>
  <c r="F446" i="2"/>
  <c r="H446" i="2" s="1"/>
  <c r="C447" i="4" s="1"/>
  <c r="C446" i="2"/>
  <c r="E446" i="2" s="1"/>
  <c r="B447" i="2"/>
  <c r="A448" i="2"/>
  <c r="K447" i="2"/>
  <c r="B445" i="4"/>
  <c r="D445" i="4" s="1"/>
  <c r="J444" i="2"/>
  <c r="A449" i="2" l="1"/>
  <c r="B448" i="2"/>
  <c r="G446" i="2"/>
  <c r="F447" i="2"/>
  <c r="H447" i="2" s="1"/>
  <c r="C448" i="4" s="1"/>
  <c r="C447" i="2"/>
  <c r="E447" i="2" s="1"/>
  <c r="D446" i="2"/>
  <c r="I446" i="2" s="1"/>
  <c r="B446" i="4"/>
  <c r="D446" i="4" s="1"/>
  <c r="J445" i="2"/>
  <c r="D447" i="2" l="1"/>
  <c r="I447" i="2" s="1"/>
  <c r="B447" i="4"/>
  <c r="D447" i="4" s="1"/>
  <c r="J446" i="2"/>
  <c r="B449" i="2"/>
  <c r="A450" i="2"/>
  <c r="K449" i="2"/>
  <c r="G447" i="2"/>
  <c r="C448" i="2"/>
  <c r="E448" i="2" s="1"/>
  <c r="F448" i="2"/>
  <c r="H448" i="2" s="1"/>
  <c r="C449" i="4" s="1"/>
  <c r="K448" i="2"/>
  <c r="D448" i="2" l="1"/>
  <c r="I448" i="2" s="1"/>
  <c r="G448" i="2"/>
  <c r="B448" i="4"/>
  <c r="D448" i="4" s="1"/>
  <c r="J447" i="2"/>
  <c r="B450" i="2"/>
  <c r="K450" i="2"/>
  <c r="A451" i="2"/>
  <c r="C449" i="2"/>
  <c r="D449" i="2" s="1"/>
  <c r="F449" i="2"/>
  <c r="G449" i="2" s="1"/>
  <c r="B450" i="4" l="1"/>
  <c r="E449" i="2"/>
  <c r="I449" i="2" s="1"/>
  <c r="H449" i="2"/>
  <c r="C450" i="4" s="1"/>
  <c r="C450" i="2"/>
  <c r="E450" i="2" s="1"/>
  <c r="F450" i="2"/>
  <c r="H450" i="2" s="1"/>
  <c r="C451" i="4" s="1"/>
  <c r="A452" i="2"/>
  <c r="B451" i="2"/>
  <c r="K451" i="2"/>
  <c r="B449" i="4"/>
  <c r="D449" i="4" s="1"/>
  <c r="J448" i="2"/>
  <c r="B452" i="2" l="1"/>
  <c r="A453" i="2"/>
  <c r="K452" i="2"/>
  <c r="G450" i="2"/>
  <c r="C451" i="2"/>
  <c r="E451" i="2" s="1"/>
  <c r="F451" i="2"/>
  <c r="H451" i="2" s="1"/>
  <c r="C452" i="4" s="1"/>
  <c r="J449" i="2"/>
  <c r="D450" i="2"/>
  <c r="I450" i="2" s="1"/>
  <c r="D450" i="4"/>
  <c r="D451" i="2" l="1"/>
  <c r="I451" i="2" s="1"/>
  <c r="G451" i="2"/>
  <c r="B451" i="4"/>
  <c r="D451" i="4" s="1"/>
  <c r="J450" i="2"/>
  <c r="B453" i="2"/>
  <c r="A454" i="2"/>
  <c r="K453" i="2"/>
  <c r="C452" i="2"/>
  <c r="E452" i="2" s="1"/>
  <c r="F452" i="2"/>
  <c r="H452" i="2" s="1"/>
  <c r="C453" i="4" s="1"/>
  <c r="D452" i="2" l="1"/>
  <c r="I452" i="2" s="1"/>
  <c r="G452" i="2"/>
  <c r="C453" i="2"/>
  <c r="E453" i="2" s="1"/>
  <c r="F453" i="2"/>
  <c r="H453" i="2" s="1"/>
  <c r="C454" i="4" s="1"/>
  <c r="A455" i="2"/>
  <c r="K454" i="2"/>
  <c r="B454" i="2"/>
  <c r="B452" i="4"/>
  <c r="D452" i="4" s="1"/>
  <c r="J451" i="2"/>
  <c r="D453" i="2" l="1"/>
  <c r="I453" i="2" s="1"/>
  <c r="C454" i="2"/>
  <c r="D454" i="2" s="1"/>
  <c r="F454" i="2"/>
  <c r="H454" i="2" s="1"/>
  <c r="C455" i="4" s="1"/>
  <c r="B455" i="2"/>
  <c r="A456" i="2"/>
  <c r="K455" i="2"/>
  <c r="B453" i="4"/>
  <c r="D453" i="4" s="1"/>
  <c r="J452" i="2"/>
  <c r="G453" i="2"/>
  <c r="B456" i="2" l="1"/>
  <c r="A457" i="2"/>
  <c r="F455" i="2"/>
  <c r="H455" i="2" s="1"/>
  <c r="C456" i="4" s="1"/>
  <c r="C455" i="2"/>
  <c r="D455" i="2" s="1"/>
  <c r="E454" i="2"/>
  <c r="I454" i="2" s="1"/>
  <c r="G454" i="2"/>
  <c r="B454" i="4"/>
  <c r="D454" i="4" s="1"/>
  <c r="J453" i="2"/>
  <c r="B455" i="4" l="1"/>
  <c r="D455" i="4" s="1"/>
  <c r="J454" i="2"/>
  <c r="E455" i="2"/>
  <c r="I455" i="2" s="1"/>
  <c r="C456" i="2"/>
  <c r="E456" i="2" s="1"/>
  <c r="F456" i="2"/>
  <c r="G456" i="2" s="1"/>
  <c r="G455" i="2"/>
  <c r="A458" i="2"/>
  <c r="B457" i="2"/>
  <c r="K456" i="2"/>
  <c r="B457" i="4" l="1"/>
  <c r="F457" i="2"/>
  <c r="H457" i="2" s="1"/>
  <c r="C458" i="4" s="1"/>
  <c r="C457" i="2"/>
  <c r="D457" i="2" s="1"/>
  <c r="A459" i="2"/>
  <c r="B458" i="2"/>
  <c r="B456" i="4"/>
  <c r="D456" i="4" s="1"/>
  <c r="J455" i="2"/>
  <c r="D456" i="2"/>
  <c r="I456" i="2" s="1"/>
  <c r="H456" i="2"/>
  <c r="C457" i="4" s="1"/>
  <c r="K457" i="2"/>
  <c r="B459" i="2" l="1"/>
  <c r="A460" i="2"/>
  <c r="K459" i="2"/>
  <c r="G457" i="2"/>
  <c r="E457" i="2"/>
  <c r="I457" i="2" s="1"/>
  <c r="J456" i="2"/>
  <c r="C458" i="2"/>
  <c r="D458" i="2" s="1"/>
  <c r="F458" i="2"/>
  <c r="H458" i="2" s="1"/>
  <c r="C459" i="4" s="1"/>
  <c r="K458" i="2"/>
  <c r="D457" i="4"/>
  <c r="E458" i="2" l="1"/>
  <c r="I458" i="2" s="1"/>
  <c r="G458" i="2"/>
  <c r="B458" i="4"/>
  <c r="D458" i="4" s="1"/>
  <c r="J457" i="2"/>
  <c r="B460" i="2"/>
  <c r="A461" i="2"/>
  <c r="C459" i="2"/>
  <c r="E459" i="2" s="1"/>
  <c r="F459" i="2"/>
  <c r="H459" i="2" s="1"/>
  <c r="C460" i="4" s="1"/>
  <c r="G459" i="2" l="1"/>
  <c r="F460" i="2"/>
  <c r="G460" i="2" s="1"/>
  <c r="C460" i="2"/>
  <c r="E460" i="2" s="1"/>
  <c r="A462" i="2"/>
  <c r="B461" i="2"/>
  <c r="K461" i="2"/>
  <c r="D459" i="2"/>
  <c r="I459" i="2" s="1"/>
  <c r="K460" i="2"/>
  <c r="B459" i="4"/>
  <c r="D459" i="4" s="1"/>
  <c r="J458" i="2"/>
  <c r="B461" i="4" l="1"/>
  <c r="F461" i="2"/>
  <c r="H461" i="2" s="1"/>
  <c r="C462" i="4" s="1"/>
  <c r="C461" i="2"/>
  <c r="D461" i="2" s="1"/>
  <c r="A463" i="2"/>
  <c r="K462" i="2"/>
  <c r="B462" i="2"/>
  <c r="H460" i="2"/>
  <c r="C461" i="4" s="1"/>
  <c r="D460" i="2"/>
  <c r="I460" i="2" s="1"/>
  <c r="B460" i="4"/>
  <c r="D460" i="4" s="1"/>
  <c r="J459" i="2"/>
  <c r="F462" i="2" l="1"/>
  <c r="G462" i="2" s="1"/>
  <c r="C462" i="2"/>
  <c r="E462" i="2" s="1"/>
  <c r="B463" i="2"/>
  <c r="A464" i="2"/>
  <c r="K463" i="2"/>
  <c r="E461" i="2"/>
  <c r="I461" i="2" s="1"/>
  <c r="G461" i="2"/>
  <c r="J460" i="2"/>
  <c r="D461" i="4"/>
  <c r="B463" i="4" l="1"/>
  <c r="B462" i="4"/>
  <c r="D462" i="4" s="1"/>
  <c r="J461" i="2"/>
  <c r="A465" i="2"/>
  <c r="B464" i="2"/>
  <c r="K464" i="2" s="1"/>
  <c r="H462" i="2"/>
  <c r="C463" i="4" s="1"/>
  <c r="D462" i="2"/>
  <c r="I462" i="2" s="1"/>
  <c r="C463" i="2"/>
  <c r="E463" i="2" s="1"/>
  <c r="F463" i="2"/>
  <c r="H463" i="2" s="1"/>
  <c r="C464" i="4" s="1"/>
  <c r="D463" i="2" l="1"/>
  <c r="I463" i="2" s="1"/>
  <c r="G463" i="2"/>
  <c r="B465" i="2"/>
  <c r="A466" i="2"/>
  <c r="J462" i="2"/>
  <c r="C464" i="2"/>
  <c r="D464" i="2" s="1"/>
  <c r="F464" i="2"/>
  <c r="G464" i="2" s="1"/>
  <c r="D463" i="4"/>
  <c r="B465" i="4" l="1"/>
  <c r="H464" i="2"/>
  <c r="C465" i="4" s="1"/>
  <c r="F465" i="2"/>
  <c r="G465" i="2" s="1"/>
  <c r="C465" i="2"/>
  <c r="D465" i="2" s="1"/>
  <c r="E464" i="2"/>
  <c r="I464" i="2" s="1"/>
  <c r="B464" i="4"/>
  <c r="D464" i="4" s="1"/>
  <c r="J463" i="2"/>
  <c r="K465" i="2"/>
  <c r="B466" i="2"/>
  <c r="K466" i="2"/>
  <c r="A467" i="2"/>
  <c r="B466" i="4" l="1"/>
  <c r="C466" i="2"/>
  <c r="E466" i="2" s="1"/>
  <c r="F466" i="2"/>
  <c r="G466" i="2" s="1"/>
  <c r="H465" i="2"/>
  <c r="C466" i="4" s="1"/>
  <c r="E465" i="2"/>
  <c r="I465" i="2" s="1"/>
  <c r="J464" i="2"/>
  <c r="A468" i="2"/>
  <c r="B467" i="2"/>
  <c r="K467" i="2"/>
  <c r="D465" i="4"/>
  <c r="B467" i="4" l="1"/>
  <c r="B468" i="2"/>
  <c r="A469" i="2"/>
  <c r="K468" i="2"/>
  <c r="F467" i="2"/>
  <c r="G467" i="2" s="1"/>
  <c r="C467" i="2"/>
  <c r="E467" i="2" s="1"/>
  <c r="D466" i="2"/>
  <c r="I466" i="2" s="1"/>
  <c r="H466" i="2"/>
  <c r="C467" i="4" s="1"/>
  <c r="J465" i="2"/>
  <c r="D466" i="4"/>
  <c r="B468" i="4" l="1"/>
  <c r="H467" i="2"/>
  <c r="C468" i="4" s="1"/>
  <c r="D467" i="2"/>
  <c r="I467" i="2" s="1"/>
  <c r="B469" i="2"/>
  <c r="A470" i="2"/>
  <c r="K469" i="2"/>
  <c r="J466" i="2"/>
  <c r="C468" i="2"/>
  <c r="E468" i="2" s="1"/>
  <c r="F468" i="2"/>
  <c r="G468" i="2" s="1"/>
  <c r="D467" i="4"/>
  <c r="B469" i="4" l="1"/>
  <c r="C469" i="2"/>
  <c r="E469" i="2" s="1"/>
  <c r="F469" i="2"/>
  <c r="H469" i="2" s="1"/>
  <c r="C470" i="4" s="1"/>
  <c r="D468" i="2"/>
  <c r="I468" i="2" s="1"/>
  <c r="J467" i="2"/>
  <c r="H468" i="2"/>
  <c r="C469" i="4" s="1"/>
  <c r="A471" i="2"/>
  <c r="B470" i="2"/>
  <c r="D468" i="4"/>
  <c r="C470" i="2" l="1"/>
  <c r="E470" i="2" s="1"/>
  <c r="F470" i="2"/>
  <c r="G470" i="2" s="1"/>
  <c r="B471" i="2"/>
  <c r="A472" i="2"/>
  <c r="K471" i="2"/>
  <c r="K470" i="2"/>
  <c r="D469" i="2"/>
  <c r="I469" i="2" s="1"/>
  <c r="J468" i="2"/>
  <c r="G469" i="2"/>
  <c r="D469" i="4"/>
  <c r="B471" i="4" l="1"/>
  <c r="B470" i="4"/>
  <c r="D470" i="4" s="1"/>
  <c r="J469" i="2"/>
  <c r="A473" i="2"/>
  <c r="B472" i="2"/>
  <c r="F471" i="2"/>
  <c r="H471" i="2" s="1"/>
  <c r="C472" i="4" s="1"/>
  <c r="C471" i="2"/>
  <c r="E471" i="2" s="1"/>
  <c r="H470" i="2"/>
  <c r="C471" i="4" s="1"/>
  <c r="D470" i="2"/>
  <c r="I470" i="2" s="1"/>
  <c r="G471" i="2" l="1"/>
  <c r="F472" i="2"/>
  <c r="G472" i="2" s="1"/>
  <c r="C472" i="2"/>
  <c r="E472" i="2" s="1"/>
  <c r="D471" i="2"/>
  <c r="I471" i="2" s="1"/>
  <c r="A474" i="2"/>
  <c r="B473" i="2"/>
  <c r="K472" i="2"/>
  <c r="J470" i="2"/>
  <c r="D471" i="4"/>
  <c r="B473" i="4" l="1"/>
  <c r="F473" i="2"/>
  <c r="H473" i="2" s="1"/>
  <c r="C474" i="4" s="1"/>
  <c r="C473" i="2"/>
  <c r="E473" i="2" s="1"/>
  <c r="A475" i="2"/>
  <c r="B474" i="2"/>
  <c r="D472" i="2"/>
  <c r="I472" i="2" s="1"/>
  <c r="H472" i="2"/>
  <c r="C473" i="4" s="1"/>
  <c r="K473" i="2"/>
  <c r="B472" i="4"/>
  <c r="D472" i="4" s="1"/>
  <c r="J471" i="2"/>
  <c r="B475" i="2" l="1"/>
  <c r="A476" i="2"/>
  <c r="K475" i="2"/>
  <c r="F474" i="2"/>
  <c r="H474" i="2" s="1"/>
  <c r="C475" i="4" s="1"/>
  <c r="C474" i="2"/>
  <c r="E474" i="2" s="1"/>
  <c r="K474" i="2"/>
  <c r="D473" i="2"/>
  <c r="I473" i="2" s="1"/>
  <c r="J472" i="2"/>
  <c r="G473" i="2"/>
  <c r="D473" i="4"/>
  <c r="D474" i="2" l="1"/>
  <c r="I474" i="2" s="1"/>
  <c r="G474" i="2"/>
  <c r="B474" i="4"/>
  <c r="D474" i="4" s="1"/>
  <c r="J473" i="2"/>
  <c r="B476" i="2"/>
  <c r="A477" i="2"/>
  <c r="F475" i="2"/>
  <c r="H475" i="2" s="1"/>
  <c r="C476" i="4" s="1"/>
  <c r="C475" i="2"/>
  <c r="D475" i="2" s="1"/>
  <c r="E475" i="2" l="1"/>
  <c r="I475" i="2" s="1"/>
  <c r="G475" i="2"/>
  <c r="F476" i="2"/>
  <c r="G476" i="2" s="1"/>
  <c r="C476" i="2"/>
  <c r="E476" i="2" s="1"/>
  <c r="B475" i="4"/>
  <c r="D475" i="4" s="1"/>
  <c r="J474" i="2"/>
  <c r="A478" i="2"/>
  <c r="B477" i="2"/>
  <c r="K477" i="2"/>
  <c r="K476" i="2"/>
  <c r="B477" i="4" l="1"/>
  <c r="H476" i="2"/>
  <c r="C477" i="4" s="1"/>
  <c r="F477" i="2"/>
  <c r="H477" i="2" s="1"/>
  <c r="C478" i="4" s="1"/>
  <c r="C477" i="2"/>
  <c r="E477" i="2" s="1"/>
  <c r="B476" i="4"/>
  <c r="D476" i="4" s="1"/>
  <c r="J475" i="2"/>
  <c r="A479" i="2"/>
  <c r="K478" i="2"/>
  <c r="B478" i="2"/>
  <c r="D476" i="2"/>
  <c r="I476" i="2" s="1"/>
  <c r="F478" i="2" l="1"/>
  <c r="G478" i="2" s="1"/>
  <c r="C478" i="2"/>
  <c r="E478" i="2" s="1"/>
  <c r="B479" i="2"/>
  <c r="A480" i="2"/>
  <c r="K479" i="2"/>
  <c r="D477" i="2"/>
  <c r="I477" i="2" s="1"/>
  <c r="G477" i="2"/>
  <c r="J476" i="2"/>
  <c r="D477" i="4"/>
  <c r="B479" i="4" l="1"/>
  <c r="B478" i="4"/>
  <c r="D478" i="4" s="1"/>
  <c r="J477" i="2"/>
  <c r="F479" i="2"/>
  <c r="H479" i="2" s="1"/>
  <c r="C480" i="4" s="1"/>
  <c r="C479" i="2"/>
  <c r="D479" i="2" s="1"/>
  <c r="A481" i="2"/>
  <c r="B480" i="2"/>
  <c r="K480" i="2" s="1"/>
  <c r="H478" i="2"/>
  <c r="C479" i="4" s="1"/>
  <c r="D478" i="2"/>
  <c r="I478" i="2" s="1"/>
  <c r="B481" i="2" l="1"/>
  <c r="A482" i="2"/>
  <c r="K481" i="2"/>
  <c r="E479" i="2"/>
  <c r="I479" i="2" s="1"/>
  <c r="F480" i="2"/>
  <c r="G480" i="2" s="1"/>
  <c r="C480" i="2"/>
  <c r="E480" i="2" s="1"/>
  <c r="G479" i="2"/>
  <c r="J478" i="2"/>
  <c r="D479" i="4"/>
  <c r="B481" i="4" l="1"/>
  <c r="B480" i="4"/>
  <c r="D480" i="4" s="1"/>
  <c r="J479" i="2"/>
  <c r="H480" i="2"/>
  <c r="C481" i="4" s="1"/>
  <c r="D480" i="2"/>
  <c r="I480" i="2" s="1"/>
  <c r="B482" i="2"/>
  <c r="K482" i="2"/>
  <c r="A483" i="2"/>
  <c r="C481" i="2"/>
  <c r="E481" i="2" s="1"/>
  <c r="F481" i="2"/>
  <c r="H481" i="2" s="1"/>
  <c r="C482" i="4" s="1"/>
  <c r="D481" i="2" l="1"/>
  <c r="I481" i="2" s="1"/>
  <c r="C482" i="2"/>
  <c r="E482" i="2" s="1"/>
  <c r="F482" i="2"/>
  <c r="G482" i="2" s="1"/>
  <c r="G481" i="2"/>
  <c r="A484" i="2"/>
  <c r="B483" i="2"/>
  <c r="K483" i="2"/>
  <c r="J480" i="2"/>
  <c r="D481" i="4"/>
  <c r="B483" i="4" l="1"/>
  <c r="C483" i="2"/>
  <c r="E483" i="2" s="1"/>
  <c r="F483" i="2"/>
  <c r="H483" i="2" s="1"/>
  <c r="C484" i="4" s="1"/>
  <c r="B484" i="2"/>
  <c r="A485" i="2"/>
  <c r="K484" i="2"/>
  <c r="B482" i="4"/>
  <c r="D482" i="4" s="1"/>
  <c r="J481" i="2"/>
  <c r="D482" i="2"/>
  <c r="I482" i="2" s="1"/>
  <c r="H482" i="2"/>
  <c r="C483" i="4" s="1"/>
  <c r="B485" i="2" l="1"/>
  <c r="A486" i="2"/>
  <c r="K485" i="2"/>
  <c r="F484" i="2"/>
  <c r="G484" i="2" s="1"/>
  <c r="C484" i="2"/>
  <c r="E484" i="2" s="1"/>
  <c r="D483" i="2"/>
  <c r="I483" i="2" s="1"/>
  <c r="G483" i="2"/>
  <c r="J482" i="2"/>
  <c r="D483" i="4"/>
  <c r="B485" i="4" l="1"/>
  <c r="D484" i="2"/>
  <c r="I484" i="2" s="1"/>
  <c r="H484" i="2"/>
  <c r="C485" i="4" s="1"/>
  <c r="B484" i="4"/>
  <c r="D484" i="4" s="1"/>
  <c r="J483" i="2"/>
  <c r="A487" i="2"/>
  <c r="K486" i="2"/>
  <c r="B486" i="2"/>
  <c r="C485" i="2"/>
  <c r="E485" i="2" s="1"/>
  <c r="F485" i="2"/>
  <c r="G485" i="2" s="1"/>
  <c r="B486" i="4" l="1"/>
  <c r="D485" i="2"/>
  <c r="I485" i="2" s="1"/>
  <c r="H485" i="2"/>
  <c r="C486" i="4" s="1"/>
  <c r="J484" i="2"/>
  <c r="F486" i="2"/>
  <c r="G486" i="2" s="1"/>
  <c r="C486" i="2"/>
  <c r="E486" i="2" s="1"/>
  <c r="B487" i="2"/>
  <c r="A488" i="2"/>
  <c r="K487" i="2"/>
  <c r="D485" i="4"/>
  <c r="B487" i="4" l="1"/>
  <c r="A489" i="2"/>
  <c r="B488" i="2"/>
  <c r="D486" i="2"/>
  <c r="I486" i="2" s="1"/>
  <c r="C487" i="2"/>
  <c r="D487" i="2" s="1"/>
  <c r="F487" i="2"/>
  <c r="G487" i="2" s="1"/>
  <c r="H486" i="2"/>
  <c r="C487" i="4" s="1"/>
  <c r="J485" i="2"/>
  <c r="D486" i="4"/>
  <c r="B488" i="4" l="1"/>
  <c r="H487" i="2"/>
  <c r="C488" i="4" s="1"/>
  <c r="E487" i="2"/>
  <c r="I487" i="2" s="1"/>
  <c r="C488" i="2"/>
  <c r="E488" i="2" s="1"/>
  <c r="F488" i="2"/>
  <c r="H488" i="2" s="1"/>
  <c r="C489" i="4" s="1"/>
  <c r="A490" i="2"/>
  <c r="B489" i="2"/>
  <c r="K489" i="2" s="1"/>
  <c r="K488" i="2"/>
  <c r="J486" i="2"/>
  <c r="D487" i="4"/>
  <c r="D488" i="2" l="1"/>
  <c r="I488" i="2" s="1"/>
  <c r="G488" i="2"/>
  <c r="C489" i="2"/>
  <c r="E489" i="2" s="1"/>
  <c r="F489" i="2"/>
  <c r="G489" i="2" s="1"/>
  <c r="A491" i="2"/>
  <c r="B490" i="2"/>
  <c r="J487" i="2"/>
  <c r="D488" i="4"/>
  <c r="B490" i="4" l="1"/>
  <c r="F490" i="2"/>
  <c r="H490" i="2" s="1"/>
  <c r="C491" i="4" s="1"/>
  <c r="C490" i="2"/>
  <c r="E490" i="2" s="1"/>
  <c r="B491" i="2"/>
  <c r="A492" i="2"/>
  <c r="K491" i="2"/>
  <c r="H489" i="2"/>
  <c r="C490" i="4" s="1"/>
  <c r="K490" i="2"/>
  <c r="B489" i="4"/>
  <c r="D489" i="4" s="1"/>
  <c r="J488" i="2"/>
  <c r="D489" i="2"/>
  <c r="I489" i="2" s="1"/>
  <c r="B492" i="2" l="1"/>
  <c r="A493" i="2"/>
  <c r="C491" i="2"/>
  <c r="E491" i="2" s="1"/>
  <c r="F491" i="2"/>
  <c r="G491" i="2" s="1"/>
  <c r="D490" i="2"/>
  <c r="I490" i="2" s="1"/>
  <c r="G490" i="2"/>
  <c r="J489" i="2"/>
  <c r="D490" i="4"/>
  <c r="B492" i="4" l="1"/>
  <c r="B491" i="4"/>
  <c r="D491" i="4" s="1"/>
  <c r="J490" i="2"/>
  <c r="H491" i="2"/>
  <c r="C492" i="4" s="1"/>
  <c r="A494" i="2"/>
  <c r="B493" i="2"/>
  <c r="K493" i="2"/>
  <c r="D491" i="2"/>
  <c r="I491" i="2" s="1"/>
  <c r="C492" i="2"/>
  <c r="D492" i="2" s="1"/>
  <c r="F492" i="2"/>
  <c r="G492" i="2" s="1"/>
  <c r="K492" i="2"/>
  <c r="B493" i="4" l="1"/>
  <c r="E492" i="2"/>
  <c r="I492" i="2" s="1"/>
  <c r="F493" i="2"/>
  <c r="H493" i="2" s="1"/>
  <c r="C494" i="4" s="1"/>
  <c r="C493" i="2"/>
  <c r="E493" i="2" s="1"/>
  <c r="A495" i="2"/>
  <c r="K494" i="2"/>
  <c r="B494" i="2"/>
  <c r="H492" i="2"/>
  <c r="C493" i="4" s="1"/>
  <c r="J491" i="2"/>
  <c r="D492" i="4"/>
  <c r="F494" i="2" l="1"/>
  <c r="G494" i="2" s="1"/>
  <c r="C494" i="2"/>
  <c r="E494" i="2" s="1"/>
  <c r="B495" i="2"/>
  <c r="A496" i="2"/>
  <c r="K495" i="2"/>
  <c r="D493" i="2"/>
  <c r="I493" i="2" s="1"/>
  <c r="G493" i="2"/>
  <c r="J492" i="2"/>
  <c r="D493" i="4"/>
  <c r="B495" i="4" l="1"/>
  <c r="A497" i="2"/>
  <c r="B496" i="2"/>
  <c r="C495" i="2"/>
  <c r="E495" i="2" s="1"/>
  <c r="F495" i="2"/>
  <c r="G495" i="2" s="1"/>
  <c r="B494" i="4"/>
  <c r="D494" i="4" s="1"/>
  <c r="J493" i="2"/>
  <c r="H494" i="2"/>
  <c r="C495" i="4" s="1"/>
  <c r="D494" i="2"/>
  <c r="I494" i="2" s="1"/>
  <c r="B496" i="4" l="1"/>
  <c r="D495" i="2"/>
  <c r="I495" i="2" s="1"/>
  <c r="H495" i="2"/>
  <c r="C496" i="4" s="1"/>
  <c r="B497" i="2"/>
  <c r="A498" i="2"/>
  <c r="K497" i="2"/>
  <c r="J494" i="2"/>
  <c r="F496" i="2"/>
  <c r="G496" i="2" s="1"/>
  <c r="C496" i="2"/>
  <c r="E496" i="2" s="1"/>
  <c r="K496" i="2"/>
  <c r="D495" i="4"/>
  <c r="B497" i="4" l="1"/>
  <c r="H496" i="2"/>
  <c r="C497" i="4" s="1"/>
  <c r="D496" i="2"/>
  <c r="I496" i="2" s="1"/>
  <c r="F497" i="2"/>
  <c r="G497" i="2" s="1"/>
  <c r="C497" i="2"/>
  <c r="D497" i="2" s="1"/>
  <c r="J495" i="2"/>
  <c r="B498" i="2"/>
  <c r="K498" i="2"/>
  <c r="A499" i="2"/>
  <c r="D496" i="4"/>
  <c r="B498" i="4" l="1"/>
  <c r="A500" i="2"/>
  <c r="B499" i="2"/>
  <c r="K499" i="2"/>
  <c r="E497" i="2"/>
  <c r="I497" i="2" s="1"/>
  <c r="H497" i="2"/>
  <c r="C498" i="4" s="1"/>
  <c r="F498" i="2"/>
  <c r="H498" i="2" s="1"/>
  <c r="C499" i="4" s="1"/>
  <c r="C498" i="2"/>
  <c r="E498" i="2" s="1"/>
  <c r="J496" i="2"/>
  <c r="D497" i="4"/>
  <c r="G498" i="2" l="1"/>
  <c r="D498" i="2"/>
  <c r="I498" i="2" s="1"/>
  <c r="B500" i="2"/>
  <c r="A501" i="2"/>
  <c r="F499" i="2"/>
  <c r="H499" i="2" s="1"/>
  <c r="C500" i="4" s="1"/>
  <c r="C499" i="2"/>
  <c r="D499" i="2" s="1"/>
  <c r="J497" i="2"/>
  <c r="D498" i="4"/>
  <c r="E499" i="2" l="1"/>
  <c r="I499" i="2" s="1"/>
  <c r="G499" i="2"/>
  <c r="F500" i="2"/>
  <c r="H500" i="2" s="1"/>
  <c r="C501" i="4" s="1"/>
  <c r="C500" i="2"/>
  <c r="E500" i="2" s="1"/>
  <c r="K500" i="2"/>
  <c r="B501" i="2"/>
  <c r="A502" i="2"/>
  <c r="K501" i="2"/>
  <c r="B499" i="4"/>
  <c r="D499" i="4" s="1"/>
  <c r="J498" i="2"/>
  <c r="A503" i="2" l="1"/>
  <c r="K502" i="2"/>
  <c r="B502" i="2"/>
  <c r="F501" i="2"/>
  <c r="H501" i="2" s="1"/>
  <c r="C502" i="4" s="1"/>
  <c r="C501" i="2"/>
  <c r="E501" i="2" s="1"/>
  <c r="D500" i="2"/>
  <c r="I500" i="2" s="1"/>
  <c r="B500" i="4"/>
  <c r="D500" i="4" s="1"/>
  <c r="J499" i="2"/>
  <c r="G500" i="2"/>
  <c r="B501" i="4" l="1"/>
  <c r="D501" i="4" s="1"/>
  <c r="J500" i="2"/>
  <c r="D501" i="2"/>
  <c r="I501" i="2" s="1"/>
  <c r="G501" i="2"/>
  <c r="C502" i="2"/>
  <c r="D502" i="2" s="1"/>
  <c r="F502" i="2"/>
  <c r="G502" i="2" s="1"/>
  <c r="B503" i="2"/>
  <c r="A504" i="2"/>
  <c r="K503" i="2"/>
  <c r="B503" i="4" l="1"/>
  <c r="A505" i="2"/>
  <c r="K504" i="2"/>
  <c r="B504" i="2"/>
  <c r="E502" i="2"/>
  <c r="I502" i="2" s="1"/>
  <c r="F503" i="2"/>
  <c r="H503" i="2" s="1"/>
  <c r="C504" i="4" s="1"/>
  <c r="C503" i="2"/>
  <c r="E503" i="2" s="1"/>
  <c r="B502" i="4"/>
  <c r="D502" i="4" s="1"/>
  <c r="J501" i="2"/>
  <c r="H502" i="2"/>
  <c r="C503" i="4" s="1"/>
  <c r="D503" i="2" l="1"/>
  <c r="I503" i="2" s="1"/>
  <c r="G503" i="2"/>
  <c r="C504" i="2"/>
  <c r="E504" i="2" s="1"/>
  <c r="F504" i="2"/>
  <c r="H504" i="2" s="1"/>
  <c r="C505" i="4" s="1"/>
  <c r="A506" i="2"/>
  <c r="K505" i="2"/>
  <c r="B505" i="2"/>
  <c r="J502" i="2"/>
  <c r="D503" i="4"/>
  <c r="G504" i="2" l="1"/>
  <c r="C505" i="2"/>
  <c r="D505" i="2" s="1"/>
  <c r="F505" i="2"/>
  <c r="G505" i="2" s="1"/>
  <c r="A507" i="2"/>
  <c r="B506" i="2"/>
  <c r="B504" i="4"/>
  <c r="D504" i="4" s="1"/>
  <c r="J503" i="2"/>
  <c r="D504" i="2"/>
  <c r="I504" i="2" s="1"/>
  <c r="B506" i="4" l="1"/>
  <c r="F506" i="2"/>
  <c r="G506" i="2" s="1"/>
  <c r="C506" i="2"/>
  <c r="E506" i="2" s="1"/>
  <c r="K506" i="2"/>
  <c r="B507" i="2"/>
  <c r="A508" i="2"/>
  <c r="K507" i="2"/>
  <c r="E505" i="2"/>
  <c r="I505" i="2" s="1"/>
  <c r="H505" i="2"/>
  <c r="C506" i="4" s="1"/>
  <c r="B505" i="4"/>
  <c r="D505" i="4" s="1"/>
  <c r="J504" i="2"/>
  <c r="B507" i="4" l="1"/>
  <c r="B508" i="2"/>
  <c r="A509" i="2"/>
  <c r="C507" i="2"/>
  <c r="E507" i="2" s="1"/>
  <c r="F507" i="2"/>
  <c r="H507" i="2" s="1"/>
  <c r="C508" i="4" s="1"/>
  <c r="D506" i="2"/>
  <c r="I506" i="2" s="1"/>
  <c r="H506" i="2"/>
  <c r="C507" i="4" s="1"/>
  <c r="J505" i="2"/>
  <c r="D506" i="4"/>
  <c r="D507" i="2" l="1"/>
  <c r="I507" i="2" s="1"/>
  <c r="G507" i="2"/>
  <c r="C508" i="2"/>
  <c r="E508" i="2" s="1"/>
  <c r="F508" i="2"/>
  <c r="G508" i="2" s="1"/>
  <c r="J506" i="2"/>
  <c r="A510" i="2"/>
  <c r="B509" i="2"/>
  <c r="K509" i="2" s="1"/>
  <c r="K508" i="2"/>
  <c r="D507" i="4"/>
  <c r="B509" i="4" l="1"/>
  <c r="B510" i="2"/>
  <c r="A511" i="2"/>
  <c r="K510" i="2"/>
  <c r="H508" i="2"/>
  <c r="C509" i="4" s="1"/>
  <c r="B508" i="4"/>
  <c r="D508" i="4" s="1"/>
  <c r="J507" i="2"/>
  <c r="F509" i="2"/>
  <c r="H509" i="2" s="1"/>
  <c r="C510" i="4" s="1"/>
  <c r="C509" i="2"/>
  <c r="D509" i="2" s="1"/>
  <c r="D508" i="2"/>
  <c r="I508" i="2" s="1"/>
  <c r="E509" i="2" l="1"/>
  <c r="I509" i="2" s="1"/>
  <c r="G509" i="2"/>
  <c r="B511" i="2"/>
  <c r="A512" i="2"/>
  <c r="K511" i="2"/>
  <c r="J508" i="2"/>
  <c r="C510" i="2"/>
  <c r="E510" i="2" s="1"/>
  <c r="F510" i="2"/>
  <c r="G510" i="2" s="1"/>
  <c r="D509" i="4"/>
  <c r="B511" i="4" l="1"/>
  <c r="D510" i="2"/>
  <c r="I510" i="2" s="1"/>
  <c r="H510" i="2"/>
  <c r="C511" i="4" s="1"/>
  <c r="C511" i="2"/>
  <c r="D511" i="2" s="1"/>
  <c r="F511" i="2"/>
  <c r="G511" i="2" s="1"/>
  <c r="A513" i="2"/>
  <c r="K512" i="2"/>
  <c r="B512" i="2"/>
  <c r="B510" i="4"/>
  <c r="D510" i="4" s="1"/>
  <c r="J509" i="2"/>
  <c r="B512" i="4" l="1"/>
  <c r="E511" i="2"/>
  <c r="I511" i="2" s="1"/>
  <c r="H511" i="2"/>
  <c r="C512" i="4" s="1"/>
  <c r="J510" i="2"/>
  <c r="F512" i="2"/>
  <c r="H512" i="2" s="1"/>
  <c r="C513" i="4" s="1"/>
  <c r="C512" i="2"/>
  <c r="E512" i="2" s="1"/>
  <c r="B513" i="2"/>
  <c r="A514" i="2"/>
  <c r="K513" i="2"/>
  <c r="D511" i="4"/>
  <c r="B514" i="2" l="1"/>
  <c r="A515" i="2"/>
  <c r="K514" i="2"/>
  <c r="D512" i="2"/>
  <c r="I512" i="2" s="1"/>
  <c r="C513" i="2"/>
  <c r="E513" i="2" s="1"/>
  <c r="F513" i="2"/>
  <c r="H513" i="2" s="1"/>
  <c r="C514" i="4" s="1"/>
  <c r="J511" i="2"/>
  <c r="G512" i="2"/>
  <c r="D512" i="4"/>
  <c r="G513" i="2" l="1"/>
  <c r="D513" i="2"/>
  <c r="I513" i="2" s="1"/>
  <c r="B513" i="4"/>
  <c r="D513" i="4" s="1"/>
  <c r="J512" i="2"/>
  <c r="A516" i="2"/>
  <c r="K515" i="2"/>
  <c r="B515" i="2"/>
  <c r="F514" i="2"/>
  <c r="H514" i="2" s="1"/>
  <c r="C515" i="4" s="1"/>
  <c r="C514" i="2"/>
  <c r="E514" i="2" s="1"/>
  <c r="D514" i="2" l="1"/>
  <c r="I514" i="2" s="1"/>
  <c r="G514" i="2"/>
  <c r="F515" i="2"/>
  <c r="G515" i="2" s="1"/>
  <c r="C515" i="2"/>
  <c r="E515" i="2" s="1"/>
  <c r="B516" i="2"/>
  <c r="A517" i="2"/>
  <c r="K516" i="2"/>
  <c r="B514" i="4"/>
  <c r="D514" i="4" s="1"/>
  <c r="J513" i="2"/>
  <c r="B516" i="4" l="1"/>
  <c r="B517" i="2"/>
  <c r="A518" i="2"/>
  <c r="K517" i="2"/>
  <c r="H515" i="2"/>
  <c r="C516" i="4" s="1"/>
  <c r="F516" i="2"/>
  <c r="H516" i="2" s="1"/>
  <c r="C517" i="4" s="1"/>
  <c r="C516" i="2"/>
  <c r="E516" i="2" s="1"/>
  <c r="B515" i="4"/>
  <c r="D515" i="4" s="1"/>
  <c r="J514" i="2"/>
  <c r="D515" i="2"/>
  <c r="I515" i="2" s="1"/>
  <c r="D516" i="2" l="1"/>
  <c r="I516" i="2" s="1"/>
  <c r="G516" i="2"/>
  <c r="A519" i="2"/>
  <c r="B518" i="2"/>
  <c r="J515" i="2"/>
  <c r="F517" i="2"/>
  <c r="H517" i="2" s="1"/>
  <c r="C518" i="4" s="1"/>
  <c r="C517" i="2"/>
  <c r="D517" i="2" s="1"/>
  <c r="D516" i="4"/>
  <c r="E517" i="2" l="1"/>
  <c r="I517" i="2" s="1"/>
  <c r="G517" i="2"/>
  <c r="C518" i="2"/>
  <c r="E518" i="2" s="1"/>
  <c r="F518" i="2"/>
  <c r="H518" i="2" s="1"/>
  <c r="C519" i="4" s="1"/>
  <c r="B517" i="4"/>
  <c r="D517" i="4" s="1"/>
  <c r="J516" i="2"/>
  <c r="K518" i="2"/>
  <c r="B519" i="2"/>
  <c r="A520" i="2"/>
  <c r="K519" i="2"/>
  <c r="B520" i="2" l="1"/>
  <c r="A521" i="2"/>
  <c r="K520" i="2"/>
  <c r="F519" i="2"/>
  <c r="H519" i="2" s="1"/>
  <c r="C520" i="4" s="1"/>
  <c r="C519" i="2"/>
  <c r="E519" i="2" s="1"/>
  <c r="B518" i="4"/>
  <c r="D518" i="4" s="1"/>
  <c r="J517" i="2"/>
  <c r="D518" i="2"/>
  <c r="I518" i="2" s="1"/>
  <c r="G518" i="2"/>
  <c r="B519" i="4" l="1"/>
  <c r="D519" i="4" s="1"/>
  <c r="J518" i="2"/>
  <c r="D519" i="2"/>
  <c r="I519" i="2" s="1"/>
  <c r="G519" i="2"/>
  <c r="A522" i="2"/>
  <c r="B521" i="2"/>
  <c r="C520" i="2"/>
  <c r="E520" i="2" s="1"/>
  <c r="F520" i="2"/>
  <c r="G520" i="2" s="1"/>
  <c r="B521" i="4" l="1"/>
  <c r="D520" i="2"/>
  <c r="I520" i="2" s="1"/>
  <c r="A523" i="2"/>
  <c r="B522" i="2"/>
  <c r="H520" i="2"/>
  <c r="C521" i="4" s="1"/>
  <c r="C521" i="2"/>
  <c r="D521" i="2" s="1"/>
  <c r="F521" i="2"/>
  <c r="G521" i="2" s="1"/>
  <c r="B520" i="4"/>
  <c r="D520" i="4" s="1"/>
  <c r="J519" i="2"/>
  <c r="K521" i="2"/>
  <c r="B522" i="4" l="1"/>
  <c r="E521" i="2"/>
  <c r="I521" i="2" s="1"/>
  <c r="H521" i="2"/>
  <c r="C522" i="4" s="1"/>
  <c r="F522" i="2"/>
  <c r="H522" i="2" s="1"/>
  <c r="C523" i="4" s="1"/>
  <c r="C522" i="2"/>
  <c r="D522" i="2" s="1"/>
  <c r="K522" i="2"/>
  <c r="B523" i="2"/>
  <c r="A524" i="2"/>
  <c r="K523" i="2"/>
  <c r="J520" i="2"/>
  <c r="D521" i="4"/>
  <c r="E522" i="2" l="1"/>
  <c r="I522" i="2" s="1"/>
  <c r="K524" i="2"/>
  <c r="B524" i="2"/>
  <c r="A525" i="2"/>
  <c r="C523" i="2"/>
  <c r="E523" i="2" s="1"/>
  <c r="F523" i="2"/>
  <c r="H523" i="2" s="1"/>
  <c r="C524" i="4" s="1"/>
  <c r="G522" i="2"/>
  <c r="J521" i="2"/>
  <c r="D522" i="4"/>
  <c r="B523" i="4" l="1"/>
  <c r="D523" i="4" s="1"/>
  <c r="J522" i="2"/>
  <c r="D523" i="2"/>
  <c r="I523" i="2" s="1"/>
  <c r="G523" i="2"/>
  <c r="A526" i="2"/>
  <c r="B525" i="2"/>
  <c r="C524" i="2"/>
  <c r="E524" i="2" s="1"/>
  <c r="F524" i="2"/>
  <c r="H524" i="2" s="1"/>
  <c r="C525" i="4" s="1"/>
  <c r="G524" i="2" l="1"/>
  <c r="C525" i="2"/>
  <c r="E525" i="2" s="1"/>
  <c r="F525" i="2"/>
  <c r="G525" i="2" s="1"/>
  <c r="B526" i="2"/>
  <c r="A527" i="2"/>
  <c r="K526" i="2"/>
  <c r="D524" i="2"/>
  <c r="I524" i="2" s="1"/>
  <c r="K525" i="2"/>
  <c r="B524" i="4"/>
  <c r="D524" i="4" s="1"/>
  <c r="J523" i="2"/>
  <c r="B526" i="4" l="1"/>
  <c r="B527" i="2"/>
  <c r="A528" i="2"/>
  <c r="K527" i="2"/>
  <c r="C526" i="2"/>
  <c r="E526" i="2" s="1"/>
  <c r="F526" i="2"/>
  <c r="H526" i="2" s="1"/>
  <c r="C527" i="4" s="1"/>
  <c r="D525" i="2"/>
  <c r="I525" i="2" s="1"/>
  <c r="H525" i="2"/>
  <c r="C526" i="4" s="1"/>
  <c r="B525" i="4"/>
  <c r="D525" i="4" s="1"/>
  <c r="J524" i="2"/>
  <c r="D526" i="2" l="1"/>
  <c r="I526" i="2" s="1"/>
  <c r="J525" i="2"/>
  <c r="G526" i="2"/>
  <c r="A529" i="2"/>
  <c r="K528" i="2"/>
  <c r="B528" i="2"/>
  <c r="C527" i="2"/>
  <c r="E527" i="2" s="1"/>
  <c r="F527" i="2"/>
  <c r="H527" i="2" s="1"/>
  <c r="C528" i="4" s="1"/>
  <c r="D526" i="4"/>
  <c r="D527" i="2" l="1"/>
  <c r="I527" i="2" s="1"/>
  <c r="G527" i="2"/>
  <c r="C528" i="2"/>
  <c r="E528" i="2" s="1"/>
  <c r="F528" i="2"/>
  <c r="H528" i="2" s="1"/>
  <c r="C529" i="4" s="1"/>
  <c r="B529" i="2"/>
  <c r="A530" i="2"/>
  <c r="K529" i="2"/>
  <c r="B527" i="4"/>
  <c r="D527" i="4" s="1"/>
  <c r="J526" i="2"/>
  <c r="B530" i="2" l="1"/>
  <c r="A531" i="2"/>
  <c r="K530" i="2"/>
  <c r="D528" i="2"/>
  <c r="I528" i="2" s="1"/>
  <c r="C529" i="2"/>
  <c r="E529" i="2" s="1"/>
  <c r="F529" i="2"/>
  <c r="H529" i="2" s="1"/>
  <c r="C530" i="4" s="1"/>
  <c r="B528" i="4"/>
  <c r="D528" i="4" s="1"/>
  <c r="J527" i="2"/>
  <c r="G528" i="2"/>
  <c r="B529" i="4" l="1"/>
  <c r="D529" i="4" s="1"/>
  <c r="J528" i="2"/>
  <c r="G529" i="2"/>
  <c r="D529" i="2"/>
  <c r="I529" i="2" s="1"/>
  <c r="A532" i="2"/>
  <c r="B531" i="2"/>
  <c r="C530" i="2"/>
  <c r="D530" i="2" s="1"/>
  <c r="F530" i="2"/>
  <c r="H530" i="2" s="1"/>
  <c r="C531" i="4" s="1"/>
  <c r="G530" i="2" l="1"/>
  <c r="E530" i="2"/>
  <c r="I530" i="2" s="1"/>
  <c r="F531" i="2"/>
  <c r="H531" i="2" s="1"/>
  <c r="C532" i="4" s="1"/>
  <c r="C531" i="2"/>
  <c r="E531" i="2" s="1"/>
  <c r="B532" i="2"/>
  <c r="A533" i="2"/>
  <c r="K532" i="2"/>
  <c r="B530" i="4"/>
  <c r="D530" i="4" s="1"/>
  <c r="J529" i="2"/>
  <c r="K531" i="2"/>
  <c r="B533" i="2" l="1"/>
  <c r="A534" i="2"/>
  <c r="K533" i="2"/>
  <c r="D531" i="2"/>
  <c r="I531" i="2" s="1"/>
  <c r="F532" i="2"/>
  <c r="H532" i="2" s="1"/>
  <c r="C533" i="4" s="1"/>
  <c r="C532" i="2"/>
  <c r="E532" i="2" s="1"/>
  <c r="G531" i="2"/>
  <c r="B531" i="4"/>
  <c r="D531" i="4" s="1"/>
  <c r="J530" i="2"/>
  <c r="D532" i="2" l="1"/>
  <c r="I532" i="2" s="1"/>
  <c r="G532" i="2"/>
  <c r="B532" i="4"/>
  <c r="D532" i="4" s="1"/>
  <c r="J531" i="2"/>
  <c r="A535" i="2"/>
  <c r="K534" i="2"/>
  <c r="B534" i="2"/>
  <c r="F533" i="2"/>
  <c r="G533" i="2" s="1"/>
  <c r="C533" i="2"/>
  <c r="E533" i="2" s="1"/>
  <c r="B534" i="4" l="1"/>
  <c r="D533" i="2"/>
  <c r="I533" i="2" s="1"/>
  <c r="H533" i="2"/>
  <c r="C534" i="4" s="1"/>
  <c r="F534" i="2"/>
  <c r="G534" i="2" s="1"/>
  <c r="C534" i="2"/>
  <c r="E534" i="2" s="1"/>
  <c r="B533" i="4"/>
  <c r="D533" i="4" s="1"/>
  <c r="J532" i="2"/>
  <c r="B535" i="2"/>
  <c r="A536" i="2"/>
  <c r="K535" i="2"/>
  <c r="B535" i="4" l="1"/>
  <c r="F535" i="2"/>
  <c r="H535" i="2" s="1"/>
  <c r="C536" i="4" s="1"/>
  <c r="C535" i="2"/>
  <c r="D535" i="2" s="1"/>
  <c r="B536" i="2"/>
  <c r="A537" i="2"/>
  <c r="K536" i="2"/>
  <c r="D534" i="2"/>
  <c r="I534" i="2" s="1"/>
  <c r="H534" i="2"/>
  <c r="C535" i="4" s="1"/>
  <c r="J533" i="2"/>
  <c r="D534" i="4"/>
  <c r="A538" i="2" l="1"/>
  <c r="B537" i="2"/>
  <c r="C536" i="2"/>
  <c r="D536" i="2" s="1"/>
  <c r="F536" i="2"/>
  <c r="G536" i="2" s="1"/>
  <c r="E535" i="2"/>
  <c r="I535" i="2" s="1"/>
  <c r="J534" i="2"/>
  <c r="G535" i="2"/>
  <c r="D535" i="4"/>
  <c r="B537" i="4" l="1"/>
  <c r="B536" i="4"/>
  <c r="D536" i="4" s="1"/>
  <c r="J535" i="2"/>
  <c r="H536" i="2"/>
  <c r="C537" i="4" s="1"/>
  <c r="E536" i="2"/>
  <c r="I536" i="2" s="1"/>
  <c r="F537" i="2"/>
  <c r="G537" i="2" s="1"/>
  <c r="C537" i="2"/>
  <c r="E537" i="2" s="1"/>
  <c r="K537" i="2"/>
  <c r="A539" i="2"/>
  <c r="K538" i="2"/>
  <c r="B538" i="2"/>
  <c r="B538" i="4" l="1"/>
  <c r="H537" i="2"/>
  <c r="C538" i="4" s="1"/>
  <c r="B539" i="2"/>
  <c r="A540" i="2"/>
  <c r="K539" i="2"/>
  <c r="D537" i="2"/>
  <c r="I537" i="2" s="1"/>
  <c r="J536" i="2"/>
  <c r="F538" i="2"/>
  <c r="G538" i="2" s="1"/>
  <c r="C538" i="2"/>
  <c r="E538" i="2" s="1"/>
  <c r="D537" i="4"/>
  <c r="B539" i="4" l="1"/>
  <c r="D538" i="2"/>
  <c r="I538" i="2" s="1"/>
  <c r="H538" i="2"/>
  <c r="C539" i="4" s="1"/>
  <c r="B540" i="2"/>
  <c r="K540" i="2" s="1"/>
  <c r="A541" i="2"/>
  <c r="C539" i="2"/>
  <c r="D539" i="2" s="1"/>
  <c r="F539" i="2"/>
  <c r="H539" i="2" s="1"/>
  <c r="C540" i="4" s="1"/>
  <c r="J537" i="2"/>
  <c r="D538" i="4"/>
  <c r="E539" i="2" l="1"/>
  <c r="I539" i="2" s="1"/>
  <c r="G539" i="2"/>
  <c r="J538" i="2"/>
  <c r="A542" i="2"/>
  <c r="B541" i="2"/>
  <c r="C540" i="2"/>
  <c r="D540" i="2" s="1"/>
  <c r="F540" i="2"/>
  <c r="H540" i="2" s="1"/>
  <c r="C541" i="4" s="1"/>
  <c r="D539" i="4"/>
  <c r="G540" i="2" l="1"/>
  <c r="C541" i="2"/>
  <c r="E541" i="2" s="1"/>
  <c r="F541" i="2"/>
  <c r="G541" i="2" s="1"/>
  <c r="E540" i="2"/>
  <c r="I540" i="2" s="1"/>
  <c r="B540" i="4"/>
  <c r="D540" i="4" s="1"/>
  <c r="J539" i="2"/>
  <c r="K541" i="2"/>
  <c r="B542" i="2"/>
  <c r="A543" i="2"/>
  <c r="K542" i="2"/>
  <c r="B542" i="4" l="1"/>
  <c r="B543" i="2"/>
  <c r="A544" i="2"/>
  <c r="K543" i="2"/>
  <c r="D541" i="2"/>
  <c r="I541" i="2" s="1"/>
  <c r="C542" i="2"/>
  <c r="E542" i="2" s="1"/>
  <c r="F542" i="2"/>
  <c r="H542" i="2" s="1"/>
  <c r="C543" i="4" s="1"/>
  <c r="H541" i="2"/>
  <c r="C542" i="4" s="1"/>
  <c r="B541" i="4"/>
  <c r="D541" i="4" s="1"/>
  <c r="J540" i="2"/>
  <c r="G542" i="2" l="1"/>
  <c r="D542" i="2"/>
  <c r="I542" i="2" s="1"/>
  <c r="J541" i="2"/>
  <c r="A545" i="2"/>
  <c r="K544" i="2"/>
  <c r="B544" i="2"/>
  <c r="C543" i="2"/>
  <c r="D543" i="2" s="1"/>
  <c r="F543" i="2"/>
  <c r="H543" i="2" s="1"/>
  <c r="C544" i="4" s="1"/>
  <c r="D542" i="4"/>
  <c r="E543" i="2" l="1"/>
  <c r="I543" i="2" s="1"/>
  <c r="G543" i="2"/>
  <c r="C544" i="2"/>
  <c r="E544" i="2" s="1"/>
  <c r="F544" i="2"/>
  <c r="H544" i="2" s="1"/>
  <c r="C545" i="4" s="1"/>
  <c r="B545" i="2"/>
  <c r="A546" i="2"/>
  <c r="K545" i="2"/>
  <c r="B543" i="4"/>
  <c r="D543" i="4" s="1"/>
  <c r="J542" i="2"/>
  <c r="B546" i="2" l="1"/>
  <c r="A547" i="2"/>
  <c r="K546" i="2"/>
  <c r="C545" i="2"/>
  <c r="D545" i="2" s="1"/>
  <c r="F545" i="2"/>
  <c r="H545" i="2" s="1"/>
  <c r="C546" i="4" s="1"/>
  <c r="B544" i="4"/>
  <c r="D544" i="4" s="1"/>
  <c r="J543" i="2"/>
  <c r="D544" i="2"/>
  <c r="I544" i="2" s="1"/>
  <c r="G544" i="2"/>
  <c r="B545" i="4" l="1"/>
  <c r="D545" i="4" s="1"/>
  <c r="J544" i="2"/>
  <c r="G545" i="2"/>
  <c r="E545" i="2"/>
  <c r="I545" i="2" s="1"/>
  <c r="A548" i="2"/>
  <c r="K547" i="2"/>
  <c r="B547" i="2"/>
  <c r="F546" i="2"/>
  <c r="H546" i="2" s="1"/>
  <c r="C547" i="4" s="1"/>
  <c r="C546" i="2"/>
  <c r="E546" i="2" s="1"/>
  <c r="D546" i="2" l="1"/>
  <c r="I546" i="2" s="1"/>
  <c r="B548" i="2"/>
  <c r="A549" i="2"/>
  <c r="K548" i="2"/>
  <c r="G546" i="2"/>
  <c r="F547" i="2"/>
  <c r="H547" i="2" s="1"/>
  <c r="C548" i="4" s="1"/>
  <c r="C547" i="2"/>
  <c r="E547" i="2" s="1"/>
  <c r="B546" i="4"/>
  <c r="D546" i="4" s="1"/>
  <c r="J545" i="2"/>
  <c r="B547" i="4" l="1"/>
  <c r="D547" i="4" s="1"/>
  <c r="J546" i="2"/>
  <c r="B549" i="2"/>
  <c r="A550" i="2"/>
  <c r="K549" i="2"/>
  <c r="F548" i="2"/>
  <c r="H548" i="2" s="1"/>
  <c r="C549" i="4" s="1"/>
  <c r="C548" i="2"/>
  <c r="E548" i="2" s="1"/>
  <c r="D547" i="2"/>
  <c r="I547" i="2" s="1"/>
  <c r="G547" i="2"/>
  <c r="D548" i="2" l="1"/>
  <c r="I548" i="2" s="1"/>
  <c r="B548" i="4"/>
  <c r="D548" i="4" s="1"/>
  <c r="J547" i="2"/>
  <c r="G548" i="2"/>
  <c r="A551" i="2"/>
  <c r="B550" i="2"/>
  <c r="F549" i="2"/>
  <c r="H549" i="2" s="1"/>
  <c r="C550" i="4" s="1"/>
  <c r="C549" i="2"/>
  <c r="E549" i="2" s="1"/>
  <c r="G549" i="2" l="1"/>
  <c r="F550" i="2"/>
  <c r="H550" i="2" s="1"/>
  <c r="C551" i="4" s="1"/>
  <c r="C550" i="2"/>
  <c r="E550" i="2" s="1"/>
  <c r="D549" i="2"/>
  <c r="I549" i="2" s="1"/>
  <c r="K550" i="2"/>
  <c r="B551" i="2"/>
  <c r="A552" i="2"/>
  <c r="K551" i="2"/>
  <c r="B549" i="4"/>
  <c r="D549" i="4" s="1"/>
  <c r="J548" i="2"/>
  <c r="D550" i="2" l="1"/>
  <c r="I550" i="2" s="1"/>
  <c r="G550" i="2"/>
  <c r="B552" i="2"/>
  <c r="A553" i="2"/>
  <c r="K552" i="2"/>
  <c r="C551" i="2"/>
  <c r="D551" i="2" s="1"/>
  <c r="F551" i="2"/>
  <c r="H551" i="2" s="1"/>
  <c r="C552" i="4" s="1"/>
  <c r="B550" i="4"/>
  <c r="D550" i="4" s="1"/>
  <c r="J549" i="2"/>
  <c r="E551" i="2" l="1"/>
  <c r="I551" i="2" s="1"/>
  <c r="B551" i="4"/>
  <c r="D551" i="4" s="1"/>
  <c r="J550" i="2"/>
  <c r="G551" i="2"/>
  <c r="A554" i="2"/>
  <c r="B553" i="2"/>
  <c r="C552" i="2"/>
  <c r="E552" i="2" s="1"/>
  <c r="F552" i="2"/>
  <c r="G552" i="2" s="1"/>
  <c r="B553" i="4" l="1"/>
  <c r="D552" i="2"/>
  <c r="I552" i="2" s="1"/>
  <c r="F553" i="2"/>
  <c r="H553" i="2" s="1"/>
  <c r="C554" i="4" s="1"/>
  <c r="C553" i="2"/>
  <c r="E553" i="2" s="1"/>
  <c r="H552" i="2"/>
  <c r="C553" i="4" s="1"/>
  <c r="K553" i="2"/>
  <c r="A555" i="2"/>
  <c r="B554" i="2"/>
  <c r="B552" i="4"/>
  <c r="D552" i="4" s="1"/>
  <c r="J551" i="2"/>
  <c r="F554" i="2" l="1"/>
  <c r="H554" i="2" s="1"/>
  <c r="C555" i="4" s="1"/>
  <c r="C554" i="2"/>
  <c r="E554" i="2" s="1"/>
  <c r="D553" i="2"/>
  <c r="I553" i="2" s="1"/>
  <c r="G553" i="2"/>
  <c r="K554" i="2"/>
  <c r="B555" i="2"/>
  <c r="A556" i="2"/>
  <c r="K555" i="2"/>
  <c r="J552" i="2"/>
  <c r="D553" i="4"/>
  <c r="C555" i="2" l="1"/>
  <c r="E555" i="2" s="1"/>
  <c r="F555" i="2"/>
  <c r="H555" i="2" s="1"/>
  <c r="C556" i="4" s="1"/>
  <c r="B554" i="4"/>
  <c r="D554" i="4" s="1"/>
  <c r="J553" i="2"/>
  <c r="K556" i="2"/>
  <c r="B556" i="2"/>
  <c r="A557" i="2"/>
  <c r="G554" i="2"/>
  <c r="D554" i="2"/>
  <c r="I554" i="2" s="1"/>
  <c r="B555" i="4" l="1"/>
  <c r="D555" i="4" s="1"/>
  <c r="J554" i="2"/>
  <c r="F556" i="2"/>
  <c r="H556" i="2" s="1"/>
  <c r="C557" i="4" s="1"/>
  <c r="C556" i="2"/>
  <c r="E556" i="2" s="1"/>
  <c r="A558" i="2"/>
  <c r="B557" i="2"/>
  <c r="G555" i="2"/>
  <c r="D555" i="2"/>
  <c r="I555" i="2" s="1"/>
  <c r="C557" i="2" l="1"/>
  <c r="E557" i="2" s="1"/>
  <c r="F557" i="2"/>
  <c r="H557" i="2" s="1"/>
  <c r="C558" i="4" s="1"/>
  <c r="K557" i="2"/>
  <c r="B558" i="2"/>
  <c r="A559" i="2"/>
  <c r="K558" i="2"/>
  <c r="G556" i="2"/>
  <c r="B556" i="4"/>
  <c r="D556" i="4" s="1"/>
  <c r="J555" i="2"/>
  <c r="D556" i="2"/>
  <c r="I556" i="2" s="1"/>
  <c r="B559" i="2" l="1"/>
  <c r="A560" i="2"/>
  <c r="K559" i="2"/>
  <c r="G557" i="2"/>
  <c r="B557" i="4"/>
  <c r="D557" i="4" s="1"/>
  <c r="J556" i="2"/>
  <c r="F558" i="2"/>
  <c r="H558" i="2" s="1"/>
  <c r="C559" i="4" s="1"/>
  <c r="C558" i="2"/>
  <c r="D558" i="2" s="1"/>
  <c r="D557" i="2"/>
  <c r="I557" i="2" s="1"/>
  <c r="E558" i="2" l="1"/>
  <c r="I558" i="2" s="1"/>
  <c r="G558" i="2"/>
  <c r="B558" i="4"/>
  <c r="D558" i="4" s="1"/>
  <c r="J557" i="2"/>
  <c r="A561" i="2"/>
  <c r="K560" i="2"/>
  <c r="B560" i="2"/>
  <c r="C559" i="2"/>
  <c r="E559" i="2" s="1"/>
  <c r="F559" i="2"/>
  <c r="H559" i="2" s="1"/>
  <c r="C560" i="4" s="1"/>
  <c r="D559" i="2" l="1"/>
  <c r="I559" i="2" s="1"/>
  <c r="G559" i="2"/>
  <c r="C560" i="2"/>
  <c r="D560" i="2" s="1"/>
  <c r="F560" i="2"/>
  <c r="H560" i="2" s="1"/>
  <c r="C561" i="4" s="1"/>
  <c r="B561" i="2"/>
  <c r="A562" i="2"/>
  <c r="K561" i="2"/>
  <c r="B559" i="4"/>
  <c r="D559" i="4" s="1"/>
  <c r="J558" i="2"/>
  <c r="B562" i="2" l="1"/>
  <c r="A563" i="2"/>
  <c r="K562" i="2"/>
  <c r="E560" i="2"/>
  <c r="I560" i="2" s="1"/>
  <c r="C561" i="2"/>
  <c r="E561" i="2" s="1"/>
  <c r="F561" i="2"/>
  <c r="H561" i="2" s="1"/>
  <c r="C562" i="4" s="1"/>
  <c r="B560" i="4"/>
  <c r="D560" i="4" s="1"/>
  <c r="J559" i="2"/>
  <c r="G560" i="2"/>
  <c r="G561" i="2" l="1"/>
  <c r="D561" i="2"/>
  <c r="I561" i="2" s="1"/>
  <c r="B561" i="4"/>
  <c r="D561" i="4" s="1"/>
  <c r="J560" i="2"/>
  <c r="A564" i="2"/>
  <c r="B563" i="2"/>
  <c r="C562" i="2"/>
  <c r="E562" i="2" s="1"/>
  <c r="F562" i="2"/>
  <c r="H562" i="2" s="1"/>
  <c r="C563" i="4" s="1"/>
  <c r="D562" i="2" l="1"/>
  <c r="I562" i="2" s="1"/>
  <c r="C563" i="2"/>
  <c r="E563" i="2" s="1"/>
  <c r="F563" i="2"/>
  <c r="G563" i="2" s="1"/>
  <c r="G562" i="2"/>
  <c r="B564" i="2"/>
  <c r="A565" i="2"/>
  <c r="K564" i="2"/>
  <c r="K563" i="2"/>
  <c r="B562" i="4"/>
  <c r="D562" i="4" s="1"/>
  <c r="J561" i="2"/>
  <c r="B564" i="4" l="1"/>
  <c r="B565" i="2"/>
  <c r="A566" i="2"/>
  <c r="K565" i="2"/>
  <c r="C564" i="2"/>
  <c r="E564" i="2" s="1"/>
  <c r="F564" i="2"/>
  <c r="H564" i="2" s="1"/>
  <c r="C565" i="4" s="1"/>
  <c r="B563" i="4"/>
  <c r="D563" i="4" s="1"/>
  <c r="J562" i="2"/>
  <c r="D563" i="2"/>
  <c r="I563" i="2" s="1"/>
  <c r="H563" i="2"/>
  <c r="C564" i="4" s="1"/>
  <c r="G564" i="2" l="1"/>
  <c r="D564" i="2"/>
  <c r="I564" i="2" s="1"/>
  <c r="A567" i="2"/>
  <c r="B566" i="2"/>
  <c r="J563" i="2"/>
  <c r="C565" i="2"/>
  <c r="E565" i="2" s="1"/>
  <c r="F565" i="2"/>
  <c r="H565" i="2" s="1"/>
  <c r="C566" i="4" s="1"/>
  <c r="D564" i="4"/>
  <c r="G565" i="2" l="1"/>
  <c r="F566" i="2"/>
  <c r="G566" i="2" s="1"/>
  <c r="C566" i="2"/>
  <c r="E566" i="2" s="1"/>
  <c r="D565" i="2"/>
  <c r="I565" i="2" s="1"/>
  <c r="K566" i="2"/>
  <c r="B567" i="2"/>
  <c r="A568" i="2"/>
  <c r="K567" i="2"/>
  <c r="B565" i="4"/>
  <c r="D565" i="4" s="1"/>
  <c r="J564" i="2"/>
  <c r="B567" i="4" l="1"/>
  <c r="B568" i="2"/>
  <c r="A569" i="2"/>
  <c r="K568" i="2"/>
  <c r="D566" i="2"/>
  <c r="I566" i="2" s="1"/>
  <c r="H566" i="2"/>
  <c r="C567" i="4" s="1"/>
  <c r="F567" i="2"/>
  <c r="G567" i="2" s="1"/>
  <c r="C567" i="2"/>
  <c r="E567" i="2" s="1"/>
  <c r="B566" i="4"/>
  <c r="D566" i="4" s="1"/>
  <c r="J565" i="2"/>
  <c r="B568" i="4" l="1"/>
  <c r="D567" i="2"/>
  <c r="I567" i="2" s="1"/>
  <c r="H567" i="2"/>
  <c r="C568" i="4" s="1"/>
  <c r="J566" i="2"/>
  <c r="A570" i="2"/>
  <c r="K569" i="2"/>
  <c r="B569" i="2"/>
  <c r="C568" i="2"/>
  <c r="E568" i="2" s="1"/>
  <c r="F568" i="2"/>
  <c r="G568" i="2" s="1"/>
  <c r="D567" i="4"/>
  <c r="B569" i="4" l="1"/>
  <c r="D569" i="4" s="1"/>
  <c r="D568" i="2"/>
  <c r="I568" i="2" s="1"/>
  <c r="A571" i="2"/>
  <c r="K570" i="2"/>
  <c r="B570" i="2"/>
  <c r="J567" i="2"/>
  <c r="H568" i="2"/>
  <c r="C569" i="4" s="1"/>
  <c r="F569" i="2"/>
  <c r="H569" i="2" s="1"/>
  <c r="C570" i="4" s="1"/>
  <c r="C569" i="2"/>
  <c r="E569" i="2" s="1"/>
  <c r="D568" i="4"/>
  <c r="G569" i="2" l="1"/>
  <c r="F570" i="2"/>
  <c r="H570" i="2" s="1"/>
  <c r="C571" i="4" s="1"/>
  <c r="C570" i="2"/>
  <c r="E570" i="2" s="1"/>
  <c r="D569" i="2"/>
  <c r="I569" i="2" s="1"/>
  <c r="B571" i="2"/>
  <c r="A572" i="2"/>
  <c r="K571" i="2"/>
  <c r="J568" i="2"/>
  <c r="B572" i="2" l="1"/>
  <c r="A573" i="2"/>
  <c r="F571" i="2"/>
  <c r="H571" i="2" s="1"/>
  <c r="C572" i="4" s="1"/>
  <c r="C571" i="2"/>
  <c r="D571" i="2" s="1"/>
  <c r="D570" i="2"/>
  <c r="I570" i="2" s="1"/>
  <c r="G570" i="2"/>
  <c r="B570" i="4"/>
  <c r="D570" i="4" s="1"/>
  <c r="J569" i="2"/>
  <c r="B571" i="4" l="1"/>
  <c r="D571" i="4" s="1"/>
  <c r="J570" i="2"/>
  <c r="G571" i="2"/>
  <c r="E571" i="2"/>
  <c r="I571" i="2" s="1"/>
  <c r="F572" i="2"/>
  <c r="G572" i="2" s="1"/>
  <c r="C572" i="2"/>
  <c r="E572" i="2" s="1"/>
  <c r="A574" i="2"/>
  <c r="K573" i="2"/>
  <c r="B573" i="2"/>
  <c r="K572" i="2"/>
  <c r="B573" i="4" l="1"/>
  <c r="C573" i="2"/>
  <c r="E573" i="2" s="1"/>
  <c r="F573" i="2"/>
  <c r="H573" i="2" s="1"/>
  <c r="C574" i="4" s="1"/>
  <c r="B574" i="2"/>
  <c r="A575" i="2"/>
  <c r="K574" i="2"/>
  <c r="D572" i="2"/>
  <c r="I572" i="2" s="1"/>
  <c r="H572" i="2"/>
  <c r="C573" i="4" s="1"/>
  <c r="B572" i="4"/>
  <c r="D572" i="4" s="1"/>
  <c r="J571" i="2"/>
  <c r="B575" i="2" l="1"/>
  <c r="A576" i="2"/>
  <c r="K575" i="2"/>
  <c r="F574" i="2"/>
  <c r="H574" i="2" s="1"/>
  <c r="C575" i="4" s="1"/>
  <c r="C574" i="2"/>
  <c r="E574" i="2" s="1"/>
  <c r="D573" i="2"/>
  <c r="I573" i="2" s="1"/>
  <c r="G573" i="2"/>
  <c r="J572" i="2"/>
  <c r="D573" i="4"/>
  <c r="G574" i="2" l="1"/>
  <c r="B574" i="4"/>
  <c r="D574" i="4" s="1"/>
  <c r="J573" i="2"/>
  <c r="D574" i="2"/>
  <c r="I574" i="2" s="1"/>
  <c r="A577" i="2"/>
  <c r="B576" i="2"/>
  <c r="K576" i="2" s="1"/>
  <c r="F575" i="2"/>
  <c r="G575" i="2" s="1"/>
  <c r="C575" i="2"/>
  <c r="E575" i="2" s="1"/>
  <c r="B576" i="4" l="1"/>
  <c r="D575" i="2"/>
  <c r="I575" i="2" s="1"/>
  <c r="H575" i="2"/>
  <c r="C576" i="4" s="1"/>
  <c r="B577" i="2"/>
  <c r="A578" i="2"/>
  <c r="K577" i="2"/>
  <c r="C576" i="2"/>
  <c r="E576" i="2" s="1"/>
  <c r="F576" i="2"/>
  <c r="H576" i="2" s="1"/>
  <c r="C577" i="4" s="1"/>
  <c r="B575" i="4"/>
  <c r="D575" i="4" s="1"/>
  <c r="J574" i="2"/>
  <c r="D576" i="2" l="1"/>
  <c r="I576" i="2" s="1"/>
  <c r="B578" i="2"/>
  <c r="A579" i="2"/>
  <c r="K578" i="2"/>
  <c r="C577" i="2"/>
  <c r="D577" i="2" s="1"/>
  <c r="F577" i="2"/>
  <c r="G577" i="2" s="1"/>
  <c r="J575" i="2"/>
  <c r="G576" i="2"/>
  <c r="D576" i="4"/>
  <c r="B578" i="4" l="1"/>
  <c r="B577" i="4"/>
  <c r="D577" i="4" s="1"/>
  <c r="J576" i="2"/>
  <c r="H577" i="2"/>
  <c r="C578" i="4" s="1"/>
  <c r="C578" i="2"/>
  <c r="E578" i="2" s="1"/>
  <c r="F578" i="2"/>
  <c r="H578" i="2" s="1"/>
  <c r="C579" i="4" s="1"/>
  <c r="E577" i="2"/>
  <c r="I577" i="2" s="1"/>
  <c r="A580" i="2"/>
  <c r="B579" i="2"/>
  <c r="C579" i="2" l="1"/>
  <c r="E579" i="2" s="1"/>
  <c r="F579" i="2"/>
  <c r="H579" i="2" s="1"/>
  <c r="C580" i="4" s="1"/>
  <c r="K579" i="2"/>
  <c r="B580" i="2"/>
  <c r="A581" i="2"/>
  <c r="K580" i="2"/>
  <c r="D578" i="2"/>
  <c r="I578" i="2" s="1"/>
  <c r="G578" i="2"/>
  <c r="J577" i="2"/>
  <c r="D578" i="4"/>
  <c r="B579" i="4" l="1"/>
  <c r="D579" i="4" s="1"/>
  <c r="J578" i="2"/>
  <c r="B581" i="2"/>
  <c r="A582" i="2"/>
  <c r="K581" i="2"/>
  <c r="F580" i="2"/>
  <c r="H580" i="2" s="1"/>
  <c r="C581" i="4" s="1"/>
  <c r="C580" i="2"/>
  <c r="D580" i="2" s="1"/>
  <c r="D579" i="2"/>
  <c r="I579" i="2" s="1"/>
  <c r="G579" i="2"/>
  <c r="B580" i="4" l="1"/>
  <c r="D580" i="4" s="1"/>
  <c r="J579" i="2"/>
  <c r="E580" i="2"/>
  <c r="I580" i="2" s="1"/>
  <c r="G580" i="2"/>
  <c r="F581" i="2"/>
  <c r="H581" i="2" s="1"/>
  <c r="C582" i="4" s="1"/>
  <c r="C581" i="2"/>
  <c r="D581" i="2" s="1"/>
  <c r="A583" i="2"/>
  <c r="K582" i="2"/>
  <c r="B582" i="2"/>
  <c r="E581" i="2" l="1"/>
  <c r="I581" i="2" s="1"/>
  <c r="C582" i="2"/>
  <c r="D582" i="2" s="1"/>
  <c r="F582" i="2"/>
  <c r="G582" i="2" s="1"/>
  <c r="B583" i="2"/>
  <c r="A584" i="2"/>
  <c r="K583" i="2"/>
  <c r="B581" i="4"/>
  <c r="D581" i="4" s="1"/>
  <c r="J580" i="2"/>
  <c r="G581" i="2"/>
  <c r="B583" i="4" l="1"/>
  <c r="B584" i="2"/>
  <c r="A585" i="2"/>
  <c r="K584" i="2"/>
  <c r="C583" i="2"/>
  <c r="E583" i="2" s="1"/>
  <c r="F583" i="2"/>
  <c r="G583" i="2" s="1"/>
  <c r="E582" i="2"/>
  <c r="I582" i="2" s="1"/>
  <c r="H582" i="2"/>
  <c r="C583" i="4" s="1"/>
  <c r="B582" i="4"/>
  <c r="D582" i="4" s="1"/>
  <c r="J581" i="2"/>
  <c r="B584" i="4" l="1"/>
  <c r="D583" i="2"/>
  <c r="I583" i="2" s="1"/>
  <c r="H583" i="2"/>
  <c r="C584" i="4" s="1"/>
  <c r="A586" i="2"/>
  <c r="B585" i="2"/>
  <c r="J582" i="2"/>
  <c r="C584" i="2"/>
  <c r="E584" i="2" s="1"/>
  <c r="F584" i="2"/>
  <c r="H584" i="2" s="1"/>
  <c r="C585" i="4" s="1"/>
  <c r="D583" i="4"/>
  <c r="G584" i="2" l="1"/>
  <c r="F585" i="2"/>
  <c r="H585" i="2" s="1"/>
  <c r="C586" i="4" s="1"/>
  <c r="C585" i="2"/>
  <c r="E585" i="2" s="1"/>
  <c r="A587" i="2"/>
  <c r="B586" i="2"/>
  <c r="D584" i="2"/>
  <c r="I584" i="2" s="1"/>
  <c r="J583" i="2"/>
  <c r="K585" i="2"/>
  <c r="D584" i="4"/>
  <c r="F586" i="2" l="1"/>
  <c r="H586" i="2" s="1"/>
  <c r="C587" i="4" s="1"/>
  <c r="C586" i="2"/>
  <c r="D586" i="2" s="1"/>
  <c r="K586" i="2"/>
  <c r="B587" i="2"/>
  <c r="A588" i="2"/>
  <c r="K587" i="2"/>
  <c r="D585" i="2"/>
  <c r="I585" i="2" s="1"/>
  <c r="G585" i="2"/>
  <c r="B585" i="4"/>
  <c r="D585" i="4" s="1"/>
  <c r="J584" i="2"/>
  <c r="F587" i="2" l="1"/>
  <c r="G587" i="2" s="1"/>
  <c r="C587" i="2"/>
  <c r="E587" i="2" s="1"/>
  <c r="B586" i="4"/>
  <c r="D586" i="4" s="1"/>
  <c r="J585" i="2"/>
  <c r="B588" i="2"/>
  <c r="A589" i="2"/>
  <c r="E586" i="2"/>
  <c r="I586" i="2" s="1"/>
  <c r="G586" i="2"/>
  <c r="B588" i="4" l="1"/>
  <c r="A590" i="2"/>
  <c r="B589" i="2"/>
  <c r="K589" i="2" s="1"/>
  <c r="C588" i="2"/>
  <c r="E588" i="2" s="1"/>
  <c r="F588" i="2"/>
  <c r="H588" i="2" s="1"/>
  <c r="C589" i="4" s="1"/>
  <c r="K588" i="2"/>
  <c r="H587" i="2"/>
  <c r="C588" i="4" s="1"/>
  <c r="B587" i="4"/>
  <c r="D587" i="4" s="1"/>
  <c r="J586" i="2"/>
  <c r="D587" i="2"/>
  <c r="I587" i="2" s="1"/>
  <c r="G588" i="2" l="1"/>
  <c r="D588" i="2"/>
  <c r="I588" i="2" s="1"/>
  <c r="J587" i="2"/>
  <c r="C589" i="2"/>
  <c r="E589" i="2" s="1"/>
  <c r="F589" i="2"/>
  <c r="H589" i="2" s="1"/>
  <c r="C590" i="4" s="1"/>
  <c r="B590" i="2"/>
  <c r="A591" i="2"/>
  <c r="K590" i="2"/>
  <c r="D588" i="4"/>
  <c r="F590" i="2" l="1"/>
  <c r="H590" i="2" s="1"/>
  <c r="C591" i="4" s="1"/>
  <c r="C590" i="2"/>
  <c r="E590" i="2" s="1"/>
  <c r="G589" i="2"/>
  <c r="B591" i="2"/>
  <c r="A592" i="2"/>
  <c r="K591" i="2"/>
  <c r="D589" i="2"/>
  <c r="I589" i="2" s="1"/>
  <c r="B589" i="4"/>
  <c r="D589" i="4" s="1"/>
  <c r="J588" i="2"/>
  <c r="A593" i="2" l="1"/>
  <c r="B592" i="2"/>
  <c r="B590" i="4"/>
  <c r="D590" i="4" s="1"/>
  <c r="J589" i="2"/>
  <c r="F591" i="2"/>
  <c r="G591" i="2" s="1"/>
  <c r="C591" i="2"/>
  <c r="E591" i="2" s="1"/>
  <c r="G590" i="2"/>
  <c r="D590" i="2"/>
  <c r="I590" i="2" s="1"/>
  <c r="B592" i="4" l="1"/>
  <c r="B591" i="4"/>
  <c r="D591" i="4" s="1"/>
  <c r="J590" i="2"/>
  <c r="D591" i="2"/>
  <c r="I591" i="2" s="1"/>
  <c r="H591" i="2"/>
  <c r="C592" i="4" s="1"/>
  <c r="C592" i="2"/>
  <c r="D592" i="2" s="1"/>
  <c r="F592" i="2"/>
  <c r="G592" i="2" s="1"/>
  <c r="K592" i="2"/>
  <c r="B593" i="2"/>
  <c r="A594" i="2"/>
  <c r="K593" i="2"/>
  <c r="B593" i="4" l="1"/>
  <c r="B594" i="2"/>
  <c r="A595" i="2"/>
  <c r="K594" i="2"/>
  <c r="E592" i="2"/>
  <c r="I592" i="2" s="1"/>
  <c r="H592" i="2"/>
  <c r="C593" i="4" s="1"/>
  <c r="F593" i="2"/>
  <c r="G593" i="2" s="1"/>
  <c r="C593" i="2"/>
  <c r="D593" i="2" s="1"/>
  <c r="J591" i="2"/>
  <c r="D592" i="4"/>
  <c r="B594" i="4" l="1"/>
  <c r="E593" i="2"/>
  <c r="I593" i="2" s="1"/>
  <c r="H593" i="2"/>
  <c r="C594" i="4" s="1"/>
  <c r="A596" i="2"/>
  <c r="B595" i="2"/>
  <c r="J592" i="2"/>
  <c r="C594" i="2"/>
  <c r="E594" i="2" s="1"/>
  <c r="F594" i="2"/>
  <c r="G594" i="2" s="1"/>
  <c r="D593" i="4"/>
  <c r="B595" i="4" l="1"/>
  <c r="D594" i="2"/>
  <c r="I594" i="2" s="1"/>
  <c r="H594" i="2"/>
  <c r="C595" i="4" s="1"/>
  <c r="C595" i="2"/>
  <c r="E595" i="2" s="1"/>
  <c r="F595" i="2"/>
  <c r="H595" i="2" s="1"/>
  <c r="C596" i="4" s="1"/>
  <c r="B596" i="2"/>
  <c r="A597" i="2"/>
  <c r="K596" i="2"/>
  <c r="K595" i="2"/>
  <c r="J593" i="2"/>
  <c r="D594" i="4"/>
  <c r="F596" i="2" l="1"/>
  <c r="H596" i="2" s="1"/>
  <c r="C597" i="4" s="1"/>
  <c r="C596" i="2"/>
  <c r="E596" i="2" s="1"/>
  <c r="D595" i="2"/>
  <c r="I595" i="2" s="1"/>
  <c r="G595" i="2"/>
  <c r="B597" i="2"/>
  <c r="A598" i="2"/>
  <c r="K597" i="2"/>
  <c r="J594" i="2"/>
  <c r="D595" i="4"/>
  <c r="C597" i="2" l="1"/>
  <c r="E597" i="2" s="1"/>
  <c r="F597" i="2"/>
  <c r="H597" i="2" s="1"/>
  <c r="C598" i="4" s="1"/>
  <c r="A599" i="2"/>
  <c r="B598" i="2"/>
  <c r="B596" i="4"/>
  <c r="D596" i="4" s="1"/>
  <c r="J595" i="2"/>
  <c r="D596" i="2"/>
  <c r="I596" i="2" s="1"/>
  <c r="G596" i="2"/>
  <c r="C598" i="2" l="1"/>
  <c r="E598" i="2" s="1"/>
  <c r="F598" i="2"/>
  <c r="H598" i="2" s="1"/>
  <c r="C599" i="4" s="1"/>
  <c r="K598" i="2"/>
  <c r="B599" i="2"/>
  <c r="A600" i="2"/>
  <c r="K599" i="2"/>
  <c r="B597" i="4"/>
  <c r="D597" i="4" s="1"/>
  <c r="J596" i="2"/>
  <c r="G597" i="2"/>
  <c r="D597" i="2"/>
  <c r="I597" i="2" s="1"/>
  <c r="B598" i="4" l="1"/>
  <c r="D598" i="4" s="1"/>
  <c r="J597" i="2"/>
  <c r="B600" i="2"/>
  <c r="A601" i="2"/>
  <c r="K600" i="2"/>
  <c r="D598" i="2"/>
  <c r="I598" i="2" s="1"/>
  <c r="C599" i="2"/>
  <c r="D599" i="2" s="1"/>
  <c r="F599" i="2"/>
  <c r="H599" i="2" s="1"/>
  <c r="C600" i="4" s="1"/>
  <c r="G598" i="2"/>
  <c r="B599" i="4" l="1"/>
  <c r="D599" i="4" s="1"/>
  <c r="J598" i="2"/>
  <c r="E599" i="2"/>
  <c r="I599" i="2" s="1"/>
  <c r="G599" i="2"/>
  <c r="F600" i="2"/>
  <c r="G600" i="2" s="1"/>
  <c r="C600" i="2"/>
  <c r="E600" i="2" s="1"/>
  <c r="A602" i="2"/>
  <c r="K601" i="2"/>
  <c r="B601" i="2"/>
  <c r="B601" i="4" l="1"/>
  <c r="D600" i="2"/>
  <c r="I600" i="2" s="1"/>
  <c r="F601" i="2"/>
  <c r="H601" i="2" s="1"/>
  <c r="C602" i="4" s="1"/>
  <c r="C601" i="2"/>
  <c r="E601" i="2" s="1"/>
  <c r="A603" i="2"/>
  <c r="B602" i="2"/>
  <c r="B600" i="4"/>
  <c r="D600" i="4" s="1"/>
  <c r="J599" i="2"/>
  <c r="H600" i="2"/>
  <c r="C601" i="4" s="1"/>
  <c r="C602" i="2" l="1"/>
  <c r="E602" i="2" s="1"/>
  <c r="F602" i="2"/>
  <c r="H602" i="2" s="1"/>
  <c r="C603" i="4" s="1"/>
  <c r="D601" i="2"/>
  <c r="I601" i="2" s="1"/>
  <c r="G601" i="2"/>
  <c r="J600" i="2"/>
  <c r="K602" i="2"/>
  <c r="B603" i="2"/>
  <c r="A604" i="2"/>
  <c r="K603" i="2"/>
  <c r="D601" i="4"/>
  <c r="B604" i="2" l="1"/>
  <c r="A605" i="2"/>
  <c r="F603" i="2"/>
  <c r="H603" i="2" s="1"/>
  <c r="C604" i="4" s="1"/>
  <c r="C603" i="2"/>
  <c r="D603" i="2" s="1"/>
  <c r="B602" i="4"/>
  <c r="D602" i="4" s="1"/>
  <c r="J601" i="2"/>
  <c r="D602" i="2"/>
  <c r="I602" i="2" s="1"/>
  <c r="G602" i="2"/>
  <c r="B603" i="4" l="1"/>
  <c r="D603" i="4" s="1"/>
  <c r="J602" i="2"/>
  <c r="G603" i="2"/>
  <c r="E603" i="2"/>
  <c r="I603" i="2" s="1"/>
  <c r="C604" i="2"/>
  <c r="E604" i="2" s="1"/>
  <c r="F604" i="2"/>
  <c r="G604" i="2" s="1"/>
  <c r="A606" i="2"/>
  <c r="K605" i="2"/>
  <c r="B605" i="2"/>
  <c r="K604" i="2"/>
  <c r="B605" i="4" l="1"/>
  <c r="H604" i="2"/>
  <c r="C605" i="4" s="1"/>
  <c r="F605" i="2"/>
  <c r="H605" i="2" s="1"/>
  <c r="C606" i="4" s="1"/>
  <c r="C605" i="2"/>
  <c r="E605" i="2" s="1"/>
  <c r="B606" i="2"/>
  <c r="A607" i="2"/>
  <c r="K606" i="2"/>
  <c r="D604" i="2"/>
  <c r="I604" i="2" s="1"/>
  <c r="B604" i="4"/>
  <c r="D604" i="4" s="1"/>
  <c r="J603" i="2"/>
  <c r="D605" i="2" l="1"/>
  <c r="I605" i="2" s="1"/>
  <c r="G605" i="2"/>
  <c r="J604" i="2"/>
  <c r="B607" i="2"/>
  <c r="A608" i="2"/>
  <c r="K607" i="2"/>
  <c r="F606" i="2"/>
  <c r="G606" i="2" s="1"/>
  <c r="C606" i="2"/>
  <c r="E606" i="2" s="1"/>
  <c r="D605" i="4"/>
  <c r="B607" i="4" l="1"/>
  <c r="H606" i="2"/>
  <c r="C607" i="4" s="1"/>
  <c r="D606" i="2"/>
  <c r="I606" i="2" s="1"/>
  <c r="B606" i="4"/>
  <c r="D606" i="4" s="1"/>
  <c r="J605" i="2"/>
  <c r="A609" i="2"/>
  <c r="K608" i="2"/>
  <c r="B608" i="2"/>
  <c r="F607" i="2"/>
  <c r="H607" i="2" s="1"/>
  <c r="C608" i="4" s="1"/>
  <c r="C607" i="2"/>
  <c r="E607" i="2" s="1"/>
  <c r="D607" i="2" l="1"/>
  <c r="I607" i="2" s="1"/>
  <c r="G607" i="2"/>
  <c r="F608" i="2"/>
  <c r="G608" i="2" s="1"/>
  <c r="C608" i="2"/>
  <c r="E608" i="2" s="1"/>
  <c r="B609" i="2"/>
  <c r="A610" i="2"/>
  <c r="K609" i="2"/>
  <c r="J606" i="2"/>
  <c r="D607" i="4"/>
  <c r="B609" i="4" l="1"/>
  <c r="B610" i="2"/>
  <c r="A611" i="2"/>
  <c r="K610" i="2"/>
  <c r="C609" i="2"/>
  <c r="D609" i="2" s="1"/>
  <c r="F609" i="2"/>
  <c r="H609" i="2" s="1"/>
  <c r="C610" i="4" s="1"/>
  <c r="H608" i="2"/>
  <c r="C609" i="4" s="1"/>
  <c r="B608" i="4"/>
  <c r="D608" i="4" s="1"/>
  <c r="J607" i="2"/>
  <c r="D608" i="2"/>
  <c r="I608" i="2" s="1"/>
  <c r="G609" i="2" l="1"/>
  <c r="J608" i="2"/>
  <c r="E609" i="2"/>
  <c r="I609" i="2" s="1"/>
  <c r="A612" i="2"/>
  <c r="K611" i="2"/>
  <c r="B611" i="2"/>
  <c r="C610" i="2"/>
  <c r="E610" i="2" s="1"/>
  <c r="F610" i="2"/>
  <c r="H610" i="2" s="1"/>
  <c r="C611" i="4" s="1"/>
  <c r="D609" i="4"/>
  <c r="D610" i="2" l="1"/>
  <c r="I610" i="2" s="1"/>
  <c r="G610" i="2"/>
  <c r="F611" i="2"/>
  <c r="H611" i="2" s="1"/>
  <c r="C612" i="4" s="1"/>
  <c r="C611" i="2"/>
  <c r="D611" i="2" s="1"/>
  <c r="B612" i="2"/>
  <c r="A613" i="2"/>
  <c r="B610" i="4"/>
  <c r="D610" i="4" s="1"/>
  <c r="J609" i="2"/>
  <c r="C612" i="2" l="1"/>
  <c r="E612" i="2" s="1"/>
  <c r="F612" i="2"/>
  <c r="G612" i="2" s="1"/>
  <c r="E611" i="2"/>
  <c r="I611" i="2" s="1"/>
  <c r="K612" i="2"/>
  <c r="B613" i="2"/>
  <c r="A614" i="2"/>
  <c r="K613" i="2"/>
  <c r="B611" i="4"/>
  <c r="D611" i="4" s="1"/>
  <c r="J610" i="2"/>
  <c r="G611" i="2"/>
  <c r="B613" i="4" l="1"/>
  <c r="B612" i="4"/>
  <c r="D612" i="4" s="1"/>
  <c r="J611" i="2"/>
  <c r="A615" i="2"/>
  <c r="K614" i="2"/>
  <c r="B614" i="2"/>
  <c r="F613" i="2"/>
  <c r="H613" i="2" s="1"/>
  <c r="C614" i="4" s="1"/>
  <c r="C613" i="2"/>
  <c r="E613" i="2" s="1"/>
  <c r="H612" i="2"/>
  <c r="C613" i="4" s="1"/>
  <c r="D612" i="2"/>
  <c r="I612" i="2" s="1"/>
  <c r="D613" i="2" l="1"/>
  <c r="I613" i="2" s="1"/>
  <c r="G613" i="2"/>
  <c r="F614" i="2"/>
  <c r="G614" i="2" s="1"/>
  <c r="C614" i="2"/>
  <c r="E614" i="2" s="1"/>
  <c r="B615" i="2"/>
  <c r="A616" i="2"/>
  <c r="K615" i="2"/>
  <c r="J612" i="2"/>
  <c r="D613" i="4"/>
  <c r="B615" i="4" l="1"/>
  <c r="B616" i="2"/>
  <c r="A617" i="2"/>
  <c r="K616" i="2"/>
  <c r="H614" i="2"/>
  <c r="C615" i="4" s="1"/>
  <c r="F615" i="2"/>
  <c r="H615" i="2" s="1"/>
  <c r="C616" i="4" s="1"/>
  <c r="C615" i="2"/>
  <c r="E615" i="2" s="1"/>
  <c r="B614" i="4"/>
  <c r="D614" i="4" s="1"/>
  <c r="J613" i="2"/>
  <c r="D614" i="2"/>
  <c r="I614" i="2" s="1"/>
  <c r="D615" i="2" l="1"/>
  <c r="I615" i="2" s="1"/>
  <c r="G615" i="2"/>
  <c r="A618" i="2"/>
  <c r="B617" i="2"/>
  <c r="J614" i="2"/>
  <c r="F616" i="2"/>
  <c r="G616" i="2" s="1"/>
  <c r="C616" i="2"/>
  <c r="E616" i="2" s="1"/>
  <c r="D615" i="4"/>
  <c r="B617" i="4" l="1"/>
  <c r="H616" i="2"/>
  <c r="C617" i="4" s="1"/>
  <c r="D616" i="2"/>
  <c r="I616" i="2" s="1"/>
  <c r="A619" i="2"/>
  <c r="B618" i="2"/>
  <c r="B616" i="4"/>
  <c r="D616" i="4" s="1"/>
  <c r="J615" i="2"/>
  <c r="F617" i="2"/>
  <c r="H617" i="2" s="1"/>
  <c r="C618" i="4" s="1"/>
  <c r="C617" i="2"/>
  <c r="E617" i="2" s="1"/>
  <c r="K617" i="2"/>
  <c r="D617" i="2" l="1"/>
  <c r="I617" i="2" s="1"/>
  <c r="G617" i="2"/>
  <c r="F618" i="2"/>
  <c r="H618" i="2" s="1"/>
  <c r="C619" i="4" s="1"/>
  <c r="C618" i="2"/>
  <c r="D618" i="2" s="1"/>
  <c r="B619" i="2"/>
  <c r="A620" i="2"/>
  <c r="K619" i="2"/>
  <c r="K618" i="2"/>
  <c r="J616" i="2"/>
  <c r="D617" i="4"/>
  <c r="C619" i="2" l="1"/>
  <c r="E619" i="2" s="1"/>
  <c r="F619" i="2"/>
  <c r="G619" i="2" s="1"/>
  <c r="E618" i="2"/>
  <c r="I618" i="2" s="1"/>
  <c r="B620" i="2"/>
  <c r="A621" i="2"/>
  <c r="G618" i="2"/>
  <c r="B618" i="4"/>
  <c r="D618" i="4" s="1"/>
  <c r="J617" i="2"/>
  <c r="B620" i="4" l="1"/>
  <c r="B619" i="4"/>
  <c r="D619" i="4" s="1"/>
  <c r="J618" i="2"/>
  <c r="A622" i="2"/>
  <c r="K621" i="2"/>
  <c r="B621" i="2"/>
  <c r="C620" i="2"/>
  <c r="D620" i="2" s="1"/>
  <c r="F620" i="2"/>
  <c r="G620" i="2" s="1"/>
  <c r="K620" i="2"/>
  <c r="H619" i="2"/>
  <c r="C620" i="4" s="1"/>
  <c r="D619" i="2"/>
  <c r="I619" i="2" s="1"/>
  <c r="B621" i="4" l="1"/>
  <c r="E620" i="2"/>
  <c r="I620" i="2" s="1"/>
  <c r="F621" i="2"/>
  <c r="G621" i="2" s="1"/>
  <c r="C621" i="2"/>
  <c r="E621" i="2" s="1"/>
  <c r="H620" i="2"/>
  <c r="C621" i="4" s="1"/>
  <c r="B622" i="2"/>
  <c r="A623" i="2"/>
  <c r="K622" i="2"/>
  <c r="J619" i="2"/>
  <c r="D620" i="4"/>
  <c r="B622" i="4" l="1"/>
  <c r="F622" i="2"/>
  <c r="H622" i="2" s="1"/>
  <c r="C623" i="4" s="1"/>
  <c r="C622" i="2"/>
  <c r="E622" i="2" s="1"/>
  <c r="B623" i="2"/>
  <c r="A624" i="2"/>
  <c r="K623" i="2"/>
  <c r="D621" i="2"/>
  <c r="I621" i="2" s="1"/>
  <c r="H621" i="2"/>
  <c r="C622" i="4" s="1"/>
  <c r="J620" i="2"/>
  <c r="D621" i="4"/>
  <c r="A625" i="2" l="1"/>
  <c r="K624" i="2"/>
  <c r="B624" i="2"/>
  <c r="G622" i="2"/>
  <c r="D622" i="2"/>
  <c r="I622" i="2" s="1"/>
  <c r="J621" i="2"/>
  <c r="C623" i="2"/>
  <c r="D623" i="2" s="1"/>
  <c r="F623" i="2"/>
  <c r="H623" i="2" s="1"/>
  <c r="C624" i="4" s="1"/>
  <c r="D622" i="4"/>
  <c r="I623" i="2" l="1"/>
  <c r="G623" i="2"/>
  <c r="E623" i="2"/>
  <c r="B623" i="4"/>
  <c r="D623" i="4" s="1"/>
  <c r="J622" i="2"/>
  <c r="F624" i="2"/>
  <c r="H624" i="2" s="1"/>
  <c r="C625" i="4" s="1"/>
  <c r="C624" i="2"/>
  <c r="E624" i="2" s="1"/>
  <c r="B625" i="2"/>
  <c r="A626" i="2"/>
  <c r="K625" i="2"/>
  <c r="G624" i="2" l="1"/>
  <c r="B626" i="2"/>
  <c r="A627" i="2"/>
  <c r="K626" i="2"/>
  <c r="F625" i="2"/>
  <c r="H625" i="2" s="1"/>
  <c r="C626" i="4" s="1"/>
  <c r="C625" i="2"/>
  <c r="E625" i="2" s="1"/>
  <c r="D624" i="2"/>
  <c r="I624" i="2" s="1"/>
  <c r="B624" i="4"/>
  <c r="D624" i="4" s="1"/>
  <c r="J623" i="2"/>
  <c r="D625" i="2" l="1"/>
  <c r="I625" i="2" s="1"/>
  <c r="G625" i="2"/>
  <c r="A628" i="2"/>
  <c r="K627" i="2"/>
  <c r="B627" i="2"/>
  <c r="F626" i="2"/>
  <c r="H626" i="2" s="1"/>
  <c r="C627" i="4" s="1"/>
  <c r="C626" i="2"/>
  <c r="E626" i="2" s="1"/>
  <c r="B625" i="4"/>
  <c r="D625" i="4" s="1"/>
  <c r="J624" i="2"/>
  <c r="D626" i="2" l="1"/>
  <c r="I626" i="2" s="1"/>
  <c r="F627" i="2"/>
  <c r="H627" i="2" s="1"/>
  <c r="C628" i="4" s="1"/>
  <c r="C627" i="2"/>
  <c r="E627" i="2" s="1"/>
  <c r="B628" i="2"/>
  <c r="A629" i="2"/>
  <c r="K628" i="2"/>
  <c r="G626" i="2"/>
  <c r="B626" i="4"/>
  <c r="D626" i="4" s="1"/>
  <c r="J625" i="2"/>
  <c r="B627" i="4" l="1"/>
  <c r="D627" i="4" s="1"/>
  <c r="J626" i="2"/>
  <c r="B629" i="2"/>
  <c r="A630" i="2"/>
  <c r="K629" i="2"/>
  <c r="F628" i="2"/>
  <c r="H628" i="2" s="1"/>
  <c r="C629" i="4" s="1"/>
  <c r="C628" i="2"/>
  <c r="D628" i="2" s="1"/>
  <c r="D627" i="2"/>
  <c r="I627" i="2" s="1"/>
  <c r="G627" i="2"/>
  <c r="B628" i="4" l="1"/>
  <c r="D628" i="4" s="1"/>
  <c r="J627" i="2"/>
  <c r="E628" i="2"/>
  <c r="I628" i="2" s="1"/>
  <c r="G628" i="2"/>
  <c r="F629" i="2"/>
  <c r="H629" i="2" s="1"/>
  <c r="C630" i="4" s="1"/>
  <c r="C629" i="2"/>
  <c r="E629" i="2" s="1"/>
  <c r="A631" i="2"/>
  <c r="K630" i="2"/>
  <c r="B630" i="2"/>
  <c r="D629" i="2" l="1"/>
  <c r="I629" i="2" s="1"/>
  <c r="G629" i="2"/>
  <c r="C630" i="2"/>
  <c r="E630" i="2" s="1"/>
  <c r="F630" i="2"/>
  <c r="G630" i="2" s="1"/>
  <c r="B631" i="2"/>
  <c r="A632" i="2"/>
  <c r="K631" i="2"/>
  <c r="B629" i="4"/>
  <c r="D629" i="4" s="1"/>
  <c r="J628" i="2"/>
  <c r="B631" i="4" l="1"/>
  <c r="C631" i="2"/>
  <c r="E631" i="2" s="1"/>
  <c r="F631" i="2"/>
  <c r="H631" i="2" s="1"/>
  <c r="C632" i="4" s="1"/>
  <c r="D630" i="2"/>
  <c r="I630" i="2" s="1"/>
  <c r="H630" i="2"/>
  <c r="C631" i="4" s="1"/>
  <c r="B632" i="2"/>
  <c r="A633" i="2"/>
  <c r="K632" i="2"/>
  <c r="B630" i="4"/>
  <c r="D630" i="4" s="1"/>
  <c r="J629" i="2"/>
  <c r="C632" i="2" l="1"/>
  <c r="E632" i="2" s="1"/>
  <c r="F632" i="2"/>
  <c r="G632" i="2" s="1"/>
  <c r="A634" i="2"/>
  <c r="B633" i="2"/>
  <c r="D631" i="2"/>
  <c r="I631" i="2" s="1"/>
  <c r="G631" i="2"/>
  <c r="J630" i="2"/>
  <c r="D631" i="4"/>
  <c r="B633" i="4" l="1"/>
  <c r="C633" i="2"/>
  <c r="E633" i="2" s="1"/>
  <c r="F633" i="2"/>
  <c r="H633" i="2" s="1"/>
  <c r="C634" i="4" s="1"/>
  <c r="K633" i="2"/>
  <c r="A635" i="2"/>
  <c r="K634" i="2"/>
  <c r="B634" i="2"/>
  <c r="B632" i="4"/>
  <c r="D632" i="4" s="1"/>
  <c r="J631" i="2"/>
  <c r="H632" i="2"/>
  <c r="C633" i="4" s="1"/>
  <c r="D632" i="2"/>
  <c r="I632" i="2" s="1"/>
  <c r="B635" i="2" l="1"/>
  <c r="A636" i="2"/>
  <c r="K635" i="2"/>
  <c r="G633" i="2"/>
  <c r="J632" i="2"/>
  <c r="F634" i="2"/>
  <c r="G634" i="2" s="1"/>
  <c r="C634" i="2"/>
  <c r="E634" i="2" s="1"/>
  <c r="D633" i="2"/>
  <c r="I633" i="2" s="1"/>
  <c r="D633" i="4"/>
  <c r="B635" i="4" l="1"/>
  <c r="H634" i="2"/>
  <c r="C635" i="4" s="1"/>
  <c r="D634" i="2"/>
  <c r="I634" i="2" s="1"/>
  <c r="B634" i="4"/>
  <c r="D634" i="4" s="1"/>
  <c r="J633" i="2"/>
  <c r="K636" i="2"/>
  <c r="B636" i="2"/>
  <c r="A637" i="2"/>
  <c r="C635" i="2"/>
  <c r="D635" i="2" s="1"/>
  <c r="F635" i="2"/>
  <c r="G635" i="2" s="1"/>
  <c r="B636" i="4" l="1"/>
  <c r="H635" i="2"/>
  <c r="C636" i="4" s="1"/>
  <c r="E635" i="2"/>
  <c r="I635" i="2" s="1"/>
  <c r="A638" i="2"/>
  <c r="K637" i="2"/>
  <c r="B637" i="2"/>
  <c r="J634" i="2"/>
  <c r="C636" i="2"/>
  <c r="E636" i="2" s="1"/>
  <c r="F636" i="2"/>
  <c r="H636" i="2" s="1"/>
  <c r="C637" i="4" s="1"/>
  <c r="D635" i="4"/>
  <c r="D636" i="2" l="1"/>
  <c r="I636" i="2" s="1"/>
  <c r="G636" i="2"/>
  <c r="F637" i="2"/>
  <c r="H637" i="2" s="1"/>
  <c r="C638" i="4" s="1"/>
  <c r="C637" i="2"/>
  <c r="D637" i="2" s="1"/>
  <c r="B638" i="2"/>
  <c r="K638" i="2" s="1"/>
  <c r="A639" i="2"/>
  <c r="J635" i="2"/>
  <c r="D636" i="4"/>
  <c r="A640" i="2" l="1"/>
  <c r="B639" i="2"/>
  <c r="E637" i="2"/>
  <c r="I637" i="2" s="1"/>
  <c r="C638" i="2"/>
  <c r="D638" i="2" s="1"/>
  <c r="F638" i="2"/>
  <c r="G638" i="2" s="1"/>
  <c r="B637" i="4"/>
  <c r="D637" i="4" s="1"/>
  <c r="J636" i="2"/>
  <c r="G637" i="2"/>
  <c r="B639" i="4" l="1"/>
  <c r="B638" i="4"/>
  <c r="D638" i="4" s="1"/>
  <c r="J637" i="2"/>
  <c r="H638" i="2"/>
  <c r="C639" i="4" s="1"/>
  <c r="E638" i="2"/>
  <c r="I638" i="2" s="1"/>
  <c r="C639" i="2"/>
  <c r="D639" i="2" s="1"/>
  <c r="F639" i="2"/>
  <c r="H639" i="2" s="1"/>
  <c r="C640" i="4" s="1"/>
  <c r="K639" i="2"/>
  <c r="B640" i="2"/>
  <c r="A641" i="2"/>
  <c r="C640" i="2" l="1"/>
  <c r="E640" i="2" s="1"/>
  <c r="F640" i="2"/>
  <c r="H640" i="2" s="1"/>
  <c r="C641" i="4" s="1"/>
  <c r="K640" i="2"/>
  <c r="E639" i="2"/>
  <c r="I639" i="2" s="1"/>
  <c r="G639" i="2"/>
  <c r="J638" i="2"/>
  <c r="A642" i="2"/>
  <c r="K641" i="2"/>
  <c r="B641" i="2"/>
  <c r="D639" i="4"/>
  <c r="B640" i="4" l="1"/>
  <c r="D640" i="4" s="1"/>
  <c r="J639" i="2"/>
  <c r="C641" i="2"/>
  <c r="D641" i="2" s="1"/>
  <c r="F641" i="2"/>
  <c r="G641" i="2" s="1"/>
  <c r="A643" i="2"/>
  <c r="B642" i="2"/>
  <c r="G640" i="2"/>
  <c r="D640" i="2"/>
  <c r="I640" i="2" s="1"/>
  <c r="B642" i="4" l="1"/>
  <c r="C642" i="2"/>
  <c r="E642" i="2" s="1"/>
  <c r="F642" i="2"/>
  <c r="G642" i="2" s="1"/>
  <c r="K642" i="2"/>
  <c r="B643" i="2"/>
  <c r="A644" i="2"/>
  <c r="K643" i="2"/>
  <c r="E641" i="2"/>
  <c r="I641" i="2" s="1"/>
  <c r="H641" i="2"/>
  <c r="C642" i="4" s="1"/>
  <c r="B641" i="4"/>
  <c r="D641" i="4" s="1"/>
  <c r="J640" i="2"/>
  <c r="B643" i="4" l="1"/>
  <c r="A645" i="2"/>
  <c r="B644" i="2"/>
  <c r="F643" i="2"/>
  <c r="H643" i="2" s="1"/>
  <c r="C644" i="4" s="1"/>
  <c r="C643" i="2"/>
  <c r="D643" i="2" s="1"/>
  <c r="H642" i="2"/>
  <c r="C643" i="4" s="1"/>
  <c r="D642" i="2"/>
  <c r="I642" i="2" s="1"/>
  <c r="J641" i="2"/>
  <c r="D642" i="4"/>
  <c r="E643" i="2" l="1"/>
  <c r="I643" i="2" s="1"/>
  <c r="G643" i="2"/>
  <c r="B645" i="2"/>
  <c r="A646" i="2"/>
  <c r="K645" i="2"/>
  <c r="J642" i="2"/>
  <c r="F644" i="2"/>
  <c r="H644" i="2" s="1"/>
  <c r="C645" i="4" s="1"/>
  <c r="C644" i="2"/>
  <c r="D644" i="2" s="1"/>
  <c r="K644" i="2"/>
  <c r="D643" i="4"/>
  <c r="E644" i="2" l="1"/>
  <c r="I644" i="2" s="1"/>
  <c r="G644" i="2"/>
  <c r="B644" i="4"/>
  <c r="D644" i="4" s="1"/>
  <c r="J643" i="2"/>
  <c r="B646" i="2"/>
  <c r="K646" i="2"/>
  <c r="A647" i="2"/>
  <c r="C645" i="2"/>
  <c r="E645" i="2" s="1"/>
  <c r="F645" i="2"/>
  <c r="H645" i="2" s="1"/>
  <c r="C646" i="4" s="1"/>
  <c r="G645" i="2" l="1"/>
  <c r="D645" i="2"/>
  <c r="I645" i="2" s="1"/>
  <c r="A648" i="2"/>
  <c r="B647" i="2"/>
  <c r="K647" i="2"/>
  <c r="C646" i="2"/>
  <c r="E646" i="2" s="1"/>
  <c r="F646" i="2"/>
  <c r="H646" i="2" s="1"/>
  <c r="C647" i="4" s="1"/>
  <c r="B645" i="4"/>
  <c r="D645" i="4" s="1"/>
  <c r="J644" i="2"/>
  <c r="D646" i="2" l="1"/>
  <c r="I646" i="2" s="1"/>
  <c r="G646" i="2"/>
  <c r="F647" i="2"/>
  <c r="G647" i="2" s="1"/>
  <c r="C647" i="2"/>
  <c r="E647" i="2" s="1"/>
  <c r="B648" i="2"/>
  <c r="A649" i="2"/>
  <c r="K648" i="2"/>
  <c r="B646" i="4"/>
  <c r="D646" i="4" s="1"/>
  <c r="J645" i="2"/>
  <c r="B648" i="4" l="1"/>
  <c r="H647" i="2"/>
  <c r="C648" i="4" s="1"/>
  <c r="B647" i="4"/>
  <c r="D647" i="4" s="1"/>
  <c r="J646" i="2"/>
  <c r="B649" i="2"/>
  <c r="A650" i="2"/>
  <c r="K649" i="2"/>
  <c r="C648" i="2"/>
  <c r="E648" i="2" s="1"/>
  <c r="F648" i="2"/>
  <c r="G648" i="2" s="1"/>
  <c r="D647" i="2"/>
  <c r="I647" i="2" s="1"/>
  <c r="B649" i="4" l="1"/>
  <c r="H648" i="2"/>
  <c r="C649" i="4" s="1"/>
  <c r="A651" i="2"/>
  <c r="K650" i="2"/>
  <c r="B650" i="2"/>
  <c r="J647" i="2"/>
  <c r="D648" i="2"/>
  <c r="I648" i="2" s="1"/>
  <c r="F649" i="2"/>
  <c r="H649" i="2" s="1"/>
  <c r="C650" i="4" s="1"/>
  <c r="C649" i="2"/>
  <c r="D649" i="2" s="1"/>
  <c r="D648" i="4"/>
  <c r="E649" i="2" l="1"/>
  <c r="I649" i="2" s="1"/>
  <c r="G649" i="2"/>
  <c r="F650" i="2"/>
  <c r="G650" i="2" s="1"/>
  <c r="C650" i="2"/>
  <c r="E650" i="2" s="1"/>
  <c r="B651" i="2"/>
  <c r="A652" i="2"/>
  <c r="K651" i="2"/>
  <c r="J648" i="2"/>
  <c r="D649" i="4"/>
  <c r="B651" i="4" l="1"/>
  <c r="F651" i="2"/>
  <c r="H651" i="2" s="1"/>
  <c r="C652" i="4" s="1"/>
  <c r="C651" i="2"/>
  <c r="D651" i="2" s="1"/>
  <c r="H650" i="2"/>
  <c r="C651" i="4" s="1"/>
  <c r="D650" i="2"/>
  <c r="I650" i="2" s="1"/>
  <c r="B652" i="2"/>
  <c r="A653" i="2"/>
  <c r="B650" i="4"/>
  <c r="D650" i="4" s="1"/>
  <c r="J649" i="2"/>
  <c r="C652" i="2" l="1"/>
  <c r="E652" i="2" s="1"/>
  <c r="F652" i="2"/>
  <c r="G652" i="2" s="1"/>
  <c r="E651" i="2"/>
  <c r="I651" i="2" s="1"/>
  <c r="K652" i="2"/>
  <c r="G651" i="2"/>
  <c r="J650" i="2"/>
  <c r="A654" i="2"/>
  <c r="B653" i="2"/>
  <c r="D651" i="4"/>
  <c r="B653" i="4" l="1"/>
  <c r="F653" i="2"/>
  <c r="H653" i="2" s="1"/>
  <c r="C654" i="4" s="1"/>
  <c r="C653" i="2"/>
  <c r="E653" i="2" s="1"/>
  <c r="A655" i="2"/>
  <c r="B654" i="2"/>
  <c r="K653" i="2"/>
  <c r="D652" i="2"/>
  <c r="I652" i="2" s="1"/>
  <c r="B652" i="4"/>
  <c r="D652" i="4" s="1"/>
  <c r="J651" i="2"/>
  <c r="H652" i="2"/>
  <c r="C653" i="4" s="1"/>
  <c r="B655" i="2" l="1"/>
  <c r="A656" i="2"/>
  <c r="K655" i="2"/>
  <c r="C654" i="2"/>
  <c r="E654" i="2" s="1"/>
  <c r="F654" i="2"/>
  <c r="H654" i="2" s="1"/>
  <c r="C655" i="4" s="1"/>
  <c r="K654" i="2"/>
  <c r="D653" i="2"/>
  <c r="I653" i="2" s="1"/>
  <c r="J652" i="2"/>
  <c r="G653" i="2"/>
  <c r="D653" i="4"/>
  <c r="G654" i="2" l="1"/>
  <c r="D654" i="2"/>
  <c r="I654" i="2" s="1"/>
  <c r="B656" i="2"/>
  <c r="A657" i="2"/>
  <c r="B654" i="4"/>
  <c r="D654" i="4" s="1"/>
  <c r="J653" i="2"/>
  <c r="C655" i="2"/>
  <c r="D655" i="2" s="1"/>
  <c r="F655" i="2"/>
  <c r="H655" i="2" s="1"/>
  <c r="C656" i="4" s="1"/>
  <c r="G655" i="2" l="1"/>
  <c r="E655" i="2"/>
  <c r="I655" i="2" s="1"/>
  <c r="C656" i="2"/>
  <c r="D656" i="2" s="1"/>
  <c r="F656" i="2"/>
  <c r="G656" i="2" s="1"/>
  <c r="A658" i="2"/>
  <c r="B657" i="2"/>
  <c r="K657" i="2"/>
  <c r="K656" i="2"/>
  <c r="B655" i="4"/>
  <c r="D655" i="4" s="1"/>
  <c r="J654" i="2"/>
  <c r="B657" i="4" l="1"/>
  <c r="F657" i="2"/>
  <c r="H657" i="2" s="1"/>
  <c r="C658" i="4" s="1"/>
  <c r="C657" i="2"/>
  <c r="E657" i="2" s="1"/>
  <c r="E656" i="2"/>
  <c r="I656" i="2" s="1"/>
  <c r="A659" i="2"/>
  <c r="K658" i="2"/>
  <c r="B658" i="2"/>
  <c r="H656" i="2"/>
  <c r="C657" i="4" s="1"/>
  <c r="B656" i="4"/>
  <c r="D656" i="4" s="1"/>
  <c r="J655" i="2"/>
  <c r="C658" i="2" l="1"/>
  <c r="E658" i="2" s="1"/>
  <c r="F658" i="2"/>
  <c r="G658" i="2" s="1"/>
  <c r="B659" i="2"/>
  <c r="A660" i="2"/>
  <c r="K659" i="2"/>
  <c r="D657" i="2"/>
  <c r="I657" i="2" s="1"/>
  <c r="G657" i="2"/>
  <c r="J656" i="2"/>
  <c r="D657" i="4"/>
  <c r="B659" i="4" l="1"/>
  <c r="F659" i="2"/>
  <c r="H659" i="2" s="1"/>
  <c r="C660" i="4" s="1"/>
  <c r="C659" i="2"/>
  <c r="D659" i="2" s="1"/>
  <c r="B658" i="4"/>
  <c r="D658" i="4" s="1"/>
  <c r="J657" i="2"/>
  <c r="A661" i="2"/>
  <c r="B660" i="2"/>
  <c r="H658" i="2"/>
  <c r="C659" i="4" s="1"/>
  <c r="D658" i="2"/>
  <c r="I658" i="2" s="1"/>
  <c r="F660" i="2" l="1"/>
  <c r="H660" i="2" s="1"/>
  <c r="C661" i="4" s="1"/>
  <c r="C660" i="2"/>
  <c r="E660" i="2" s="1"/>
  <c r="B661" i="2"/>
  <c r="A662" i="2"/>
  <c r="K661" i="2"/>
  <c r="G659" i="2"/>
  <c r="J658" i="2"/>
  <c r="K660" i="2"/>
  <c r="E659" i="2"/>
  <c r="I659" i="2" s="1"/>
  <c r="D659" i="4"/>
  <c r="B662" i="2" l="1"/>
  <c r="K662" i="2"/>
  <c r="A663" i="2"/>
  <c r="C661" i="2"/>
  <c r="D661" i="2" s="1"/>
  <c r="F661" i="2"/>
  <c r="H661" i="2" s="1"/>
  <c r="C662" i="4" s="1"/>
  <c r="B660" i="4"/>
  <c r="D660" i="4" s="1"/>
  <c r="J659" i="2"/>
  <c r="D660" i="2"/>
  <c r="I660" i="2" s="1"/>
  <c r="G660" i="2"/>
  <c r="G661" i="2" l="1"/>
  <c r="B661" i="4"/>
  <c r="D661" i="4" s="1"/>
  <c r="J660" i="2"/>
  <c r="E661" i="2"/>
  <c r="I661" i="2" s="1"/>
  <c r="A664" i="2"/>
  <c r="B663" i="2"/>
  <c r="K663" i="2"/>
  <c r="C662" i="2"/>
  <c r="E662" i="2" s="1"/>
  <c r="F662" i="2"/>
  <c r="G662" i="2" s="1"/>
  <c r="B663" i="4" l="1"/>
  <c r="H662" i="2"/>
  <c r="C663" i="4" s="1"/>
  <c r="D662" i="2"/>
  <c r="I662" i="2" s="1"/>
  <c r="C663" i="2"/>
  <c r="E663" i="2" s="1"/>
  <c r="F663" i="2"/>
  <c r="H663" i="2" s="1"/>
  <c r="C664" i="4" s="1"/>
  <c r="B664" i="2"/>
  <c r="A665" i="2"/>
  <c r="K664" i="2"/>
  <c r="B662" i="4"/>
  <c r="D662" i="4" s="1"/>
  <c r="J661" i="2"/>
  <c r="B665" i="2" l="1"/>
  <c r="A666" i="2"/>
  <c r="K665" i="2"/>
  <c r="D663" i="2"/>
  <c r="I663" i="2" s="1"/>
  <c r="G663" i="2"/>
  <c r="J662" i="2"/>
  <c r="F664" i="2"/>
  <c r="H664" i="2" s="1"/>
  <c r="C665" i="4" s="1"/>
  <c r="C664" i="2"/>
  <c r="E664" i="2" s="1"/>
  <c r="D663" i="4"/>
  <c r="D664" i="2" l="1"/>
  <c r="I664" i="2" s="1"/>
  <c r="G664" i="2"/>
  <c r="B664" i="4"/>
  <c r="D664" i="4" s="1"/>
  <c r="J663" i="2"/>
  <c r="A667" i="2"/>
  <c r="B666" i="2"/>
  <c r="C665" i="2"/>
  <c r="E665" i="2" s="1"/>
  <c r="F665" i="2"/>
  <c r="H665" i="2" s="1"/>
  <c r="C666" i="4" s="1"/>
  <c r="G665" i="2" l="1"/>
  <c r="D665" i="2"/>
  <c r="I665" i="2" s="1"/>
  <c r="F666" i="2"/>
  <c r="H666" i="2" s="1"/>
  <c r="C667" i="4" s="1"/>
  <c r="C666" i="2"/>
  <c r="E666" i="2" s="1"/>
  <c r="B665" i="4"/>
  <c r="D665" i="4" s="1"/>
  <c r="J664" i="2"/>
  <c r="K666" i="2"/>
  <c r="B667" i="2"/>
  <c r="A668" i="2"/>
  <c r="K667" i="2"/>
  <c r="C667" i="2" l="1"/>
  <c r="D667" i="2" s="1"/>
  <c r="F667" i="2"/>
  <c r="H667" i="2" s="1"/>
  <c r="C668" i="4" s="1"/>
  <c r="A669" i="2"/>
  <c r="B668" i="2"/>
  <c r="K668" i="2" s="1"/>
  <c r="G666" i="2"/>
  <c r="D666" i="2"/>
  <c r="I666" i="2" s="1"/>
  <c r="B666" i="4"/>
  <c r="D666" i="4" s="1"/>
  <c r="J665" i="2"/>
  <c r="B667" i="4" l="1"/>
  <c r="D667" i="4" s="1"/>
  <c r="J666" i="2"/>
  <c r="C668" i="2"/>
  <c r="E668" i="2" s="1"/>
  <c r="F668" i="2"/>
  <c r="G668" i="2" s="1"/>
  <c r="A670" i="2"/>
  <c r="K669" i="2"/>
  <c r="B669" i="2"/>
  <c r="E667" i="2"/>
  <c r="I667" i="2" s="1"/>
  <c r="G667" i="2"/>
  <c r="B669" i="4" l="1"/>
  <c r="B668" i="4"/>
  <c r="D668" i="4" s="1"/>
  <c r="J667" i="2"/>
  <c r="F669" i="2"/>
  <c r="H669" i="2" s="1"/>
  <c r="C670" i="4" s="1"/>
  <c r="C669" i="2"/>
  <c r="D669" i="2" s="1"/>
  <c r="A671" i="2"/>
  <c r="B670" i="2"/>
  <c r="K670" i="2" s="1"/>
  <c r="D668" i="2"/>
  <c r="I668" i="2" s="1"/>
  <c r="H668" i="2"/>
  <c r="C669" i="4" s="1"/>
  <c r="B671" i="2" l="1"/>
  <c r="A672" i="2"/>
  <c r="K671" i="2"/>
  <c r="F670" i="2"/>
  <c r="H670" i="2" s="1"/>
  <c r="C671" i="4" s="1"/>
  <c r="C670" i="2"/>
  <c r="E670" i="2" s="1"/>
  <c r="E669" i="2"/>
  <c r="I669" i="2" s="1"/>
  <c r="G669" i="2"/>
  <c r="J668" i="2"/>
  <c r="D669" i="4"/>
  <c r="D670" i="2" l="1"/>
  <c r="I670" i="2" s="1"/>
  <c r="G670" i="2"/>
  <c r="B670" i="4"/>
  <c r="D670" i="4" s="1"/>
  <c r="J669" i="2"/>
  <c r="B672" i="2"/>
  <c r="A673" i="2"/>
  <c r="F671" i="2"/>
  <c r="H671" i="2" s="1"/>
  <c r="C672" i="4" s="1"/>
  <c r="C671" i="2"/>
  <c r="D671" i="2" s="1"/>
  <c r="G671" i="2" l="1"/>
  <c r="A674" i="2"/>
  <c r="B673" i="2"/>
  <c r="K673" i="2"/>
  <c r="E671" i="2"/>
  <c r="I671" i="2" s="1"/>
  <c r="F672" i="2"/>
  <c r="G672" i="2" s="1"/>
  <c r="C672" i="2"/>
  <c r="E672" i="2" s="1"/>
  <c r="K672" i="2"/>
  <c r="B671" i="4"/>
  <c r="D671" i="4" s="1"/>
  <c r="J670" i="2"/>
  <c r="B673" i="4" l="1"/>
  <c r="H672" i="2"/>
  <c r="C673" i="4" s="1"/>
  <c r="D672" i="2"/>
  <c r="I672" i="2" s="1"/>
  <c r="F673" i="2"/>
  <c r="H673" i="2" s="1"/>
  <c r="C674" i="4" s="1"/>
  <c r="C673" i="2"/>
  <c r="D673" i="2" s="1"/>
  <c r="A675" i="2"/>
  <c r="K674" i="2"/>
  <c r="B674" i="2"/>
  <c r="B672" i="4"/>
  <c r="D672" i="4" s="1"/>
  <c r="J671" i="2"/>
  <c r="E673" i="2" l="1"/>
  <c r="I673" i="2" s="1"/>
  <c r="G673" i="2"/>
  <c r="C674" i="2"/>
  <c r="E674" i="2" s="1"/>
  <c r="F674" i="2"/>
  <c r="G674" i="2" s="1"/>
  <c r="B675" i="2"/>
  <c r="A676" i="2"/>
  <c r="J672" i="2"/>
  <c r="D673" i="4"/>
  <c r="B675" i="4" l="1"/>
  <c r="C675" i="2"/>
  <c r="D675" i="2" s="1"/>
  <c r="F675" i="2"/>
  <c r="H675" i="2" s="1"/>
  <c r="C676" i="4" s="1"/>
  <c r="H674" i="2"/>
  <c r="C675" i="4" s="1"/>
  <c r="B676" i="2"/>
  <c r="K676" i="2" s="1"/>
  <c r="A677" i="2"/>
  <c r="B674" i="4"/>
  <c r="D674" i="4" s="1"/>
  <c r="J673" i="2"/>
  <c r="K675" i="2"/>
  <c r="D674" i="2"/>
  <c r="I674" i="2" s="1"/>
  <c r="B677" i="2" l="1"/>
  <c r="A678" i="2"/>
  <c r="K677" i="2"/>
  <c r="G675" i="2"/>
  <c r="J674" i="2"/>
  <c r="C676" i="2"/>
  <c r="D676" i="2" s="1"/>
  <c r="F676" i="2"/>
  <c r="H676" i="2" s="1"/>
  <c r="C677" i="4" s="1"/>
  <c r="E675" i="2"/>
  <c r="I675" i="2" s="1"/>
  <c r="D675" i="4"/>
  <c r="G676" i="2" l="1"/>
  <c r="E676" i="2"/>
  <c r="I676" i="2" s="1"/>
  <c r="B676" i="4"/>
  <c r="D676" i="4" s="1"/>
  <c r="J675" i="2"/>
  <c r="B678" i="2"/>
  <c r="K678" i="2"/>
  <c r="A679" i="2"/>
  <c r="C677" i="2"/>
  <c r="E677" i="2" s="1"/>
  <c r="F677" i="2"/>
  <c r="H677" i="2" s="1"/>
  <c r="C678" i="4" s="1"/>
  <c r="G677" i="2" l="1"/>
  <c r="D677" i="2"/>
  <c r="I677" i="2" s="1"/>
  <c r="A680" i="2"/>
  <c r="B679" i="2"/>
  <c r="K679" i="2"/>
  <c r="C678" i="2"/>
  <c r="E678" i="2" s="1"/>
  <c r="F678" i="2"/>
  <c r="H678" i="2" s="1"/>
  <c r="C679" i="4" s="1"/>
  <c r="B677" i="4"/>
  <c r="D677" i="4" s="1"/>
  <c r="J676" i="2"/>
  <c r="D678" i="2" l="1"/>
  <c r="I678" i="2" s="1"/>
  <c r="G678" i="2"/>
  <c r="C679" i="2"/>
  <c r="E679" i="2" s="1"/>
  <c r="F679" i="2"/>
  <c r="H679" i="2" s="1"/>
  <c r="C680" i="4" s="1"/>
  <c r="B680" i="2"/>
  <c r="A681" i="2"/>
  <c r="K680" i="2"/>
  <c r="B678" i="4"/>
  <c r="D678" i="4" s="1"/>
  <c r="J677" i="2"/>
  <c r="B681" i="2" l="1"/>
  <c r="A682" i="2"/>
  <c r="K681" i="2"/>
  <c r="D679" i="2"/>
  <c r="I679" i="2" s="1"/>
  <c r="C680" i="2"/>
  <c r="E680" i="2" s="1"/>
  <c r="F680" i="2"/>
  <c r="G680" i="2" s="1"/>
  <c r="B679" i="4"/>
  <c r="D679" i="4" s="1"/>
  <c r="J678" i="2"/>
  <c r="G679" i="2"/>
  <c r="B681" i="4" l="1"/>
  <c r="B680" i="4"/>
  <c r="D680" i="4" s="1"/>
  <c r="J679" i="2"/>
  <c r="D680" i="2"/>
  <c r="I680" i="2" s="1"/>
  <c r="H680" i="2"/>
  <c r="C681" i="4" s="1"/>
  <c r="A683" i="2"/>
  <c r="B682" i="2"/>
  <c r="C681" i="2"/>
  <c r="E681" i="2" s="1"/>
  <c r="F681" i="2"/>
  <c r="H681" i="2" s="1"/>
  <c r="C682" i="4" s="1"/>
  <c r="F682" i="2" l="1"/>
  <c r="G682" i="2" s="1"/>
  <c r="C682" i="2"/>
  <c r="E682" i="2" s="1"/>
  <c r="K682" i="2"/>
  <c r="B683" i="2"/>
  <c r="A684" i="2"/>
  <c r="K683" i="2"/>
  <c r="D681" i="2"/>
  <c r="I681" i="2" s="1"/>
  <c r="G681" i="2"/>
  <c r="J680" i="2"/>
  <c r="D681" i="4"/>
  <c r="B683" i="4" l="1"/>
  <c r="B682" i="4"/>
  <c r="D682" i="4" s="1"/>
  <c r="J681" i="2"/>
  <c r="A685" i="2"/>
  <c r="B684" i="2"/>
  <c r="C683" i="2"/>
  <c r="D683" i="2" s="1"/>
  <c r="F683" i="2"/>
  <c r="H683" i="2" s="1"/>
  <c r="C684" i="4" s="1"/>
  <c r="H682" i="2"/>
  <c r="C683" i="4" s="1"/>
  <c r="D682" i="2"/>
  <c r="I682" i="2" s="1"/>
  <c r="G683" i="2" l="1"/>
  <c r="A686" i="2"/>
  <c r="B685" i="2"/>
  <c r="E683" i="2"/>
  <c r="I683" i="2" s="1"/>
  <c r="C684" i="2"/>
  <c r="D684" i="2" s="1"/>
  <c r="F684" i="2"/>
  <c r="G684" i="2" s="1"/>
  <c r="K684" i="2"/>
  <c r="J682" i="2"/>
  <c r="D683" i="4"/>
  <c r="B685" i="4" l="1"/>
  <c r="H684" i="2"/>
  <c r="C685" i="4" s="1"/>
  <c r="E684" i="2"/>
  <c r="I684" i="2" s="1"/>
  <c r="F685" i="2"/>
  <c r="H685" i="2" s="1"/>
  <c r="C686" i="4" s="1"/>
  <c r="C685" i="2"/>
  <c r="E685" i="2" s="1"/>
  <c r="A687" i="2"/>
  <c r="B686" i="2"/>
  <c r="K685" i="2"/>
  <c r="B684" i="4"/>
  <c r="D684" i="4" s="1"/>
  <c r="J683" i="2"/>
  <c r="C686" i="2" l="1"/>
  <c r="E686" i="2" s="1"/>
  <c r="F686" i="2"/>
  <c r="H686" i="2" s="1"/>
  <c r="C687" i="4" s="1"/>
  <c r="K686" i="2"/>
  <c r="G685" i="2"/>
  <c r="B687" i="2"/>
  <c r="A688" i="2"/>
  <c r="K687" i="2"/>
  <c r="J684" i="2"/>
  <c r="D685" i="2"/>
  <c r="I685" i="2" s="1"/>
  <c r="D685" i="4"/>
  <c r="B686" i="4" l="1"/>
  <c r="D686" i="4" s="1"/>
  <c r="J685" i="2"/>
  <c r="F687" i="2"/>
  <c r="H687" i="2" s="1"/>
  <c r="C688" i="4" s="1"/>
  <c r="C687" i="2"/>
  <c r="D687" i="2" s="1"/>
  <c r="B688" i="2"/>
  <c r="A689" i="2"/>
  <c r="D686" i="2"/>
  <c r="I686" i="2" s="1"/>
  <c r="G686" i="2"/>
  <c r="F688" i="2" l="1"/>
  <c r="G688" i="2" s="1"/>
  <c r="C688" i="2"/>
  <c r="E688" i="2" s="1"/>
  <c r="K688" i="2"/>
  <c r="B687" i="4"/>
  <c r="D687" i="4" s="1"/>
  <c r="J686" i="2"/>
  <c r="G687" i="2"/>
  <c r="E687" i="2"/>
  <c r="I687" i="2" s="1"/>
  <c r="A690" i="2"/>
  <c r="B689" i="2"/>
  <c r="K689" i="2"/>
  <c r="B689" i="4" l="1"/>
  <c r="A691" i="2"/>
  <c r="K690" i="2"/>
  <c r="B690" i="2"/>
  <c r="B688" i="4"/>
  <c r="D688" i="4" s="1"/>
  <c r="J687" i="2"/>
  <c r="D688" i="2"/>
  <c r="I688" i="2" s="1"/>
  <c r="F689" i="2"/>
  <c r="H689" i="2" s="1"/>
  <c r="C690" i="4" s="1"/>
  <c r="C689" i="2"/>
  <c r="E689" i="2" s="1"/>
  <c r="H688" i="2"/>
  <c r="C689" i="4" s="1"/>
  <c r="D689" i="2" l="1"/>
  <c r="I689" i="2" s="1"/>
  <c r="G689" i="2"/>
  <c r="F690" i="2"/>
  <c r="G690" i="2" s="1"/>
  <c r="C690" i="2"/>
  <c r="D690" i="2" s="1"/>
  <c r="B691" i="2"/>
  <c r="A692" i="2"/>
  <c r="K691" i="2"/>
  <c r="J688" i="2"/>
  <c r="D689" i="4"/>
  <c r="B691" i="4" l="1"/>
  <c r="A693" i="2"/>
  <c r="B692" i="2"/>
  <c r="F691" i="2"/>
  <c r="G691" i="2" s="1"/>
  <c r="C691" i="2"/>
  <c r="D691" i="2" s="1"/>
  <c r="H690" i="2"/>
  <c r="C691" i="4" s="1"/>
  <c r="E690" i="2"/>
  <c r="I690" i="2" s="1"/>
  <c r="B690" i="4"/>
  <c r="D690" i="4" s="1"/>
  <c r="J689" i="2"/>
  <c r="B692" i="4" l="1"/>
  <c r="E691" i="2"/>
  <c r="I691" i="2" s="1"/>
  <c r="H691" i="2"/>
  <c r="C692" i="4" s="1"/>
  <c r="F692" i="2"/>
  <c r="G692" i="2" s="1"/>
  <c r="C692" i="2"/>
  <c r="E692" i="2" s="1"/>
  <c r="B693" i="2"/>
  <c r="A694" i="2"/>
  <c r="K693" i="2"/>
  <c r="J690" i="2"/>
  <c r="K692" i="2"/>
  <c r="D691" i="4"/>
  <c r="B693" i="4" l="1"/>
  <c r="B694" i="2"/>
  <c r="K694" i="2"/>
  <c r="A695" i="2"/>
  <c r="D692" i="2"/>
  <c r="I692" i="2" s="1"/>
  <c r="H692" i="2"/>
  <c r="C693" i="4" s="1"/>
  <c r="J691" i="2"/>
  <c r="C693" i="2"/>
  <c r="D693" i="2" s="1"/>
  <c r="F693" i="2"/>
  <c r="G693" i="2" s="1"/>
  <c r="D692" i="4"/>
  <c r="B694" i="4" l="1"/>
  <c r="E693" i="2"/>
  <c r="I693" i="2" s="1"/>
  <c r="H693" i="2"/>
  <c r="C694" i="4" s="1"/>
  <c r="A696" i="2"/>
  <c r="B695" i="2"/>
  <c r="J692" i="2"/>
  <c r="C694" i="2"/>
  <c r="E694" i="2" s="1"/>
  <c r="F694" i="2"/>
  <c r="H694" i="2" s="1"/>
  <c r="C695" i="4" s="1"/>
  <c r="D693" i="4"/>
  <c r="D694" i="2" l="1"/>
  <c r="I694" i="2" s="1"/>
  <c r="G694" i="2"/>
  <c r="F695" i="2"/>
  <c r="H695" i="2" s="1"/>
  <c r="C696" i="4" s="1"/>
  <c r="C695" i="2"/>
  <c r="D695" i="2" s="1"/>
  <c r="B696" i="2"/>
  <c r="A697" i="2"/>
  <c r="K696" i="2"/>
  <c r="J693" i="2"/>
  <c r="K695" i="2"/>
  <c r="D694" i="4"/>
  <c r="B697" i="2" l="1"/>
  <c r="A698" i="2"/>
  <c r="K697" i="2"/>
  <c r="E695" i="2"/>
  <c r="I695" i="2" s="1"/>
  <c r="C696" i="2"/>
  <c r="E696" i="2" s="1"/>
  <c r="F696" i="2"/>
  <c r="G696" i="2" s="1"/>
  <c r="B695" i="4"/>
  <c r="D695" i="4" s="1"/>
  <c r="J694" i="2"/>
  <c r="G695" i="2"/>
  <c r="B697" i="4" l="1"/>
  <c r="D696" i="2"/>
  <c r="I696" i="2" s="1"/>
  <c r="B696" i="4"/>
  <c r="D696" i="4" s="1"/>
  <c r="J695" i="2"/>
  <c r="H696" i="2"/>
  <c r="C697" i="4" s="1"/>
  <c r="A699" i="2"/>
  <c r="B698" i="2"/>
  <c r="C697" i="2"/>
  <c r="D697" i="2" s="1"/>
  <c r="F697" i="2"/>
  <c r="H697" i="2" s="1"/>
  <c r="C698" i="4" s="1"/>
  <c r="G697" i="2" l="1"/>
  <c r="F698" i="2"/>
  <c r="G698" i="2" s="1"/>
  <c r="C698" i="2"/>
  <c r="E698" i="2" s="1"/>
  <c r="E697" i="2"/>
  <c r="I697" i="2" s="1"/>
  <c r="K698" i="2"/>
  <c r="B699" i="2"/>
  <c r="A700" i="2"/>
  <c r="K699" i="2"/>
  <c r="J696" i="2"/>
  <c r="D697" i="4"/>
  <c r="B699" i="4" l="1"/>
  <c r="F699" i="2"/>
  <c r="H699" i="2" s="1"/>
  <c r="C700" i="4" s="1"/>
  <c r="C699" i="2"/>
  <c r="D699" i="2" s="1"/>
  <c r="H698" i="2"/>
  <c r="C699" i="4" s="1"/>
  <c r="K700" i="2"/>
  <c r="B700" i="2"/>
  <c r="A701" i="2"/>
  <c r="D698" i="2"/>
  <c r="I698" i="2" s="1"/>
  <c r="B698" i="4"/>
  <c r="D698" i="4" s="1"/>
  <c r="J697" i="2"/>
  <c r="A702" i="2" l="1"/>
  <c r="K701" i="2"/>
  <c r="B701" i="2"/>
  <c r="G699" i="2"/>
  <c r="J698" i="2"/>
  <c r="F700" i="2"/>
  <c r="H700" i="2" s="1"/>
  <c r="C701" i="4" s="1"/>
  <c r="C700" i="2"/>
  <c r="E700" i="2" s="1"/>
  <c r="E699" i="2"/>
  <c r="I699" i="2" s="1"/>
  <c r="D699" i="4"/>
  <c r="D700" i="2" l="1"/>
  <c r="I700" i="2" s="1"/>
  <c r="G700" i="2"/>
  <c r="B700" i="4"/>
  <c r="D700" i="4" s="1"/>
  <c r="J699" i="2"/>
  <c r="F701" i="2"/>
  <c r="H701" i="2" s="1"/>
  <c r="C702" i="4" s="1"/>
  <c r="C701" i="2"/>
  <c r="E701" i="2" s="1"/>
  <c r="A703" i="2"/>
  <c r="B702" i="2"/>
  <c r="C702" i="2" l="1"/>
  <c r="E702" i="2" s="1"/>
  <c r="F702" i="2"/>
  <c r="H702" i="2" s="1"/>
  <c r="C703" i="4" s="1"/>
  <c r="B701" i="4"/>
  <c r="D701" i="4" s="1"/>
  <c r="J700" i="2"/>
  <c r="B703" i="2"/>
  <c r="A704" i="2"/>
  <c r="K703" i="2"/>
  <c r="K702" i="2"/>
  <c r="G701" i="2"/>
  <c r="D701" i="2"/>
  <c r="I701" i="2" s="1"/>
  <c r="B702" i="4" l="1"/>
  <c r="D702" i="4" s="1"/>
  <c r="J701" i="2"/>
  <c r="K704" i="2"/>
  <c r="B704" i="2"/>
  <c r="A705" i="2"/>
  <c r="F703" i="2"/>
  <c r="H703" i="2" s="1"/>
  <c r="C704" i="4" s="1"/>
  <c r="C703" i="2"/>
  <c r="E703" i="2" s="1"/>
  <c r="D702" i="2"/>
  <c r="I702" i="2" s="1"/>
  <c r="G702" i="2"/>
  <c r="G703" i="2" l="1"/>
  <c r="B703" i="4"/>
  <c r="D703" i="4" s="1"/>
  <c r="J702" i="2"/>
  <c r="D703" i="2"/>
  <c r="I703" i="2" s="1"/>
  <c r="A706" i="2"/>
  <c r="B705" i="2"/>
  <c r="K705" i="2"/>
  <c r="F704" i="2"/>
  <c r="H704" i="2" s="1"/>
  <c r="C705" i="4" s="1"/>
  <c r="C704" i="2"/>
  <c r="E704" i="2" s="1"/>
  <c r="D704" i="2" l="1"/>
  <c r="I704" i="2" s="1"/>
  <c r="G704" i="2"/>
  <c r="C705" i="2"/>
  <c r="E705" i="2" s="1"/>
  <c r="F705" i="2"/>
  <c r="H705" i="2" s="1"/>
  <c r="C706" i="4" s="1"/>
  <c r="B706" i="2"/>
  <c r="A707" i="2"/>
  <c r="K706" i="2"/>
  <c r="B704" i="4"/>
  <c r="D704" i="4" s="1"/>
  <c r="J703" i="2"/>
  <c r="B707" i="2" l="1"/>
  <c r="A708" i="2"/>
  <c r="K707" i="2"/>
  <c r="F706" i="2"/>
  <c r="G706" i="2" s="1"/>
  <c r="C706" i="2"/>
  <c r="E706" i="2" s="1"/>
  <c r="G705" i="2"/>
  <c r="B705" i="4"/>
  <c r="D705" i="4" s="1"/>
  <c r="J704" i="2"/>
  <c r="D705" i="2"/>
  <c r="I705" i="2" s="1"/>
  <c r="B707" i="4" l="1"/>
  <c r="B706" i="4"/>
  <c r="D706" i="4" s="1"/>
  <c r="J705" i="2"/>
  <c r="H706" i="2"/>
  <c r="C707" i="4" s="1"/>
  <c r="D706" i="2"/>
  <c r="I706" i="2" s="1"/>
  <c r="A709" i="2"/>
  <c r="K708" i="2"/>
  <c r="B708" i="2"/>
  <c r="C707" i="2"/>
  <c r="E707" i="2" s="1"/>
  <c r="F707" i="2"/>
  <c r="G707" i="2" s="1"/>
  <c r="B708" i="4" l="1"/>
  <c r="H707" i="2"/>
  <c r="C708" i="4" s="1"/>
  <c r="D707" i="2"/>
  <c r="I707" i="2" s="1"/>
  <c r="F708" i="2"/>
  <c r="G708" i="2" s="1"/>
  <c r="C708" i="2"/>
  <c r="E708" i="2" s="1"/>
  <c r="B709" i="2"/>
  <c r="A710" i="2"/>
  <c r="K709" i="2"/>
  <c r="J706" i="2"/>
  <c r="D707" i="4"/>
  <c r="B709" i="4" l="1"/>
  <c r="C709" i="2"/>
  <c r="D709" i="2" s="1"/>
  <c r="F709" i="2"/>
  <c r="H709" i="2" s="1"/>
  <c r="C710" i="4" s="1"/>
  <c r="D708" i="2"/>
  <c r="I708" i="2" s="1"/>
  <c r="H708" i="2"/>
  <c r="C709" i="4" s="1"/>
  <c r="B710" i="2"/>
  <c r="K710" i="2"/>
  <c r="A711" i="2"/>
  <c r="J707" i="2"/>
  <c r="D708" i="4"/>
  <c r="G709" i="2" l="1"/>
  <c r="J708" i="2"/>
  <c r="A712" i="2"/>
  <c r="K711" i="2"/>
  <c r="B711" i="2"/>
  <c r="F710" i="2"/>
  <c r="G710" i="2" s="1"/>
  <c r="C710" i="2"/>
  <c r="E710" i="2" s="1"/>
  <c r="E709" i="2"/>
  <c r="I709" i="2" s="1"/>
  <c r="D709" i="4"/>
  <c r="B711" i="4" l="1"/>
  <c r="D710" i="2"/>
  <c r="I710" i="2" s="1"/>
  <c r="H710" i="2"/>
  <c r="C711" i="4" s="1"/>
  <c r="F711" i="2"/>
  <c r="G711" i="2" s="1"/>
  <c r="C711" i="2"/>
  <c r="D711" i="2" s="1"/>
  <c r="B712" i="2"/>
  <c r="A713" i="2"/>
  <c r="K712" i="2"/>
  <c r="B710" i="4"/>
  <c r="D710" i="4" s="1"/>
  <c r="J709" i="2"/>
  <c r="B712" i="4" l="1"/>
  <c r="E711" i="2"/>
  <c r="I711" i="2" s="1"/>
  <c r="H711" i="2"/>
  <c r="C712" i="4" s="1"/>
  <c r="J710" i="2"/>
  <c r="B713" i="2"/>
  <c r="A714" i="2"/>
  <c r="K713" i="2"/>
  <c r="C712" i="2"/>
  <c r="E712" i="2" s="1"/>
  <c r="F712" i="2"/>
  <c r="H712" i="2" s="1"/>
  <c r="C713" i="4" s="1"/>
  <c r="D711" i="4"/>
  <c r="D712" i="2" l="1"/>
  <c r="I712" i="2" s="1"/>
  <c r="G712" i="2"/>
  <c r="A715" i="2"/>
  <c r="B714" i="2"/>
  <c r="F713" i="2"/>
  <c r="G713" i="2" s="1"/>
  <c r="C713" i="2"/>
  <c r="D713" i="2" s="1"/>
  <c r="J711" i="2"/>
  <c r="D712" i="4"/>
  <c r="B714" i="4" l="1"/>
  <c r="E713" i="2"/>
  <c r="I713" i="2" s="1"/>
  <c r="H713" i="2"/>
  <c r="C714" i="4" s="1"/>
  <c r="B715" i="2"/>
  <c r="A716" i="2"/>
  <c r="K715" i="2"/>
  <c r="B713" i="4"/>
  <c r="D713" i="4" s="1"/>
  <c r="J712" i="2"/>
  <c r="F714" i="2"/>
  <c r="G714" i="2" s="1"/>
  <c r="C714" i="2"/>
  <c r="E714" i="2" s="1"/>
  <c r="K714" i="2"/>
  <c r="B715" i="4" l="1"/>
  <c r="H714" i="2"/>
  <c r="C715" i="4" s="1"/>
  <c r="F715" i="2"/>
  <c r="H715" i="2" s="1"/>
  <c r="C716" i="4" s="1"/>
  <c r="C715" i="2"/>
  <c r="D715" i="2" s="1"/>
  <c r="D714" i="2"/>
  <c r="I714" i="2" s="1"/>
  <c r="J713" i="2"/>
  <c r="D714" i="4"/>
  <c r="A717" i="2"/>
  <c r="K716" i="2"/>
  <c r="B716" i="2"/>
  <c r="C716" i="2" l="1"/>
  <c r="E716" i="2" s="1"/>
  <c r="F716" i="2"/>
  <c r="G716" i="2" s="1"/>
  <c r="E715" i="2"/>
  <c r="I715" i="2" s="1"/>
  <c r="A718" i="2"/>
  <c r="K717" i="2"/>
  <c r="B717" i="2"/>
  <c r="G715" i="2"/>
  <c r="J714" i="2"/>
  <c r="D715" i="4"/>
  <c r="B717" i="4" l="1"/>
  <c r="B716" i="4"/>
  <c r="D716" i="4" s="1"/>
  <c r="J715" i="2"/>
  <c r="A719" i="2"/>
  <c r="B718" i="2"/>
  <c r="H716" i="2"/>
  <c r="C717" i="4" s="1"/>
  <c r="C717" i="2"/>
  <c r="D717" i="2" s="1"/>
  <c r="F717" i="2"/>
  <c r="H717" i="2" s="1"/>
  <c r="C718" i="4" s="1"/>
  <c r="D716" i="2"/>
  <c r="I716" i="2" s="1"/>
  <c r="G717" i="2" l="1"/>
  <c r="E717" i="2"/>
  <c r="I717" i="2" s="1"/>
  <c r="F718" i="2"/>
  <c r="H718" i="2" s="1"/>
  <c r="C719" i="4" s="1"/>
  <c r="C718" i="2"/>
  <c r="D718" i="2" s="1"/>
  <c r="B719" i="2"/>
  <c r="A720" i="2"/>
  <c r="K719" i="2"/>
  <c r="K718" i="2"/>
  <c r="J716" i="2"/>
  <c r="D717" i="4"/>
  <c r="B720" i="2" l="1"/>
  <c r="A721" i="2"/>
  <c r="E718" i="2"/>
  <c r="I718" i="2" s="1"/>
  <c r="C719" i="2"/>
  <c r="E719" i="2" s="1"/>
  <c r="F719" i="2"/>
  <c r="H719" i="2" s="1"/>
  <c r="C720" i="4" s="1"/>
  <c r="G718" i="2"/>
  <c r="B718" i="4"/>
  <c r="D718" i="4" s="1"/>
  <c r="J717" i="2"/>
  <c r="B719" i="4" l="1"/>
  <c r="D719" i="4" s="1"/>
  <c r="J718" i="2"/>
  <c r="D719" i="2"/>
  <c r="I719" i="2" s="1"/>
  <c r="C720" i="2"/>
  <c r="E720" i="2" s="1"/>
  <c r="F720" i="2"/>
  <c r="H720" i="2" s="1"/>
  <c r="C721" i="4" s="1"/>
  <c r="G719" i="2"/>
  <c r="A722" i="2"/>
  <c r="B721" i="2"/>
  <c r="K721" i="2"/>
  <c r="K720" i="2"/>
  <c r="F721" i="2" l="1"/>
  <c r="H721" i="2" s="1"/>
  <c r="C722" i="4" s="1"/>
  <c r="C721" i="2"/>
  <c r="E721" i="2" s="1"/>
  <c r="B722" i="2"/>
  <c r="A723" i="2"/>
  <c r="K722" i="2"/>
  <c r="B720" i="4"/>
  <c r="D720" i="4" s="1"/>
  <c r="J719" i="2"/>
  <c r="D720" i="2"/>
  <c r="I720" i="2" s="1"/>
  <c r="G720" i="2"/>
  <c r="B721" i="4" l="1"/>
  <c r="D721" i="4" s="1"/>
  <c r="J720" i="2"/>
  <c r="F722" i="2"/>
  <c r="H722" i="2" s="1"/>
  <c r="C723" i="4" s="1"/>
  <c r="C722" i="2"/>
  <c r="E722" i="2" s="1"/>
  <c r="B723" i="2"/>
  <c r="A724" i="2"/>
  <c r="K723" i="2"/>
  <c r="D721" i="2"/>
  <c r="I721" i="2" s="1"/>
  <c r="G721" i="2"/>
  <c r="A725" i="2" l="1"/>
  <c r="B724" i="2"/>
  <c r="F723" i="2"/>
  <c r="H723" i="2" s="1"/>
  <c r="C724" i="4" s="1"/>
  <c r="C723" i="2"/>
  <c r="E723" i="2" s="1"/>
  <c r="G722" i="2"/>
  <c r="B722" i="4"/>
  <c r="D722" i="4" s="1"/>
  <c r="J721" i="2"/>
  <c r="D722" i="2"/>
  <c r="I722" i="2" s="1"/>
  <c r="G723" i="2" l="1"/>
  <c r="F724" i="2"/>
  <c r="H724" i="2" s="1"/>
  <c r="C725" i="4" s="1"/>
  <c r="C724" i="2"/>
  <c r="E724" i="2" s="1"/>
  <c r="B723" i="4"/>
  <c r="D723" i="4" s="1"/>
  <c r="J722" i="2"/>
  <c r="D723" i="2"/>
  <c r="I723" i="2" s="1"/>
  <c r="K724" i="2"/>
  <c r="B725" i="2"/>
  <c r="A726" i="2"/>
  <c r="K725" i="2"/>
  <c r="C725" i="2" l="1"/>
  <c r="D725" i="2" s="1"/>
  <c r="F725" i="2"/>
  <c r="G725" i="2" s="1"/>
  <c r="B726" i="2"/>
  <c r="A727" i="2"/>
  <c r="K726" i="2"/>
  <c r="G724" i="2"/>
  <c r="D724" i="2"/>
  <c r="I724" i="2" s="1"/>
  <c r="B724" i="4"/>
  <c r="D724" i="4" s="1"/>
  <c r="J723" i="2"/>
  <c r="B726" i="4" l="1"/>
  <c r="B725" i="4"/>
  <c r="D725" i="4" s="1"/>
  <c r="J724" i="2"/>
  <c r="F726" i="2"/>
  <c r="G726" i="2" s="1"/>
  <c r="C726" i="2"/>
  <c r="E726" i="2" s="1"/>
  <c r="H725" i="2"/>
  <c r="C726" i="4" s="1"/>
  <c r="A728" i="2"/>
  <c r="B727" i="2"/>
  <c r="K727" i="2" s="1"/>
  <c r="E725" i="2"/>
  <c r="I725" i="2" s="1"/>
  <c r="B727" i="4" l="1"/>
  <c r="B728" i="2"/>
  <c r="A729" i="2"/>
  <c r="K728" i="2"/>
  <c r="D726" i="2"/>
  <c r="I726" i="2" s="1"/>
  <c r="H726" i="2"/>
  <c r="C727" i="4" s="1"/>
  <c r="F727" i="2"/>
  <c r="G727" i="2" s="1"/>
  <c r="C727" i="2"/>
  <c r="D727" i="2" s="1"/>
  <c r="J725" i="2"/>
  <c r="D726" i="4"/>
  <c r="B728" i="4" l="1"/>
  <c r="E727" i="2"/>
  <c r="I727" i="2" s="1"/>
  <c r="H727" i="2"/>
  <c r="C728" i="4" s="1"/>
  <c r="B729" i="2"/>
  <c r="A730" i="2"/>
  <c r="K729" i="2"/>
  <c r="J726" i="2"/>
  <c r="C728" i="2"/>
  <c r="E728" i="2" s="1"/>
  <c r="F728" i="2"/>
  <c r="G728" i="2" s="1"/>
  <c r="D727" i="4"/>
  <c r="B729" i="4" l="1"/>
  <c r="D728" i="2"/>
  <c r="I728" i="2" s="1"/>
  <c r="H728" i="2"/>
  <c r="C729" i="4" s="1"/>
  <c r="F729" i="2"/>
  <c r="G729" i="2" s="1"/>
  <c r="C729" i="2"/>
  <c r="E729" i="2" s="1"/>
  <c r="A731" i="2"/>
  <c r="K730" i="2"/>
  <c r="B730" i="2"/>
  <c r="J727" i="2"/>
  <c r="D728" i="4"/>
  <c r="B730" i="4" l="1"/>
  <c r="D729" i="2"/>
  <c r="I729" i="2" s="1"/>
  <c r="H729" i="2"/>
  <c r="C730" i="4" s="1"/>
  <c r="F730" i="2"/>
  <c r="G730" i="2" s="1"/>
  <c r="C730" i="2"/>
  <c r="D730" i="2" s="1"/>
  <c r="B731" i="2"/>
  <c r="A732" i="2"/>
  <c r="K731" i="2"/>
  <c r="J728" i="2"/>
  <c r="D729" i="4"/>
  <c r="B731" i="4" l="1"/>
  <c r="E730" i="2"/>
  <c r="I730" i="2" s="1"/>
  <c r="H730" i="2"/>
  <c r="C731" i="4" s="1"/>
  <c r="J729" i="2"/>
  <c r="B732" i="2"/>
  <c r="A733" i="2"/>
  <c r="K732" i="2"/>
  <c r="F731" i="2"/>
  <c r="H731" i="2" s="1"/>
  <c r="C732" i="4" s="1"/>
  <c r="C731" i="2"/>
  <c r="E731" i="2" s="1"/>
  <c r="D730" i="4"/>
  <c r="G731" i="2" l="1"/>
  <c r="A734" i="2"/>
  <c r="K733" i="2"/>
  <c r="B733" i="2"/>
  <c r="D731" i="2"/>
  <c r="I731" i="2" s="1"/>
  <c r="J730" i="2"/>
  <c r="H732" i="2"/>
  <c r="C733" i="4" s="1"/>
  <c r="C732" i="2"/>
  <c r="E732" i="2" s="1"/>
  <c r="F732" i="2"/>
  <c r="G732" i="2" s="1"/>
  <c r="D731" i="4"/>
  <c r="B733" i="4" l="1"/>
  <c r="D733" i="4" s="1"/>
  <c r="J732" i="2"/>
  <c r="D732" i="2"/>
  <c r="I732" i="2" s="1"/>
  <c r="C733" i="2"/>
  <c r="E733" i="2" s="1"/>
  <c r="F733" i="2"/>
  <c r="H733" i="2" s="1"/>
  <c r="C734" i="4" s="1"/>
  <c r="A735" i="2"/>
  <c r="K734" i="2"/>
  <c r="B734" i="2"/>
  <c r="B732" i="4"/>
  <c r="D732" i="4" s="1"/>
  <c r="J731" i="2"/>
  <c r="C734" i="2" l="1"/>
  <c r="E734" i="2" s="1"/>
  <c r="F734" i="2"/>
  <c r="H734" i="2" s="1"/>
  <c r="C735" i="4" s="1"/>
  <c r="B735" i="2"/>
  <c r="A736" i="2"/>
  <c r="K735" i="2"/>
  <c r="D733" i="2"/>
  <c r="I733" i="2" s="1"/>
  <c r="G733" i="2"/>
  <c r="B736" i="2" l="1"/>
  <c r="A737" i="2"/>
  <c r="F735" i="2"/>
  <c r="H735" i="2" s="1"/>
  <c r="C736" i="4" s="1"/>
  <c r="C735" i="2"/>
  <c r="E735" i="2" s="1"/>
  <c r="B734" i="4"/>
  <c r="D734" i="4" s="1"/>
  <c r="J733" i="2"/>
  <c r="G734" i="2"/>
  <c r="D734" i="2"/>
  <c r="I734" i="2" s="1"/>
  <c r="B735" i="4" l="1"/>
  <c r="D735" i="4" s="1"/>
  <c r="J734" i="2"/>
  <c r="A738" i="2"/>
  <c r="B737" i="2"/>
  <c r="G735" i="2"/>
  <c r="D735" i="2"/>
  <c r="I735" i="2" s="1"/>
  <c r="C736" i="2"/>
  <c r="D736" i="2" s="1"/>
  <c r="F736" i="2"/>
  <c r="H736" i="2" s="1"/>
  <c r="C737" i="4" s="1"/>
  <c r="K736" i="2"/>
  <c r="E736" i="2" l="1"/>
  <c r="I736" i="2" s="1"/>
  <c r="G736" i="2"/>
  <c r="F737" i="2"/>
  <c r="H737" i="2" s="1"/>
  <c r="C738" i="4" s="1"/>
  <c r="C737" i="2"/>
  <c r="D737" i="2" s="1"/>
  <c r="B738" i="2"/>
  <c r="A739" i="2"/>
  <c r="K738" i="2"/>
  <c r="B736" i="4"/>
  <c r="D736" i="4" s="1"/>
  <c r="J735" i="2"/>
  <c r="K737" i="2"/>
  <c r="F738" i="2" l="1"/>
  <c r="H738" i="2" s="1"/>
  <c r="C739" i="4" s="1"/>
  <c r="C738" i="2"/>
  <c r="E738" i="2" s="1"/>
  <c r="E737" i="2"/>
  <c r="I737" i="2" s="1"/>
  <c r="B739" i="2"/>
  <c r="A740" i="2"/>
  <c r="K739" i="2"/>
  <c r="B737" i="4"/>
  <c r="D737" i="4" s="1"/>
  <c r="J736" i="2"/>
  <c r="G737" i="2"/>
  <c r="B738" i="4" l="1"/>
  <c r="D738" i="4" s="1"/>
  <c r="J737" i="2"/>
  <c r="A741" i="2"/>
  <c r="K740" i="2"/>
  <c r="B740" i="2"/>
  <c r="G738" i="2"/>
  <c r="F739" i="2"/>
  <c r="H739" i="2" s="1"/>
  <c r="C740" i="4" s="1"/>
  <c r="C739" i="2"/>
  <c r="E739" i="2" s="1"/>
  <c r="D738" i="2"/>
  <c r="I738" i="2" s="1"/>
  <c r="D739" i="2" l="1"/>
  <c r="I739" i="2" s="1"/>
  <c r="G739" i="2"/>
  <c r="B739" i="4"/>
  <c r="D739" i="4" s="1"/>
  <c r="J738" i="2"/>
  <c r="F740" i="2"/>
  <c r="H740" i="2" s="1"/>
  <c r="C741" i="4" s="1"/>
  <c r="C740" i="2"/>
  <c r="E740" i="2" s="1"/>
  <c r="B741" i="2"/>
  <c r="A742" i="2"/>
  <c r="K741" i="2"/>
  <c r="B742" i="2" l="1"/>
  <c r="A743" i="2"/>
  <c r="K742" i="2"/>
  <c r="F741" i="2"/>
  <c r="H741" i="2" s="1"/>
  <c r="C742" i="4" s="1"/>
  <c r="C741" i="2"/>
  <c r="D741" i="2" s="1"/>
  <c r="D740" i="2"/>
  <c r="I740" i="2" s="1"/>
  <c r="B740" i="4"/>
  <c r="D740" i="4" s="1"/>
  <c r="J739" i="2"/>
  <c r="G740" i="2"/>
  <c r="B741" i="4" l="1"/>
  <c r="D741" i="4" s="1"/>
  <c r="J740" i="2"/>
  <c r="E741" i="2"/>
  <c r="I741" i="2" s="1"/>
  <c r="G741" i="2"/>
  <c r="A744" i="2"/>
  <c r="B743" i="2"/>
  <c r="F742" i="2"/>
  <c r="G742" i="2" s="1"/>
  <c r="C742" i="2"/>
  <c r="E742" i="2" s="1"/>
  <c r="B743" i="4" l="1"/>
  <c r="D742" i="2"/>
  <c r="I742" i="2" s="1"/>
  <c r="H742" i="2"/>
  <c r="C743" i="4" s="1"/>
  <c r="F743" i="2"/>
  <c r="H743" i="2" s="1"/>
  <c r="C744" i="4" s="1"/>
  <c r="C743" i="2"/>
  <c r="E743" i="2" s="1"/>
  <c r="B742" i="4"/>
  <c r="D742" i="4" s="1"/>
  <c r="J741" i="2"/>
  <c r="K743" i="2"/>
  <c r="B744" i="2"/>
  <c r="A745" i="2"/>
  <c r="K744" i="2"/>
  <c r="B745" i="2" l="1"/>
  <c r="A746" i="2"/>
  <c r="K745" i="2"/>
  <c r="D743" i="2"/>
  <c r="I743" i="2" s="1"/>
  <c r="G743" i="2"/>
  <c r="F744" i="2"/>
  <c r="H744" i="2" s="1"/>
  <c r="C745" i="4" s="1"/>
  <c r="C744" i="2"/>
  <c r="E744" i="2" s="1"/>
  <c r="J742" i="2"/>
  <c r="D743" i="4"/>
  <c r="G744" i="2" l="1"/>
  <c r="B744" i="4"/>
  <c r="D744" i="4" s="1"/>
  <c r="J743" i="2"/>
  <c r="D744" i="2"/>
  <c r="I744" i="2" s="1"/>
  <c r="A747" i="2"/>
  <c r="B746" i="2"/>
  <c r="F745" i="2"/>
  <c r="H745" i="2" s="1"/>
  <c r="C746" i="4" s="1"/>
  <c r="C745" i="2"/>
  <c r="D745" i="2" s="1"/>
  <c r="E745" i="2" l="1"/>
  <c r="I745" i="2" s="1"/>
  <c r="F746" i="2"/>
  <c r="G746" i="2" s="1"/>
  <c r="C746" i="2"/>
  <c r="D746" i="2" s="1"/>
  <c r="K746" i="2"/>
  <c r="B747" i="2"/>
  <c r="A748" i="2"/>
  <c r="K747" i="2"/>
  <c r="G745" i="2"/>
  <c r="B745" i="4"/>
  <c r="D745" i="4" s="1"/>
  <c r="J744" i="2"/>
  <c r="B747" i="4" l="1"/>
  <c r="B746" i="4"/>
  <c r="D746" i="4" s="1"/>
  <c r="J745" i="2"/>
  <c r="B748" i="2"/>
  <c r="A749" i="2"/>
  <c r="K748" i="2"/>
  <c r="C747" i="2"/>
  <c r="E747" i="2" s="1"/>
  <c r="F747" i="2"/>
  <c r="H747" i="2" s="1"/>
  <c r="C748" i="4" s="1"/>
  <c r="E746" i="2"/>
  <c r="I746" i="2" s="1"/>
  <c r="H746" i="2"/>
  <c r="C747" i="4" s="1"/>
  <c r="D747" i="2" l="1"/>
  <c r="I747" i="2" s="1"/>
  <c r="G747" i="2"/>
  <c r="A750" i="2"/>
  <c r="B749" i="2"/>
  <c r="C748" i="2"/>
  <c r="D748" i="2" s="1"/>
  <c r="F748" i="2"/>
  <c r="G748" i="2" s="1"/>
  <c r="J746" i="2"/>
  <c r="D747" i="4"/>
  <c r="B749" i="4" l="1"/>
  <c r="H748" i="2"/>
  <c r="C749" i="4" s="1"/>
  <c r="E748" i="2"/>
  <c r="I748" i="2" s="1"/>
  <c r="C749" i="2"/>
  <c r="E749" i="2" s="1"/>
  <c r="F749" i="2"/>
  <c r="H749" i="2" s="1"/>
  <c r="C750" i="4" s="1"/>
  <c r="B748" i="4"/>
  <c r="D748" i="4" s="1"/>
  <c r="J747" i="2"/>
  <c r="K749" i="2"/>
  <c r="A751" i="2"/>
  <c r="K750" i="2"/>
  <c r="B750" i="2"/>
  <c r="B751" i="2" l="1"/>
  <c r="A752" i="2"/>
  <c r="K751" i="2"/>
  <c r="G749" i="2"/>
  <c r="J748" i="2"/>
  <c r="D749" i="2"/>
  <c r="I749" i="2" s="1"/>
  <c r="C750" i="2"/>
  <c r="E750" i="2" s="1"/>
  <c r="F750" i="2"/>
  <c r="G750" i="2" s="1"/>
  <c r="D749" i="4"/>
  <c r="B751" i="4" l="1"/>
  <c r="H750" i="2"/>
  <c r="C751" i="4" s="1"/>
  <c r="B750" i="4"/>
  <c r="D750" i="4" s="1"/>
  <c r="J749" i="2"/>
  <c r="D750" i="2"/>
  <c r="I750" i="2" s="1"/>
  <c r="K752" i="2"/>
  <c r="B752" i="2"/>
  <c r="A753" i="2"/>
  <c r="C751" i="2"/>
  <c r="D751" i="2" s="1"/>
  <c r="F751" i="2"/>
  <c r="G751" i="2" s="1"/>
  <c r="B752" i="4" l="1"/>
  <c r="E751" i="2"/>
  <c r="I751" i="2" s="1"/>
  <c r="H751" i="2"/>
  <c r="C752" i="4" s="1"/>
  <c r="A754" i="2"/>
  <c r="B753" i="2"/>
  <c r="C752" i="2"/>
  <c r="E752" i="2" s="1"/>
  <c r="F752" i="2"/>
  <c r="H752" i="2" s="1"/>
  <c r="C753" i="4" s="1"/>
  <c r="J750" i="2"/>
  <c r="D751" i="4"/>
  <c r="G752" i="2" l="1"/>
  <c r="B754" i="2"/>
  <c r="A755" i="2"/>
  <c r="K754" i="2"/>
  <c r="J751" i="2"/>
  <c r="D752" i="2"/>
  <c r="I752" i="2" s="1"/>
  <c r="F753" i="2"/>
  <c r="H753" i="2" s="1"/>
  <c r="C754" i="4" s="1"/>
  <c r="C753" i="2"/>
  <c r="E753" i="2" s="1"/>
  <c r="K753" i="2"/>
  <c r="D752" i="4"/>
  <c r="D753" i="2" l="1"/>
  <c r="I753" i="2" s="1"/>
  <c r="C754" i="2"/>
  <c r="D754" i="2" s="1"/>
  <c r="F754" i="2"/>
  <c r="H754" i="2" s="1"/>
  <c r="C755" i="4" s="1"/>
  <c r="G753" i="2"/>
  <c r="B755" i="2"/>
  <c r="A756" i="2"/>
  <c r="K755" i="2"/>
  <c r="B753" i="4"/>
  <c r="D753" i="4" s="1"/>
  <c r="J752" i="2"/>
  <c r="B754" i="4" l="1"/>
  <c r="D754" i="4" s="1"/>
  <c r="J753" i="2"/>
  <c r="F755" i="2"/>
  <c r="H755" i="2" s="1"/>
  <c r="C756" i="4" s="1"/>
  <c r="C755" i="2"/>
  <c r="E755" i="2" s="1"/>
  <c r="G754" i="2"/>
  <c r="E754" i="2"/>
  <c r="I754" i="2" s="1"/>
  <c r="A757" i="2"/>
  <c r="B756" i="2"/>
  <c r="K756" i="2" s="1"/>
  <c r="B755" i="4" l="1"/>
  <c r="D755" i="4" s="1"/>
  <c r="J754" i="2"/>
  <c r="D755" i="2"/>
  <c r="I755" i="2" s="1"/>
  <c r="G755" i="2"/>
  <c r="C756" i="2"/>
  <c r="E756" i="2" s="1"/>
  <c r="F756" i="2"/>
  <c r="H756" i="2" s="1"/>
  <c r="C757" i="4" s="1"/>
  <c r="B757" i="2"/>
  <c r="A758" i="2"/>
  <c r="K757" i="2"/>
  <c r="G756" i="2" l="1"/>
  <c r="C757" i="2"/>
  <c r="E757" i="2" s="1"/>
  <c r="F757" i="2"/>
  <c r="H757" i="2" s="1"/>
  <c r="C758" i="4" s="1"/>
  <c r="B756" i="4"/>
  <c r="D756" i="4" s="1"/>
  <c r="J755" i="2"/>
  <c r="B758" i="2"/>
  <c r="A759" i="2"/>
  <c r="K758" i="2"/>
  <c r="D756" i="2"/>
  <c r="I756" i="2" s="1"/>
  <c r="A760" i="2" l="1"/>
  <c r="B759" i="2"/>
  <c r="F758" i="2"/>
  <c r="H758" i="2" s="1"/>
  <c r="C759" i="4" s="1"/>
  <c r="C758" i="2"/>
  <c r="E758" i="2" s="1"/>
  <c r="D757" i="2"/>
  <c r="I757" i="2" s="1"/>
  <c r="G757" i="2"/>
  <c r="B757" i="4"/>
  <c r="D757" i="4" s="1"/>
  <c r="J756" i="2"/>
  <c r="B758" i="4" l="1"/>
  <c r="D758" i="4" s="1"/>
  <c r="J757" i="2"/>
  <c r="D758" i="2"/>
  <c r="I758" i="2" s="1"/>
  <c r="F759" i="2"/>
  <c r="H759" i="2" s="1"/>
  <c r="C760" i="4" s="1"/>
  <c r="C759" i="2"/>
  <c r="E759" i="2" s="1"/>
  <c r="G758" i="2"/>
  <c r="K759" i="2"/>
  <c r="B760" i="2"/>
  <c r="A761" i="2"/>
  <c r="K760" i="2"/>
  <c r="B759" i="4" l="1"/>
  <c r="D759" i="4" s="1"/>
  <c r="J758" i="2"/>
  <c r="B761" i="2"/>
  <c r="A762" i="2"/>
  <c r="K761" i="2"/>
  <c r="F760" i="2"/>
  <c r="H760" i="2" s="1"/>
  <c r="C761" i="4" s="1"/>
  <c r="C760" i="2"/>
  <c r="E760" i="2" s="1"/>
  <c r="D759" i="2"/>
  <c r="I759" i="2" s="1"/>
  <c r="G759" i="2"/>
  <c r="D760" i="2" l="1"/>
  <c r="I760" i="2" s="1"/>
  <c r="B760" i="4"/>
  <c r="D760" i="4" s="1"/>
  <c r="J759" i="2"/>
  <c r="G760" i="2"/>
  <c r="A763" i="2"/>
  <c r="K762" i="2"/>
  <c r="B762" i="2"/>
  <c r="F761" i="2"/>
  <c r="G761" i="2" s="1"/>
  <c r="C761" i="2"/>
  <c r="D761" i="2" s="1"/>
  <c r="B762" i="4" l="1"/>
  <c r="E761" i="2"/>
  <c r="I761" i="2" s="1"/>
  <c r="H761" i="2"/>
  <c r="C762" i="4" s="1"/>
  <c r="B763" i="2"/>
  <c r="A764" i="2"/>
  <c r="K763" i="2"/>
  <c r="F762" i="2"/>
  <c r="H762" i="2" s="1"/>
  <c r="C763" i="4" s="1"/>
  <c r="C762" i="2"/>
  <c r="E762" i="2" s="1"/>
  <c r="B761" i="4"/>
  <c r="D761" i="4" s="1"/>
  <c r="J760" i="2"/>
  <c r="G762" i="2" l="1"/>
  <c r="C763" i="2"/>
  <c r="E763" i="2" s="1"/>
  <c r="F763" i="2"/>
  <c r="H763" i="2" s="1"/>
  <c r="C764" i="4" s="1"/>
  <c r="D762" i="2"/>
  <c r="I762" i="2" s="1"/>
  <c r="B764" i="2"/>
  <c r="A765" i="2"/>
  <c r="K764" i="2"/>
  <c r="J761" i="2"/>
  <c r="D762" i="4"/>
  <c r="A766" i="2" l="1"/>
  <c r="B765" i="2"/>
  <c r="C764" i="2"/>
  <c r="E764" i="2" s="1"/>
  <c r="F764" i="2"/>
  <c r="H764" i="2" s="1"/>
  <c r="C765" i="4" s="1"/>
  <c r="D763" i="2"/>
  <c r="I763" i="2" s="1"/>
  <c r="G763" i="2"/>
  <c r="B763" i="4"/>
  <c r="D763" i="4" s="1"/>
  <c r="J762" i="2"/>
  <c r="B764" i="4" l="1"/>
  <c r="D764" i="4" s="1"/>
  <c r="J763" i="2"/>
  <c r="G764" i="2"/>
  <c r="D764" i="2"/>
  <c r="I764" i="2" s="1"/>
  <c r="F765" i="2"/>
  <c r="G765" i="2" s="1"/>
  <c r="C765" i="2"/>
  <c r="E765" i="2" s="1"/>
  <c r="K765" i="2"/>
  <c r="A767" i="2"/>
  <c r="K766" i="2"/>
  <c r="B766" i="2"/>
  <c r="B766" i="4" l="1"/>
  <c r="D765" i="2"/>
  <c r="I765" i="2" s="1"/>
  <c r="H765" i="2"/>
  <c r="C766" i="4" s="1"/>
  <c r="B765" i="4"/>
  <c r="D765" i="4" s="1"/>
  <c r="J764" i="2"/>
  <c r="F766" i="2"/>
  <c r="H766" i="2" s="1"/>
  <c r="C767" i="4" s="1"/>
  <c r="C766" i="2"/>
  <c r="E766" i="2" s="1"/>
  <c r="B767" i="2"/>
  <c r="A768" i="2"/>
  <c r="K767" i="2"/>
  <c r="B768" i="2" l="1"/>
  <c r="A769" i="2"/>
  <c r="G766" i="2"/>
  <c r="J765" i="2"/>
  <c r="C767" i="2"/>
  <c r="E767" i="2" s="1"/>
  <c r="F767" i="2"/>
  <c r="H767" i="2" s="1"/>
  <c r="C768" i="4" s="1"/>
  <c r="D766" i="2"/>
  <c r="I766" i="2" s="1"/>
  <c r="D766" i="4"/>
  <c r="D767" i="2" l="1"/>
  <c r="I767" i="2" s="1"/>
  <c r="G767" i="2"/>
  <c r="F768" i="2"/>
  <c r="G768" i="2" s="1"/>
  <c r="C768" i="2"/>
  <c r="E768" i="2" s="1"/>
  <c r="B767" i="4"/>
  <c r="D767" i="4" s="1"/>
  <c r="J766" i="2"/>
  <c r="A770" i="2"/>
  <c r="B769" i="2"/>
  <c r="K768" i="2"/>
  <c r="B769" i="4" l="1"/>
  <c r="C769" i="2"/>
  <c r="D769" i="2" s="1"/>
  <c r="F769" i="2"/>
  <c r="H769" i="2" s="1"/>
  <c r="C770" i="4" s="1"/>
  <c r="B770" i="2"/>
  <c r="A771" i="2"/>
  <c r="K770" i="2"/>
  <c r="K769" i="2"/>
  <c r="H768" i="2"/>
  <c r="C769" i="4" s="1"/>
  <c r="B768" i="4"/>
  <c r="D768" i="4" s="1"/>
  <c r="J767" i="2"/>
  <c r="D768" i="2"/>
  <c r="I768" i="2" s="1"/>
  <c r="B771" i="2" l="1"/>
  <c r="A772" i="2"/>
  <c r="K771" i="2"/>
  <c r="C770" i="2"/>
  <c r="E770" i="2" s="1"/>
  <c r="F770" i="2"/>
  <c r="G770" i="2" s="1"/>
  <c r="E769" i="2"/>
  <c r="I769" i="2" s="1"/>
  <c r="J768" i="2"/>
  <c r="G769" i="2"/>
  <c r="D769" i="4"/>
  <c r="B771" i="4" l="1"/>
  <c r="B770" i="4"/>
  <c r="D770" i="4" s="1"/>
  <c r="J769" i="2"/>
  <c r="H770" i="2"/>
  <c r="C771" i="4" s="1"/>
  <c r="D770" i="2"/>
  <c r="I770" i="2" s="1"/>
  <c r="A773" i="2"/>
  <c r="K772" i="2"/>
  <c r="B772" i="2"/>
  <c r="F771" i="2"/>
  <c r="H771" i="2" s="1"/>
  <c r="C772" i="4" s="1"/>
  <c r="C771" i="2"/>
  <c r="D771" i="2" s="1"/>
  <c r="G771" i="2" l="1"/>
  <c r="E771" i="2"/>
  <c r="I771" i="2" s="1"/>
  <c r="F772" i="2"/>
  <c r="G772" i="2" s="1"/>
  <c r="C772" i="2"/>
  <c r="D772" i="2" s="1"/>
  <c r="B773" i="2"/>
  <c r="A774" i="2"/>
  <c r="K773" i="2"/>
  <c r="J770" i="2"/>
  <c r="D771" i="4"/>
  <c r="B773" i="4" l="1"/>
  <c r="B774" i="2"/>
  <c r="A775" i="2"/>
  <c r="K774" i="2"/>
  <c r="H772" i="2"/>
  <c r="C773" i="4" s="1"/>
  <c r="E772" i="2"/>
  <c r="I772" i="2" s="1"/>
  <c r="C773" i="2"/>
  <c r="E773" i="2" s="1"/>
  <c r="F773" i="2"/>
  <c r="H773" i="2" s="1"/>
  <c r="C774" i="4" s="1"/>
  <c r="B772" i="4"/>
  <c r="D772" i="4" s="1"/>
  <c r="J771" i="2"/>
  <c r="G773" i="2" l="1"/>
  <c r="D773" i="2"/>
  <c r="I773" i="2" s="1"/>
  <c r="A776" i="2"/>
  <c r="B775" i="2"/>
  <c r="J772" i="2"/>
  <c r="F774" i="2"/>
  <c r="H774" i="2" s="1"/>
  <c r="C775" i="4" s="1"/>
  <c r="C774" i="2"/>
  <c r="E774" i="2" s="1"/>
  <c r="D773" i="4"/>
  <c r="D774" i="2" l="1"/>
  <c r="I774" i="2" s="1"/>
  <c r="G774" i="2"/>
  <c r="F775" i="2"/>
  <c r="G775" i="2" s="1"/>
  <c r="C775" i="2"/>
  <c r="E775" i="2" s="1"/>
  <c r="K775" i="2"/>
  <c r="B776" i="2"/>
  <c r="A777" i="2"/>
  <c r="K776" i="2"/>
  <c r="B774" i="4"/>
  <c r="D774" i="4" s="1"/>
  <c r="J773" i="2"/>
  <c r="B776" i="4" l="1"/>
  <c r="B777" i="2"/>
  <c r="A778" i="2"/>
  <c r="K777" i="2"/>
  <c r="F776" i="2"/>
  <c r="H776" i="2" s="1"/>
  <c r="C777" i="4" s="1"/>
  <c r="C776" i="2"/>
  <c r="E776" i="2" s="1"/>
  <c r="H775" i="2"/>
  <c r="C776" i="4" s="1"/>
  <c r="B775" i="4"/>
  <c r="D775" i="4" s="1"/>
  <c r="J774" i="2"/>
  <c r="D775" i="2"/>
  <c r="I775" i="2" s="1"/>
  <c r="G776" i="2" l="1"/>
  <c r="D776" i="2"/>
  <c r="I776" i="2" s="1"/>
  <c r="A779" i="2"/>
  <c r="B778" i="2"/>
  <c r="F777" i="2"/>
  <c r="H777" i="2" s="1"/>
  <c r="C778" i="4" s="1"/>
  <c r="C777" i="2"/>
  <c r="D777" i="2" s="1"/>
  <c r="J775" i="2"/>
  <c r="D776" i="4"/>
  <c r="E777" i="2" l="1"/>
  <c r="I777" i="2" s="1"/>
  <c r="F778" i="2"/>
  <c r="G778" i="2" s="1"/>
  <c r="C778" i="2"/>
  <c r="D778" i="2" s="1"/>
  <c r="G777" i="2"/>
  <c r="K778" i="2"/>
  <c r="B779" i="2"/>
  <c r="A780" i="2"/>
  <c r="K779" i="2"/>
  <c r="B777" i="4"/>
  <c r="D777" i="4" s="1"/>
  <c r="J776" i="2"/>
  <c r="B779" i="4" l="1"/>
  <c r="B780" i="2"/>
  <c r="A781" i="2"/>
  <c r="K780" i="2"/>
  <c r="B778" i="4"/>
  <c r="D778" i="4" s="1"/>
  <c r="J777" i="2"/>
  <c r="E778" i="2"/>
  <c r="I778" i="2" s="1"/>
  <c r="H778" i="2"/>
  <c r="C779" i="4" s="1"/>
  <c r="C779" i="2"/>
  <c r="E779" i="2" s="1"/>
  <c r="F779" i="2"/>
  <c r="H779" i="2" s="1"/>
  <c r="C780" i="4" s="1"/>
  <c r="D779" i="2" l="1"/>
  <c r="I779" i="2" s="1"/>
  <c r="G779" i="2"/>
  <c r="C780" i="2"/>
  <c r="E780" i="2" s="1"/>
  <c r="F780" i="2"/>
  <c r="G780" i="2" s="1"/>
  <c r="A782" i="2"/>
  <c r="K781" i="2"/>
  <c r="B781" i="2"/>
  <c r="J778" i="2"/>
  <c r="D779" i="4"/>
  <c r="B781" i="4" l="1"/>
  <c r="A783" i="2"/>
  <c r="B782" i="2"/>
  <c r="H780" i="2"/>
  <c r="C781" i="4" s="1"/>
  <c r="B780" i="4"/>
  <c r="D780" i="4" s="1"/>
  <c r="J779" i="2"/>
  <c r="F781" i="2"/>
  <c r="H781" i="2" s="1"/>
  <c r="C782" i="4" s="1"/>
  <c r="C781" i="2"/>
  <c r="D781" i="2" s="1"/>
  <c r="D780" i="2"/>
  <c r="I780" i="2" s="1"/>
  <c r="E781" i="2" l="1"/>
  <c r="I781" i="2" s="1"/>
  <c r="F782" i="2"/>
  <c r="H782" i="2" s="1"/>
  <c r="C783" i="4" s="1"/>
  <c r="C782" i="2"/>
  <c r="D782" i="2" s="1"/>
  <c r="G781" i="2"/>
  <c r="K782" i="2"/>
  <c r="B783" i="2"/>
  <c r="A784" i="2"/>
  <c r="K783" i="2"/>
  <c r="J780" i="2"/>
  <c r="D781" i="4"/>
  <c r="K784" i="2" l="1"/>
  <c r="B784" i="2"/>
  <c r="A785" i="2"/>
  <c r="B782" i="4"/>
  <c r="D782" i="4" s="1"/>
  <c r="J781" i="2"/>
  <c r="E782" i="2"/>
  <c r="I782" i="2" s="1"/>
  <c r="C783" i="2"/>
  <c r="E783" i="2" s="1"/>
  <c r="F783" i="2"/>
  <c r="G783" i="2" s="1"/>
  <c r="G782" i="2"/>
  <c r="B784" i="4" l="1"/>
  <c r="H783" i="2"/>
  <c r="C784" i="4" s="1"/>
  <c r="D783" i="2"/>
  <c r="I783" i="2" s="1"/>
  <c r="B783" i="4"/>
  <c r="D783" i="4" s="1"/>
  <c r="J782" i="2"/>
  <c r="A786" i="2"/>
  <c r="B785" i="2"/>
  <c r="K785" i="2" s="1"/>
  <c r="C784" i="2"/>
  <c r="E784" i="2" s="1"/>
  <c r="F784" i="2"/>
  <c r="H784" i="2" s="1"/>
  <c r="C785" i="4" s="1"/>
  <c r="G784" i="2" l="1"/>
  <c r="D784" i="2"/>
  <c r="I784" i="2" s="1"/>
  <c r="F785" i="2"/>
  <c r="H785" i="2" s="1"/>
  <c r="C786" i="4" s="1"/>
  <c r="C785" i="2"/>
  <c r="D785" i="2" s="1"/>
  <c r="J783" i="2"/>
  <c r="B786" i="2"/>
  <c r="A787" i="2"/>
  <c r="K786" i="2"/>
  <c r="D784" i="4"/>
  <c r="B787" i="2" l="1"/>
  <c r="A788" i="2"/>
  <c r="K787" i="2"/>
  <c r="C786" i="2"/>
  <c r="E786" i="2" s="1"/>
  <c r="F786" i="2"/>
  <c r="H786" i="2" s="1"/>
  <c r="C787" i="4" s="1"/>
  <c r="E785" i="2"/>
  <c r="I785" i="2" s="1"/>
  <c r="G785" i="2"/>
  <c r="B785" i="4"/>
  <c r="D785" i="4" s="1"/>
  <c r="J784" i="2"/>
  <c r="G786" i="2" l="1"/>
  <c r="B786" i="4"/>
  <c r="D786" i="4" s="1"/>
  <c r="J785" i="2"/>
  <c r="D786" i="2"/>
  <c r="I786" i="2" s="1"/>
  <c r="A789" i="2"/>
  <c r="B788" i="2"/>
  <c r="F787" i="2"/>
  <c r="H787" i="2" s="1"/>
  <c r="C788" i="4" s="1"/>
  <c r="C787" i="2"/>
  <c r="D787" i="2" s="1"/>
  <c r="G787" i="2" l="1"/>
  <c r="F788" i="2"/>
  <c r="H788" i="2" s="1"/>
  <c r="C789" i="4" s="1"/>
  <c r="C788" i="2"/>
  <c r="D788" i="2" s="1"/>
  <c r="E787" i="2"/>
  <c r="I787" i="2" s="1"/>
  <c r="K788" i="2"/>
  <c r="B789" i="2"/>
  <c r="A790" i="2"/>
  <c r="K789" i="2"/>
  <c r="B787" i="4"/>
  <c r="D787" i="4" s="1"/>
  <c r="J786" i="2"/>
  <c r="E788" i="2" l="1"/>
  <c r="I788" i="2" s="1"/>
  <c r="G788" i="2"/>
  <c r="B790" i="2"/>
  <c r="A791" i="2"/>
  <c r="K790" i="2"/>
  <c r="C789" i="2"/>
  <c r="D789" i="2" s="1"/>
  <c r="F789" i="2"/>
  <c r="H789" i="2" s="1"/>
  <c r="C790" i="4" s="1"/>
  <c r="B788" i="4"/>
  <c r="D788" i="4" s="1"/>
  <c r="J787" i="2"/>
  <c r="E789" i="2" l="1"/>
  <c r="I789" i="2" s="1"/>
  <c r="G789" i="2"/>
  <c r="B789" i="4"/>
  <c r="D789" i="4" s="1"/>
  <c r="J788" i="2"/>
  <c r="A792" i="2"/>
  <c r="B791" i="2"/>
  <c r="C790" i="2"/>
  <c r="E790" i="2" s="1"/>
  <c r="F790" i="2"/>
  <c r="H790" i="2" s="1"/>
  <c r="C791" i="4" s="1"/>
  <c r="D790" i="2" l="1"/>
  <c r="I790" i="2" s="1"/>
  <c r="G790" i="2"/>
  <c r="C791" i="2"/>
  <c r="D791" i="2" s="1"/>
  <c r="F791" i="2"/>
  <c r="H791" i="2" s="1"/>
  <c r="C792" i="4" s="1"/>
  <c r="K791" i="2"/>
  <c r="B792" i="2"/>
  <c r="A793" i="2"/>
  <c r="K792" i="2"/>
  <c r="B790" i="4"/>
  <c r="D790" i="4" s="1"/>
  <c r="J789" i="2"/>
  <c r="B793" i="2" l="1"/>
  <c r="A794" i="2"/>
  <c r="K793" i="2"/>
  <c r="F792" i="2"/>
  <c r="H792" i="2" s="1"/>
  <c r="C793" i="4" s="1"/>
  <c r="C792" i="2"/>
  <c r="D792" i="2" s="1"/>
  <c r="E791" i="2"/>
  <c r="I791" i="2" s="1"/>
  <c r="B791" i="4"/>
  <c r="D791" i="4" s="1"/>
  <c r="J790" i="2"/>
  <c r="G791" i="2"/>
  <c r="B792" i="4" l="1"/>
  <c r="D792" i="4" s="1"/>
  <c r="J791" i="2"/>
  <c r="E792" i="2"/>
  <c r="I792" i="2" s="1"/>
  <c r="G792" i="2"/>
  <c r="A795" i="2"/>
  <c r="B794" i="2"/>
  <c r="F793" i="2"/>
  <c r="G793" i="2" s="1"/>
  <c r="C793" i="2"/>
  <c r="E793" i="2" s="1"/>
  <c r="B794" i="4" l="1"/>
  <c r="D793" i="2"/>
  <c r="I793" i="2" s="1"/>
  <c r="H793" i="2"/>
  <c r="C794" i="4" s="1"/>
  <c r="F794" i="2"/>
  <c r="H794" i="2" s="1"/>
  <c r="C795" i="4" s="1"/>
  <c r="C794" i="2"/>
  <c r="D794" i="2" s="1"/>
  <c r="B793" i="4"/>
  <c r="D793" i="4" s="1"/>
  <c r="J792" i="2"/>
  <c r="K794" i="2"/>
  <c r="B795" i="2"/>
  <c r="A796" i="2"/>
  <c r="K795" i="2"/>
  <c r="B796" i="2" l="1"/>
  <c r="A797" i="2"/>
  <c r="K796" i="2"/>
  <c r="F795" i="2"/>
  <c r="H795" i="2" s="1"/>
  <c r="C796" i="4" s="1"/>
  <c r="C795" i="2"/>
  <c r="E795" i="2" s="1"/>
  <c r="E794" i="2"/>
  <c r="I794" i="2" s="1"/>
  <c r="G794" i="2"/>
  <c r="J793" i="2"/>
  <c r="D794" i="4"/>
  <c r="B795" i="4" l="1"/>
  <c r="D795" i="4" s="1"/>
  <c r="J794" i="2"/>
  <c r="D795" i="2"/>
  <c r="I795" i="2" s="1"/>
  <c r="G795" i="2"/>
  <c r="A798" i="2"/>
  <c r="B797" i="2"/>
  <c r="C796" i="2"/>
  <c r="D796" i="2" s="1"/>
  <c r="F796" i="2"/>
  <c r="H796" i="2" s="1"/>
  <c r="C797" i="4" s="1"/>
  <c r="E796" i="2" l="1"/>
  <c r="I796" i="2" s="1"/>
  <c r="G796" i="2"/>
  <c r="A799" i="2"/>
  <c r="B798" i="2"/>
  <c r="F797" i="2"/>
  <c r="H797" i="2" s="1"/>
  <c r="C798" i="4" s="1"/>
  <c r="C797" i="2"/>
  <c r="E797" i="2" s="1"/>
  <c r="K797" i="2"/>
  <c r="B796" i="4"/>
  <c r="D796" i="4" s="1"/>
  <c r="J795" i="2"/>
  <c r="G797" i="2" l="1"/>
  <c r="F798" i="2"/>
  <c r="H798" i="2" s="1"/>
  <c r="C799" i="4" s="1"/>
  <c r="C798" i="2"/>
  <c r="E798" i="2" s="1"/>
  <c r="B797" i="4"/>
  <c r="D797" i="4" s="1"/>
  <c r="J796" i="2"/>
  <c r="D797" i="2"/>
  <c r="I797" i="2" s="1"/>
  <c r="K798" i="2"/>
  <c r="B799" i="2"/>
  <c r="A800" i="2"/>
  <c r="K799" i="2"/>
  <c r="C799" i="2" l="1"/>
  <c r="E799" i="2" s="1"/>
  <c r="F799" i="2"/>
  <c r="H799" i="2" s="1"/>
  <c r="C800" i="4" s="1"/>
  <c r="D798" i="2"/>
  <c r="I798" i="2" s="1"/>
  <c r="K800" i="2"/>
  <c r="B800" i="2"/>
  <c r="A801" i="2"/>
  <c r="G798" i="2"/>
  <c r="B798" i="4"/>
  <c r="D798" i="4" s="1"/>
  <c r="J797" i="2"/>
  <c r="A802" i="2" l="1"/>
  <c r="K801" i="2"/>
  <c r="B801" i="2"/>
  <c r="B799" i="4"/>
  <c r="D799" i="4" s="1"/>
  <c r="J798" i="2"/>
  <c r="F800" i="2"/>
  <c r="H800" i="2" s="1"/>
  <c r="C801" i="4" s="1"/>
  <c r="C800" i="2"/>
  <c r="E800" i="2" s="1"/>
  <c r="G799" i="2"/>
  <c r="D799" i="2"/>
  <c r="I799" i="2" s="1"/>
  <c r="B800" i="4" l="1"/>
  <c r="D800" i="4" s="1"/>
  <c r="J799" i="2"/>
  <c r="G800" i="2"/>
  <c r="D800" i="2"/>
  <c r="I800" i="2" s="1"/>
  <c r="F801" i="2"/>
  <c r="G801" i="2" s="1"/>
  <c r="C801" i="2"/>
  <c r="E801" i="2" s="1"/>
  <c r="B802" i="2"/>
  <c r="A803" i="2"/>
  <c r="K802" i="2"/>
  <c r="B802" i="4" l="1"/>
  <c r="B803" i="2"/>
  <c r="A804" i="2"/>
  <c r="K803" i="2"/>
  <c r="H801" i="2"/>
  <c r="C802" i="4" s="1"/>
  <c r="C802" i="2"/>
  <c r="E802" i="2" s="1"/>
  <c r="F802" i="2"/>
  <c r="H802" i="2" s="1"/>
  <c r="C803" i="4" s="1"/>
  <c r="D801" i="2"/>
  <c r="I801" i="2" s="1"/>
  <c r="B801" i="4"/>
  <c r="D801" i="4" s="1"/>
  <c r="J800" i="2"/>
  <c r="G802" i="2" l="1"/>
  <c r="D802" i="2"/>
  <c r="I802" i="2" s="1"/>
  <c r="A805" i="2"/>
  <c r="K804" i="2"/>
  <c r="B804" i="2"/>
  <c r="J801" i="2"/>
  <c r="C803" i="2"/>
  <c r="D803" i="2" s="1"/>
  <c r="F803" i="2"/>
  <c r="G803" i="2" s="1"/>
  <c r="D802" i="4"/>
  <c r="B804" i="4" l="1"/>
  <c r="E803" i="2"/>
  <c r="I803" i="2" s="1"/>
  <c r="H803" i="2"/>
  <c r="C804" i="4" s="1"/>
  <c r="C804" i="2"/>
  <c r="D804" i="2" s="1"/>
  <c r="F804" i="2"/>
  <c r="G804" i="2" s="1"/>
  <c r="B805" i="2"/>
  <c r="A806" i="2"/>
  <c r="K805" i="2"/>
  <c r="B803" i="4"/>
  <c r="D803" i="4" s="1"/>
  <c r="J802" i="2"/>
  <c r="B805" i="4" l="1"/>
  <c r="C805" i="2"/>
  <c r="E805" i="2" s="1"/>
  <c r="F805" i="2"/>
  <c r="H805" i="2" s="1"/>
  <c r="C806" i="4" s="1"/>
  <c r="E804" i="2"/>
  <c r="I804" i="2" s="1"/>
  <c r="H804" i="2"/>
  <c r="C805" i="4" s="1"/>
  <c r="J803" i="2"/>
  <c r="B806" i="2"/>
  <c r="A807" i="2"/>
  <c r="K806" i="2"/>
  <c r="D804" i="4"/>
  <c r="G805" i="2" l="1"/>
  <c r="D805" i="2"/>
  <c r="I805" i="2" s="1"/>
  <c r="J804" i="2"/>
  <c r="A808" i="2"/>
  <c r="K807" i="2"/>
  <c r="B807" i="2"/>
  <c r="C806" i="2"/>
  <c r="D806" i="2" s="1"/>
  <c r="F806" i="2"/>
  <c r="H806" i="2" s="1"/>
  <c r="C807" i="4" s="1"/>
  <c r="D805" i="4"/>
  <c r="G806" i="2" l="1"/>
  <c r="E806" i="2"/>
  <c r="I806" i="2" s="1"/>
  <c r="C807" i="2"/>
  <c r="E807" i="2" s="1"/>
  <c r="F807" i="2"/>
  <c r="H807" i="2" s="1"/>
  <c r="C808" i="4" s="1"/>
  <c r="B808" i="2"/>
  <c r="A809" i="2"/>
  <c r="K808" i="2"/>
  <c r="B806" i="4"/>
  <c r="D806" i="4" s="1"/>
  <c r="J805" i="2"/>
  <c r="B809" i="2" l="1"/>
  <c r="A810" i="2"/>
  <c r="K809" i="2"/>
  <c r="G807" i="2"/>
  <c r="F808" i="2"/>
  <c r="H808" i="2" s="1"/>
  <c r="C809" i="4" s="1"/>
  <c r="C808" i="2"/>
  <c r="E808" i="2" s="1"/>
  <c r="D807" i="2"/>
  <c r="I807" i="2" s="1"/>
  <c r="B807" i="4"/>
  <c r="D807" i="4" s="1"/>
  <c r="J806" i="2"/>
  <c r="D808" i="2" l="1"/>
  <c r="I808" i="2" s="1"/>
  <c r="G808" i="2"/>
  <c r="B808" i="4"/>
  <c r="D808" i="4" s="1"/>
  <c r="J807" i="2"/>
  <c r="A811" i="2"/>
  <c r="B810" i="2"/>
  <c r="F809" i="2"/>
  <c r="H809" i="2" s="1"/>
  <c r="C810" i="4" s="1"/>
  <c r="C809" i="2"/>
  <c r="D809" i="2" s="1"/>
  <c r="E809" i="2" l="1"/>
  <c r="I809" i="2" s="1"/>
  <c r="F810" i="2"/>
  <c r="G810" i="2" s="1"/>
  <c r="C810" i="2"/>
  <c r="E810" i="2" s="1"/>
  <c r="K810" i="2"/>
  <c r="B809" i="4"/>
  <c r="D809" i="4" s="1"/>
  <c r="J808" i="2"/>
  <c r="G809" i="2"/>
  <c r="B811" i="2"/>
  <c r="A812" i="2"/>
  <c r="K811" i="2"/>
  <c r="B811" i="4" l="1"/>
  <c r="D811" i="4" s="1"/>
  <c r="B812" i="2"/>
  <c r="A813" i="2"/>
  <c r="K812" i="2"/>
  <c r="H810" i="2"/>
  <c r="C811" i="4" s="1"/>
  <c r="B810" i="4"/>
  <c r="D810" i="4" s="1"/>
  <c r="J809" i="2"/>
  <c r="D810" i="2"/>
  <c r="I810" i="2" s="1"/>
  <c r="C811" i="2"/>
  <c r="E811" i="2" s="1"/>
  <c r="F811" i="2"/>
  <c r="H811" i="2" s="1"/>
  <c r="C812" i="4" s="1"/>
  <c r="G811" i="2" l="1"/>
  <c r="D811" i="2"/>
  <c r="I811" i="2" s="1"/>
  <c r="A814" i="2"/>
  <c r="K813" i="2"/>
  <c r="B813" i="2"/>
  <c r="C812" i="2"/>
  <c r="D812" i="2" s="1"/>
  <c r="F812" i="2"/>
  <c r="G812" i="2" s="1"/>
  <c r="J810" i="2"/>
  <c r="B813" i="4" l="1"/>
  <c r="E812" i="2"/>
  <c r="I812" i="2" s="1"/>
  <c r="F813" i="2"/>
  <c r="H813" i="2" s="1"/>
  <c r="C814" i="4" s="1"/>
  <c r="C813" i="2"/>
  <c r="E813" i="2" s="1"/>
  <c r="A815" i="2"/>
  <c r="B814" i="2"/>
  <c r="K814" i="2" s="1"/>
  <c r="H812" i="2"/>
  <c r="C813" i="4" s="1"/>
  <c r="B812" i="4"/>
  <c r="D812" i="4" s="1"/>
  <c r="J811" i="2"/>
  <c r="G813" i="2" l="1"/>
  <c r="D813" i="2"/>
  <c r="I813" i="2" s="1"/>
  <c r="J812" i="2"/>
  <c r="C814" i="2"/>
  <c r="E814" i="2" s="1"/>
  <c r="F814" i="2"/>
  <c r="H814" i="2" s="1"/>
  <c r="C815" i="4" s="1"/>
  <c r="B815" i="2"/>
  <c r="A816" i="2"/>
  <c r="K815" i="2"/>
  <c r="D813" i="4"/>
  <c r="F815" i="2" l="1"/>
  <c r="H815" i="2" s="1"/>
  <c r="C816" i="4" s="1"/>
  <c r="C815" i="2"/>
  <c r="E815" i="2" s="1"/>
  <c r="B816" i="2"/>
  <c r="K816" i="2" s="1"/>
  <c r="A817" i="2"/>
  <c r="D814" i="2"/>
  <c r="I814" i="2" s="1"/>
  <c r="G814" i="2"/>
  <c r="B814" i="4"/>
  <c r="D814" i="4" s="1"/>
  <c r="J813" i="2"/>
  <c r="A818" i="2" l="1"/>
  <c r="K817" i="2"/>
  <c r="B817" i="2"/>
  <c r="G815" i="2"/>
  <c r="B815" i="4"/>
  <c r="D815" i="4" s="1"/>
  <c r="J814" i="2"/>
  <c r="F816" i="2"/>
  <c r="G816" i="2" s="1"/>
  <c r="C816" i="2"/>
  <c r="E816" i="2" s="1"/>
  <c r="D815" i="2"/>
  <c r="I815" i="2" s="1"/>
  <c r="B817" i="4" l="1"/>
  <c r="D816" i="2"/>
  <c r="I816" i="2" s="1"/>
  <c r="H816" i="2"/>
  <c r="C817" i="4" s="1"/>
  <c r="B816" i="4"/>
  <c r="D816" i="4" s="1"/>
  <c r="J815" i="2"/>
  <c r="F817" i="2"/>
  <c r="G817" i="2" s="1"/>
  <c r="C817" i="2"/>
  <c r="E817" i="2" s="1"/>
  <c r="B818" i="2"/>
  <c r="A819" i="2"/>
  <c r="K818" i="2"/>
  <c r="B818" i="4" l="1"/>
  <c r="H817" i="2"/>
  <c r="C818" i="4" s="1"/>
  <c r="F818" i="2"/>
  <c r="G818" i="2" s="1"/>
  <c r="C818" i="2"/>
  <c r="E818" i="2" s="1"/>
  <c r="J816" i="2"/>
  <c r="B819" i="2"/>
  <c r="A820" i="2"/>
  <c r="K819" i="2"/>
  <c r="D817" i="2"/>
  <c r="I817" i="2" s="1"/>
  <c r="D817" i="4"/>
  <c r="B819" i="4" l="1"/>
  <c r="H818" i="2"/>
  <c r="C819" i="4" s="1"/>
  <c r="A821" i="2"/>
  <c r="K820" i="2"/>
  <c r="B820" i="2"/>
  <c r="F819" i="2"/>
  <c r="G819" i="2" s="1"/>
  <c r="C819" i="2"/>
  <c r="D819" i="2" s="1"/>
  <c r="J817" i="2"/>
  <c r="D818" i="2"/>
  <c r="I818" i="2" s="1"/>
  <c r="D818" i="4"/>
  <c r="B820" i="4" l="1"/>
  <c r="E819" i="2"/>
  <c r="I819" i="2" s="1"/>
  <c r="H819" i="2"/>
  <c r="C820" i="4" s="1"/>
  <c r="F820" i="2"/>
  <c r="G820" i="2" s="1"/>
  <c r="C820" i="2"/>
  <c r="D820" i="2" s="1"/>
  <c r="B821" i="2"/>
  <c r="A822" i="2"/>
  <c r="K821" i="2"/>
  <c r="J818" i="2"/>
  <c r="D819" i="4"/>
  <c r="B821" i="4" l="1"/>
  <c r="B822" i="2"/>
  <c r="A823" i="2"/>
  <c r="K822" i="2"/>
  <c r="C821" i="2"/>
  <c r="E821" i="2" s="1"/>
  <c r="F821" i="2"/>
  <c r="H821" i="2" s="1"/>
  <c r="C822" i="4" s="1"/>
  <c r="E820" i="2"/>
  <c r="I820" i="2" s="1"/>
  <c r="H820" i="2"/>
  <c r="C821" i="4" s="1"/>
  <c r="J819" i="2"/>
  <c r="D820" i="4"/>
  <c r="G821" i="2" l="1"/>
  <c r="D821" i="2"/>
  <c r="I821" i="2" s="1"/>
  <c r="A824" i="2"/>
  <c r="B823" i="2"/>
  <c r="J820" i="2"/>
  <c r="C822" i="2"/>
  <c r="E822" i="2" s="1"/>
  <c r="F822" i="2"/>
  <c r="H822" i="2" s="1"/>
  <c r="C823" i="4" s="1"/>
  <c r="D821" i="4"/>
  <c r="G822" i="2" l="1"/>
  <c r="C823" i="2"/>
  <c r="D823" i="2" s="1"/>
  <c r="F823" i="2"/>
  <c r="G823" i="2" s="1"/>
  <c r="D822" i="2"/>
  <c r="I822" i="2" s="1"/>
  <c r="K823" i="2"/>
  <c r="B824" i="2"/>
  <c r="A825" i="2"/>
  <c r="K824" i="2"/>
  <c r="B822" i="4"/>
  <c r="D822" i="4" s="1"/>
  <c r="J821" i="2"/>
  <c r="B824" i="4" l="1"/>
  <c r="B825" i="2"/>
  <c r="A826" i="2"/>
  <c r="K825" i="2"/>
  <c r="E823" i="2"/>
  <c r="I823" i="2" s="1"/>
  <c r="H823" i="2"/>
  <c r="C824" i="4" s="1"/>
  <c r="F824" i="2"/>
  <c r="G824" i="2" s="1"/>
  <c r="C824" i="2"/>
  <c r="E824" i="2" s="1"/>
  <c r="B823" i="4"/>
  <c r="D823" i="4" s="1"/>
  <c r="J822" i="2"/>
  <c r="B825" i="4" l="1"/>
  <c r="D824" i="2"/>
  <c r="I824" i="2" s="1"/>
  <c r="H824" i="2"/>
  <c r="C825" i="4" s="1"/>
  <c r="A827" i="2"/>
  <c r="B826" i="2"/>
  <c r="C825" i="2"/>
  <c r="E825" i="2" s="1"/>
  <c r="F825" i="2"/>
  <c r="H825" i="2" s="1"/>
  <c r="C826" i="4" s="1"/>
  <c r="J823" i="2"/>
  <c r="D824" i="4"/>
  <c r="D825" i="2" l="1"/>
  <c r="I825" i="2" s="1"/>
  <c r="F826" i="2"/>
  <c r="H826" i="2" s="1"/>
  <c r="C827" i="4" s="1"/>
  <c r="C826" i="2"/>
  <c r="E826" i="2" s="1"/>
  <c r="K826" i="2"/>
  <c r="B827" i="2"/>
  <c r="A828" i="2"/>
  <c r="K827" i="2"/>
  <c r="G825" i="2"/>
  <c r="J824" i="2"/>
  <c r="D825" i="4"/>
  <c r="C827" i="2" l="1"/>
  <c r="E827" i="2" s="1"/>
  <c r="F827" i="2"/>
  <c r="H827" i="2" s="1"/>
  <c r="C828" i="4" s="1"/>
  <c r="G826" i="2"/>
  <c r="D826" i="2"/>
  <c r="I826" i="2" s="1"/>
  <c r="B826" i="4"/>
  <c r="D826" i="4" s="1"/>
  <c r="J825" i="2"/>
  <c r="B828" i="2"/>
  <c r="A829" i="2"/>
  <c r="K828" i="2"/>
  <c r="B827" i="4" l="1"/>
  <c r="D827" i="4" s="1"/>
  <c r="J826" i="2"/>
  <c r="A830" i="2"/>
  <c r="B829" i="2"/>
  <c r="C828" i="2"/>
  <c r="D828" i="2" s="1"/>
  <c r="F828" i="2"/>
  <c r="G828" i="2" s="1"/>
  <c r="D827" i="2"/>
  <c r="I827" i="2" s="1"/>
  <c r="G827" i="2"/>
  <c r="B829" i="4" l="1"/>
  <c r="B828" i="4"/>
  <c r="D828" i="4" s="1"/>
  <c r="J827" i="2"/>
  <c r="E828" i="2"/>
  <c r="I828" i="2" s="1"/>
  <c r="H828" i="2"/>
  <c r="C829" i="4" s="1"/>
  <c r="A831" i="2"/>
  <c r="B830" i="2"/>
  <c r="F829" i="2"/>
  <c r="G829" i="2" s="1"/>
  <c r="C829" i="2"/>
  <c r="D829" i="2" s="1"/>
  <c r="K829" i="2"/>
  <c r="B830" i="4" l="1"/>
  <c r="E829" i="2"/>
  <c r="I829" i="2" s="1"/>
  <c r="H829" i="2"/>
  <c r="C830" i="4" s="1"/>
  <c r="C830" i="2"/>
  <c r="E830" i="2" s="1"/>
  <c r="F830" i="2"/>
  <c r="G830" i="2" s="1"/>
  <c r="K830" i="2"/>
  <c r="B831" i="2"/>
  <c r="A832" i="2"/>
  <c r="K831" i="2"/>
  <c r="J828" i="2"/>
  <c r="D829" i="4"/>
  <c r="B831" i="4" l="1"/>
  <c r="K832" i="2"/>
  <c r="B832" i="2"/>
  <c r="A833" i="2"/>
  <c r="D830" i="2"/>
  <c r="I830" i="2" s="1"/>
  <c r="H830" i="2"/>
  <c r="C831" i="4" s="1"/>
  <c r="F831" i="2"/>
  <c r="H831" i="2" s="1"/>
  <c r="C832" i="4" s="1"/>
  <c r="C831" i="2"/>
  <c r="E831" i="2" s="1"/>
  <c r="J829" i="2"/>
  <c r="D830" i="4"/>
  <c r="G831" i="2" l="1"/>
  <c r="D831" i="2"/>
  <c r="I831" i="2" s="1"/>
  <c r="A834" i="2"/>
  <c r="B833" i="2"/>
  <c r="F832" i="2"/>
  <c r="H832" i="2" s="1"/>
  <c r="C833" i="4" s="1"/>
  <c r="C832" i="2"/>
  <c r="D832" i="2" s="1"/>
  <c r="J830" i="2"/>
  <c r="D831" i="4"/>
  <c r="G832" i="2" l="1"/>
  <c r="E832" i="2"/>
  <c r="I832" i="2" s="1"/>
  <c r="F833" i="2"/>
  <c r="G833" i="2" s="1"/>
  <c r="C833" i="2"/>
  <c r="E833" i="2" s="1"/>
  <c r="B834" i="2"/>
  <c r="A835" i="2"/>
  <c r="K834" i="2"/>
  <c r="K833" i="2"/>
  <c r="B832" i="4"/>
  <c r="D832" i="4" s="1"/>
  <c r="J831" i="2"/>
  <c r="B834" i="4" l="1"/>
  <c r="F834" i="2"/>
  <c r="H834" i="2" s="1"/>
  <c r="C835" i="4" s="1"/>
  <c r="C834" i="2"/>
  <c r="E834" i="2" s="1"/>
  <c r="B835" i="2"/>
  <c r="A836" i="2"/>
  <c r="K835" i="2"/>
  <c r="D833" i="2"/>
  <c r="I833" i="2" s="1"/>
  <c r="H833" i="2"/>
  <c r="C834" i="4" s="1"/>
  <c r="B833" i="4"/>
  <c r="D833" i="4" s="1"/>
  <c r="J832" i="2"/>
  <c r="A837" i="2" l="1"/>
  <c r="B836" i="2"/>
  <c r="C835" i="2"/>
  <c r="E835" i="2" s="1"/>
  <c r="F835" i="2"/>
  <c r="H835" i="2" s="1"/>
  <c r="C836" i="4" s="1"/>
  <c r="G834" i="2"/>
  <c r="D834" i="2"/>
  <c r="I834" i="2" s="1"/>
  <c r="J833" i="2"/>
  <c r="D834" i="4"/>
  <c r="B835" i="4" l="1"/>
  <c r="D835" i="4" s="1"/>
  <c r="J834" i="2"/>
  <c r="D835" i="2"/>
  <c r="I835" i="2" s="1"/>
  <c r="G835" i="2"/>
  <c r="F836" i="2"/>
  <c r="G836" i="2" s="1"/>
  <c r="C836" i="2"/>
  <c r="E836" i="2" s="1"/>
  <c r="K836" i="2"/>
  <c r="B837" i="2"/>
  <c r="A838" i="2"/>
  <c r="K837" i="2"/>
  <c r="B837" i="4" l="1"/>
  <c r="B838" i="2"/>
  <c r="A839" i="2"/>
  <c r="K838" i="2"/>
  <c r="C837" i="2"/>
  <c r="D837" i="2" s="1"/>
  <c r="F837" i="2"/>
  <c r="H837" i="2" s="1"/>
  <c r="C838" i="4" s="1"/>
  <c r="D836" i="2"/>
  <c r="I836" i="2" s="1"/>
  <c r="H836" i="2"/>
  <c r="C837" i="4" s="1"/>
  <c r="B836" i="4"/>
  <c r="D836" i="4" s="1"/>
  <c r="J835" i="2"/>
  <c r="E837" i="2" l="1"/>
  <c r="I837" i="2" s="1"/>
  <c r="G837" i="2"/>
  <c r="A840" i="2"/>
  <c r="B839" i="2"/>
  <c r="J836" i="2"/>
  <c r="C838" i="2"/>
  <c r="E838" i="2" s="1"/>
  <c r="F838" i="2"/>
  <c r="H838" i="2" s="1"/>
  <c r="C839" i="4" s="1"/>
  <c r="D837" i="4"/>
  <c r="G838" i="2" l="1"/>
  <c r="D838" i="2"/>
  <c r="I838" i="2" s="1"/>
  <c r="F839" i="2"/>
  <c r="G839" i="2" s="1"/>
  <c r="C839" i="2"/>
  <c r="E839" i="2" s="1"/>
  <c r="B838" i="4"/>
  <c r="D838" i="4" s="1"/>
  <c r="J837" i="2"/>
  <c r="K839" i="2"/>
  <c r="B840" i="2"/>
  <c r="A841" i="2"/>
  <c r="K840" i="2"/>
  <c r="B840" i="4" l="1"/>
  <c r="F840" i="2"/>
  <c r="H840" i="2" s="1"/>
  <c r="C841" i="4" s="1"/>
  <c r="C840" i="2"/>
  <c r="E840" i="2" s="1"/>
  <c r="H839" i="2"/>
  <c r="C840" i="4" s="1"/>
  <c r="B841" i="2"/>
  <c r="A842" i="2"/>
  <c r="K841" i="2"/>
  <c r="D839" i="2"/>
  <c r="I839" i="2" s="1"/>
  <c r="B839" i="4"/>
  <c r="D839" i="4" s="1"/>
  <c r="J838" i="2"/>
  <c r="F841" i="2" l="1"/>
  <c r="H841" i="2" s="1"/>
  <c r="C842" i="4" s="1"/>
  <c r="C841" i="2"/>
  <c r="E841" i="2" s="1"/>
  <c r="D840" i="2"/>
  <c r="I840" i="2" s="1"/>
  <c r="G840" i="2"/>
  <c r="J839" i="2"/>
  <c r="A843" i="2"/>
  <c r="B842" i="2"/>
  <c r="K842" i="2" s="1"/>
  <c r="D840" i="4"/>
  <c r="B841" i="4" l="1"/>
  <c r="D841" i="4" s="1"/>
  <c r="J840" i="2"/>
  <c r="B843" i="2"/>
  <c r="A844" i="2"/>
  <c r="K843" i="2"/>
  <c r="D841" i="2"/>
  <c r="I841" i="2" s="1"/>
  <c r="C842" i="2"/>
  <c r="E842" i="2" s="1"/>
  <c r="F842" i="2"/>
  <c r="G842" i="2" s="1"/>
  <c r="G841" i="2"/>
  <c r="B843" i="4" l="1"/>
  <c r="B842" i="4"/>
  <c r="D842" i="4" s="1"/>
  <c r="J841" i="2"/>
  <c r="D842" i="2"/>
  <c r="I842" i="2" s="1"/>
  <c r="H842" i="2"/>
  <c r="C843" i="4" s="1"/>
  <c r="B844" i="2"/>
  <c r="A845" i="2"/>
  <c r="K844" i="2"/>
  <c r="F843" i="2"/>
  <c r="H843" i="2" s="1"/>
  <c r="C844" i="4" s="1"/>
  <c r="C843" i="2"/>
  <c r="E843" i="2" s="1"/>
  <c r="G843" i="2" l="1"/>
  <c r="F844" i="2"/>
  <c r="H844" i="2" s="1"/>
  <c r="C845" i="4" s="1"/>
  <c r="C844" i="2"/>
  <c r="E844" i="2" s="1"/>
  <c r="D843" i="2"/>
  <c r="I843" i="2" s="1"/>
  <c r="A846" i="2"/>
  <c r="B845" i="2"/>
  <c r="K845" i="2" s="1"/>
  <c r="J842" i="2"/>
  <c r="D843" i="4"/>
  <c r="A847" i="2" l="1"/>
  <c r="B846" i="2"/>
  <c r="C845" i="2"/>
  <c r="E845" i="2" s="1"/>
  <c r="F845" i="2"/>
  <c r="G845" i="2" s="1"/>
  <c r="D844" i="2"/>
  <c r="I844" i="2" s="1"/>
  <c r="G844" i="2"/>
  <c r="B844" i="4"/>
  <c r="D844" i="4" s="1"/>
  <c r="J843" i="2"/>
  <c r="B846" i="4" l="1"/>
  <c r="B845" i="4"/>
  <c r="D845" i="4" s="1"/>
  <c r="J844" i="2"/>
  <c r="D845" i="2"/>
  <c r="I845" i="2" s="1"/>
  <c r="H845" i="2"/>
  <c r="C846" i="4" s="1"/>
  <c r="F846" i="2"/>
  <c r="H846" i="2" s="1"/>
  <c r="C847" i="4" s="1"/>
  <c r="C846" i="2"/>
  <c r="E846" i="2" s="1"/>
  <c r="K846" i="2"/>
  <c r="B847" i="2"/>
  <c r="A848" i="2"/>
  <c r="C847" i="2" l="1"/>
  <c r="E847" i="2" s="1"/>
  <c r="F847" i="2"/>
  <c r="H847" i="2" s="1"/>
  <c r="C848" i="4" s="1"/>
  <c r="B848" i="2"/>
  <c r="A849" i="2"/>
  <c r="D846" i="2"/>
  <c r="I846" i="2" s="1"/>
  <c r="G846" i="2"/>
  <c r="K847" i="2"/>
  <c r="J845" i="2"/>
  <c r="D846" i="4"/>
  <c r="A850" i="2" l="1"/>
  <c r="K849" i="2"/>
  <c r="B849" i="2"/>
  <c r="C848" i="2"/>
  <c r="E848" i="2" s="1"/>
  <c r="F848" i="2"/>
  <c r="H848" i="2" s="1"/>
  <c r="C849" i="4" s="1"/>
  <c r="K848" i="2"/>
  <c r="B847" i="4"/>
  <c r="D847" i="4" s="1"/>
  <c r="J846" i="2"/>
  <c r="D847" i="2"/>
  <c r="I847" i="2" s="1"/>
  <c r="G847" i="2"/>
  <c r="D848" i="2" l="1"/>
  <c r="I848" i="2" s="1"/>
  <c r="G848" i="2"/>
  <c r="F849" i="2"/>
  <c r="H849" i="2" s="1"/>
  <c r="C850" i="4" s="1"/>
  <c r="C849" i="2"/>
  <c r="D849" i="2" s="1"/>
  <c r="B848" i="4"/>
  <c r="D848" i="4" s="1"/>
  <c r="J847" i="2"/>
  <c r="B850" i="2"/>
  <c r="A851" i="2"/>
  <c r="K850" i="2"/>
  <c r="F850" i="2" l="1"/>
  <c r="H850" i="2" s="1"/>
  <c r="C851" i="4" s="1"/>
  <c r="C850" i="2"/>
  <c r="E850" i="2" s="1"/>
  <c r="E849" i="2"/>
  <c r="I849" i="2" s="1"/>
  <c r="B851" i="2"/>
  <c r="A852" i="2"/>
  <c r="K851" i="2"/>
  <c r="G849" i="2"/>
  <c r="B849" i="4"/>
  <c r="D849" i="4" s="1"/>
  <c r="J848" i="2"/>
  <c r="F851" i="2" l="1"/>
  <c r="H851" i="2" s="1"/>
  <c r="C852" i="4" s="1"/>
  <c r="C851" i="2"/>
  <c r="E851" i="2" s="1"/>
  <c r="G850" i="2"/>
  <c r="B850" i="4"/>
  <c r="D850" i="4" s="1"/>
  <c r="J849" i="2"/>
  <c r="A853" i="2"/>
  <c r="K852" i="2"/>
  <c r="B852" i="2"/>
  <c r="D850" i="2"/>
  <c r="I850" i="2" s="1"/>
  <c r="F852" i="2" l="1"/>
  <c r="H852" i="2" s="1"/>
  <c r="C853" i="4" s="1"/>
  <c r="C852" i="2"/>
  <c r="E852" i="2" s="1"/>
  <c r="B851" i="4"/>
  <c r="D851" i="4" s="1"/>
  <c r="J850" i="2"/>
  <c r="B853" i="2"/>
  <c r="A854" i="2"/>
  <c r="K853" i="2"/>
  <c r="D851" i="2"/>
  <c r="I851" i="2" s="1"/>
  <c r="G851" i="2"/>
  <c r="C853" i="2" l="1"/>
  <c r="D853" i="2" s="1"/>
  <c r="F853" i="2"/>
  <c r="H853" i="2" s="1"/>
  <c r="C854" i="4" s="1"/>
  <c r="B854" i="2"/>
  <c r="A855" i="2"/>
  <c r="K854" i="2"/>
  <c r="D852" i="2"/>
  <c r="I852" i="2" s="1"/>
  <c r="G852" i="2"/>
  <c r="B852" i="4"/>
  <c r="D852" i="4" s="1"/>
  <c r="J851" i="2"/>
  <c r="B853" i="4" l="1"/>
  <c r="D853" i="4" s="1"/>
  <c r="J852" i="2"/>
  <c r="A856" i="2"/>
  <c r="K855" i="2"/>
  <c r="B855" i="2"/>
  <c r="F854" i="2"/>
  <c r="H854" i="2" s="1"/>
  <c r="C855" i="4" s="1"/>
  <c r="C854" i="2"/>
  <c r="E854" i="2" s="1"/>
  <c r="E853" i="2"/>
  <c r="I853" i="2" s="1"/>
  <c r="G853" i="2"/>
  <c r="B854" i="4" l="1"/>
  <c r="D854" i="4" s="1"/>
  <c r="J853" i="2"/>
  <c r="G854" i="2"/>
  <c r="D854" i="2"/>
  <c r="I854" i="2" s="1"/>
  <c r="F855" i="2"/>
  <c r="H855" i="2" s="1"/>
  <c r="C856" i="4" s="1"/>
  <c r="C855" i="2"/>
  <c r="E855" i="2" s="1"/>
  <c r="B856" i="2"/>
  <c r="A857" i="2"/>
  <c r="K856" i="2"/>
  <c r="A858" i="2" l="1"/>
  <c r="B857" i="2"/>
  <c r="D855" i="2"/>
  <c r="I855" i="2" s="1"/>
  <c r="G855" i="2"/>
  <c r="B855" i="4"/>
  <c r="D855" i="4" s="1"/>
  <c r="J854" i="2"/>
  <c r="C856" i="2"/>
  <c r="E856" i="2" s="1"/>
  <c r="F856" i="2"/>
  <c r="H856" i="2" s="1"/>
  <c r="C857" i="4" s="1"/>
  <c r="G856" i="2" l="1"/>
  <c r="D856" i="2"/>
  <c r="I856" i="2" s="1"/>
  <c r="F857" i="2"/>
  <c r="G857" i="2" s="1"/>
  <c r="C857" i="2"/>
  <c r="E857" i="2" s="1"/>
  <c r="B856" i="4"/>
  <c r="D856" i="4" s="1"/>
  <c r="J855" i="2"/>
  <c r="K857" i="2"/>
  <c r="B858" i="2"/>
  <c r="A859" i="2"/>
  <c r="K858" i="2"/>
  <c r="B858" i="4" l="1"/>
  <c r="A860" i="2"/>
  <c r="K859" i="2"/>
  <c r="B859" i="2"/>
  <c r="H857" i="2"/>
  <c r="C858" i="4" s="1"/>
  <c r="F858" i="2"/>
  <c r="H858" i="2" s="1"/>
  <c r="C859" i="4" s="1"/>
  <c r="C858" i="2"/>
  <c r="D858" i="2" s="1"/>
  <c r="D857" i="2"/>
  <c r="I857" i="2" s="1"/>
  <c r="B857" i="4"/>
  <c r="D857" i="4" s="1"/>
  <c r="J856" i="2"/>
  <c r="J857" i="2" l="1"/>
  <c r="E858" i="2"/>
  <c r="I858" i="2" s="1"/>
  <c r="G858" i="2"/>
  <c r="F859" i="2"/>
  <c r="H859" i="2" s="1"/>
  <c r="C860" i="4" s="1"/>
  <c r="C859" i="2"/>
  <c r="E859" i="2" s="1"/>
  <c r="B860" i="2"/>
  <c r="A861" i="2"/>
  <c r="K860" i="2"/>
  <c r="D858" i="4"/>
  <c r="F860" i="2" l="1"/>
  <c r="H860" i="2" s="1"/>
  <c r="C861" i="4" s="1"/>
  <c r="C860" i="2"/>
  <c r="E860" i="2" s="1"/>
  <c r="G859" i="2"/>
  <c r="K861" i="2"/>
  <c r="A862" i="2"/>
  <c r="B861" i="2"/>
  <c r="B859" i="4"/>
  <c r="D859" i="4" s="1"/>
  <c r="J858" i="2"/>
  <c r="D859" i="2"/>
  <c r="I859" i="2" s="1"/>
  <c r="B860" i="4" l="1"/>
  <c r="D860" i="4" s="1"/>
  <c r="J859" i="2"/>
  <c r="D860" i="2"/>
  <c r="I860" i="2" s="1"/>
  <c r="C861" i="2"/>
  <c r="D861" i="2" s="1"/>
  <c r="F861" i="2"/>
  <c r="G861" i="2" s="1"/>
  <c r="A863" i="2"/>
  <c r="B862" i="2"/>
  <c r="G860" i="2"/>
  <c r="B862" i="4" l="1"/>
  <c r="B861" i="4"/>
  <c r="D861" i="4" s="1"/>
  <c r="J860" i="2"/>
  <c r="C862" i="2"/>
  <c r="D862" i="2" s="1"/>
  <c r="F862" i="2"/>
  <c r="H862" i="2" s="1"/>
  <c r="C863" i="4" s="1"/>
  <c r="H861" i="2"/>
  <c r="C862" i="4" s="1"/>
  <c r="E861" i="2"/>
  <c r="I861" i="2" s="1"/>
  <c r="K862" i="2"/>
  <c r="K863" i="2"/>
  <c r="B863" i="2"/>
  <c r="A864" i="2"/>
  <c r="F863" i="2" l="1"/>
  <c r="H863" i="2" s="1"/>
  <c r="C864" i="4" s="1"/>
  <c r="C863" i="2"/>
  <c r="E863" i="2" s="1"/>
  <c r="E862" i="2"/>
  <c r="I862" i="2" s="1"/>
  <c r="G862" i="2"/>
  <c r="J861" i="2"/>
  <c r="B864" i="2"/>
  <c r="A865" i="2"/>
  <c r="D862" i="4"/>
  <c r="C864" i="2" l="1"/>
  <c r="E864" i="2" s="1"/>
  <c r="F864" i="2"/>
  <c r="H864" i="2" s="1"/>
  <c r="C865" i="4" s="1"/>
  <c r="B863" i="4"/>
  <c r="D863" i="4" s="1"/>
  <c r="J862" i="2"/>
  <c r="K864" i="2"/>
  <c r="G863" i="2"/>
  <c r="K865" i="2"/>
  <c r="B865" i="2"/>
  <c r="A866" i="2"/>
  <c r="D863" i="2"/>
  <c r="I863" i="2" s="1"/>
  <c r="A867" i="2" l="1"/>
  <c r="B866" i="2"/>
  <c r="K866" i="2"/>
  <c r="C865" i="2"/>
  <c r="E865" i="2" s="1"/>
  <c r="F865" i="2"/>
  <c r="G865" i="2" s="1"/>
  <c r="G864" i="2"/>
  <c r="B864" i="4"/>
  <c r="D864" i="4" s="1"/>
  <c r="J863" i="2"/>
  <c r="D864" i="2"/>
  <c r="I864" i="2" s="1"/>
  <c r="B866" i="4" l="1"/>
  <c r="B865" i="4"/>
  <c r="D865" i="4" s="1"/>
  <c r="J864" i="2"/>
  <c r="H865" i="2"/>
  <c r="C866" i="4" s="1"/>
  <c r="D865" i="2"/>
  <c r="I865" i="2" s="1"/>
  <c r="C866" i="2"/>
  <c r="D866" i="2" s="1"/>
  <c r="F866" i="2"/>
  <c r="H866" i="2" s="1"/>
  <c r="C867" i="4" s="1"/>
  <c r="A868" i="2"/>
  <c r="K867" i="2"/>
  <c r="B867" i="2"/>
  <c r="C867" i="2" l="1"/>
  <c r="E867" i="2" s="1"/>
  <c r="F867" i="2"/>
  <c r="G867" i="2" s="1"/>
  <c r="E866" i="2"/>
  <c r="I866" i="2" s="1"/>
  <c r="G866" i="2"/>
  <c r="B868" i="2"/>
  <c r="A869" i="2"/>
  <c r="K868" i="2"/>
  <c r="J865" i="2"/>
  <c r="D866" i="4"/>
  <c r="B868" i="4" l="1"/>
  <c r="C868" i="2"/>
  <c r="D868" i="2" s="1"/>
  <c r="F868" i="2"/>
  <c r="H868" i="2" s="1"/>
  <c r="C869" i="4" s="1"/>
  <c r="A870" i="2"/>
  <c r="B869" i="2"/>
  <c r="H867" i="2"/>
  <c r="C868" i="4" s="1"/>
  <c r="B867" i="4"/>
  <c r="D867" i="4" s="1"/>
  <c r="J866" i="2"/>
  <c r="D867" i="2"/>
  <c r="I867" i="2" s="1"/>
  <c r="B870" i="2" l="1"/>
  <c r="A871" i="2"/>
  <c r="K870" i="2"/>
  <c r="C869" i="2"/>
  <c r="E869" i="2" s="1"/>
  <c r="F869" i="2"/>
  <c r="H869" i="2" s="1"/>
  <c r="C870" i="4" s="1"/>
  <c r="K869" i="2"/>
  <c r="E868" i="2"/>
  <c r="I868" i="2" s="1"/>
  <c r="J867" i="2"/>
  <c r="G868" i="2"/>
  <c r="D868" i="4"/>
  <c r="B869" i="4" l="1"/>
  <c r="D869" i="4" s="1"/>
  <c r="J868" i="2"/>
  <c r="D869" i="2"/>
  <c r="I869" i="2" s="1"/>
  <c r="G869" i="2"/>
  <c r="B871" i="2"/>
  <c r="K871" i="2"/>
  <c r="A872" i="2"/>
  <c r="C870" i="2"/>
  <c r="D870" i="2" s="1"/>
  <c r="F870" i="2"/>
  <c r="G870" i="2" s="1"/>
  <c r="B871" i="4" l="1"/>
  <c r="H870" i="2"/>
  <c r="C871" i="4" s="1"/>
  <c r="E870" i="2"/>
  <c r="I870" i="2" s="1"/>
  <c r="C871" i="2"/>
  <c r="D871" i="2" s="1"/>
  <c r="F871" i="2"/>
  <c r="G871" i="2" s="1"/>
  <c r="A873" i="2"/>
  <c r="B872" i="2"/>
  <c r="K872" i="2"/>
  <c r="B870" i="4"/>
  <c r="D870" i="4" s="1"/>
  <c r="J869" i="2"/>
  <c r="B872" i="4" l="1"/>
  <c r="B873" i="2"/>
  <c r="A874" i="2"/>
  <c r="K873" i="2"/>
  <c r="E871" i="2"/>
  <c r="I871" i="2" s="1"/>
  <c r="F872" i="2"/>
  <c r="H872" i="2" s="1"/>
  <c r="C873" i="4" s="1"/>
  <c r="C872" i="2"/>
  <c r="E872" i="2" s="1"/>
  <c r="H871" i="2"/>
  <c r="C872" i="4" s="1"/>
  <c r="J870" i="2"/>
  <c r="D871" i="4"/>
  <c r="D872" i="2" l="1"/>
  <c r="I872" i="2" s="1"/>
  <c r="G872" i="2"/>
  <c r="B874" i="2"/>
  <c r="A875" i="2"/>
  <c r="K874" i="2"/>
  <c r="J871" i="2"/>
  <c r="F873" i="2"/>
  <c r="G873" i="2" s="1"/>
  <c r="C873" i="2"/>
  <c r="D873" i="2" s="1"/>
  <c r="D872" i="4"/>
  <c r="B874" i="4" l="1"/>
  <c r="E873" i="2"/>
  <c r="I873" i="2" s="1"/>
  <c r="H873" i="2"/>
  <c r="C874" i="4" s="1"/>
  <c r="C874" i="2"/>
  <c r="E874" i="2" s="1"/>
  <c r="F874" i="2"/>
  <c r="H874" i="2" s="1"/>
  <c r="C875" i="4" s="1"/>
  <c r="B873" i="4"/>
  <c r="D873" i="4" s="1"/>
  <c r="J872" i="2"/>
  <c r="A876" i="2"/>
  <c r="K875" i="2"/>
  <c r="B875" i="2"/>
  <c r="F875" i="2" l="1"/>
  <c r="G875" i="2" s="1"/>
  <c r="C875" i="2"/>
  <c r="E875" i="2" s="1"/>
  <c r="B876" i="2"/>
  <c r="A877" i="2"/>
  <c r="K876" i="2"/>
  <c r="D874" i="2"/>
  <c r="I874" i="2" s="1"/>
  <c r="G874" i="2"/>
  <c r="J873" i="2"/>
  <c r="D874" i="4"/>
  <c r="B876" i="4" l="1"/>
  <c r="B877" i="2"/>
  <c r="A878" i="2"/>
  <c r="F876" i="2"/>
  <c r="H876" i="2" s="1"/>
  <c r="C877" i="4" s="1"/>
  <c r="C876" i="2"/>
  <c r="E876" i="2" s="1"/>
  <c r="B875" i="4"/>
  <c r="D875" i="4" s="1"/>
  <c r="J874" i="2"/>
  <c r="H875" i="2"/>
  <c r="C876" i="4" s="1"/>
  <c r="D875" i="2"/>
  <c r="I875" i="2" s="1"/>
  <c r="D876" i="2" l="1"/>
  <c r="I876" i="2" s="1"/>
  <c r="G876" i="2"/>
  <c r="F877" i="2"/>
  <c r="H877" i="2" s="1"/>
  <c r="C878" i="4" s="1"/>
  <c r="C877" i="2"/>
  <c r="E877" i="2" s="1"/>
  <c r="J875" i="2"/>
  <c r="A879" i="2"/>
  <c r="K878" i="2"/>
  <c r="B878" i="2"/>
  <c r="K877" i="2"/>
  <c r="D876" i="4"/>
  <c r="F878" i="2" l="1"/>
  <c r="H878" i="2" s="1"/>
  <c r="C879" i="4" s="1"/>
  <c r="C878" i="2"/>
  <c r="E878" i="2" s="1"/>
  <c r="A880" i="2"/>
  <c r="B879" i="2"/>
  <c r="K879" i="2" s="1"/>
  <c r="G877" i="2"/>
  <c r="B877" i="4"/>
  <c r="D877" i="4" s="1"/>
  <c r="J876" i="2"/>
  <c r="D877" i="2"/>
  <c r="I877" i="2" s="1"/>
  <c r="B878" i="4" l="1"/>
  <c r="D878" i="4" s="1"/>
  <c r="J877" i="2"/>
  <c r="B880" i="2"/>
  <c r="A881" i="2"/>
  <c r="K880" i="2"/>
  <c r="F879" i="2"/>
  <c r="H879" i="2" s="1"/>
  <c r="C880" i="4" s="1"/>
  <c r="C879" i="2"/>
  <c r="E879" i="2" s="1"/>
  <c r="G878" i="2"/>
  <c r="D878" i="2"/>
  <c r="I878" i="2" s="1"/>
  <c r="B879" i="4" l="1"/>
  <c r="D879" i="4" s="1"/>
  <c r="J878" i="2"/>
  <c r="D879" i="2"/>
  <c r="I879" i="2" s="1"/>
  <c r="G879" i="2"/>
  <c r="K881" i="2"/>
  <c r="B881" i="2"/>
  <c r="A882" i="2"/>
  <c r="F880" i="2"/>
  <c r="G880" i="2" s="1"/>
  <c r="C880" i="2"/>
  <c r="E880" i="2" s="1"/>
  <c r="B881" i="4" l="1"/>
  <c r="H880" i="2"/>
  <c r="C881" i="4" s="1"/>
  <c r="D880" i="2"/>
  <c r="I880" i="2" s="1"/>
  <c r="B880" i="4"/>
  <c r="D880" i="4" s="1"/>
  <c r="J879" i="2"/>
  <c r="A883" i="2"/>
  <c r="B882" i="2"/>
  <c r="K882" i="2"/>
  <c r="C881" i="2"/>
  <c r="D881" i="2" s="1"/>
  <c r="F881" i="2"/>
  <c r="G881" i="2" s="1"/>
  <c r="B882" i="4" l="1"/>
  <c r="H881" i="2"/>
  <c r="C882" i="4" s="1"/>
  <c r="E881" i="2"/>
  <c r="I881" i="2" s="1"/>
  <c r="C882" i="2"/>
  <c r="D882" i="2" s="1"/>
  <c r="F882" i="2"/>
  <c r="G882" i="2" s="1"/>
  <c r="A884" i="2"/>
  <c r="B883" i="2"/>
  <c r="J880" i="2"/>
  <c r="D881" i="4"/>
  <c r="B883" i="4" l="1"/>
  <c r="F883" i="2"/>
  <c r="G883" i="2" s="1"/>
  <c r="C883" i="2"/>
  <c r="E883" i="2" s="1"/>
  <c r="B884" i="2"/>
  <c r="A885" i="2"/>
  <c r="K884" i="2"/>
  <c r="E882" i="2"/>
  <c r="I882" i="2" s="1"/>
  <c r="H882" i="2"/>
  <c r="C883" i="4" s="1"/>
  <c r="K883" i="2"/>
  <c r="J881" i="2"/>
  <c r="D882" i="4"/>
  <c r="B884" i="4" l="1"/>
  <c r="A886" i="2"/>
  <c r="B885" i="2"/>
  <c r="C884" i="2"/>
  <c r="E884" i="2" s="1"/>
  <c r="F884" i="2"/>
  <c r="G884" i="2" s="1"/>
  <c r="H883" i="2"/>
  <c r="C884" i="4" s="1"/>
  <c r="D883" i="2"/>
  <c r="I883" i="2" s="1"/>
  <c r="J882" i="2"/>
  <c r="D883" i="4"/>
  <c r="B885" i="4" l="1"/>
  <c r="H884" i="2"/>
  <c r="C885" i="4" s="1"/>
  <c r="D884" i="2"/>
  <c r="I884" i="2" s="1"/>
  <c r="C885" i="2"/>
  <c r="E885" i="2" s="1"/>
  <c r="F885" i="2"/>
  <c r="H885" i="2" s="1"/>
  <c r="C886" i="4" s="1"/>
  <c r="B886" i="2"/>
  <c r="A887" i="2"/>
  <c r="K886" i="2"/>
  <c r="J883" i="2"/>
  <c r="K885" i="2"/>
  <c r="D884" i="4"/>
  <c r="B887" i="2" l="1"/>
  <c r="K887" i="2"/>
  <c r="A888" i="2"/>
  <c r="G885" i="2"/>
  <c r="F886" i="2"/>
  <c r="H886" i="2" s="1"/>
  <c r="C887" i="4" s="1"/>
  <c r="C886" i="2"/>
  <c r="D886" i="2" s="1"/>
  <c r="J884" i="2"/>
  <c r="D885" i="2"/>
  <c r="I885" i="2" s="1"/>
  <c r="D885" i="4"/>
  <c r="G886" i="2" l="1"/>
  <c r="E886" i="2"/>
  <c r="I886" i="2" s="1"/>
  <c r="B886" i="4"/>
  <c r="D886" i="4" s="1"/>
  <c r="J885" i="2"/>
  <c r="A889" i="2"/>
  <c r="B888" i="2"/>
  <c r="K888" i="2"/>
  <c r="F887" i="2"/>
  <c r="G887" i="2" s="1"/>
  <c r="C887" i="2"/>
  <c r="D887" i="2" s="1"/>
  <c r="B888" i="4" l="1"/>
  <c r="E887" i="2"/>
  <c r="I887" i="2" s="1"/>
  <c r="H887" i="2"/>
  <c r="C888" i="4" s="1"/>
  <c r="B889" i="2"/>
  <c r="A890" i="2"/>
  <c r="K889" i="2"/>
  <c r="F888" i="2"/>
  <c r="H888" i="2" s="1"/>
  <c r="C889" i="4" s="1"/>
  <c r="C888" i="2"/>
  <c r="E888" i="2" s="1"/>
  <c r="B887" i="4"/>
  <c r="D887" i="4" s="1"/>
  <c r="J886" i="2"/>
  <c r="G888" i="2" l="1"/>
  <c r="C889" i="2"/>
  <c r="E889" i="2" s="1"/>
  <c r="F889" i="2"/>
  <c r="H889" i="2" s="1"/>
  <c r="C890" i="4" s="1"/>
  <c r="J887" i="2"/>
  <c r="D888" i="2"/>
  <c r="I888" i="2" s="1"/>
  <c r="B890" i="2"/>
  <c r="A891" i="2"/>
  <c r="K890" i="2"/>
  <c r="D888" i="4"/>
  <c r="A892" i="2" l="1"/>
  <c r="B891" i="2"/>
  <c r="F890" i="2"/>
  <c r="G890" i="2" s="1"/>
  <c r="C890" i="2"/>
  <c r="D890" i="2" s="1"/>
  <c r="D889" i="2"/>
  <c r="I889" i="2" s="1"/>
  <c r="G889" i="2"/>
  <c r="B889" i="4"/>
  <c r="D889" i="4" s="1"/>
  <c r="J888" i="2"/>
  <c r="B891" i="4" l="1"/>
  <c r="B890" i="4"/>
  <c r="D890" i="4" s="1"/>
  <c r="J889" i="2"/>
  <c r="H890" i="2"/>
  <c r="C891" i="4" s="1"/>
  <c r="E890" i="2"/>
  <c r="I890" i="2" s="1"/>
  <c r="F891" i="2"/>
  <c r="G891" i="2" s="1"/>
  <c r="C891" i="2"/>
  <c r="E891" i="2" s="1"/>
  <c r="K891" i="2"/>
  <c r="B892" i="2"/>
  <c r="A893" i="2"/>
  <c r="B892" i="4" l="1"/>
  <c r="A894" i="2"/>
  <c r="B893" i="2"/>
  <c r="F892" i="2"/>
  <c r="G892" i="2" s="1"/>
  <c r="C892" i="2"/>
  <c r="D892" i="2" s="1"/>
  <c r="H891" i="2"/>
  <c r="C892" i="4" s="1"/>
  <c r="D891" i="2"/>
  <c r="I891" i="2" s="1"/>
  <c r="D891" i="4"/>
  <c r="J890" i="2"/>
  <c r="K892" i="2"/>
  <c r="B893" i="4" l="1"/>
  <c r="H892" i="2"/>
  <c r="C893" i="4" s="1"/>
  <c r="E892" i="2"/>
  <c r="I892" i="2" s="1"/>
  <c r="A895" i="2"/>
  <c r="B894" i="2"/>
  <c r="K894" i="2" s="1"/>
  <c r="J891" i="2"/>
  <c r="C893" i="2"/>
  <c r="D893" i="2" s="1"/>
  <c r="F893" i="2"/>
  <c r="H893" i="2" s="1"/>
  <c r="C894" i="4" s="1"/>
  <c r="K893" i="2"/>
  <c r="D892" i="4"/>
  <c r="G893" i="2" l="1"/>
  <c r="E893" i="2"/>
  <c r="I893" i="2" s="1"/>
  <c r="A896" i="2"/>
  <c r="B895" i="2"/>
  <c r="J892" i="2"/>
  <c r="C894" i="2"/>
  <c r="D894" i="2" s="1"/>
  <c r="F894" i="2"/>
  <c r="G894" i="2" s="1"/>
  <c r="D893" i="4"/>
  <c r="B895" i="4" l="1"/>
  <c r="E894" i="2"/>
  <c r="I894" i="2" s="1"/>
  <c r="B896" i="2"/>
  <c r="A897" i="2"/>
  <c r="K896" i="2"/>
  <c r="H894" i="2"/>
  <c r="C895" i="4" s="1"/>
  <c r="C895" i="2"/>
  <c r="E895" i="2" s="1"/>
  <c r="F895" i="2"/>
  <c r="H895" i="2" s="1"/>
  <c r="C896" i="4" s="1"/>
  <c r="K895" i="2"/>
  <c r="B894" i="4"/>
  <c r="D894" i="4" s="1"/>
  <c r="J893" i="2"/>
  <c r="G895" i="2" l="1"/>
  <c r="D895" i="2"/>
  <c r="I895" i="2" s="1"/>
  <c r="B897" i="2"/>
  <c r="A898" i="2"/>
  <c r="F896" i="2"/>
  <c r="H896" i="2" s="1"/>
  <c r="C897" i="4" s="1"/>
  <c r="C896" i="2"/>
  <c r="E896" i="2" s="1"/>
  <c r="J894" i="2"/>
  <c r="D895" i="4"/>
  <c r="G896" i="2" l="1"/>
  <c r="D896" i="2"/>
  <c r="I896" i="2" s="1"/>
  <c r="A899" i="2"/>
  <c r="B898" i="2"/>
  <c r="K898" i="2"/>
  <c r="C897" i="2"/>
  <c r="D897" i="2" s="1"/>
  <c r="F897" i="2"/>
  <c r="H897" i="2" s="1"/>
  <c r="C898" i="4" s="1"/>
  <c r="K897" i="2"/>
  <c r="B896" i="4"/>
  <c r="D896" i="4" s="1"/>
  <c r="J895" i="2"/>
  <c r="E897" i="2" l="1"/>
  <c r="I897" i="2" s="1"/>
  <c r="G897" i="2"/>
  <c r="A900" i="2"/>
  <c r="B899" i="2"/>
  <c r="C898" i="2"/>
  <c r="E898" i="2" s="1"/>
  <c r="F898" i="2"/>
  <c r="H898" i="2" s="1"/>
  <c r="C899" i="4" s="1"/>
  <c r="B897" i="4"/>
  <c r="D897" i="4" s="1"/>
  <c r="J896" i="2"/>
  <c r="D898" i="2" l="1"/>
  <c r="I898" i="2" s="1"/>
  <c r="C899" i="2"/>
  <c r="D899" i="2" s="1"/>
  <c r="F899" i="2"/>
  <c r="G899" i="2" s="1"/>
  <c r="B898" i="4"/>
  <c r="D898" i="4" s="1"/>
  <c r="J897" i="2"/>
  <c r="G898" i="2"/>
  <c r="K899" i="2"/>
  <c r="B900" i="2"/>
  <c r="A901" i="2"/>
  <c r="K900" i="2"/>
  <c r="B900" i="4" l="1"/>
  <c r="A902" i="2"/>
  <c r="B901" i="2"/>
  <c r="C900" i="2"/>
  <c r="D900" i="2" s="1"/>
  <c r="F900" i="2"/>
  <c r="G900" i="2" s="1"/>
  <c r="H899" i="2"/>
  <c r="C900" i="4" s="1"/>
  <c r="B899" i="4"/>
  <c r="D899" i="4" s="1"/>
  <c r="J898" i="2"/>
  <c r="E899" i="2"/>
  <c r="I899" i="2" s="1"/>
  <c r="B901" i="4" l="1"/>
  <c r="H900" i="2"/>
  <c r="C901" i="4" s="1"/>
  <c r="E900" i="2"/>
  <c r="I900" i="2" s="1"/>
  <c r="B902" i="2"/>
  <c r="A903" i="2"/>
  <c r="K902" i="2"/>
  <c r="J899" i="2"/>
  <c r="C901" i="2"/>
  <c r="E901" i="2" s="1"/>
  <c r="F901" i="2"/>
  <c r="H901" i="2" s="1"/>
  <c r="C902" i="4" s="1"/>
  <c r="K901" i="2"/>
  <c r="D900" i="4"/>
  <c r="D901" i="2" l="1"/>
  <c r="I901" i="2" s="1"/>
  <c r="G901" i="2"/>
  <c r="F902" i="2"/>
  <c r="H902" i="2" s="1"/>
  <c r="C903" i="4" s="1"/>
  <c r="C902" i="2"/>
  <c r="D902" i="2" s="1"/>
  <c r="B903" i="2"/>
  <c r="K903" i="2"/>
  <c r="A904" i="2"/>
  <c r="J900" i="2"/>
  <c r="D901" i="4"/>
  <c r="F903" i="2" l="1"/>
  <c r="H903" i="2" s="1"/>
  <c r="C904" i="4" s="1"/>
  <c r="C903" i="2"/>
  <c r="D903" i="2" s="1"/>
  <c r="G902" i="2"/>
  <c r="B902" i="4"/>
  <c r="D902" i="4" s="1"/>
  <c r="J901" i="2"/>
  <c r="A905" i="2"/>
  <c r="B904" i="2"/>
  <c r="K904" i="2"/>
  <c r="E902" i="2"/>
  <c r="I902" i="2" s="1"/>
  <c r="B903" i="4" l="1"/>
  <c r="D903" i="4" s="1"/>
  <c r="J902" i="2"/>
  <c r="E903" i="2"/>
  <c r="I903" i="2" s="1"/>
  <c r="F904" i="2"/>
  <c r="H904" i="2" s="1"/>
  <c r="C905" i="4" s="1"/>
  <c r="C904" i="2"/>
  <c r="E904" i="2" s="1"/>
  <c r="B905" i="2"/>
  <c r="K905" i="2" s="1"/>
  <c r="A906" i="2"/>
  <c r="G903" i="2"/>
  <c r="B904" i="4" l="1"/>
  <c r="D904" i="4" s="1"/>
  <c r="J903" i="2"/>
  <c r="B906" i="2"/>
  <c r="A907" i="2"/>
  <c r="K906" i="2"/>
  <c r="G904" i="2"/>
  <c r="D904" i="2"/>
  <c r="I904" i="2" s="1"/>
  <c r="C905" i="2"/>
  <c r="E905" i="2" s="1"/>
  <c r="F905" i="2"/>
  <c r="G905" i="2" s="1"/>
  <c r="B906" i="4" l="1"/>
  <c r="H905" i="2"/>
  <c r="C906" i="4" s="1"/>
  <c r="D905" i="2"/>
  <c r="I905" i="2" s="1"/>
  <c r="B905" i="4"/>
  <c r="D905" i="4" s="1"/>
  <c r="J904" i="2"/>
  <c r="F906" i="2"/>
  <c r="H906" i="2" s="1"/>
  <c r="C907" i="4" s="1"/>
  <c r="C906" i="2"/>
  <c r="E906" i="2" s="1"/>
  <c r="A908" i="2"/>
  <c r="K907" i="2"/>
  <c r="B907" i="2"/>
  <c r="F907" i="2" l="1"/>
  <c r="G907" i="2" s="1"/>
  <c r="C907" i="2"/>
  <c r="E907" i="2" s="1"/>
  <c r="D906" i="2"/>
  <c r="I906" i="2" s="1"/>
  <c r="G906" i="2"/>
  <c r="J905" i="2"/>
  <c r="B908" i="2"/>
  <c r="A909" i="2"/>
  <c r="K908" i="2"/>
  <c r="D906" i="4"/>
  <c r="B908" i="4" l="1"/>
  <c r="K909" i="2"/>
  <c r="A910" i="2"/>
  <c r="B909" i="2"/>
  <c r="F908" i="2"/>
  <c r="G908" i="2" s="1"/>
  <c r="C908" i="2"/>
  <c r="D908" i="2" s="1"/>
  <c r="B907" i="4"/>
  <c r="D907" i="4" s="1"/>
  <c r="J906" i="2"/>
  <c r="H907" i="2"/>
  <c r="C908" i="4" s="1"/>
  <c r="D907" i="2"/>
  <c r="I907" i="2" s="1"/>
  <c r="B909" i="4" l="1"/>
  <c r="H908" i="2"/>
  <c r="C909" i="4" s="1"/>
  <c r="C909" i="2"/>
  <c r="E909" i="2" s="1"/>
  <c r="F909" i="2"/>
  <c r="G909" i="2" s="1"/>
  <c r="A911" i="2"/>
  <c r="K910" i="2"/>
  <c r="B910" i="2"/>
  <c r="J907" i="2"/>
  <c r="E908" i="2"/>
  <c r="I908" i="2" s="1"/>
  <c r="D908" i="4"/>
  <c r="B910" i="4" l="1"/>
  <c r="K911" i="2"/>
  <c r="A912" i="2"/>
  <c r="B911" i="2"/>
  <c r="D909" i="2"/>
  <c r="I909" i="2" s="1"/>
  <c r="F910" i="2"/>
  <c r="H910" i="2" s="1"/>
  <c r="C911" i="4" s="1"/>
  <c r="C910" i="2"/>
  <c r="D910" i="2" s="1"/>
  <c r="H909" i="2"/>
  <c r="C910" i="4" s="1"/>
  <c r="J908" i="2"/>
  <c r="D909" i="4"/>
  <c r="E910" i="2" l="1"/>
  <c r="I910" i="2" s="1"/>
  <c r="C911" i="2"/>
  <c r="E911" i="2" s="1"/>
  <c r="F911" i="2"/>
  <c r="G911" i="2" s="1"/>
  <c r="B912" i="2"/>
  <c r="A913" i="2"/>
  <c r="K912" i="2"/>
  <c r="J909" i="2"/>
  <c r="G910" i="2"/>
  <c r="D910" i="4"/>
  <c r="B912" i="4" l="1"/>
  <c r="K913" i="2"/>
  <c r="B913" i="2"/>
  <c r="A914" i="2"/>
  <c r="C912" i="2"/>
  <c r="E912" i="2" s="1"/>
  <c r="F912" i="2"/>
  <c r="G912" i="2" s="1"/>
  <c r="D911" i="2"/>
  <c r="I911" i="2" s="1"/>
  <c r="H911" i="2"/>
  <c r="C912" i="4" s="1"/>
  <c r="B911" i="4"/>
  <c r="D911" i="4" s="1"/>
  <c r="J910" i="2"/>
  <c r="B913" i="4" l="1"/>
  <c r="D912" i="2"/>
  <c r="I912" i="2" s="1"/>
  <c r="H912" i="2"/>
  <c r="C913" i="4" s="1"/>
  <c r="A915" i="2"/>
  <c r="B914" i="2"/>
  <c r="K914" i="2"/>
  <c r="F913" i="2"/>
  <c r="H913" i="2" s="1"/>
  <c r="C914" i="4" s="1"/>
  <c r="C913" i="2"/>
  <c r="D913" i="2" s="1"/>
  <c r="J911" i="2"/>
  <c r="D912" i="4"/>
  <c r="G913" i="2" l="1"/>
  <c r="B915" i="2"/>
  <c r="A916" i="2"/>
  <c r="K915" i="2"/>
  <c r="E913" i="2"/>
  <c r="I913" i="2" s="1"/>
  <c r="J912" i="2"/>
  <c r="C914" i="2"/>
  <c r="E914" i="2" s="1"/>
  <c r="F914" i="2"/>
  <c r="G914" i="2" s="1"/>
  <c r="D913" i="4"/>
  <c r="B915" i="4" l="1"/>
  <c r="D914" i="2"/>
  <c r="I914" i="2" s="1"/>
  <c r="H914" i="2"/>
  <c r="C915" i="4" s="1"/>
  <c r="B916" i="2"/>
  <c r="A917" i="2"/>
  <c r="K916" i="2"/>
  <c r="C915" i="2"/>
  <c r="D915" i="2" s="1"/>
  <c r="F915" i="2"/>
  <c r="H915" i="2" s="1"/>
  <c r="C916" i="4" s="1"/>
  <c r="B914" i="4"/>
  <c r="D914" i="4" s="1"/>
  <c r="J913" i="2"/>
  <c r="E915" i="2" l="1"/>
  <c r="I915" i="2" s="1"/>
  <c r="G915" i="2"/>
  <c r="A918" i="2"/>
  <c r="K917" i="2"/>
  <c r="B917" i="2"/>
  <c r="C916" i="2"/>
  <c r="E916" i="2" s="1"/>
  <c r="F916" i="2"/>
  <c r="G916" i="2" s="1"/>
  <c r="J914" i="2"/>
  <c r="D915" i="4"/>
  <c r="B917" i="4" l="1"/>
  <c r="D916" i="2"/>
  <c r="I916" i="2" s="1"/>
  <c r="H916" i="2"/>
  <c r="C917" i="4" s="1"/>
  <c r="F917" i="2"/>
  <c r="H917" i="2" s="1"/>
  <c r="C918" i="4" s="1"/>
  <c r="C917" i="2"/>
  <c r="D917" i="2" s="1"/>
  <c r="B916" i="4"/>
  <c r="D916" i="4" s="1"/>
  <c r="J915" i="2"/>
  <c r="B918" i="2"/>
  <c r="A919" i="2"/>
  <c r="K918" i="2"/>
  <c r="B919" i="2" l="1"/>
  <c r="K919" i="2"/>
  <c r="A920" i="2"/>
  <c r="E917" i="2"/>
  <c r="I917" i="2" s="1"/>
  <c r="G917" i="2"/>
  <c r="J916" i="2"/>
  <c r="F918" i="2"/>
  <c r="G918" i="2" s="1"/>
  <c r="C918" i="2"/>
  <c r="D918" i="2" s="1"/>
  <c r="D917" i="4"/>
  <c r="B919" i="4" l="1"/>
  <c r="H918" i="2"/>
  <c r="C919" i="4" s="1"/>
  <c r="E918" i="2"/>
  <c r="I918" i="2" s="1"/>
  <c r="A921" i="2"/>
  <c r="K920" i="2"/>
  <c r="B920" i="2"/>
  <c r="B918" i="4"/>
  <c r="D918" i="4" s="1"/>
  <c r="J917" i="2"/>
  <c r="F919" i="2"/>
  <c r="H919" i="2" s="1"/>
  <c r="C920" i="4" s="1"/>
  <c r="C919" i="2"/>
  <c r="E919" i="2" s="1"/>
  <c r="D919" i="2" l="1"/>
  <c r="I919" i="2" s="1"/>
  <c r="B921" i="2"/>
  <c r="A922" i="2"/>
  <c r="K921" i="2"/>
  <c r="G919" i="2"/>
  <c r="C920" i="2"/>
  <c r="E920" i="2" s="1"/>
  <c r="F920" i="2"/>
  <c r="G920" i="2" s="1"/>
  <c r="J918" i="2"/>
  <c r="D919" i="4"/>
  <c r="B921" i="4" l="1"/>
  <c r="H920" i="2"/>
  <c r="C921" i="4" s="1"/>
  <c r="B920" i="4"/>
  <c r="D920" i="4" s="1"/>
  <c r="J919" i="2"/>
  <c r="D920" i="2"/>
  <c r="I920" i="2" s="1"/>
  <c r="B922" i="2"/>
  <c r="A923" i="2"/>
  <c r="K922" i="2"/>
  <c r="C921" i="2"/>
  <c r="E921" i="2" s="1"/>
  <c r="F921" i="2"/>
  <c r="H921" i="2" s="1"/>
  <c r="C922" i="4" s="1"/>
  <c r="D921" i="2" l="1"/>
  <c r="I921" i="2" s="1"/>
  <c r="G921" i="2"/>
  <c r="A924" i="2"/>
  <c r="K923" i="2"/>
  <c r="B923" i="2"/>
  <c r="F922" i="2"/>
  <c r="H922" i="2" s="1"/>
  <c r="C923" i="4" s="1"/>
  <c r="C922" i="2"/>
  <c r="D922" i="2" s="1"/>
  <c r="J920" i="2"/>
  <c r="D921" i="4"/>
  <c r="E922" i="2" l="1"/>
  <c r="I922" i="2" s="1"/>
  <c r="F923" i="2"/>
  <c r="H923" i="2" s="1"/>
  <c r="C924" i="4" s="1"/>
  <c r="C923" i="2"/>
  <c r="E923" i="2" s="1"/>
  <c r="B924" i="2"/>
  <c r="A925" i="2"/>
  <c r="K924" i="2"/>
  <c r="G922" i="2"/>
  <c r="B922" i="4"/>
  <c r="D922" i="4" s="1"/>
  <c r="J921" i="2"/>
  <c r="B923" i="4" l="1"/>
  <c r="D923" i="4" s="1"/>
  <c r="J922" i="2"/>
  <c r="A926" i="2"/>
  <c r="K925" i="2"/>
  <c r="B925" i="2"/>
  <c r="C924" i="2"/>
  <c r="E924" i="2" s="1"/>
  <c r="F924" i="2"/>
  <c r="G924" i="2" s="1"/>
  <c r="D923" i="2"/>
  <c r="I923" i="2" s="1"/>
  <c r="G923" i="2"/>
  <c r="B925" i="4" l="1"/>
  <c r="B924" i="4"/>
  <c r="D924" i="4" s="1"/>
  <c r="J923" i="2"/>
  <c r="H924" i="2"/>
  <c r="C925" i="4" s="1"/>
  <c r="D924" i="2"/>
  <c r="I924" i="2" s="1"/>
  <c r="C925" i="2"/>
  <c r="D925" i="2" s="1"/>
  <c r="F925" i="2"/>
  <c r="G925" i="2" s="1"/>
  <c r="A927" i="2"/>
  <c r="K926" i="2"/>
  <c r="B926" i="2"/>
  <c r="B926" i="4" l="1"/>
  <c r="K927" i="2"/>
  <c r="A928" i="2"/>
  <c r="B927" i="2"/>
  <c r="H925" i="2"/>
  <c r="C926" i="4" s="1"/>
  <c r="E925" i="2"/>
  <c r="I925" i="2" s="1"/>
  <c r="C926" i="2"/>
  <c r="E926" i="2" s="1"/>
  <c r="F926" i="2"/>
  <c r="H926" i="2" s="1"/>
  <c r="C927" i="4" s="1"/>
  <c r="J924" i="2"/>
  <c r="D925" i="4"/>
  <c r="D926" i="2" l="1"/>
  <c r="I926" i="2" s="1"/>
  <c r="G926" i="2"/>
  <c r="C927" i="2"/>
  <c r="E927" i="2" s="1"/>
  <c r="F927" i="2"/>
  <c r="G927" i="2" s="1"/>
  <c r="B928" i="2"/>
  <c r="A929" i="2"/>
  <c r="K928" i="2"/>
  <c r="J925" i="2"/>
  <c r="D926" i="4"/>
  <c r="B928" i="4" l="1"/>
  <c r="K929" i="2"/>
  <c r="B929" i="2"/>
  <c r="A930" i="2"/>
  <c r="F928" i="2"/>
  <c r="H928" i="2" s="1"/>
  <c r="C929" i="4" s="1"/>
  <c r="C928" i="2"/>
  <c r="E928" i="2" s="1"/>
  <c r="D927" i="2"/>
  <c r="I927" i="2" s="1"/>
  <c r="H927" i="2"/>
  <c r="C928" i="4" s="1"/>
  <c r="B927" i="4"/>
  <c r="D927" i="4" s="1"/>
  <c r="J926" i="2"/>
  <c r="G928" i="2" l="1"/>
  <c r="D928" i="2"/>
  <c r="I928" i="2" s="1"/>
  <c r="A931" i="2"/>
  <c r="K930" i="2"/>
  <c r="B930" i="2"/>
  <c r="F929" i="2"/>
  <c r="G929" i="2" s="1"/>
  <c r="C929" i="2"/>
  <c r="D929" i="2" s="1"/>
  <c r="J927" i="2"/>
  <c r="D928" i="4"/>
  <c r="B930" i="4" l="1"/>
  <c r="E929" i="2"/>
  <c r="I929" i="2" s="1"/>
  <c r="H929" i="2"/>
  <c r="C930" i="4" s="1"/>
  <c r="C930" i="2"/>
  <c r="E930" i="2" s="1"/>
  <c r="F930" i="2"/>
  <c r="H930" i="2" s="1"/>
  <c r="C931" i="4" s="1"/>
  <c r="B931" i="2"/>
  <c r="A932" i="2"/>
  <c r="K931" i="2"/>
  <c r="B929" i="4"/>
  <c r="D929" i="4" s="1"/>
  <c r="J928" i="2"/>
  <c r="B932" i="2" l="1"/>
  <c r="A933" i="2"/>
  <c r="K932" i="2"/>
  <c r="D930" i="2"/>
  <c r="I930" i="2" s="1"/>
  <c r="G930" i="2"/>
  <c r="C931" i="2"/>
  <c r="E931" i="2" s="1"/>
  <c r="F931" i="2"/>
  <c r="H931" i="2" s="1"/>
  <c r="C932" i="4" s="1"/>
  <c r="J929" i="2"/>
  <c r="D930" i="4"/>
  <c r="G931" i="2" l="1"/>
  <c r="D931" i="2"/>
  <c r="I931" i="2" s="1"/>
  <c r="B931" i="4"/>
  <c r="D931" i="4" s="1"/>
  <c r="J930" i="2"/>
  <c r="A934" i="2"/>
  <c r="K933" i="2"/>
  <c r="B933" i="2"/>
  <c r="C932" i="2"/>
  <c r="E932" i="2" s="1"/>
  <c r="F932" i="2"/>
  <c r="H932" i="2" s="1"/>
  <c r="C933" i="4" s="1"/>
  <c r="G932" i="2" l="1"/>
  <c r="F933" i="2"/>
  <c r="G933" i="2" s="1"/>
  <c r="C933" i="2"/>
  <c r="D933" i="2" s="1"/>
  <c r="B934" i="2"/>
  <c r="A935" i="2"/>
  <c r="K934" i="2"/>
  <c r="D932" i="2"/>
  <c r="I932" i="2" s="1"/>
  <c r="B932" i="4"/>
  <c r="D932" i="4" s="1"/>
  <c r="J931" i="2"/>
  <c r="B934" i="4" l="1"/>
  <c r="E933" i="2"/>
  <c r="I933" i="2" s="1"/>
  <c r="H933" i="2"/>
  <c r="C934" i="4" s="1"/>
  <c r="B935" i="2"/>
  <c r="A936" i="2"/>
  <c r="K935" i="2"/>
  <c r="F934" i="2"/>
  <c r="H934" i="2" s="1"/>
  <c r="C935" i="4" s="1"/>
  <c r="C934" i="2"/>
  <c r="D934" i="2" s="1"/>
  <c r="B933" i="4"/>
  <c r="D933" i="4" s="1"/>
  <c r="J932" i="2"/>
  <c r="E934" i="2" l="1"/>
  <c r="I934" i="2" s="1"/>
  <c r="F935" i="2"/>
  <c r="H935" i="2" s="1"/>
  <c r="C936" i="4" s="1"/>
  <c r="C935" i="2"/>
  <c r="D935" i="2" s="1"/>
  <c r="G934" i="2"/>
  <c r="A937" i="2"/>
  <c r="K936" i="2"/>
  <c r="B936" i="2"/>
  <c r="J933" i="2"/>
  <c r="D934" i="4"/>
  <c r="C936" i="2" l="1"/>
  <c r="D936" i="2" s="1"/>
  <c r="F936" i="2"/>
  <c r="H936" i="2" s="1"/>
  <c r="C937" i="4" s="1"/>
  <c r="B937" i="2"/>
  <c r="A938" i="2"/>
  <c r="K937" i="2"/>
  <c r="E935" i="2"/>
  <c r="I935" i="2" s="1"/>
  <c r="G935" i="2"/>
  <c r="B935" i="4"/>
  <c r="D935" i="4" s="1"/>
  <c r="J934" i="2"/>
  <c r="B938" i="2" l="1"/>
  <c r="A939" i="2"/>
  <c r="K938" i="2"/>
  <c r="C937" i="2"/>
  <c r="D937" i="2" s="1"/>
  <c r="F937" i="2"/>
  <c r="G937" i="2" s="1"/>
  <c r="B936" i="4"/>
  <c r="D936" i="4" s="1"/>
  <c r="J935" i="2"/>
  <c r="E936" i="2"/>
  <c r="I936" i="2" s="1"/>
  <c r="G936" i="2"/>
  <c r="B938" i="4" l="1"/>
  <c r="B937" i="4"/>
  <c r="D937" i="4" s="1"/>
  <c r="J936" i="2"/>
  <c r="E937" i="2"/>
  <c r="I937" i="2" s="1"/>
  <c r="H937" i="2"/>
  <c r="C938" i="4" s="1"/>
  <c r="A940" i="2"/>
  <c r="K939" i="2"/>
  <c r="B939" i="2"/>
  <c r="F938" i="2"/>
  <c r="H938" i="2" s="1"/>
  <c r="C939" i="4" s="1"/>
  <c r="C938" i="2"/>
  <c r="D938" i="2" s="1"/>
  <c r="E938" i="2" l="1"/>
  <c r="I938" i="2" s="1"/>
  <c r="J937" i="2"/>
  <c r="G938" i="2"/>
  <c r="C939" i="2"/>
  <c r="E939" i="2" s="1"/>
  <c r="F939" i="2"/>
  <c r="H939" i="2" s="1"/>
  <c r="C940" i="4" s="1"/>
  <c r="B940" i="2"/>
  <c r="A941" i="2"/>
  <c r="K940" i="2"/>
  <c r="D938" i="4"/>
  <c r="B941" i="2" l="1"/>
  <c r="A942" i="2"/>
  <c r="K941" i="2"/>
  <c r="C940" i="2"/>
  <c r="E940" i="2" s="1"/>
  <c r="F940" i="2"/>
  <c r="G940" i="2" s="1"/>
  <c r="G939" i="2"/>
  <c r="D939" i="2"/>
  <c r="I939" i="2" s="1"/>
  <c r="B939" i="4"/>
  <c r="D939" i="4" s="1"/>
  <c r="J938" i="2"/>
  <c r="B941" i="4" l="1"/>
  <c r="H940" i="2"/>
  <c r="C941" i="4" s="1"/>
  <c r="B940" i="4"/>
  <c r="D940" i="4" s="1"/>
  <c r="J939" i="2"/>
  <c r="D940" i="2"/>
  <c r="I940" i="2" s="1"/>
  <c r="A943" i="2"/>
  <c r="K942" i="2"/>
  <c r="B942" i="2"/>
  <c r="C941" i="2"/>
  <c r="D941" i="2" s="1"/>
  <c r="F941" i="2"/>
  <c r="G941" i="2" s="1"/>
  <c r="B942" i="4" l="1"/>
  <c r="E941" i="2"/>
  <c r="I941" i="2" s="1"/>
  <c r="J940" i="2"/>
  <c r="H941" i="2"/>
  <c r="C942" i="4" s="1"/>
  <c r="F942" i="2"/>
  <c r="G942" i="2" s="1"/>
  <c r="C942" i="2"/>
  <c r="E942" i="2" s="1"/>
  <c r="A944" i="2"/>
  <c r="K943" i="2"/>
  <c r="B943" i="2"/>
  <c r="D941" i="4"/>
  <c r="B943" i="4" l="1"/>
  <c r="C943" i="2"/>
  <c r="D943" i="2" s="1"/>
  <c r="F943" i="2"/>
  <c r="H943" i="2" s="1"/>
  <c r="C944" i="4" s="1"/>
  <c r="B944" i="2"/>
  <c r="A945" i="2"/>
  <c r="K944" i="2"/>
  <c r="H942" i="2"/>
  <c r="C943" i="4" s="1"/>
  <c r="J941" i="2"/>
  <c r="D942" i="2"/>
  <c r="I942" i="2" s="1"/>
  <c r="D942" i="4"/>
  <c r="K945" i="2" l="1"/>
  <c r="B945" i="2"/>
  <c r="A946" i="2"/>
  <c r="F944" i="2"/>
  <c r="H944" i="2" s="1"/>
  <c r="C945" i="4" s="1"/>
  <c r="C944" i="2"/>
  <c r="E944" i="2" s="1"/>
  <c r="E943" i="2"/>
  <c r="I943" i="2" s="1"/>
  <c r="J942" i="2"/>
  <c r="G943" i="2"/>
  <c r="D943" i="4"/>
  <c r="G944" i="2" l="1"/>
  <c r="A947" i="2"/>
  <c r="K946" i="2"/>
  <c r="B946" i="2"/>
  <c r="B944" i="4"/>
  <c r="D944" i="4" s="1"/>
  <c r="J943" i="2"/>
  <c r="D944" i="2"/>
  <c r="I944" i="2" s="1"/>
  <c r="F945" i="2"/>
  <c r="G945" i="2" s="1"/>
  <c r="C945" i="2"/>
  <c r="E945" i="2" s="1"/>
  <c r="B946" i="4" l="1"/>
  <c r="D945" i="2"/>
  <c r="I945" i="2" s="1"/>
  <c r="H945" i="2"/>
  <c r="C946" i="4" s="1"/>
  <c r="B947" i="2"/>
  <c r="A948" i="2"/>
  <c r="K947" i="2"/>
  <c r="C946" i="2"/>
  <c r="E946" i="2" s="1"/>
  <c r="F946" i="2"/>
  <c r="H946" i="2" s="1"/>
  <c r="C947" i="4" s="1"/>
  <c r="B945" i="4"/>
  <c r="D945" i="4" s="1"/>
  <c r="J944" i="2"/>
  <c r="G946" i="2" l="1"/>
  <c r="D946" i="2"/>
  <c r="I946" i="2" s="1"/>
  <c r="F947" i="2"/>
  <c r="H947" i="2" s="1"/>
  <c r="C948" i="4" s="1"/>
  <c r="C947" i="2"/>
  <c r="E947" i="2" s="1"/>
  <c r="J945" i="2"/>
  <c r="B948" i="2"/>
  <c r="A949" i="2"/>
  <c r="K948" i="2"/>
  <c r="D946" i="4"/>
  <c r="C948" i="2" l="1"/>
  <c r="E948" i="2" s="1"/>
  <c r="F948" i="2"/>
  <c r="H948" i="2" s="1"/>
  <c r="C949" i="4" s="1"/>
  <c r="A950" i="2"/>
  <c r="K949" i="2"/>
  <c r="B949" i="2"/>
  <c r="G947" i="2"/>
  <c r="D947" i="2"/>
  <c r="I947" i="2" s="1"/>
  <c r="B947" i="4"/>
  <c r="D947" i="4" s="1"/>
  <c r="J946" i="2"/>
  <c r="C949" i="2" l="1"/>
  <c r="E949" i="2" s="1"/>
  <c r="F949" i="2"/>
  <c r="H949" i="2" s="1"/>
  <c r="C950" i="4" s="1"/>
  <c r="B950" i="2"/>
  <c r="A951" i="2"/>
  <c r="K950" i="2"/>
  <c r="B948" i="4"/>
  <c r="D948" i="4" s="1"/>
  <c r="J947" i="2"/>
  <c r="D948" i="2"/>
  <c r="I948" i="2" s="1"/>
  <c r="G948" i="2"/>
  <c r="B949" i="4" l="1"/>
  <c r="D949" i="4" s="1"/>
  <c r="J948" i="2"/>
  <c r="B951" i="2"/>
  <c r="A952" i="2"/>
  <c r="K951" i="2"/>
  <c r="F950" i="2"/>
  <c r="H950" i="2" s="1"/>
  <c r="C951" i="4" s="1"/>
  <c r="C950" i="2"/>
  <c r="D950" i="2" s="1"/>
  <c r="D949" i="2"/>
  <c r="I949" i="2" s="1"/>
  <c r="G949" i="2"/>
  <c r="B950" i="4" l="1"/>
  <c r="D950" i="4" s="1"/>
  <c r="J949" i="2"/>
  <c r="E950" i="2"/>
  <c r="I950" i="2" s="1"/>
  <c r="G950" i="2"/>
  <c r="F951" i="2"/>
  <c r="H951" i="2" s="1"/>
  <c r="C952" i="4" s="1"/>
  <c r="C951" i="2"/>
  <c r="E951" i="2" s="1"/>
  <c r="A953" i="2"/>
  <c r="K952" i="2"/>
  <c r="B952" i="2"/>
  <c r="G951" i="2" l="1"/>
  <c r="C952" i="2"/>
  <c r="D952" i="2" s="1"/>
  <c r="F952" i="2"/>
  <c r="H952" i="2" s="1"/>
  <c r="C953" i="4" s="1"/>
  <c r="B953" i="2"/>
  <c r="A954" i="2"/>
  <c r="K953" i="2"/>
  <c r="B951" i="4"/>
  <c r="D951" i="4" s="1"/>
  <c r="J950" i="2"/>
  <c r="D951" i="2"/>
  <c r="I951" i="2" s="1"/>
  <c r="B954" i="2" l="1"/>
  <c r="A955" i="2"/>
  <c r="K954" i="2"/>
  <c r="E952" i="2"/>
  <c r="I952" i="2" s="1"/>
  <c r="G952" i="2"/>
  <c r="C953" i="2"/>
  <c r="D953" i="2" s="1"/>
  <c r="F953" i="2"/>
  <c r="G953" i="2" s="1"/>
  <c r="B952" i="4"/>
  <c r="D952" i="4" s="1"/>
  <c r="J951" i="2"/>
  <c r="B954" i="4" l="1"/>
  <c r="E953" i="2"/>
  <c r="I953" i="2" s="1"/>
  <c r="H953" i="2"/>
  <c r="C954" i="4" s="1"/>
  <c r="B953" i="4"/>
  <c r="D953" i="4" s="1"/>
  <c r="J952" i="2"/>
  <c r="A956" i="2"/>
  <c r="K955" i="2"/>
  <c r="B955" i="2"/>
  <c r="C954" i="2"/>
  <c r="D954" i="2" s="1"/>
  <c r="F954" i="2"/>
  <c r="H954" i="2" s="1"/>
  <c r="C955" i="4" s="1"/>
  <c r="E954" i="2" l="1"/>
  <c r="I954" i="2" s="1"/>
  <c r="C955" i="2"/>
  <c r="E955" i="2" s="1"/>
  <c r="F955" i="2"/>
  <c r="G955" i="2" s="1"/>
  <c r="B956" i="2"/>
  <c r="A957" i="2"/>
  <c r="K956" i="2"/>
  <c r="J953" i="2"/>
  <c r="G954" i="2"/>
  <c r="D954" i="4"/>
  <c r="B956" i="4" l="1"/>
  <c r="B955" i="4"/>
  <c r="D955" i="4" s="1"/>
  <c r="J954" i="2"/>
  <c r="B957" i="2"/>
  <c r="A958" i="2"/>
  <c r="K957" i="2"/>
  <c r="F956" i="2"/>
  <c r="H956" i="2" s="1"/>
  <c r="C957" i="4" s="1"/>
  <c r="C956" i="2"/>
  <c r="D956" i="2" s="1"/>
  <c r="H955" i="2"/>
  <c r="C956" i="4" s="1"/>
  <c r="D955" i="2"/>
  <c r="I955" i="2" s="1"/>
  <c r="E956" i="2" l="1"/>
  <c r="I956" i="2" s="1"/>
  <c r="G956" i="2"/>
  <c r="A959" i="2"/>
  <c r="K958" i="2"/>
  <c r="B958" i="2"/>
  <c r="C957" i="2"/>
  <c r="D957" i="2" s="1"/>
  <c r="F957" i="2"/>
  <c r="G957" i="2" s="1"/>
  <c r="J955" i="2"/>
  <c r="D956" i="4"/>
  <c r="B958" i="4" l="1"/>
  <c r="H957" i="2"/>
  <c r="C958" i="4" s="1"/>
  <c r="E957" i="2"/>
  <c r="I957" i="2" s="1"/>
  <c r="F958" i="2"/>
  <c r="G958" i="2" s="1"/>
  <c r="C958" i="2"/>
  <c r="E958" i="2" s="1"/>
  <c r="B957" i="4"/>
  <c r="D957" i="4" s="1"/>
  <c r="J956" i="2"/>
  <c r="A960" i="2"/>
  <c r="K959" i="2"/>
  <c r="B959" i="2"/>
  <c r="B959" i="4" l="1"/>
  <c r="C959" i="2"/>
  <c r="E959" i="2" s="1"/>
  <c r="F959" i="2"/>
  <c r="H959" i="2" s="1"/>
  <c r="C960" i="4" s="1"/>
  <c r="B960" i="2"/>
  <c r="A961" i="2"/>
  <c r="K960" i="2"/>
  <c r="D958" i="2"/>
  <c r="I958" i="2" s="1"/>
  <c r="H958" i="2"/>
  <c r="C959" i="4" s="1"/>
  <c r="J957" i="2"/>
  <c r="D958" i="4"/>
  <c r="K961" i="2" l="1"/>
  <c r="B961" i="2"/>
  <c r="A962" i="2"/>
  <c r="F960" i="2"/>
  <c r="H960" i="2" s="1"/>
  <c r="C961" i="4" s="1"/>
  <c r="C960" i="2"/>
  <c r="E960" i="2" s="1"/>
  <c r="G959" i="2"/>
  <c r="J958" i="2"/>
  <c r="D959" i="2"/>
  <c r="I959" i="2" s="1"/>
  <c r="D959" i="4"/>
  <c r="B960" i="4" l="1"/>
  <c r="D960" i="4" s="1"/>
  <c r="J959" i="2"/>
  <c r="G960" i="2"/>
  <c r="D960" i="2"/>
  <c r="I960" i="2" s="1"/>
  <c r="C961" i="2"/>
  <c r="E961" i="2" s="1"/>
  <c r="F961" i="2"/>
  <c r="G961" i="2" s="1"/>
  <c r="A963" i="2"/>
  <c r="K962" i="2"/>
  <c r="B962" i="2"/>
  <c r="B962" i="4" l="1"/>
  <c r="C962" i="2"/>
  <c r="D962" i="2" s="1"/>
  <c r="F962" i="2"/>
  <c r="H962" i="2" s="1"/>
  <c r="C963" i="4" s="1"/>
  <c r="B963" i="2"/>
  <c r="A964" i="2"/>
  <c r="K963" i="2"/>
  <c r="D961" i="2"/>
  <c r="I961" i="2" s="1"/>
  <c r="H961" i="2"/>
  <c r="C962" i="4" s="1"/>
  <c r="B961" i="4"/>
  <c r="D961" i="4" s="1"/>
  <c r="J960" i="2"/>
  <c r="B964" i="2" l="1"/>
  <c r="A965" i="2"/>
  <c r="K964" i="2"/>
  <c r="C963" i="2"/>
  <c r="D963" i="2" s="1"/>
  <c r="F963" i="2"/>
  <c r="H963" i="2" s="1"/>
  <c r="C964" i="4" s="1"/>
  <c r="E962" i="2"/>
  <c r="I962" i="2" s="1"/>
  <c r="J961" i="2"/>
  <c r="G962" i="2"/>
  <c r="D962" i="4"/>
  <c r="B963" i="4" l="1"/>
  <c r="D963" i="4" s="1"/>
  <c r="J962" i="2"/>
  <c r="G963" i="2"/>
  <c r="E963" i="2"/>
  <c r="I963" i="2" s="1"/>
  <c r="A966" i="2"/>
  <c r="K965" i="2"/>
  <c r="B965" i="2"/>
  <c r="F964" i="2"/>
  <c r="G964" i="2" s="1"/>
  <c r="C964" i="2"/>
  <c r="D964" i="2" s="1"/>
  <c r="B965" i="4" l="1"/>
  <c r="E964" i="2"/>
  <c r="I964" i="2" s="1"/>
  <c r="H964" i="2"/>
  <c r="C965" i="4" s="1"/>
  <c r="B966" i="2"/>
  <c r="A967" i="2"/>
  <c r="K966" i="2"/>
  <c r="C965" i="2"/>
  <c r="D965" i="2" s="1"/>
  <c r="F965" i="2"/>
  <c r="H965" i="2" s="1"/>
  <c r="C966" i="4" s="1"/>
  <c r="B964" i="4"/>
  <c r="D964" i="4" s="1"/>
  <c r="J963" i="2"/>
  <c r="G965" i="2" l="1"/>
  <c r="C966" i="2"/>
  <c r="D966" i="2" s="1"/>
  <c r="F966" i="2"/>
  <c r="H966" i="2" s="1"/>
  <c r="C967" i="4" s="1"/>
  <c r="E965" i="2"/>
  <c r="I965" i="2" s="1"/>
  <c r="B967" i="2"/>
  <c r="A968" i="2"/>
  <c r="K967" i="2"/>
  <c r="J964" i="2"/>
  <c r="D965" i="4"/>
  <c r="A969" i="2" l="1"/>
  <c r="K968" i="2"/>
  <c r="B968" i="2"/>
  <c r="F967" i="2"/>
  <c r="H967" i="2" s="1"/>
  <c r="C968" i="4" s="1"/>
  <c r="C967" i="2"/>
  <c r="E967" i="2" s="1"/>
  <c r="E966" i="2"/>
  <c r="I966" i="2" s="1"/>
  <c r="G966" i="2"/>
  <c r="B966" i="4"/>
  <c r="D966" i="4" s="1"/>
  <c r="J965" i="2"/>
  <c r="B967" i="4" l="1"/>
  <c r="D967" i="4" s="1"/>
  <c r="J966" i="2"/>
  <c r="D967" i="2"/>
  <c r="I967" i="2" s="1"/>
  <c r="C968" i="2"/>
  <c r="E968" i="2" s="1"/>
  <c r="F968" i="2"/>
  <c r="H968" i="2" s="1"/>
  <c r="C969" i="4" s="1"/>
  <c r="G967" i="2"/>
  <c r="B969" i="2"/>
  <c r="A970" i="2"/>
  <c r="K969" i="2"/>
  <c r="B970" i="2" l="1"/>
  <c r="A971" i="2"/>
  <c r="K970" i="2"/>
  <c r="F969" i="2"/>
  <c r="G969" i="2" s="1"/>
  <c r="C969" i="2"/>
  <c r="E969" i="2" s="1"/>
  <c r="B968" i="4"/>
  <c r="D968" i="4" s="1"/>
  <c r="J967" i="2"/>
  <c r="D968" i="2"/>
  <c r="I968" i="2" s="1"/>
  <c r="G968" i="2"/>
  <c r="B970" i="4" l="1"/>
  <c r="D969" i="2"/>
  <c r="I969" i="2" s="1"/>
  <c r="B969" i="4"/>
  <c r="D969" i="4" s="1"/>
  <c r="J968" i="2"/>
  <c r="H969" i="2"/>
  <c r="C970" i="4" s="1"/>
  <c r="A972" i="2"/>
  <c r="K971" i="2"/>
  <c r="B971" i="2"/>
  <c r="C970" i="2"/>
  <c r="E970" i="2" s="1"/>
  <c r="F970" i="2"/>
  <c r="G970" i="2" s="1"/>
  <c r="B971" i="4" l="1"/>
  <c r="H970" i="2"/>
  <c r="C971" i="4" s="1"/>
  <c r="D970" i="2"/>
  <c r="I970" i="2" s="1"/>
  <c r="C971" i="2"/>
  <c r="E971" i="2" s="1"/>
  <c r="F971" i="2"/>
  <c r="G971" i="2" s="1"/>
  <c r="B972" i="2"/>
  <c r="A973" i="2"/>
  <c r="K972" i="2"/>
  <c r="J969" i="2"/>
  <c r="D970" i="4"/>
  <c r="B972" i="4" l="1"/>
  <c r="B973" i="2"/>
  <c r="A974" i="2"/>
  <c r="K973" i="2"/>
  <c r="D971" i="2"/>
  <c r="I971" i="2" s="1"/>
  <c r="H971" i="2"/>
  <c r="C972" i="4" s="1"/>
  <c r="F972" i="2"/>
  <c r="H972" i="2" s="1"/>
  <c r="C973" i="4" s="1"/>
  <c r="C972" i="2"/>
  <c r="E972" i="2" s="1"/>
  <c r="J970" i="2"/>
  <c r="D971" i="4"/>
  <c r="G972" i="2" l="1"/>
  <c r="D972" i="2"/>
  <c r="I972" i="2" s="1"/>
  <c r="F973" i="2"/>
  <c r="G973" i="2" s="1"/>
  <c r="C973" i="2"/>
  <c r="E973" i="2" s="1"/>
  <c r="J971" i="2"/>
  <c r="A975" i="2"/>
  <c r="K974" i="2"/>
  <c r="B974" i="2"/>
  <c r="D972" i="4"/>
  <c r="B974" i="4" l="1"/>
  <c r="F974" i="2"/>
  <c r="H974" i="2" s="1"/>
  <c r="C975" i="4" s="1"/>
  <c r="C974" i="2"/>
  <c r="D974" i="2" s="1"/>
  <c r="A976" i="2"/>
  <c r="K975" i="2"/>
  <c r="B975" i="2"/>
  <c r="D973" i="2"/>
  <c r="I973" i="2" s="1"/>
  <c r="H973" i="2"/>
  <c r="C974" i="4" s="1"/>
  <c r="B973" i="4"/>
  <c r="D973" i="4" s="1"/>
  <c r="J972" i="2"/>
  <c r="F975" i="2" l="1"/>
  <c r="H975" i="2" s="1"/>
  <c r="C976" i="4" s="1"/>
  <c r="C975" i="2"/>
  <c r="E975" i="2" s="1"/>
  <c r="B976" i="2"/>
  <c r="A977" i="2"/>
  <c r="K976" i="2"/>
  <c r="E974" i="2"/>
  <c r="I974" i="2" s="1"/>
  <c r="G974" i="2"/>
  <c r="J973" i="2"/>
  <c r="D974" i="4"/>
  <c r="B975" i="4" l="1"/>
  <c r="D975" i="4" s="1"/>
  <c r="J974" i="2"/>
  <c r="K977" i="2"/>
  <c r="B977" i="2"/>
  <c r="A978" i="2"/>
  <c r="C976" i="2"/>
  <c r="E976" i="2" s="1"/>
  <c r="F976" i="2"/>
  <c r="H976" i="2" s="1"/>
  <c r="C977" i="4" s="1"/>
  <c r="D975" i="2"/>
  <c r="I975" i="2" s="1"/>
  <c r="G975" i="2"/>
  <c r="B976" i="4" l="1"/>
  <c r="D976" i="4" s="1"/>
  <c r="J975" i="2"/>
  <c r="D976" i="2"/>
  <c r="I976" i="2" s="1"/>
  <c r="F977" i="2"/>
  <c r="H977" i="2" s="1"/>
  <c r="C978" i="4" s="1"/>
  <c r="C977" i="2"/>
  <c r="E977" i="2" s="1"/>
  <c r="G976" i="2"/>
  <c r="A979" i="2"/>
  <c r="K978" i="2"/>
  <c r="B978" i="2"/>
  <c r="B979" i="2" l="1"/>
  <c r="A980" i="2"/>
  <c r="K979" i="2"/>
  <c r="B977" i="4"/>
  <c r="D977" i="4" s="1"/>
  <c r="J976" i="2"/>
  <c r="D977" i="2"/>
  <c r="I977" i="2" s="1"/>
  <c r="G977" i="2"/>
  <c r="F978" i="2"/>
  <c r="G978" i="2" s="1"/>
  <c r="C978" i="2"/>
  <c r="D978" i="2" s="1"/>
  <c r="B979" i="4" l="1"/>
  <c r="E978" i="2"/>
  <c r="I978" i="2" s="1"/>
  <c r="H978" i="2"/>
  <c r="C979" i="4" s="1"/>
  <c r="B978" i="4"/>
  <c r="D978" i="4" s="1"/>
  <c r="J977" i="2"/>
  <c r="B980" i="2"/>
  <c r="A981" i="2"/>
  <c r="K980" i="2"/>
  <c r="C979" i="2"/>
  <c r="D979" i="2" s="1"/>
  <c r="F979" i="2"/>
  <c r="G979" i="2" s="1"/>
  <c r="B980" i="4" l="1"/>
  <c r="H979" i="2"/>
  <c r="C980" i="4" s="1"/>
  <c r="E979" i="2"/>
  <c r="I979" i="2" s="1"/>
  <c r="A982" i="2"/>
  <c r="K981" i="2"/>
  <c r="B981" i="2"/>
  <c r="F980" i="2"/>
  <c r="G980" i="2" s="1"/>
  <c r="C980" i="2"/>
  <c r="E980" i="2" s="1"/>
  <c r="J978" i="2"/>
  <c r="D979" i="4"/>
  <c r="B981" i="4" l="1"/>
  <c r="D980" i="2"/>
  <c r="I980" i="2" s="1"/>
  <c r="H980" i="2"/>
  <c r="C981" i="4" s="1"/>
  <c r="B982" i="2"/>
  <c r="A983" i="2"/>
  <c r="K982" i="2"/>
  <c r="C981" i="2"/>
  <c r="E981" i="2" s="1"/>
  <c r="F981" i="2"/>
  <c r="G981" i="2" s="1"/>
  <c r="J979" i="2"/>
  <c r="D980" i="4"/>
  <c r="B982" i="4" l="1"/>
  <c r="D981" i="2"/>
  <c r="I981" i="2" s="1"/>
  <c r="H981" i="2"/>
  <c r="C982" i="4" s="1"/>
  <c r="B983" i="2"/>
  <c r="A984" i="2"/>
  <c r="K983" i="2"/>
  <c r="C982" i="2"/>
  <c r="D982" i="2" s="1"/>
  <c r="F982" i="2"/>
  <c r="G982" i="2" s="1"/>
  <c r="J980" i="2"/>
  <c r="D981" i="4"/>
  <c r="B983" i="4" l="1"/>
  <c r="E982" i="2"/>
  <c r="I982" i="2" s="1"/>
  <c r="H982" i="2"/>
  <c r="C983" i="4" s="1"/>
  <c r="A985" i="2"/>
  <c r="K984" i="2"/>
  <c r="B984" i="2"/>
  <c r="F983" i="2"/>
  <c r="H983" i="2" s="1"/>
  <c r="C984" i="4" s="1"/>
  <c r="C983" i="2"/>
  <c r="D983" i="2" s="1"/>
  <c r="J981" i="2"/>
  <c r="D982" i="4"/>
  <c r="E983" i="2" l="1"/>
  <c r="I983" i="2" s="1"/>
  <c r="J982" i="2"/>
  <c r="G983" i="2"/>
  <c r="C984" i="2"/>
  <c r="D984" i="2" s="1"/>
  <c r="F984" i="2"/>
  <c r="H984" i="2" s="1"/>
  <c r="C985" i="4" s="1"/>
  <c r="B985" i="2"/>
  <c r="A986" i="2"/>
  <c r="K985" i="2"/>
  <c r="D983" i="4"/>
  <c r="B986" i="2" l="1"/>
  <c r="A987" i="2"/>
  <c r="K986" i="2"/>
  <c r="E984" i="2"/>
  <c r="I984" i="2" s="1"/>
  <c r="C985" i="2"/>
  <c r="D985" i="2" s="1"/>
  <c r="F985" i="2"/>
  <c r="H985" i="2" s="1"/>
  <c r="C986" i="4" s="1"/>
  <c r="B984" i="4"/>
  <c r="D984" i="4" s="1"/>
  <c r="J983" i="2"/>
  <c r="G984" i="2"/>
  <c r="B985" i="4" l="1"/>
  <c r="D985" i="4" s="1"/>
  <c r="J984" i="2"/>
  <c r="E985" i="2"/>
  <c r="I985" i="2" s="1"/>
  <c r="G985" i="2"/>
  <c r="A988" i="2"/>
  <c r="K987" i="2"/>
  <c r="B987" i="2"/>
  <c r="C986" i="2"/>
  <c r="E986" i="2" s="1"/>
  <c r="F986" i="2"/>
  <c r="H986" i="2" s="1"/>
  <c r="C987" i="4" s="1"/>
  <c r="D986" i="2" l="1"/>
  <c r="I986" i="2" s="1"/>
  <c r="B986" i="4"/>
  <c r="D986" i="4" s="1"/>
  <c r="J985" i="2"/>
  <c r="G986" i="2"/>
  <c r="F987" i="2"/>
  <c r="G987" i="2" s="1"/>
  <c r="C987" i="2"/>
  <c r="D987" i="2" s="1"/>
  <c r="B988" i="2"/>
  <c r="A989" i="2"/>
  <c r="K988" i="2"/>
  <c r="B988" i="4" l="1"/>
  <c r="B989" i="2"/>
  <c r="A990" i="2"/>
  <c r="K989" i="2"/>
  <c r="F988" i="2"/>
  <c r="H988" i="2" s="1"/>
  <c r="C989" i="4" s="1"/>
  <c r="C988" i="2"/>
  <c r="E988" i="2" s="1"/>
  <c r="E987" i="2"/>
  <c r="I987" i="2" s="1"/>
  <c r="H987" i="2"/>
  <c r="C988" i="4" s="1"/>
  <c r="B987" i="4"/>
  <c r="D987" i="4" s="1"/>
  <c r="J986" i="2"/>
  <c r="G988" i="2" l="1"/>
  <c r="D988" i="2"/>
  <c r="I988" i="2" s="1"/>
  <c r="A991" i="2"/>
  <c r="K990" i="2"/>
  <c r="B990" i="2"/>
  <c r="J987" i="2"/>
  <c r="C989" i="2"/>
  <c r="E989" i="2" s="1"/>
  <c r="F989" i="2"/>
  <c r="G989" i="2" s="1"/>
  <c r="D988" i="4"/>
  <c r="B990" i="4" l="1"/>
  <c r="D989" i="2"/>
  <c r="I989" i="2" s="1"/>
  <c r="C990" i="2"/>
  <c r="E990" i="2" s="1"/>
  <c r="F990" i="2"/>
  <c r="H990" i="2" s="1"/>
  <c r="C991" i="4" s="1"/>
  <c r="H989" i="2"/>
  <c r="C990" i="4" s="1"/>
  <c r="A992" i="2"/>
  <c r="K991" i="2"/>
  <c r="B991" i="2"/>
  <c r="B989" i="4"/>
  <c r="D989" i="4" s="1"/>
  <c r="J988" i="2"/>
  <c r="B992" i="2" l="1"/>
  <c r="A993" i="2"/>
  <c r="K992" i="2"/>
  <c r="D990" i="2"/>
  <c r="I990" i="2" s="1"/>
  <c r="F991" i="2"/>
  <c r="H991" i="2" s="1"/>
  <c r="C992" i="4" s="1"/>
  <c r="C991" i="2"/>
  <c r="D991" i="2" s="1"/>
  <c r="G990" i="2"/>
  <c r="J989" i="2"/>
  <c r="D990" i="4"/>
  <c r="B991" i="4" l="1"/>
  <c r="D991" i="4" s="1"/>
  <c r="J990" i="2"/>
  <c r="E991" i="2"/>
  <c r="I991" i="2" s="1"/>
  <c r="G991" i="2"/>
  <c r="K993" i="2"/>
  <c r="B993" i="2"/>
  <c r="A994" i="2"/>
  <c r="C992" i="2"/>
  <c r="D992" i="2" s="1"/>
  <c r="F992" i="2"/>
  <c r="G992" i="2" s="1"/>
  <c r="B993" i="4" l="1"/>
  <c r="H992" i="2"/>
  <c r="C993" i="4" s="1"/>
  <c r="E992" i="2"/>
  <c r="I992" i="2" s="1"/>
  <c r="F993" i="2"/>
  <c r="G993" i="2" s="1"/>
  <c r="C993" i="2"/>
  <c r="D993" i="2" s="1"/>
  <c r="B992" i="4"/>
  <c r="D992" i="4" s="1"/>
  <c r="J991" i="2"/>
  <c r="A995" i="2"/>
  <c r="K994" i="2"/>
  <c r="B994" i="2"/>
  <c r="B994" i="4" l="1"/>
  <c r="F994" i="2"/>
  <c r="G994" i="2" s="1"/>
  <c r="C994" i="2"/>
  <c r="E994" i="2" s="1"/>
  <c r="B995" i="2"/>
  <c r="A996" i="2"/>
  <c r="K995" i="2"/>
  <c r="E993" i="2"/>
  <c r="I993" i="2" s="1"/>
  <c r="H993" i="2"/>
  <c r="C994" i="4" s="1"/>
  <c r="J992" i="2"/>
  <c r="D993" i="4"/>
  <c r="B995" i="4" l="1"/>
  <c r="B996" i="2"/>
  <c r="A997" i="2"/>
  <c r="K996" i="2"/>
  <c r="C995" i="2"/>
  <c r="E995" i="2" s="1"/>
  <c r="F995" i="2"/>
  <c r="H995" i="2" s="1"/>
  <c r="C996" i="4" s="1"/>
  <c r="D994" i="2"/>
  <c r="I994" i="2" s="1"/>
  <c r="H994" i="2"/>
  <c r="C995" i="4" s="1"/>
  <c r="J993" i="2"/>
  <c r="D994" i="4"/>
  <c r="D995" i="2" l="1"/>
  <c r="I995" i="2" s="1"/>
  <c r="G995" i="2"/>
  <c r="A998" i="2"/>
  <c r="K997" i="2"/>
  <c r="B997" i="2"/>
  <c r="J994" i="2"/>
  <c r="F996" i="2"/>
  <c r="H996" i="2" s="1"/>
  <c r="C997" i="4" s="1"/>
  <c r="C996" i="2"/>
  <c r="E996" i="2" s="1"/>
  <c r="D995" i="4"/>
  <c r="D996" i="2" l="1"/>
  <c r="I996" i="2" s="1"/>
  <c r="G996" i="2"/>
  <c r="B998" i="2"/>
  <c r="A999" i="2"/>
  <c r="K998" i="2"/>
  <c r="C997" i="2"/>
  <c r="D997" i="2" s="1"/>
  <c r="F997" i="2"/>
  <c r="H997" i="2" s="1"/>
  <c r="C998" i="4" s="1"/>
  <c r="B996" i="4"/>
  <c r="D996" i="4" s="1"/>
  <c r="J995" i="2"/>
  <c r="E997" i="2" l="1"/>
  <c r="I997" i="2" s="1"/>
  <c r="G997" i="2"/>
  <c r="C998" i="2"/>
  <c r="D998" i="2" s="1"/>
  <c r="F998" i="2"/>
  <c r="H998" i="2" s="1"/>
  <c r="C999" i="4" s="1"/>
  <c r="B997" i="4"/>
  <c r="D997" i="4" s="1"/>
  <c r="J996" i="2"/>
  <c r="B999" i="2"/>
  <c r="A1000" i="2"/>
  <c r="K999" i="2"/>
  <c r="A1001" i="2" l="1"/>
  <c r="K1000" i="2"/>
  <c r="B1000" i="2"/>
  <c r="E998" i="2"/>
  <c r="I998" i="2" s="1"/>
  <c r="B998" i="4"/>
  <c r="D998" i="4" s="1"/>
  <c r="J997" i="2"/>
  <c r="F999" i="2"/>
  <c r="H999" i="2" s="1"/>
  <c r="C1000" i="4" s="1"/>
  <c r="C999" i="2"/>
  <c r="E999" i="2" s="1"/>
  <c r="G998" i="2"/>
  <c r="B999" i="4" l="1"/>
  <c r="D999" i="4" s="1"/>
  <c r="J998" i="2"/>
  <c r="D999" i="2"/>
  <c r="I999" i="2" s="1"/>
  <c r="C1000" i="2"/>
  <c r="E1000" i="2" s="1"/>
  <c r="F1000" i="2"/>
  <c r="H1000" i="2" s="1"/>
  <c r="C1001" i="4" s="1"/>
  <c r="G999" i="2"/>
  <c r="B1001" i="2"/>
  <c r="A1002" i="2"/>
  <c r="K1001" i="2"/>
  <c r="B1002" i="2" l="1"/>
  <c r="A1003" i="2"/>
  <c r="K1002" i="2"/>
  <c r="C1001" i="2"/>
  <c r="E1001" i="2" s="1"/>
  <c r="F1001" i="2"/>
  <c r="G1001" i="2" s="1"/>
  <c r="D1000" i="2"/>
  <c r="I1000" i="2" s="1"/>
  <c r="G1000" i="2"/>
  <c r="B1000" i="4"/>
  <c r="D1000" i="4" s="1"/>
  <c r="J999" i="2"/>
  <c r="B1002" i="4" l="1"/>
  <c r="B1001" i="4"/>
  <c r="D1001" i="4" s="1"/>
  <c r="J1000" i="2"/>
  <c r="D1001" i="2"/>
  <c r="I1001" i="2" s="1"/>
  <c r="H1001" i="2"/>
  <c r="C1002" i="4" s="1"/>
  <c r="A1004" i="2"/>
  <c r="K1003" i="2"/>
  <c r="B1003" i="2"/>
  <c r="C1002" i="2"/>
  <c r="E1002" i="2" s="1"/>
  <c r="F1002" i="2"/>
  <c r="G1002" i="2" s="1"/>
  <c r="B1003" i="4" l="1"/>
  <c r="H1002" i="2"/>
  <c r="C1003" i="4" s="1"/>
  <c r="D1002" i="2"/>
  <c r="I1002" i="2" s="1"/>
  <c r="F1003" i="2"/>
  <c r="G1003" i="2" s="1"/>
  <c r="C1003" i="2"/>
  <c r="D1003" i="2" s="1"/>
  <c r="B1004" i="2"/>
  <c r="A1005" i="2"/>
  <c r="K1004" i="2"/>
  <c r="J1001" i="2"/>
  <c r="D1002" i="4"/>
  <c r="B1004" i="4" l="1"/>
  <c r="E1003" i="2"/>
  <c r="I1003" i="2" s="1"/>
  <c r="H1003" i="2"/>
  <c r="C1004" i="4" s="1"/>
  <c r="F1004" i="2"/>
  <c r="G1004" i="2" s="1"/>
  <c r="C1004" i="2"/>
  <c r="E1004" i="2" s="1"/>
  <c r="J1002" i="2"/>
  <c r="B1005" i="2"/>
  <c r="A1006" i="2"/>
  <c r="K1005" i="2"/>
  <c r="D1003" i="4"/>
  <c r="B1005" i="4" l="1"/>
  <c r="A1007" i="2"/>
  <c r="K1006" i="2"/>
  <c r="B1006" i="2"/>
  <c r="F1005" i="2"/>
  <c r="G1005" i="2" s="1"/>
  <c r="C1005" i="2"/>
  <c r="E1005" i="2" s="1"/>
  <c r="D1004" i="2"/>
  <c r="I1004" i="2" s="1"/>
  <c r="H1004" i="2"/>
  <c r="C1005" i="4" s="1"/>
  <c r="J1003" i="2"/>
  <c r="D1004" i="4"/>
  <c r="B1006" i="4" l="1"/>
  <c r="D1005" i="2"/>
  <c r="I1005" i="2" s="1"/>
  <c r="J1004" i="2"/>
  <c r="H1005" i="2"/>
  <c r="C1006" i="4" s="1"/>
  <c r="F1006" i="2"/>
  <c r="G1006" i="2" s="1"/>
  <c r="C1006" i="2"/>
  <c r="E1006" i="2" s="1"/>
  <c r="A1008" i="2"/>
  <c r="K1007" i="2"/>
  <c r="B1007" i="2"/>
  <c r="D1005" i="4"/>
  <c r="B1007" i="4" l="1"/>
  <c r="F1007" i="2"/>
  <c r="H1007" i="2" s="1"/>
  <c r="C1008" i="4" s="1"/>
  <c r="C1007" i="2"/>
  <c r="E1007" i="2" s="1"/>
  <c r="D1006" i="2"/>
  <c r="I1006" i="2" s="1"/>
  <c r="H1006" i="2"/>
  <c r="C1007" i="4" s="1"/>
  <c r="B1008" i="2"/>
  <c r="A1009" i="2"/>
  <c r="K1008" i="2"/>
  <c r="J1005" i="2"/>
  <c r="D1006" i="4"/>
  <c r="K1009" i="2" l="1"/>
  <c r="B1009" i="2"/>
  <c r="A1010" i="2"/>
  <c r="C1008" i="2"/>
  <c r="E1008" i="2" s="1"/>
  <c r="F1008" i="2"/>
  <c r="G1008" i="2" s="1"/>
  <c r="D1007" i="2"/>
  <c r="I1007" i="2" s="1"/>
  <c r="G1007" i="2"/>
  <c r="J1006" i="2"/>
  <c r="D1007" i="4"/>
  <c r="B1009" i="4" l="1"/>
  <c r="B1008" i="4"/>
  <c r="D1008" i="4" s="1"/>
  <c r="J1007" i="2"/>
  <c r="H1008" i="2"/>
  <c r="C1009" i="4" s="1"/>
  <c r="F1009" i="2"/>
  <c r="H1009" i="2" s="1"/>
  <c r="C1010" i="4" s="1"/>
  <c r="C1009" i="2"/>
  <c r="E1009" i="2" s="1"/>
  <c r="D1008" i="2"/>
  <c r="I1008" i="2" s="1"/>
  <c r="A1011" i="2"/>
  <c r="K1010" i="2"/>
  <c r="B1010" i="2"/>
  <c r="B1011" i="2" l="1"/>
  <c r="A1012" i="2"/>
  <c r="K1011" i="2"/>
  <c r="D1009" i="2"/>
  <c r="I1009" i="2" s="1"/>
  <c r="C1010" i="2"/>
  <c r="D1010" i="2" s="1"/>
  <c r="F1010" i="2"/>
  <c r="H1010" i="2" s="1"/>
  <c r="C1011" i="4" s="1"/>
  <c r="G1009" i="2"/>
  <c r="J1008" i="2"/>
  <c r="D1009" i="4"/>
  <c r="E1010" i="2" l="1"/>
  <c r="I1010" i="2" s="1"/>
  <c r="B1010" i="4"/>
  <c r="D1010" i="4" s="1"/>
  <c r="J1009" i="2"/>
  <c r="G1010" i="2"/>
  <c r="B1012" i="2"/>
  <c r="A1013" i="2"/>
  <c r="K1012" i="2"/>
  <c r="C1011" i="2"/>
  <c r="E1011" i="2" s="1"/>
  <c r="F1011" i="2"/>
  <c r="H1011" i="2" s="1"/>
  <c r="C1012" i="4" s="1"/>
  <c r="G1011" i="2" l="1"/>
  <c r="D1011" i="2"/>
  <c r="I1011" i="2" s="1"/>
  <c r="A1014" i="2"/>
  <c r="K1013" i="2"/>
  <c r="B1013" i="2"/>
  <c r="C1012" i="2"/>
  <c r="E1012" i="2" s="1"/>
  <c r="F1012" i="2"/>
  <c r="G1012" i="2" s="1"/>
  <c r="B1011" i="4"/>
  <c r="D1011" i="4" s="1"/>
  <c r="J1010" i="2"/>
  <c r="B1013" i="4" l="1"/>
  <c r="D1012" i="2"/>
  <c r="I1012" i="2" s="1"/>
  <c r="H1012" i="2"/>
  <c r="C1013" i="4" s="1"/>
  <c r="C1013" i="2"/>
  <c r="E1013" i="2" s="1"/>
  <c r="F1013" i="2"/>
  <c r="G1013" i="2" s="1"/>
  <c r="B1014" i="2"/>
  <c r="A1015" i="2"/>
  <c r="K1014" i="2"/>
  <c r="B1012" i="4"/>
  <c r="D1012" i="4" s="1"/>
  <c r="J1011" i="2"/>
  <c r="B1014" i="4" l="1"/>
  <c r="C1014" i="2"/>
  <c r="D1014" i="2" s="1"/>
  <c r="F1014" i="2"/>
  <c r="H1014" i="2" s="1"/>
  <c r="C1015" i="4" s="1"/>
  <c r="D1013" i="2"/>
  <c r="I1013" i="2" s="1"/>
  <c r="H1013" i="2"/>
  <c r="C1014" i="4" s="1"/>
  <c r="B1015" i="2"/>
  <c r="A1016" i="2"/>
  <c r="K1015" i="2"/>
  <c r="J1012" i="2"/>
  <c r="D1013" i="4"/>
  <c r="F1015" i="2" l="1"/>
  <c r="H1015" i="2" s="1"/>
  <c r="C1016" i="4" s="1"/>
  <c r="C1015" i="2"/>
  <c r="E1015" i="2" s="1"/>
  <c r="G1014" i="2"/>
  <c r="J1013" i="2"/>
  <c r="A1017" i="2"/>
  <c r="K1016" i="2"/>
  <c r="B1016" i="2"/>
  <c r="E1014" i="2"/>
  <c r="I1014" i="2" s="1"/>
  <c r="D1014" i="4"/>
  <c r="B1017" i="2" l="1"/>
  <c r="A1018" i="2"/>
  <c r="K1017" i="2"/>
  <c r="B1015" i="4"/>
  <c r="D1015" i="4" s="1"/>
  <c r="J1014" i="2"/>
  <c r="C1016" i="2"/>
  <c r="D1016" i="2" s="1"/>
  <c r="F1016" i="2"/>
  <c r="H1016" i="2" s="1"/>
  <c r="C1017" i="4" s="1"/>
  <c r="D1015" i="2"/>
  <c r="I1015" i="2" s="1"/>
  <c r="G1015" i="2"/>
  <c r="E1016" i="2" l="1"/>
  <c r="I1016" i="2" s="1"/>
  <c r="B1016" i="4"/>
  <c r="D1016" i="4" s="1"/>
  <c r="J1015" i="2"/>
  <c r="G1016" i="2"/>
  <c r="B1018" i="2"/>
  <c r="A1019" i="2"/>
  <c r="K1018" i="2"/>
  <c r="C1017" i="2"/>
  <c r="E1017" i="2" s="1"/>
  <c r="F1017" i="2"/>
  <c r="H1017" i="2" s="1"/>
  <c r="C1018" i="4" s="1"/>
  <c r="G1017" i="2" l="1"/>
  <c r="C1018" i="2"/>
  <c r="E1018" i="2" s="1"/>
  <c r="F1018" i="2"/>
  <c r="G1018" i="2" s="1"/>
  <c r="D1017" i="2"/>
  <c r="I1017" i="2" s="1"/>
  <c r="A1020" i="2"/>
  <c r="K1019" i="2"/>
  <c r="B1019" i="2"/>
  <c r="B1017" i="4"/>
  <c r="D1017" i="4" s="1"/>
  <c r="J1016" i="2"/>
  <c r="B1019" i="4" l="1"/>
  <c r="B1020" i="2"/>
  <c r="A1021" i="2"/>
  <c r="K1020" i="2"/>
  <c r="D1018" i="2"/>
  <c r="I1018" i="2" s="1"/>
  <c r="H1018" i="2"/>
  <c r="C1019" i="4" s="1"/>
  <c r="F1019" i="2"/>
  <c r="H1019" i="2" s="1"/>
  <c r="C1020" i="4" s="1"/>
  <c r="C1019" i="2"/>
  <c r="D1019" i="2" s="1"/>
  <c r="B1018" i="4"/>
  <c r="D1018" i="4" s="1"/>
  <c r="J1017" i="2"/>
  <c r="E1019" i="2" l="1"/>
  <c r="I1019" i="2" s="1"/>
  <c r="G1019" i="2"/>
  <c r="J1018" i="2"/>
  <c r="A1022" i="2"/>
  <c r="K1021" i="2"/>
  <c r="B1021" i="2"/>
  <c r="F1020" i="2"/>
  <c r="H1020" i="2" s="1"/>
  <c r="C1021" i="4" s="1"/>
  <c r="C1020" i="2"/>
  <c r="E1020" i="2" s="1"/>
  <c r="D1019" i="4"/>
  <c r="G1020" i="2" l="1"/>
  <c r="D1020" i="2"/>
  <c r="I1020" i="2" s="1"/>
  <c r="C1021" i="2"/>
  <c r="D1021" i="2" s="1"/>
  <c r="F1021" i="2"/>
  <c r="H1021" i="2" s="1"/>
  <c r="C1022" i="4" s="1"/>
  <c r="B1020" i="4"/>
  <c r="D1020" i="4" s="1"/>
  <c r="J1019" i="2"/>
  <c r="B1022" i="2"/>
  <c r="A1023" i="2"/>
  <c r="K1022" i="2"/>
  <c r="F1022" i="2" l="1"/>
  <c r="H1022" i="2" s="1"/>
  <c r="C1023" i="4" s="1"/>
  <c r="C1022" i="2"/>
  <c r="E1022" i="2" s="1"/>
  <c r="E1021" i="2"/>
  <c r="I1021" i="2" s="1"/>
  <c r="K1023" i="2"/>
  <c r="A1024" i="2"/>
  <c r="B1023" i="2"/>
  <c r="G1021" i="2"/>
  <c r="B1021" i="4"/>
  <c r="D1021" i="4" s="1"/>
  <c r="J1020" i="2"/>
  <c r="K1024" i="2" l="1"/>
  <c r="B1024" i="2"/>
  <c r="A1025" i="2"/>
  <c r="B1022" i="4"/>
  <c r="D1022" i="4" s="1"/>
  <c r="J1021" i="2"/>
  <c r="F1023" i="2"/>
  <c r="G1023" i="2" s="1"/>
  <c r="C1023" i="2"/>
  <c r="D1023" i="2" s="1"/>
  <c r="D1022" i="2"/>
  <c r="I1022" i="2" s="1"/>
  <c r="G1022" i="2"/>
  <c r="B1024" i="4" l="1"/>
  <c r="B1023" i="4"/>
  <c r="D1023" i="4" s="1"/>
  <c r="J1022" i="2"/>
  <c r="H1023" i="2"/>
  <c r="C1024" i="4" s="1"/>
  <c r="E1023" i="2"/>
  <c r="I1023" i="2" s="1"/>
  <c r="C1024" i="2"/>
  <c r="E1024" i="2" s="1"/>
  <c r="F1024" i="2"/>
  <c r="G1024" i="2" s="1"/>
  <c r="A1026" i="2"/>
  <c r="B1025" i="2"/>
  <c r="K1025" i="2"/>
  <c r="B1025" i="4" l="1"/>
  <c r="B1026" i="2"/>
  <c r="A1027" i="2"/>
  <c r="K1026" i="2"/>
  <c r="H1024" i="2"/>
  <c r="C1025" i="4" s="1"/>
  <c r="F1025" i="2"/>
  <c r="H1025" i="2" s="1"/>
  <c r="C1026" i="4" s="1"/>
  <c r="C1025" i="2"/>
  <c r="E1025" i="2" s="1"/>
  <c r="D1024" i="2"/>
  <c r="I1024" i="2" s="1"/>
  <c r="J1023" i="2"/>
  <c r="D1024" i="4"/>
  <c r="D1025" i="2" l="1"/>
  <c r="I1025" i="2" s="1"/>
  <c r="G1025" i="2"/>
  <c r="B1027" i="2"/>
  <c r="A1028" i="2"/>
  <c r="K1027" i="2"/>
  <c r="J1024" i="2"/>
  <c r="C1026" i="2"/>
  <c r="E1026" i="2" s="1"/>
  <c r="F1026" i="2"/>
  <c r="H1026" i="2" s="1"/>
  <c r="C1027" i="4" s="1"/>
  <c r="D1025" i="4"/>
  <c r="D1026" i="2" l="1"/>
  <c r="I1026" i="2" s="1"/>
  <c r="G1026" i="2"/>
  <c r="F1027" i="2"/>
  <c r="G1027" i="2" s="1"/>
  <c r="C1027" i="2"/>
  <c r="D1027" i="2" s="1"/>
  <c r="B1026" i="4"/>
  <c r="D1026" i="4" s="1"/>
  <c r="J1025" i="2"/>
  <c r="A1029" i="2"/>
  <c r="K1028" i="2"/>
  <c r="B1028" i="2"/>
  <c r="B1028" i="4" l="1"/>
  <c r="C1028" i="2"/>
  <c r="E1028" i="2" s="1"/>
  <c r="F1028" i="2"/>
  <c r="G1028" i="2" s="1"/>
  <c r="B1029" i="2"/>
  <c r="A1030" i="2"/>
  <c r="K1029" i="2"/>
  <c r="H1027" i="2"/>
  <c r="C1028" i="4" s="1"/>
  <c r="B1027" i="4"/>
  <c r="D1027" i="4" s="1"/>
  <c r="J1026" i="2"/>
  <c r="E1027" i="2"/>
  <c r="I1027" i="2" s="1"/>
  <c r="B1029" i="4" l="1"/>
  <c r="K1030" i="2"/>
  <c r="A1031" i="2"/>
  <c r="B1030" i="2"/>
  <c r="C1029" i="2"/>
  <c r="E1029" i="2" s="1"/>
  <c r="F1029" i="2"/>
  <c r="H1029" i="2" s="1"/>
  <c r="C1030" i="4" s="1"/>
  <c r="H1028" i="2"/>
  <c r="C1029" i="4" s="1"/>
  <c r="D1028" i="2"/>
  <c r="I1028" i="2" s="1"/>
  <c r="J1027" i="2"/>
  <c r="D1028" i="4"/>
  <c r="D1029" i="2" l="1"/>
  <c r="I1029" i="2" s="1"/>
  <c r="G1029" i="2"/>
  <c r="F1030" i="2"/>
  <c r="G1030" i="2" s="1"/>
  <c r="C1030" i="2"/>
  <c r="E1030" i="2" s="1"/>
  <c r="A1032" i="2"/>
  <c r="K1031" i="2"/>
  <c r="B1031" i="2"/>
  <c r="J1028" i="2"/>
  <c r="D1029" i="4"/>
  <c r="B1031" i="4" l="1"/>
  <c r="F1031" i="2"/>
  <c r="H1031" i="2" s="1"/>
  <c r="C1032" i="4" s="1"/>
  <c r="C1031" i="2"/>
  <c r="E1031" i="2" s="1"/>
  <c r="K1032" i="2"/>
  <c r="A1033" i="2"/>
  <c r="B1032" i="2"/>
  <c r="H1030" i="2"/>
  <c r="C1031" i="4" s="1"/>
  <c r="B1030" i="4"/>
  <c r="D1030" i="4" s="1"/>
  <c r="J1029" i="2"/>
  <c r="D1030" i="2"/>
  <c r="I1030" i="2" s="1"/>
  <c r="C1032" i="2" l="1"/>
  <c r="E1032" i="2" s="1"/>
  <c r="F1032" i="2"/>
  <c r="H1032" i="2" s="1"/>
  <c r="C1033" i="4" s="1"/>
  <c r="B1033" i="2"/>
  <c r="A1034" i="2"/>
  <c r="K1033" i="2"/>
  <c r="G1031" i="2"/>
  <c r="D1031" i="2"/>
  <c r="I1031" i="2" s="1"/>
  <c r="J1030" i="2"/>
  <c r="D1031" i="4"/>
  <c r="B1032" i="4" l="1"/>
  <c r="D1032" i="4" s="1"/>
  <c r="J1031" i="2"/>
  <c r="F1033" i="2"/>
  <c r="H1033" i="2" s="1"/>
  <c r="C1034" i="4" s="1"/>
  <c r="C1033" i="2"/>
  <c r="D1033" i="2" s="1"/>
  <c r="D1032" i="2"/>
  <c r="I1032" i="2" s="1"/>
  <c r="K1034" i="2"/>
  <c r="B1034" i="2"/>
  <c r="A1035" i="2"/>
  <c r="G1032" i="2"/>
  <c r="A1036" i="2" l="1"/>
  <c r="B1035" i="2"/>
  <c r="K1035" i="2"/>
  <c r="E1033" i="2"/>
  <c r="I1033" i="2" s="1"/>
  <c r="B1033" i="4"/>
  <c r="D1033" i="4" s="1"/>
  <c r="J1032" i="2"/>
  <c r="C1034" i="2"/>
  <c r="D1034" i="2" s="1"/>
  <c r="F1034" i="2"/>
  <c r="G1034" i="2" s="1"/>
  <c r="G1033" i="2"/>
  <c r="B1035" i="4" l="1"/>
  <c r="E1034" i="2"/>
  <c r="I1034" i="2" s="1"/>
  <c r="B1034" i="4"/>
  <c r="D1034" i="4" s="1"/>
  <c r="J1033" i="2"/>
  <c r="H1034" i="2"/>
  <c r="C1035" i="4" s="1"/>
  <c r="F1035" i="2"/>
  <c r="H1035" i="2" s="1"/>
  <c r="C1036" i="4" s="1"/>
  <c r="C1035" i="2"/>
  <c r="D1035" i="2" s="1"/>
  <c r="A1037" i="2"/>
  <c r="K1036" i="2"/>
  <c r="B1036" i="2"/>
  <c r="C1036" i="2" l="1"/>
  <c r="E1036" i="2" s="1"/>
  <c r="F1036" i="2"/>
  <c r="G1036" i="2" s="1"/>
  <c r="B1037" i="2"/>
  <c r="A1038" i="2"/>
  <c r="K1037" i="2"/>
  <c r="J1034" i="2"/>
  <c r="E1035" i="2"/>
  <c r="I1035" i="2" s="1"/>
  <c r="G1035" i="2"/>
  <c r="D1035" i="4"/>
  <c r="B1037" i="4" l="1"/>
  <c r="B1036" i="4"/>
  <c r="D1036" i="4" s="1"/>
  <c r="J1035" i="2"/>
  <c r="F1037" i="2"/>
  <c r="H1037" i="2" s="1"/>
  <c r="C1038" i="4" s="1"/>
  <c r="C1037" i="2"/>
  <c r="D1037" i="2" s="1"/>
  <c r="K1038" i="2"/>
  <c r="B1038" i="2"/>
  <c r="A1039" i="2"/>
  <c r="H1036" i="2"/>
  <c r="C1037" i="4" s="1"/>
  <c r="D1036" i="2"/>
  <c r="I1036" i="2" s="1"/>
  <c r="F1038" i="2" l="1"/>
  <c r="H1038" i="2" s="1"/>
  <c r="C1039" i="4" s="1"/>
  <c r="C1038" i="2"/>
  <c r="E1038" i="2" s="1"/>
  <c r="E1037" i="2"/>
  <c r="I1037" i="2" s="1"/>
  <c r="B1039" i="2"/>
  <c r="A1040" i="2"/>
  <c r="K1039" i="2"/>
  <c r="G1037" i="2"/>
  <c r="J1036" i="2"/>
  <c r="D1037" i="4"/>
  <c r="B1040" i="2" l="1"/>
  <c r="K1040" i="2"/>
  <c r="A1041" i="2"/>
  <c r="D1038" i="2"/>
  <c r="I1038" i="2" s="1"/>
  <c r="B1038" i="4"/>
  <c r="D1038" i="4" s="1"/>
  <c r="J1037" i="2"/>
  <c r="C1039" i="2"/>
  <c r="D1039" i="2" s="1"/>
  <c r="F1039" i="2"/>
  <c r="H1039" i="2" s="1"/>
  <c r="C1040" i="4" s="1"/>
  <c r="G1038" i="2"/>
  <c r="B1039" i="4" l="1"/>
  <c r="D1039" i="4" s="1"/>
  <c r="J1038" i="2"/>
  <c r="G1039" i="2"/>
  <c r="E1039" i="2"/>
  <c r="I1039" i="2" s="1"/>
  <c r="A1042" i="2"/>
  <c r="B1041" i="2"/>
  <c r="K1041" i="2"/>
  <c r="C1040" i="2"/>
  <c r="D1040" i="2" s="1"/>
  <c r="F1040" i="2"/>
  <c r="H1040" i="2" s="1"/>
  <c r="C1041" i="4" s="1"/>
  <c r="E1040" i="2" l="1"/>
  <c r="I1040" i="2" s="1"/>
  <c r="G1040" i="2"/>
  <c r="C1041" i="2"/>
  <c r="D1041" i="2" s="1"/>
  <c r="F1041" i="2"/>
  <c r="H1041" i="2" s="1"/>
  <c r="C1042" i="4" s="1"/>
  <c r="B1042" i="2"/>
  <c r="A1043" i="2"/>
  <c r="K1042" i="2"/>
  <c r="B1040" i="4"/>
  <c r="D1040" i="4" s="1"/>
  <c r="J1039" i="2"/>
  <c r="B1043" i="2" l="1"/>
  <c r="A1044" i="2"/>
  <c r="K1043" i="2"/>
  <c r="C1042" i="2"/>
  <c r="E1042" i="2" s="1"/>
  <c r="F1042" i="2"/>
  <c r="G1042" i="2" s="1"/>
  <c r="E1041" i="2"/>
  <c r="I1041" i="2" s="1"/>
  <c r="G1041" i="2"/>
  <c r="B1041" i="4"/>
  <c r="D1041" i="4" s="1"/>
  <c r="J1040" i="2"/>
  <c r="B1043" i="4" l="1"/>
  <c r="B1042" i="4"/>
  <c r="D1042" i="4" s="1"/>
  <c r="J1041" i="2"/>
  <c r="D1042" i="2"/>
  <c r="I1042" i="2" s="1"/>
  <c r="H1042" i="2"/>
  <c r="C1043" i="4" s="1"/>
  <c r="A1045" i="2"/>
  <c r="K1044" i="2"/>
  <c r="B1044" i="2"/>
  <c r="F1043" i="2"/>
  <c r="G1043" i="2" s="1"/>
  <c r="C1043" i="2"/>
  <c r="D1043" i="2" s="1"/>
  <c r="B1044" i="4" l="1"/>
  <c r="H1043" i="2"/>
  <c r="C1044" i="4" s="1"/>
  <c r="E1043" i="2"/>
  <c r="I1043" i="2" s="1"/>
  <c r="F1044" i="2"/>
  <c r="H1044" i="2" s="1"/>
  <c r="C1045" i="4" s="1"/>
  <c r="C1044" i="2"/>
  <c r="E1044" i="2" s="1"/>
  <c r="B1045" i="2"/>
  <c r="A1046" i="2"/>
  <c r="K1045" i="2"/>
  <c r="J1042" i="2"/>
  <c r="D1043" i="4"/>
  <c r="C1045" i="2" l="1"/>
  <c r="D1045" i="2" s="1"/>
  <c r="F1045" i="2"/>
  <c r="H1045" i="2" s="1"/>
  <c r="C1046" i="4" s="1"/>
  <c r="G1044" i="2"/>
  <c r="K1046" i="2"/>
  <c r="A1047" i="2"/>
  <c r="B1046" i="2"/>
  <c r="D1044" i="2"/>
  <c r="I1044" i="2" s="1"/>
  <c r="J1043" i="2"/>
  <c r="D1044" i="4"/>
  <c r="A1048" i="2" l="1"/>
  <c r="K1047" i="2"/>
  <c r="B1047" i="2"/>
  <c r="B1045" i="4"/>
  <c r="D1045" i="4" s="1"/>
  <c r="J1044" i="2"/>
  <c r="C1046" i="2"/>
  <c r="E1046" i="2" s="1"/>
  <c r="F1046" i="2"/>
  <c r="H1046" i="2" s="1"/>
  <c r="C1047" i="4" s="1"/>
  <c r="E1045" i="2"/>
  <c r="I1045" i="2" s="1"/>
  <c r="G1045" i="2"/>
  <c r="B1046" i="4" l="1"/>
  <c r="D1046" i="4" s="1"/>
  <c r="J1045" i="2"/>
  <c r="D1046" i="2"/>
  <c r="I1046" i="2" s="1"/>
  <c r="G1046" i="2"/>
  <c r="F1047" i="2"/>
  <c r="G1047" i="2" s="1"/>
  <c r="C1047" i="2"/>
  <c r="E1047" i="2" s="1"/>
  <c r="K1048" i="2"/>
  <c r="A1049" i="2"/>
  <c r="B1048" i="2"/>
  <c r="B1048" i="4" l="1"/>
  <c r="D1047" i="2"/>
  <c r="I1047" i="2" s="1"/>
  <c r="H1047" i="2"/>
  <c r="C1048" i="4" s="1"/>
  <c r="F1048" i="2"/>
  <c r="G1048" i="2" s="1"/>
  <c r="C1048" i="2"/>
  <c r="D1048" i="2" s="1"/>
  <c r="B1049" i="2"/>
  <c r="A1050" i="2"/>
  <c r="K1049" i="2"/>
  <c r="B1047" i="4"/>
  <c r="D1047" i="4" s="1"/>
  <c r="J1046" i="2"/>
  <c r="B1049" i="4" l="1"/>
  <c r="E1048" i="2"/>
  <c r="I1048" i="2" s="1"/>
  <c r="H1048" i="2"/>
  <c r="C1049" i="4" s="1"/>
  <c r="K1050" i="2"/>
  <c r="B1050" i="2"/>
  <c r="A1051" i="2"/>
  <c r="J1047" i="2"/>
  <c r="F1049" i="2"/>
  <c r="H1049" i="2" s="1"/>
  <c r="C1050" i="4" s="1"/>
  <c r="C1049" i="2"/>
  <c r="D1049" i="2" s="1"/>
  <c r="D1048" i="4"/>
  <c r="G1049" i="2" l="1"/>
  <c r="E1049" i="2"/>
  <c r="I1049" i="2" s="1"/>
  <c r="J1048" i="2"/>
  <c r="A1052" i="2"/>
  <c r="B1051" i="2"/>
  <c r="K1051" i="2"/>
  <c r="F1050" i="2"/>
  <c r="G1050" i="2" s="1"/>
  <c r="C1050" i="2"/>
  <c r="E1050" i="2" s="1"/>
  <c r="D1049" i="4"/>
  <c r="B1051" i="4" l="1"/>
  <c r="H1050" i="2"/>
  <c r="C1051" i="4" s="1"/>
  <c r="D1050" i="2"/>
  <c r="I1050" i="2" s="1"/>
  <c r="A1053" i="2"/>
  <c r="K1052" i="2"/>
  <c r="B1052" i="2"/>
  <c r="F1051" i="2"/>
  <c r="G1051" i="2" s="1"/>
  <c r="C1051" i="2"/>
  <c r="D1051" i="2" s="1"/>
  <c r="B1050" i="4"/>
  <c r="D1050" i="4" s="1"/>
  <c r="J1049" i="2"/>
  <c r="B1052" i="4" l="1"/>
  <c r="H1051" i="2"/>
  <c r="C1052" i="4" s="1"/>
  <c r="B1053" i="2"/>
  <c r="A1054" i="2"/>
  <c r="K1053" i="2"/>
  <c r="E1051" i="2"/>
  <c r="I1051" i="2" s="1"/>
  <c r="J1050" i="2"/>
  <c r="C1052" i="2"/>
  <c r="E1052" i="2" s="1"/>
  <c r="F1052" i="2"/>
  <c r="H1052" i="2" s="1"/>
  <c r="C1053" i="4" s="1"/>
  <c r="D1051" i="4"/>
  <c r="D1052" i="2" l="1"/>
  <c r="I1052" i="2" s="1"/>
  <c r="G1052" i="2"/>
  <c r="K1054" i="2"/>
  <c r="A1055" i="2"/>
  <c r="B1054" i="2"/>
  <c r="C1053" i="2"/>
  <c r="E1053" i="2" s="1"/>
  <c r="F1053" i="2"/>
  <c r="H1053" i="2" s="1"/>
  <c r="C1054" i="4" s="1"/>
  <c r="J1051" i="2"/>
  <c r="D1052" i="4"/>
  <c r="G1053" i="2" l="1"/>
  <c r="D1053" i="2"/>
  <c r="I1053" i="2" s="1"/>
  <c r="B1055" i="2"/>
  <c r="A1056" i="2"/>
  <c r="K1055" i="2"/>
  <c r="B1053" i="4"/>
  <c r="D1053" i="4" s="1"/>
  <c r="J1052" i="2"/>
  <c r="F1054" i="2"/>
  <c r="H1054" i="2" s="1"/>
  <c r="C1055" i="4" s="1"/>
  <c r="C1054" i="2"/>
  <c r="D1054" i="2" s="1"/>
  <c r="E1054" i="2" l="1"/>
  <c r="I1054" i="2" s="1"/>
  <c r="G1054" i="2"/>
  <c r="B1056" i="2"/>
  <c r="K1056" i="2"/>
  <c r="A1057" i="2"/>
  <c r="C1055" i="2"/>
  <c r="E1055" i="2" s="1"/>
  <c r="F1055" i="2"/>
  <c r="H1055" i="2" s="1"/>
  <c r="C1056" i="4" s="1"/>
  <c r="B1054" i="4"/>
  <c r="D1054" i="4" s="1"/>
  <c r="J1053" i="2"/>
  <c r="G1055" i="2" l="1"/>
  <c r="A1058" i="2"/>
  <c r="B1057" i="2"/>
  <c r="K1057" i="2"/>
  <c r="D1055" i="2"/>
  <c r="I1055" i="2" s="1"/>
  <c r="B1055" i="4"/>
  <c r="D1055" i="4" s="1"/>
  <c r="J1054" i="2"/>
  <c r="C1056" i="2"/>
  <c r="E1056" i="2" s="1"/>
  <c r="F1056" i="2"/>
  <c r="H1056" i="2" s="1"/>
  <c r="C1057" i="4" s="1"/>
  <c r="G1056" i="2" l="1"/>
  <c r="B1058" i="2"/>
  <c r="A1059" i="2"/>
  <c r="K1058" i="2"/>
  <c r="D1056" i="2"/>
  <c r="I1056" i="2" s="1"/>
  <c r="F1057" i="2"/>
  <c r="G1057" i="2" s="1"/>
  <c r="C1057" i="2"/>
  <c r="E1057" i="2" s="1"/>
  <c r="B1056" i="4"/>
  <c r="D1056" i="4" s="1"/>
  <c r="J1055" i="2"/>
  <c r="B1058" i="4" l="1"/>
  <c r="H1057" i="2"/>
  <c r="C1058" i="4" s="1"/>
  <c r="C1058" i="2"/>
  <c r="E1058" i="2" s="1"/>
  <c r="F1058" i="2"/>
  <c r="G1058" i="2" s="1"/>
  <c r="D1057" i="2"/>
  <c r="I1057" i="2" s="1"/>
  <c r="B1059" i="2"/>
  <c r="A1060" i="2"/>
  <c r="K1059" i="2"/>
  <c r="B1057" i="4"/>
  <c r="D1057" i="4" s="1"/>
  <c r="J1056" i="2"/>
  <c r="B1059" i="4" l="1"/>
  <c r="A1061" i="2"/>
  <c r="K1060" i="2"/>
  <c r="B1060" i="2"/>
  <c r="C1059" i="2"/>
  <c r="D1059" i="2" s="1"/>
  <c r="F1059" i="2"/>
  <c r="H1059" i="2" s="1"/>
  <c r="C1060" i="4" s="1"/>
  <c r="D1058" i="2"/>
  <c r="I1058" i="2" s="1"/>
  <c r="H1058" i="2"/>
  <c r="C1059" i="4" s="1"/>
  <c r="J1057" i="2"/>
  <c r="D1058" i="4"/>
  <c r="E1059" i="2" l="1"/>
  <c r="I1059" i="2" s="1"/>
  <c r="G1059" i="2"/>
  <c r="J1058" i="2"/>
  <c r="F1060" i="2"/>
  <c r="G1060" i="2" s="1"/>
  <c r="C1060" i="2"/>
  <c r="E1060" i="2" s="1"/>
  <c r="B1061" i="2"/>
  <c r="A1062" i="2"/>
  <c r="K1061" i="2"/>
  <c r="D1059" i="4"/>
  <c r="B1061" i="4" l="1"/>
  <c r="F1061" i="2"/>
  <c r="H1061" i="2" s="1"/>
  <c r="C1062" i="4" s="1"/>
  <c r="C1061" i="2"/>
  <c r="D1061" i="2" s="1"/>
  <c r="D1060" i="2"/>
  <c r="I1060" i="2" s="1"/>
  <c r="K1062" i="2"/>
  <c r="A1063" i="2"/>
  <c r="B1062" i="2"/>
  <c r="B1060" i="4"/>
  <c r="D1060" i="4" s="1"/>
  <c r="J1059" i="2"/>
  <c r="H1060" i="2"/>
  <c r="C1061" i="4" s="1"/>
  <c r="A1064" i="2" l="1"/>
  <c r="K1063" i="2"/>
  <c r="B1063" i="2"/>
  <c r="E1061" i="2"/>
  <c r="I1061" i="2" s="1"/>
  <c r="J1060" i="2"/>
  <c r="F1062" i="2"/>
  <c r="H1062" i="2" s="1"/>
  <c r="C1063" i="4" s="1"/>
  <c r="C1062" i="2"/>
  <c r="E1062" i="2" s="1"/>
  <c r="G1061" i="2"/>
  <c r="D1061" i="4"/>
  <c r="B1062" i="4" l="1"/>
  <c r="D1062" i="4" s="1"/>
  <c r="J1061" i="2"/>
  <c r="G1062" i="2"/>
  <c r="D1062" i="2"/>
  <c r="I1062" i="2" s="1"/>
  <c r="F1063" i="2"/>
  <c r="H1063" i="2" s="1"/>
  <c r="C1064" i="4" s="1"/>
  <c r="C1063" i="2"/>
  <c r="D1063" i="2" s="1"/>
  <c r="K1064" i="2"/>
  <c r="A1065" i="2"/>
  <c r="B1064" i="2"/>
  <c r="F1064" i="2" l="1"/>
  <c r="H1064" i="2" s="1"/>
  <c r="C1065" i="4" s="1"/>
  <c r="C1064" i="2"/>
  <c r="E1064" i="2" s="1"/>
  <c r="B1065" i="2"/>
  <c r="A1066" i="2"/>
  <c r="K1065" i="2"/>
  <c r="E1063" i="2"/>
  <c r="I1063" i="2" s="1"/>
  <c r="G1063" i="2"/>
  <c r="B1063" i="4"/>
  <c r="D1063" i="4" s="1"/>
  <c r="J1062" i="2"/>
  <c r="K1066" i="2" l="1"/>
  <c r="B1066" i="2"/>
  <c r="A1067" i="2"/>
  <c r="F1065" i="2"/>
  <c r="H1065" i="2" s="1"/>
  <c r="C1066" i="4" s="1"/>
  <c r="C1065" i="2"/>
  <c r="E1065" i="2" s="1"/>
  <c r="G1064" i="2"/>
  <c r="B1064" i="4"/>
  <c r="D1064" i="4" s="1"/>
  <c r="J1063" i="2"/>
  <c r="D1064" i="2"/>
  <c r="I1064" i="2" s="1"/>
  <c r="D1065" i="2" l="1"/>
  <c r="I1065" i="2" s="1"/>
  <c r="C1066" i="2"/>
  <c r="E1066" i="2" s="1"/>
  <c r="F1066" i="2"/>
  <c r="H1066" i="2" s="1"/>
  <c r="C1067" i="4" s="1"/>
  <c r="B1065" i="4"/>
  <c r="D1065" i="4" s="1"/>
  <c r="J1064" i="2"/>
  <c r="G1065" i="2"/>
  <c r="A1068" i="2"/>
  <c r="B1067" i="2"/>
  <c r="K1067" i="2"/>
  <c r="A1069" i="2" l="1"/>
  <c r="K1068" i="2"/>
  <c r="B1068" i="2"/>
  <c r="B1066" i="4"/>
  <c r="D1066" i="4" s="1"/>
  <c r="J1065" i="2"/>
  <c r="C1067" i="2"/>
  <c r="D1067" i="2" s="1"/>
  <c r="F1067" i="2"/>
  <c r="H1067" i="2" s="1"/>
  <c r="C1068" i="4" s="1"/>
  <c r="D1066" i="2"/>
  <c r="I1066" i="2" s="1"/>
  <c r="G1066" i="2"/>
  <c r="B1067" i="4" l="1"/>
  <c r="D1067" i="4" s="1"/>
  <c r="J1066" i="2"/>
  <c r="G1067" i="2"/>
  <c r="E1067" i="2"/>
  <c r="I1067" i="2" s="1"/>
  <c r="C1068" i="2"/>
  <c r="D1068" i="2" s="1"/>
  <c r="F1068" i="2"/>
  <c r="G1068" i="2" s="1"/>
  <c r="B1069" i="2"/>
  <c r="A1070" i="2"/>
  <c r="K1069" i="2"/>
  <c r="B1069" i="4" l="1"/>
  <c r="K1070" i="2"/>
  <c r="B1070" i="2"/>
  <c r="A1071" i="2"/>
  <c r="H1068" i="2"/>
  <c r="C1069" i="4" s="1"/>
  <c r="E1068" i="2"/>
  <c r="I1068" i="2" s="1"/>
  <c r="F1069" i="2"/>
  <c r="H1069" i="2" s="1"/>
  <c r="C1070" i="4" s="1"/>
  <c r="C1069" i="2"/>
  <c r="D1069" i="2" s="1"/>
  <c r="B1068" i="4"/>
  <c r="D1068" i="4" s="1"/>
  <c r="J1067" i="2"/>
  <c r="E1069" i="2" l="1"/>
  <c r="I1069" i="2" s="1"/>
  <c r="G1069" i="2"/>
  <c r="B1071" i="2"/>
  <c r="A1072" i="2"/>
  <c r="K1071" i="2"/>
  <c r="C1070" i="2"/>
  <c r="E1070" i="2" s="1"/>
  <c r="F1070" i="2"/>
  <c r="H1070" i="2" s="1"/>
  <c r="C1071" i="4" s="1"/>
  <c r="J1068" i="2"/>
  <c r="D1069" i="4"/>
  <c r="D1070" i="2" l="1"/>
  <c r="I1070" i="2" s="1"/>
  <c r="B1070" i="4"/>
  <c r="D1070" i="4" s="1"/>
  <c r="J1069" i="2"/>
  <c r="G1070" i="2"/>
  <c r="B1072" i="2"/>
  <c r="K1072" i="2"/>
  <c r="A1073" i="2"/>
  <c r="C1071" i="2"/>
  <c r="D1071" i="2" s="1"/>
  <c r="F1071" i="2"/>
  <c r="H1071" i="2" s="1"/>
  <c r="C1072" i="4" s="1"/>
  <c r="A1074" i="2" l="1"/>
  <c r="B1073" i="2"/>
  <c r="K1073" i="2"/>
  <c r="C1072" i="2"/>
  <c r="D1072" i="2" s="1"/>
  <c r="F1072" i="2"/>
  <c r="G1072" i="2" s="1"/>
  <c r="E1071" i="2"/>
  <c r="I1071" i="2" s="1"/>
  <c r="G1071" i="2"/>
  <c r="B1071" i="4"/>
  <c r="D1071" i="4" s="1"/>
  <c r="J1070" i="2"/>
  <c r="B1073" i="4" l="1"/>
  <c r="B1072" i="4"/>
  <c r="D1072" i="4" s="1"/>
  <c r="J1071" i="2"/>
  <c r="E1072" i="2"/>
  <c r="I1072" i="2" s="1"/>
  <c r="H1072" i="2"/>
  <c r="C1073" i="4" s="1"/>
  <c r="F1073" i="2"/>
  <c r="H1073" i="2" s="1"/>
  <c r="C1074" i="4" s="1"/>
  <c r="C1073" i="2"/>
  <c r="E1073" i="2" s="1"/>
  <c r="B1074" i="2"/>
  <c r="A1075" i="2"/>
  <c r="K1074" i="2"/>
  <c r="C1074" i="2" l="1"/>
  <c r="E1074" i="2" s="1"/>
  <c r="F1074" i="2"/>
  <c r="G1074" i="2" s="1"/>
  <c r="G1073" i="2"/>
  <c r="B1075" i="2"/>
  <c r="A1076" i="2"/>
  <c r="K1075" i="2"/>
  <c r="D1073" i="2"/>
  <c r="I1073" i="2" s="1"/>
  <c r="J1072" i="2"/>
  <c r="D1073" i="4"/>
  <c r="B1075" i="4" l="1"/>
  <c r="A1077" i="2"/>
  <c r="K1076" i="2"/>
  <c r="B1076" i="2"/>
  <c r="B1074" i="4"/>
  <c r="D1074" i="4" s="1"/>
  <c r="J1073" i="2"/>
  <c r="F1075" i="2"/>
  <c r="H1075" i="2" s="1"/>
  <c r="C1076" i="4" s="1"/>
  <c r="C1075" i="2"/>
  <c r="E1075" i="2" s="1"/>
  <c r="D1074" i="2"/>
  <c r="I1074" i="2" s="1"/>
  <c r="H1074" i="2"/>
  <c r="C1075" i="4" s="1"/>
  <c r="D1075" i="2" l="1"/>
  <c r="I1075" i="2" s="1"/>
  <c r="G1075" i="2"/>
  <c r="J1074" i="2"/>
  <c r="C1076" i="2"/>
  <c r="E1076" i="2" s="1"/>
  <c r="F1076" i="2"/>
  <c r="G1076" i="2" s="1"/>
  <c r="B1077" i="2"/>
  <c r="A1078" i="2"/>
  <c r="K1077" i="2"/>
  <c r="D1075" i="4"/>
  <c r="B1077" i="4" l="1"/>
  <c r="K1078" i="2"/>
  <c r="A1079" i="2"/>
  <c r="B1078" i="2"/>
  <c r="F1077" i="2"/>
  <c r="H1077" i="2" s="1"/>
  <c r="C1078" i="4" s="1"/>
  <c r="C1077" i="2"/>
  <c r="D1077" i="2" s="1"/>
  <c r="B1076" i="4"/>
  <c r="D1076" i="4" s="1"/>
  <c r="J1075" i="2"/>
  <c r="H1076" i="2"/>
  <c r="C1077" i="4" s="1"/>
  <c r="D1076" i="2"/>
  <c r="I1076" i="2" s="1"/>
  <c r="E1077" i="2" l="1"/>
  <c r="I1077" i="2" s="1"/>
  <c r="G1077" i="2"/>
  <c r="C1078" i="2"/>
  <c r="D1078" i="2" s="1"/>
  <c r="F1078" i="2"/>
  <c r="G1078" i="2" s="1"/>
  <c r="A1080" i="2"/>
  <c r="K1079" i="2"/>
  <c r="B1079" i="2"/>
  <c r="J1076" i="2"/>
  <c r="D1077" i="4"/>
  <c r="B1079" i="4" l="1"/>
  <c r="F1079" i="2"/>
  <c r="H1079" i="2" s="1"/>
  <c r="C1080" i="4" s="1"/>
  <c r="C1079" i="2"/>
  <c r="D1079" i="2" s="1"/>
  <c r="E1078" i="2"/>
  <c r="I1078" i="2" s="1"/>
  <c r="H1078" i="2"/>
  <c r="C1079" i="4" s="1"/>
  <c r="K1080" i="2"/>
  <c r="A1081" i="2"/>
  <c r="B1080" i="2"/>
  <c r="B1078" i="4"/>
  <c r="D1078" i="4" s="1"/>
  <c r="J1077" i="2"/>
  <c r="B1081" i="2" l="1"/>
  <c r="A1082" i="2"/>
  <c r="K1081" i="2"/>
  <c r="C1080" i="2"/>
  <c r="D1080" i="2" s="1"/>
  <c r="F1080" i="2"/>
  <c r="H1080" i="2" s="1"/>
  <c r="C1081" i="4" s="1"/>
  <c r="G1079" i="2"/>
  <c r="E1079" i="2"/>
  <c r="I1079" i="2" s="1"/>
  <c r="J1078" i="2"/>
  <c r="D1079" i="4"/>
  <c r="E1080" i="2" l="1"/>
  <c r="I1080" i="2" s="1"/>
  <c r="G1080" i="2"/>
  <c r="K1082" i="2"/>
  <c r="B1082" i="2"/>
  <c r="A1083" i="2"/>
  <c r="B1080" i="4"/>
  <c r="D1080" i="4" s="1"/>
  <c r="J1079" i="2"/>
  <c r="C1081" i="2"/>
  <c r="D1081" i="2" s="1"/>
  <c r="F1081" i="2"/>
  <c r="H1081" i="2" s="1"/>
  <c r="C1082" i="4" s="1"/>
  <c r="G1081" i="2" l="1"/>
  <c r="E1081" i="2"/>
  <c r="I1081" i="2" s="1"/>
  <c r="B1081" i="4"/>
  <c r="D1081" i="4" s="1"/>
  <c r="J1080" i="2"/>
  <c r="A1084" i="2"/>
  <c r="B1083" i="2"/>
  <c r="K1083" i="2"/>
  <c r="C1082" i="2"/>
  <c r="E1082" i="2" s="1"/>
  <c r="F1082" i="2"/>
  <c r="H1082" i="2" s="1"/>
  <c r="C1083" i="4" s="1"/>
  <c r="G1082" i="2" l="1"/>
  <c r="F1083" i="2"/>
  <c r="H1083" i="2" s="1"/>
  <c r="C1084" i="4" s="1"/>
  <c r="C1083" i="2"/>
  <c r="D1083" i="2" s="1"/>
  <c r="B1084" i="2"/>
  <c r="A1085" i="2"/>
  <c r="K1084" i="2"/>
  <c r="D1082" i="2"/>
  <c r="I1082" i="2" s="1"/>
  <c r="B1082" i="4"/>
  <c r="D1082" i="4" s="1"/>
  <c r="J1081" i="2"/>
  <c r="B1085" i="2" l="1"/>
  <c r="A1086" i="2"/>
  <c r="K1085" i="2"/>
  <c r="E1083" i="2"/>
  <c r="I1083" i="2" s="1"/>
  <c r="G1083" i="2"/>
  <c r="C1084" i="2"/>
  <c r="D1084" i="2" s="1"/>
  <c r="F1084" i="2"/>
  <c r="H1084" i="2" s="1"/>
  <c r="C1085" i="4" s="1"/>
  <c r="B1083" i="4"/>
  <c r="D1083" i="4" s="1"/>
  <c r="J1082" i="2"/>
  <c r="B1084" i="4" l="1"/>
  <c r="D1084" i="4" s="1"/>
  <c r="J1083" i="2"/>
  <c r="G1084" i="2"/>
  <c r="E1084" i="2"/>
  <c r="I1084" i="2" s="1"/>
  <c r="A1087" i="2"/>
  <c r="K1086" i="2"/>
  <c r="B1086" i="2"/>
  <c r="C1085" i="2"/>
  <c r="D1085" i="2" s="1"/>
  <c r="F1085" i="2"/>
  <c r="H1085" i="2" s="1"/>
  <c r="C1086" i="4" s="1"/>
  <c r="G1085" i="2" l="1"/>
  <c r="B1087" i="2"/>
  <c r="A1088" i="2"/>
  <c r="K1087" i="2"/>
  <c r="E1085" i="2"/>
  <c r="I1085" i="2" s="1"/>
  <c r="F1086" i="2"/>
  <c r="H1086" i="2" s="1"/>
  <c r="C1087" i="4" s="1"/>
  <c r="C1086" i="2"/>
  <c r="E1086" i="2" s="1"/>
  <c r="B1085" i="4"/>
  <c r="D1085" i="4" s="1"/>
  <c r="J1084" i="2"/>
  <c r="C1087" i="2" l="1"/>
  <c r="D1087" i="2" s="1"/>
  <c r="F1087" i="2"/>
  <c r="H1087" i="2" s="1"/>
  <c r="C1088" i="4" s="1"/>
  <c r="D1086" i="2"/>
  <c r="I1086" i="2" s="1"/>
  <c r="G1086" i="2"/>
  <c r="B1088" i="2"/>
  <c r="K1088" i="2"/>
  <c r="A1089" i="2"/>
  <c r="B1086" i="4"/>
  <c r="D1086" i="4" s="1"/>
  <c r="J1085" i="2"/>
  <c r="B1087" i="4" l="1"/>
  <c r="D1087" i="4" s="1"/>
  <c r="J1086" i="2"/>
  <c r="A1090" i="2"/>
  <c r="K1089" i="2"/>
  <c r="B1089" i="2"/>
  <c r="F1088" i="2"/>
  <c r="H1088" i="2" s="1"/>
  <c r="C1089" i="4" s="1"/>
  <c r="C1088" i="2"/>
  <c r="D1088" i="2" s="1"/>
  <c r="G1087" i="2"/>
  <c r="E1087" i="2"/>
  <c r="I1087" i="2" s="1"/>
  <c r="B1088" i="4" l="1"/>
  <c r="D1088" i="4" s="1"/>
  <c r="J1087" i="2"/>
  <c r="E1088" i="2"/>
  <c r="I1088" i="2" s="1"/>
  <c r="G1088" i="2"/>
  <c r="F1089" i="2"/>
  <c r="H1089" i="2" s="1"/>
  <c r="C1090" i="4" s="1"/>
  <c r="C1089" i="2"/>
  <c r="D1089" i="2" s="1"/>
  <c r="B1090" i="2"/>
  <c r="A1091" i="2"/>
  <c r="K1090" i="2"/>
  <c r="B1091" i="2" l="1"/>
  <c r="A1092" i="2"/>
  <c r="K1091" i="2"/>
  <c r="E1089" i="2"/>
  <c r="I1089" i="2" s="1"/>
  <c r="C1090" i="2"/>
  <c r="E1090" i="2" s="1"/>
  <c r="F1090" i="2"/>
  <c r="H1090" i="2" s="1"/>
  <c r="C1091" i="4" s="1"/>
  <c r="B1089" i="4"/>
  <c r="D1089" i="4" s="1"/>
  <c r="J1088" i="2"/>
  <c r="G1089" i="2"/>
  <c r="B1090" i="4" l="1"/>
  <c r="D1090" i="4" s="1"/>
  <c r="J1089" i="2"/>
  <c r="G1090" i="2"/>
  <c r="D1090" i="2"/>
  <c r="I1090" i="2" s="1"/>
  <c r="A1093" i="2"/>
  <c r="K1092" i="2"/>
  <c r="B1092" i="2"/>
  <c r="F1091" i="2"/>
  <c r="H1091" i="2" s="1"/>
  <c r="C1092" i="4" s="1"/>
  <c r="C1091" i="2"/>
  <c r="D1091" i="2" s="1"/>
  <c r="E1091" i="2" l="1"/>
  <c r="I1091" i="2" s="1"/>
  <c r="G1091" i="2"/>
  <c r="B1093" i="2"/>
  <c r="A1094" i="2"/>
  <c r="K1093" i="2"/>
  <c r="C1092" i="2"/>
  <c r="D1092" i="2" s="1"/>
  <c r="F1092" i="2"/>
  <c r="H1092" i="2" s="1"/>
  <c r="C1093" i="4" s="1"/>
  <c r="B1091" i="4"/>
  <c r="D1091" i="4" s="1"/>
  <c r="J1090" i="2"/>
  <c r="E1092" i="2" l="1"/>
  <c r="I1092" i="2" s="1"/>
  <c r="G1092" i="2"/>
  <c r="B1092" i="4"/>
  <c r="D1092" i="4" s="1"/>
  <c r="J1091" i="2"/>
  <c r="B1094" i="2"/>
  <c r="A1095" i="2"/>
  <c r="K1094" i="2"/>
  <c r="F1093" i="2"/>
  <c r="H1093" i="2" s="1"/>
  <c r="C1094" i="4" s="1"/>
  <c r="C1093" i="2"/>
  <c r="E1093" i="2" s="1"/>
  <c r="D1093" i="2" l="1"/>
  <c r="I1093" i="2" s="1"/>
  <c r="G1093" i="2"/>
  <c r="A1096" i="2"/>
  <c r="K1095" i="2"/>
  <c r="B1095" i="2"/>
  <c r="F1094" i="2"/>
  <c r="G1094" i="2" s="1"/>
  <c r="C1094" i="2"/>
  <c r="E1094" i="2" s="1"/>
  <c r="B1093" i="4"/>
  <c r="D1093" i="4" s="1"/>
  <c r="J1092" i="2"/>
  <c r="B1095" i="4" l="1"/>
  <c r="D1094" i="2"/>
  <c r="I1094" i="2" s="1"/>
  <c r="H1094" i="2"/>
  <c r="C1095" i="4" s="1"/>
  <c r="A1097" i="2"/>
  <c r="K1096" i="2"/>
  <c r="B1096" i="2"/>
  <c r="C1095" i="2"/>
  <c r="E1095" i="2" s="1"/>
  <c r="F1095" i="2"/>
  <c r="H1095" i="2" s="1"/>
  <c r="C1096" i="4" s="1"/>
  <c r="B1094" i="4"/>
  <c r="D1094" i="4" s="1"/>
  <c r="J1093" i="2"/>
  <c r="G1095" i="2" l="1"/>
  <c r="D1095" i="2"/>
  <c r="I1095" i="2" s="1"/>
  <c r="F1096" i="2"/>
  <c r="H1096" i="2" s="1"/>
  <c r="C1097" i="4" s="1"/>
  <c r="C1096" i="2"/>
  <c r="D1096" i="2" s="1"/>
  <c r="B1097" i="2"/>
  <c r="A1098" i="2"/>
  <c r="K1097" i="2"/>
  <c r="J1094" i="2"/>
  <c r="D1095" i="4"/>
  <c r="K1098" i="2" l="1"/>
  <c r="B1098" i="2"/>
  <c r="A1099" i="2"/>
  <c r="E1096" i="2"/>
  <c r="I1096" i="2" s="1"/>
  <c r="C1097" i="2"/>
  <c r="E1097" i="2" s="1"/>
  <c r="F1097" i="2"/>
  <c r="H1097" i="2" s="1"/>
  <c r="C1098" i="4" s="1"/>
  <c r="G1096" i="2"/>
  <c r="B1096" i="4"/>
  <c r="D1096" i="4" s="1"/>
  <c r="J1095" i="2"/>
  <c r="B1097" i="4" l="1"/>
  <c r="D1097" i="4" s="1"/>
  <c r="J1096" i="2"/>
  <c r="G1097" i="2"/>
  <c r="D1097" i="2"/>
  <c r="I1097" i="2" s="1"/>
  <c r="F1098" i="2"/>
  <c r="G1098" i="2" s="1"/>
  <c r="C1098" i="2"/>
  <c r="D1098" i="2" s="1"/>
  <c r="A1100" i="2"/>
  <c r="K1099" i="2"/>
  <c r="B1099" i="2"/>
  <c r="B1099" i="4" l="1"/>
  <c r="F1099" i="2"/>
  <c r="H1099" i="2" s="1"/>
  <c r="C1100" i="4" s="1"/>
  <c r="C1099" i="2"/>
  <c r="E1099" i="2" s="1"/>
  <c r="B1100" i="2"/>
  <c r="A1101" i="2"/>
  <c r="K1100" i="2"/>
  <c r="E1098" i="2"/>
  <c r="I1098" i="2" s="1"/>
  <c r="H1098" i="2"/>
  <c r="C1099" i="4" s="1"/>
  <c r="B1098" i="4"/>
  <c r="D1098" i="4" s="1"/>
  <c r="J1097" i="2"/>
  <c r="B1101" i="2" l="1"/>
  <c r="A1102" i="2"/>
  <c r="K1101" i="2"/>
  <c r="C1100" i="2"/>
  <c r="E1100" i="2" s="1"/>
  <c r="F1100" i="2"/>
  <c r="H1100" i="2" s="1"/>
  <c r="C1101" i="4" s="1"/>
  <c r="D1099" i="2"/>
  <c r="I1099" i="2" s="1"/>
  <c r="G1099" i="2"/>
  <c r="J1098" i="2"/>
  <c r="D1099" i="4"/>
  <c r="B1100" i="4" l="1"/>
  <c r="D1100" i="4" s="1"/>
  <c r="J1099" i="2"/>
  <c r="G1100" i="2"/>
  <c r="D1100" i="2"/>
  <c r="I1100" i="2" s="1"/>
  <c r="A1103" i="2"/>
  <c r="K1102" i="2"/>
  <c r="B1102" i="2"/>
  <c r="F1101" i="2"/>
  <c r="G1101" i="2" s="1"/>
  <c r="C1101" i="2"/>
  <c r="D1101" i="2" s="1"/>
  <c r="B1102" i="4" l="1"/>
  <c r="E1101" i="2"/>
  <c r="I1101" i="2" s="1"/>
  <c r="H1101" i="2"/>
  <c r="C1102" i="4" s="1"/>
  <c r="B1103" i="2"/>
  <c r="A1104" i="2"/>
  <c r="K1103" i="2"/>
  <c r="F1102" i="2"/>
  <c r="H1102" i="2" s="1"/>
  <c r="C1103" i="4" s="1"/>
  <c r="C1102" i="2"/>
  <c r="D1102" i="2" s="1"/>
  <c r="B1101" i="4"/>
  <c r="D1101" i="4" s="1"/>
  <c r="J1100" i="2"/>
  <c r="G1102" i="2" l="1"/>
  <c r="C1103" i="2"/>
  <c r="D1103" i="2" s="1"/>
  <c r="F1103" i="2"/>
  <c r="H1103" i="2" s="1"/>
  <c r="C1104" i="4" s="1"/>
  <c r="E1102" i="2"/>
  <c r="I1102" i="2" s="1"/>
  <c r="J1101" i="2"/>
  <c r="B1104" i="2"/>
  <c r="A1105" i="2"/>
  <c r="K1104" i="2"/>
  <c r="D1102" i="4"/>
  <c r="A1106" i="2" l="1"/>
  <c r="K1105" i="2"/>
  <c r="B1105" i="2"/>
  <c r="F1104" i="2"/>
  <c r="H1104" i="2" s="1"/>
  <c r="C1105" i="4" s="1"/>
  <c r="C1104" i="2"/>
  <c r="D1104" i="2" s="1"/>
  <c r="E1103" i="2"/>
  <c r="I1103" i="2" s="1"/>
  <c r="B1103" i="4"/>
  <c r="D1103" i="4" s="1"/>
  <c r="J1102" i="2"/>
  <c r="G1103" i="2"/>
  <c r="E1104" i="2" l="1"/>
  <c r="I1104" i="2" s="1"/>
  <c r="B1104" i="4"/>
  <c r="D1104" i="4" s="1"/>
  <c r="J1103" i="2"/>
  <c r="G1104" i="2"/>
  <c r="C1105" i="2"/>
  <c r="D1105" i="2" s="1"/>
  <c r="F1105" i="2"/>
  <c r="H1105" i="2" s="1"/>
  <c r="C1106" i="4" s="1"/>
  <c r="B1106" i="2"/>
  <c r="A1107" i="2"/>
  <c r="K1106" i="2"/>
  <c r="B1107" i="2" l="1"/>
  <c r="A1108" i="2"/>
  <c r="K1107" i="2"/>
  <c r="E1105" i="2"/>
  <c r="I1105" i="2" s="1"/>
  <c r="C1106" i="2"/>
  <c r="D1106" i="2" s="1"/>
  <c r="F1106" i="2"/>
  <c r="G1106" i="2" s="1"/>
  <c r="B1105" i="4"/>
  <c r="D1105" i="4" s="1"/>
  <c r="J1104" i="2"/>
  <c r="G1105" i="2"/>
  <c r="B1107" i="4" l="1"/>
  <c r="B1106" i="4"/>
  <c r="D1106" i="4" s="1"/>
  <c r="J1105" i="2"/>
  <c r="E1106" i="2"/>
  <c r="I1106" i="2" s="1"/>
  <c r="H1106" i="2"/>
  <c r="C1107" i="4" s="1"/>
  <c r="A1109" i="2"/>
  <c r="K1108" i="2"/>
  <c r="B1108" i="2"/>
  <c r="F1107" i="2"/>
  <c r="H1107" i="2" s="1"/>
  <c r="C1108" i="4" s="1"/>
  <c r="C1107" i="2"/>
  <c r="E1107" i="2" s="1"/>
  <c r="G1107" i="2" l="1"/>
  <c r="J1106" i="2"/>
  <c r="D1107" i="2"/>
  <c r="I1107" i="2" s="1"/>
  <c r="F1108" i="2"/>
  <c r="G1108" i="2" s="1"/>
  <c r="C1108" i="2"/>
  <c r="E1108" i="2" s="1"/>
  <c r="B1109" i="2"/>
  <c r="A1110" i="2"/>
  <c r="K1109" i="2"/>
  <c r="D1107" i="4"/>
  <c r="B1109" i="4" l="1"/>
  <c r="B1110" i="2"/>
  <c r="A1111" i="2"/>
  <c r="K1110" i="2"/>
  <c r="D1108" i="2"/>
  <c r="I1108" i="2" s="1"/>
  <c r="H1108" i="2"/>
  <c r="C1109" i="4" s="1"/>
  <c r="F1109" i="2"/>
  <c r="H1109" i="2" s="1"/>
  <c r="C1110" i="4" s="1"/>
  <c r="C1109" i="2"/>
  <c r="E1109" i="2" s="1"/>
  <c r="B1108" i="4"/>
  <c r="D1108" i="4" s="1"/>
  <c r="J1107" i="2"/>
  <c r="G1109" i="2" l="1"/>
  <c r="A1112" i="2"/>
  <c r="K1111" i="2"/>
  <c r="B1111" i="2"/>
  <c r="J1108" i="2"/>
  <c r="D1109" i="2"/>
  <c r="I1109" i="2" s="1"/>
  <c r="F1110" i="2"/>
  <c r="G1110" i="2" s="1"/>
  <c r="C1110" i="2"/>
  <c r="D1110" i="2" s="1"/>
  <c r="D1109" i="4"/>
  <c r="B1111" i="4" l="1"/>
  <c r="H1110" i="2"/>
  <c r="C1111" i="4" s="1"/>
  <c r="E1110" i="2"/>
  <c r="I1110" i="2" s="1"/>
  <c r="A1113" i="2"/>
  <c r="K1112" i="2"/>
  <c r="B1112" i="2"/>
  <c r="C1111" i="2"/>
  <c r="E1111" i="2" s="1"/>
  <c r="F1111" i="2"/>
  <c r="G1111" i="2" s="1"/>
  <c r="B1110" i="4"/>
  <c r="D1110" i="4" s="1"/>
  <c r="J1109" i="2"/>
  <c r="B1112" i="4" l="1"/>
  <c r="D1111" i="2"/>
  <c r="I1111" i="2" s="1"/>
  <c r="H1111" i="2"/>
  <c r="C1112" i="4" s="1"/>
  <c r="C1112" i="2"/>
  <c r="E1112" i="2" s="1"/>
  <c r="F1112" i="2"/>
  <c r="H1112" i="2" s="1"/>
  <c r="C1113" i="4" s="1"/>
  <c r="B1113" i="2"/>
  <c r="A1114" i="2"/>
  <c r="K1113" i="2"/>
  <c r="J1110" i="2"/>
  <c r="D1111" i="4"/>
  <c r="K1114" i="2" l="1"/>
  <c r="B1114" i="2"/>
  <c r="A1115" i="2"/>
  <c r="D1112" i="2"/>
  <c r="I1112" i="2" s="1"/>
  <c r="G1112" i="2"/>
  <c r="F1113" i="2"/>
  <c r="G1113" i="2" s="1"/>
  <c r="C1113" i="2"/>
  <c r="E1113" i="2" s="1"/>
  <c r="J1111" i="2"/>
  <c r="D1112" i="4"/>
  <c r="B1114" i="4" l="1"/>
  <c r="H1113" i="2"/>
  <c r="C1114" i="4" s="1"/>
  <c r="D1113" i="2"/>
  <c r="I1113" i="2" s="1"/>
  <c r="A1116" i="2"/>
  <c r="K1115" i="2"/>
  <c r="B1115" i="2"/>
  <c r="B1113" i="4"/>
  <c r="D1113" i="4" s="1"/>
  <c r="J1112" i="2"/>
  <c r="F1114" i="2"/>
  <c r="H1114" i="2" s="1"/>
  <c r="C1115" i="4" s="1"/>
  <c r="C1114" i="2"/>
  <c r="D1114" i="2" s="1"/>
  <c r="B1116" i="2" l="1"/>
  <c r="A1117" i="2"/>
  <c r="K1116" i="2"/>
  <c r="E1114" i="2"/>
  <c r="I1114" i="2" s="1"/>
  <c r="J1113" i="2"/>
  <c r="G1114" i="2"/>
  <c r="F1115" i="2"/>
  <c r="H1115" i="2" s="1"/>
  <c r="C1116" i="4" s="1"/>
  <c r="C1115" i="2"/>
  <c r="E1115" i="2" s="1"/>
  <c r="D1114" i="4"/>
  <c r="B1115" i="4" l="1"/>
  <c r="D1115" i="4" s="1"/>
  <c r="J1114" i="2"/>
  <c r="D1115" i="2"/>
  <c r="I1115" i="2" s="1"/>
  <c r="G1115" i="2"/>
  <c r="B1117" i="2"/>
  <c r="A1118" i="2"/>
  <c r="K1117" i="2"/>
  <c r="F1116" i="2"/>
  <c r="G1116" i="2" s="1"/>
  <c r="C1116" i="2"/>
  <c r="E1116" i="2" s="1"/>
  <c r="B1117" i="4" l="1"/>
  <c r="H1116" i="2"/>
  <c r="C1117" i="4" s="1"/>
  <c r="D1116" i="2"/>
  <c r="I1116" i="2" s="1"/>
  <c r="A1119" i="2"/>
  <c r="K1118" i="2"/>
  <c r="B1118" i="2"/>
  <c r="B1116" i="4"/>
  <c r="D1116" i="4" s="1"/>
  <c r="J1115" i="2"/>
  <c r="F1117" i="2"/>
  <c r="G1117" i="2" s="1"/>
  <c r="C1117" i="2"/>
  <c r="E1117" i="2" s="1"/>
  <c r="B1118" i="4" l="1"/>
  <c r="D1117" i="2"/>
  <c r="I1117" i="2" s="1"/>
  <c r="C1118" i="2"/>
  <c r="E1118" i="2" s="1"/>
  <c r="F1118" i="2"/>
  <c r="H1118" i="2" s="1"/>
  <c r="C1119" i="4" s="1"/>
  <c r="B1119" i="2"/>
  <c r="A1120" i="2"/>
  <c r="K1119" i="2"/>
  <c r="H1117" i="2"/>
  <c r="C1118" i="4" s="1"/>
  <c r="J1116" i="2"/>
  <c r="D1117" i="4"/>
  <c r="B1120" i="2" l="1"/>
  <c r="A1121" i="2"/>
  <c r="K1120" i="2"/>
  <c r="F1119" i="2"/>
  <c r="H1119" i="2" s="1"/>
  <c r="C1120" i="4" s="1"/>
  <c r="C1119" i="2"/>
  <c r="E1119" i="2" s="1"/>
  <c r="D1118" i="2"/>
  <c r="I1118" i="2" s="1"/>
  <c r="G1118" i="2"/>
  <c r="J1117" i="2"/>
  <c r="D1118" i="4"/>
  <c r="B1119" i="4" l="1"/>
  <c r="D1119" i="4" s="1"/>
  <c r="J1118" i="2"/>
  <c r="G1119" i="2"/>
  <c r="D1119" i="2"/>
  <c r="I1119" i="2" s="1"/>
  <c r="A1122" i="2"/>
  <c r="K1121" i="2"/>
  <c r="B1121" i="2"/>
  <c r="F1120" i="2"/>
  <c r="H1120" i="2" s="1"/>
  <c r="C1121" i="4" s="1"/>
  <c r="C1120" i="2"/>
  <c r="D1120" i="2" s="1"/>
  <c r="E1120" i="2" l="1"/>
  <c r="I1120" i="2" s="1"/>
  <c r="G1120" i="2"/>
  <c r="F1121" i="2"/>
  <c r="H1121" i="2" s="1"/>
  <c r="C1122" i="4" s="1"/>
  <c r="C1121" i="2"/>
  <c r="E1121" i="2" s="1"/>
  <c r="B1122" i="2"/>
  <c r="A1123" i="2"/>
  <c r="K1122" i="2"/>
  <c r="B1120" i="4"/>
  <c r="D1120" i="4" s="1"/>
  <c r="J1119" i="2"/>
  <c r="B1123" i="2" l="1"/>
  <c r="A1124" i="2"/>
  <c r="K1123" i="2"/>
  <c r="D1121" i="2"/>
  <c r="I1121" i="2" s="1"/>
  <c r="F1122" i="2"/>
  <c r="H1122" i="2" s="1"/>
  <c r="C1123" i="4" s="1"/>
  <c r="C1122" i="2"/>
  <c r="D1122" i="2" s="1"/>
  <c r="B1121" i="4"/>
  <c r="D1121" i="4" s="1"/>
  <c r="J1120" i="2"/>
  <c r="G1121" i="2"/>
  <c r="E1122" i="2" l="1"/>
  <c r="I1122" i="2" s="1"/>
  <c r="B1122" i="4"/>
  <c r="D1122" i="4" s="1"/>
  <c r="J1121" i="2"/>
  <c r="G1122" i="2"/>
  <c r="A1125" i="2"/>
  <c r="K1124" i="2"/>
  <c r="B1124" i="2"/>
  <c r="C1123" i="2"/>
  <c r="E1123" i="2" s="1"/>
  <c r="F1123" i="2"/>
  <c r="G1123" i="2" s="1"/>
  <c r="B1124" i="4" l="1"/>
  <c r="D1123" i="2"/>
  <c r="I1123" i="2" s="1"/>
  <c r="H1123" i="2"/>
  <c r="C1124" i="4" s="1"/>
  <c r="B1125" i="2"/>
  <c r="A1126" i="2"/>
  <c r="K1125" i="2"/>
  <c r="F1124" i="2"/>
  <c r="G1124" i="2" s="1"/>
  <c r="C1124" i="2"/>
  <c r="E1124" i="2" s="1"/>
  <c r="B1123" i="4"/>
  <c r="D1123" i="4" s="1"/>
  <c r="J1122" i="2"/>
  <c r="B1125" i="4" l="1"/>
  <c r="H1124" i="2"/>
  <c r="C1125" i="4" s="1"/>
  <c r="F1125" i="2"/>
  <c r="H1125" i="2" s="1"/>
  <c r="C1126" i="4" s="1"/>
  <c r="C1125" i="2"/>
  <c r="E1125" i="2" s="1"/>
  <c r="D1124" i="2"/>
  <c r="I1124" i="2" s="1"/>
  <c r="J1123" i="2"/>
  <c r="B1126" i="2"/>
  <c r="A1127" i="2"/>
  <c r="K1126" i="2"/>
  <c r="D1124" i="4"/>
  <c r="F1126" i="2" l="1"/>
  <c r="G1126" i="2" s="1"/>
  <c r="C1126" i="2"/>
  <c r="D1126" i="2" s="1"/>
  <c r="G1125" i="2"/>
  <c r="J1124" i="2"/>
  <c r="A1128" i="2"/>
  <c r="K1127" i="2"/>
  <c r="B1127" i="2"/>
  <c r="D1125" i="2"/>
  <c r="I1125" i="2" s="1"/>
  <c r="D1125" i="4"/>
  <c r="B1127" i="4" l="1"/>
  <c r="A1129" i="2"/>
  <c r="K1128" i="2"/>
  <c r="B1128" i="2"/>
  <c r="B1126" i="4"/>
  <c r="D1126" i="4" s="1"/>
  <c r="J1125" i="2"/>
  <c r="E1126" i="2"/>
  <c r="I1126" i="2" s="1"/>
  <c r="F1127" i="2"/>
  <c r="H1127" i="2" s="1"/>
  <c r="C1128" i="4" s="1"/>
  <c r="C1127" i="2"/>
  <c r="D1127" i="2" s="1"/>
  <c r="H1126" i="2"/>
  <c r="C1127" i="4" s="1"/>
  <c r="G1127" i="2" l="1"/>
  <c r="E1127" i="2"/>
  <c r="I1127" i="2" s="1"/>
  <c r="C1128" i="2"/>
  <c r="D1128" i="2" s="1"/>
  <c r="F1128" i="2"/>
  <c r="H1128" i="2" s="1"/>
  <c r="C1129" i="4" s="1"/>
  <c r="B1129" i="2"/>
  <c r="A1130" i="2"/>
  <c r="K1129" i="2"/>
  <c r="J1126" i="2"/>
  <c r="D1127" i="4"/>
  <c r="K1130" i="2" l="1"/>
  <c r="B1130" i="2"/>
  <c r="A1131" i="2"/>
  <c r="C1129" i="2"/>
  <c r="E1129" i="2" s="1"/>
  <c r="F1129" i="2"/>
  <c r="G1129" i="2" s="1"/>
  <c r="E1128" i="2"/>
  <c r="I1128" i="2" s="1"/>
  <c r="G1128" i="2"/>
  <c r="B1128" i="4"/>
  <c r="D1128" i="4" s="1"/>
  <c r="J1127" i="2"/>
  <c r="B1130" i="4" l="1"/>
  <c r="B1129" i="4"/>
  <c r="D1129" i="4" s="1"/>
  <c r="J1128" i="2"/>
  <c r="H1129" i="2"/>
  <c r="C1130" i="4" s="1"/>
  <c r="F1130" i="2"/>
  <c r="H1130" i="2" s="1"/>
  <c r="C1131" i="4" s="1"/>
  <c r="C1130" i="2"/>
  <c r="E1130" i="2" s="1"/>
  <c r="D1129" i="2"/>
  <c r="I1129" i="2" s="1"/>
  <c r="A1132" i="2"/>
  <c r="K1131" i="2"/>
  <c r="B1131" i="2"/>
  <c r="C1131" i="2" l="1"/>
  <c r="E1131" i="2" s="1"/>
  <c r="F1131" i="2"/>
  <c r="H1131" i="2" s="1"/>
  <c r="C1132" i="4" s="1"/>
  <c r="B1132" i="2"/>
  <c r="A1133" i="2"/>
  <c r="K1132" i="2"/>
  <c r="D1130" i="2"/>
  <c r="I1130" i="2" s="1"/>
  <c r="G1130" i="2"/>
  <c r="J1129" i="2"/>
  <c r="D1130" i="4"/>
  <c r="B1131" i="4" l="1"/>
  <c r="D1131" i="4" s="1"/>
  <c r="J1130" i="2"/>
  <c r="B1133" i="2"/>
  <c r="A1134" i="2"/>
  <c r="K1133" i="2"/>
  <c r="C1132" i="2"/>
  <c r="E1132" i="2" s="1"/>
  <c r="F1132" i="2"/>
  <c r="G1132" i="2" s="1"/>
  <c r="D1131" i="2"/>
  <c r="I1131" i="2" s="1"/>
  <c r="G1131" i="2"/>
  <c r="B1133" i="4" l="1"/>
  <c r="B1132" i="4"/>
  <c r="D1132" i="4" s="1"/>
  <c r="J1131" i="2"/>
  <c r="H1132" i="2"/>
  <c r="C1133" i="4" s="1"/>
  <c r="D1132" i="2"/>
  <c r="I1132" i="2" s="1"/>
  <c r="F1133" i="2"/>
  <c r="G1133" i="2" s="1"/>
  <c r="C1133" i="2"/>
  <c r="D1133" i="2" s="1"/>
  <c r="A1135" i="2"/>
  <c r="K1134" i="2"/>
  <c r="B1134" i="2"/>
  <c r="B1134" i="4" l="1"/>
  <c r="E1133" i="2"/>
  <c r="I1133" i="2" s="1"/>
  <c r="H1133" i="2"/>
  <c r="C1134" i="4" s="1"/>
  <c r="C1134" i="2"/>
  <c r="E1134" i="2" s="1"/>
  <c r="F1134" i="2"/>
  <c r="G1134" i="2" s="1"/>
  <c r="B1135" i="2"/>
  <c r="A1136" i="2"/>
  <c r="K1135" i="2"/>
  <c r="J1132" i="2"/>
  <c r="D1133" i="4"/>
  <c r="B1135" i="4" l="1"/>
  <c r="B1136" i="2"/>
  <c r="A1137" i="2"/>
  <c r="K1136" i="2"/>
  <c r="C1135" i="2"/>
  <c r="E1135" i="2" s="1"/>
  <c r="F1135" i="2"/>
  <c r="G1135" i="2" s="1"/>
  <c r="D1134" i="2"/>
  <c r="I1134" i="2" s="1"/>
  <c r="H1134" i="2"/>
  <c r="C1135" i="4" s="1"/>
  <c r="J1133" i="2"/>
  <c r="D1134" i="4"/>
  <c r="B1136" i="4" l="1"/>
  <c r="H1135" i="2"/>
  <c r="C1136" i="4" s="1"/>
  <c r="D1135" i="2"/>
  <c r="I1135" i="2" s="1"/>
  <c r="A1138" i="2"/>
  <c r="K1137" i="2"/>
  <c r="B1137" i="2"/>
  <c r="J1134" i="2"/>
  <c r="F1136" i="2"/>
  <c r="G1136" i="2" s="1"/>
  <c r="C1136" i="2"/>
  <c r="D1136" i="2" s="1"/>
  <c r="D1135" i="4"/>
  <c r="B1137" i="4" l="1"/>
  <c r="H1136" i="2"/>
  <c r="C1137" i="4" s="1"/>
  <c r="E1136" i="2"/>
  <c r="I1136" i="2" s="1"/>
  <c r="B1138" i="2"/>
  <c r="A1139" i="2"/>
  <c r="K1138" i="2"/>
  <c r="J1135" i="2"/>
  <c r="F1137" i="2"/>
  <c r="G1137" i="2" s="1"/>
  <c r="C1137" i="2"/>
  <c r="D1137" i="2" s="1"/>
  <c r="D1136" i="4"/>
  <c r="B1138" i="4" l="1"/>
  <c r="H1137" i="2"/>
  <c r="C1138" i="4" s="1"/>
  <c r="E1137" i="2"/>
  <c r="I1137" i="2" s="1"/>
  <c r="B1139" i="2"/>
  <c r="A1140" i="2"/>
  <c r="K1139" i="2"/>
  <c r="F1138" i="2"/>
  <c r="H1138" i="2" s="1"/>
  <c r="C1139" i="4" s="1"/>
  <c r="C1138" i="2"/>
  <c r="E1138" i="2" s="1"/>
  <c r="J1136" i="2"/>
  <c r="D1137" i="4"/>
  <c r="G1138" i="2" l="1"/>
  <c r="D1138" i="2"/>
  <c r="I1138" i="2" s="1"/>
  <c r="F1139" i="2"/>
  <c r="H1139" i="2" s="1"/>
  <c r="C1140" i="4" s="1"/>
  <c r="C1139" i="2"/>
  <c r="E1139" i="2" s="1"/>
  <c r="A1141" i="2"/>
  <c r="K1140" i="2"/>
  <c r="B1140" i="2"/>
  <c r="J1137" i="2"/>
  <c r="D1138" i="4"/>
  <c r="C1140" i="2" l="1"/>
  <c r="E1140" i="2" s="1"/>
  <c r="F1140" i="2"/>
  <c r="H1140" i="2" s="1"/>
  <c r="C1141" i="4" s="1"/>
  <c r="B1141" i="2"/>
  <c r="A1142" i="2"/>
  <c r="K1141" i="2"/>
  <c r="D1139" i="2"/>
  <c r="I1139" i="2" s="1"/>
  <c r="G1139" i="2"/>
  <c r="B1139" i="4"/>
  <c r="D1139" i="4" s="1"/>
  <c r="J1138" i="2"/>
  <c r="B1140" i="4" l="1"/>
  <c r="D1140" i="4" s="1"/>
  <c r="J1139" i="2"/>
  <c r="B1142" i="2"/>
  <c r="A1143" i="2"/>
  <c r="K1142" i="2"/>
  <c r="C1141" i="2"/>
  <c r="D1141" i="2" s="1"/>
  <c r="F1141" i="2"/>
  <c r="H1141" i="2" s="1"/>
  <c r="C1142" i="4" s="1"/>
  <c r="G1140" i="2"/>
  <c r="D1140" i="2"/>
  <c r="I1140" i="2" s="1"/>
  <c r="B1141" i="4" l="1"/>
  <c r="D1141" i="4" s="1"/>
  <c r="J1140" i="2"/>
  <c r="G1141" i="2"/>
  <c r="E1141" i="2"/>
  <c r="I1141" i="2" s="1"/>
  <c r="A1144" i="2"/>
  <c r="K1143" i="2"/>
  <c r="B1143" i="2"/>
  <c r="C1142" i="2"/>
  <c r="E1142" i="2" s="1"/>
  <c r="F1142" i="2"/>
  <c r="H1142" i="2" s="1"/>
  <c r="C1143" i="4" s="1"/>
  <c r="D1142" i="2" l="1"/>
  <c r="I1142" i="2" s="1"/>
  <c r="G1142" i="2"/>
  <c r="A1145" i="2"/>
  <c r="K1144" i="2"/>
  <c r="B1144" i="2"/>
  <c r="F1143" i="2"/>
  <c r="H1143" i="2" s="1"/>
  <c r="C1144" i="4" s="1"/>
  <c r="C1143" i="2"/>
  <c r="D1143" i="2" s="1"/>
  <c r="B1142" i="4"/>
  <c r="D1142" i="4" s="1"/>
  <c r="J1141" i="2"/>
  <c r="E1143" i="2" l="1"/>
  <c r="I1143" i="2" s="1"/>
  <c r="C1144" i="2"/>
  <c r="E1144" i="2" s="1"/>
  <c r="F1144" i="2"/>
  <c r="H1144" i="2" s="1"/>
  <c r="C1145" i="4" s="1"/>
  <c r="G1143" i="2"/>
  <c r="B1143" i="4"/>
  <c r="D1143" i="4" s="1"/>
  <c r="J1142" i="2"/>
  <c r="B1145" i="2"/>
  <c r="A1146" i="2"/>
  <c r="K1145" i="2"/>
  <c r="K1146" i="2" l="1"/>
  <c r="B1146" i="2"/>
  <c r="A1147" i="2"/>
  <c r="F1145" i="2"/>
  <c r="H1145" i="2" s="1"/>
  <c r="C1146" i="4" s="1"/>
  <c r="C1145" i="2"/>
  <c r="D1145" i="2" s="1"/>
  <c r="B1144" i="4"/>
  <c r="D1144" i="4" s="1"/>
  <c r="J1143" i="2"/>
  <c r="D1144" i="2"/>
  <c r="I1144" i="2" s="1"/>
  <c r="G1144" i="2"/>
  <c r="B1145" i="4" l="1"/>
  <c r="D1145" i="4" s="1"/>
  <c r="J1144" i="2"/>
  <c r="E1145" i="2"/>
  <c r="I1145" i="2" s="1"/>
  <c r="G1145" i="2"/>
  <c r="A1148" i="2"/>
  <c r="K1147" i="2"/>
  <c r="B1147" i="2"/>
  <c r="C1146" i="2"/>
  <c r="E1146" i="2" s="1"/>
  <c r="F1146" i="2"/>
  <c r="G1146" i="2" s="1"/>
  <c r="B1147" i="4" l="1"/>
  <c r="D1146" i="2"/>
  <c r="I1146" i="2" s="1"/>
  <c r="H1146" i="2"/>
  <c r="C1147" i="4" s="1"/>
  <c r="F1147" i="2"/>
  <c r="G1147" i="2" s="1"/>
  <c r="C1147" i="2"/>
  <c r="D1147" i="2" s="1"/>
  <c r="B1146" i="4"/>
  <c r="D1146" i="4" s="1"/>
  <c r="J1145" i="2"/>
  <c r="B1148" i="2"/>
  <c r="A1149" i="2"/>
  <c r="K1148" i="2"/>
  <c r="B1148" i="4" l="1"/>
  <c r="B1149" i="2"/>
  <c r="A1150" i="2"/>
  <c r="K1149" i="2"/>
  <c r="E1147" i="2"/>
  <c r="I1147" i="2" s="1"/>
  <c r="H1147" i="2"/>
  <c r="C1148" i="4" s="1"/>
  <c r="F1148" i="2"/>
  <c r="H1148" i="2" s="1"/>
  <c r="C1149" i="4" s="1"/>
  <c r="C1148" i="2"/>
  <c r="E1148" i="2" s="1"/>
  <c r="J1146" i="2"/>
  <c r="D1147" i="4"/>
  <c r="G1148" i="2" l="1"/>
  <c r="D1148" i="2"/>
  <c r="I1148" i="2" s="1"/>
  <c r="C1149" i="2"/>
  <c r="E1149" i="2" s="1"/>
  <c r="F1149" i="2"/>
  <c r="G1149" i="2" s="1"/>
  <c r="A1151" i="2"/>
  <c r="K1150" i="2"/>
  <c r="B1150" i="2"/>
  <c r="J1147" i="2"/>
  <c r="D1148" i="4"/>
  <c r="B1150" i="4" l="1"/>
  <c r="F1150" i="2"/>
  <c r="H1150" i="2" s="1"/>
  <c r="C1151" i="4" s="1"/>
  <c r="C1150" i="2"/>
  <c r="E1150" i="2" s="1"/>
  <c r="B1151" i="2"/>
  <c r="A1152" i="2"/>
  <c r="K1151" i="2"/>
  <c r="H1149" i="2"/>
  <c r="C1150" i="4" s="1"/>
  <c r="D1149" i="2"/>
  <c r="I1149" i="2" s="1"/>
  <c r="B1149" i="4"/>
  <c r="D1149" i="4" s="1"/>
  <c r="J1148" i="2"/>
  <c r="B1152" i="2" l="1"/>
  <c r="A1153" i="2"/>
  <c r="K1152" i="2"/>
  <c r="F1151" i="2"/>
  <c r="G1151" i="2" s="1"/>
  <c r="C1151" i="2"/>
  <c r="D1151" i="2" s="1"/>
  <c r="G1150" i="2"/>
  <c r="J1149" i="2"/>
  <c r="D1150" i="2"/>
  <c r="I1150" i="2" s="1"/>
  <c r="D1150" i="4"/>
  <c r="B1152" i="4" l="1"/>
  <c r="E1151" i="2"/>
  <c r="I1151" i="2" s="1"/>
  <c r="H1151" i="2"/>
  <c r="C1152" i="4" s="1"/>
  <c r="B1151" i="4"/>
  <c r="D1151" i="4" s="1"/>
  <c r="J1150" i="2"/>
  <c r="A1154" i="2"/>
  <c r="K1153" i="2"/>
  <c r="B1153" i="2"/>
  <c r="C1152" i="2"/>
  <c r="E1152" i="2" s="1"/>
  <c r="F1152" i="2"/>
  <c r="G1152" i="2" s="1"/>
  <c r="B1153" i="4" l="1"/>
  <c r="D1152" i="2"/>
  <c r="I1152" i="2" s="1"/>
  <c r="H1152" i="2"/>
  <c r="C1153" i="4" s="1"/>
  <c r="B1154" i="2"/>
  <c r="A1155" i="2"/>
  <c r="K1154" i="2"/>
  <c r="F1153" i="2"/>
  <c r="G1153" i="2" s="1"/>
  <c r="C1153" i="2"/>
  <c r="E1153" i="2" s="1"/>
  <c r="J1151" i="2"/>
  <c r="D1152" i="4"/>
  <c r="B1154" i="4" l="1"/>
  <c r="H1153" i="2"/>
  <c r="C1154" i="4" s="1"/>
  <c r="D1153" i="2"/>
  <c r="I1153" i="2" s="1"/>
  <c r="B1155" i="2"/>
  <c r="A1156" i="2"/>
  <c r="K1155" i="2"/>
  <c r="C1154" i="2"/>
  <c r="D1154" i="2" s="1"/>
  <c r="F1154" i="2"/>
  <c r="H1154" i="2" s="1"/>
  <c r="C1155" i="4" s="1"/>
  <c r="J1152" i="2"/>
  <c r="D1153" i="4"/>
  <c r="E1154" i="2" l="1"/>
  <c r="I1154" i="2" s="1"/>
  <c r="F1155" i="2"/>
  <c r="G1155" i="2" s="1"/>
  <c r="C1155" i="2"/>
  <c r="E1155" i="2" s="1"/>
  <c r="G1154" i="2"/>
  <c r="A1157" i="2"/>
  <c r="K1156" i="2"/>
  <c r="B1156" i="2"/>
  <c r="J1153" i="2"/>
  <c r="D1154" i="4"/>
  <c r="B1156" i="4" l="1"/>
  <c r="B1157" i="2"/>
  <c r="A1158" i="2"/>
  <c r="K1157" i="2"/>
  <c r="C1156" i="2"/>
  <c r="E1156" i="2" s="1"/>
  <c r="F1156" i="2"/>
  <c r="H1156" i="2" s="1"/>
  <c r="C1157" i="4" s="1"/>
  <c r="B1155" i="4"/>
  <c r="D1155" i="4" s="1"/>
  <c r="J1154" i="2"/>
  <c r="H1155" i="2"/>
  <c r="C1156" i="4" s="1"/>
  <c r="D1155" i="2"/>
  <c r="I1155" i="2" s="1"/>
  <c r="G1156" i="2" l="1"/>
  <c r="D1156" i="2"/>
  <c r="I1156" i="2" s="1"/>
  <c r="B1158" i="2"/>
  <c r="A1159" i="2"/>
  <c r="K1158" i="2"/>
  <c r="J1155" i="2"/>
  <c r="F1157" i="2"/>
  <c r="H1157" i="2" s="1"/>
  <c r="C1158" i="4" s="1"/>
  <c r="C1157" i="2"/>
  <c r="D1157" i="2" s="1"/>
  <c r="D1156" i="4"/>
  <c r="E1157" i="2" l="1"/>
  <c r="I1157" i="2" s="1"/>
  <c r="G1157" i="2"/>
  <c r="A1160" i="2"/>
  <c r="K1159" i="2"/>
  <c r="B1159" i="2"/>
  <c r="F1158" i="2"/>
  <c r="H1158" i="2" s="1"/>
  <c r="C1159" i="4" s="1"/>
  <c r="C1158" i="2"/>
  <c r="E1158" i="2" s="1"/>
  <c r="B1157" i="4"/>
  <c r="D1157" i="4" s="1"/>
  <c r="J1156" i="2"/>
  <c r="D1158" i="2" l="1"/>
  <c r="I1158" i="2" s="1"/>
  <c r="G1158" i="2"/>
  <c r="F1159" i="2"/>
  <c r="G1159" i="2" s="1"/>
  <c r="C1159" i="2"/>
  <c r="E1159" i="2" s="1"/>
  <c r="B1158" i="4"/>
  <c r="D1158" i="4" s="1"/>
  <c r="J1157" i="2"/>
  <c r="A1161" i="2"/>
  <c r="K1160" i="2"/>
  <c r="B1160" i="2"/>
  <c r="B1160" i="4" l="1"/>
  <c r="B1161" i="2"/>
  <c r="A1162" i="2"/>
  <c r="K1161" i="2"/>
  <c r="H1159" i="2"/>
  <c r="C1160" i="4" s="1"/>
  <c r="B1159" i="4"/>
  <c r="D1159" i="4" s="1"/>
  <c r="J1158" i="2"/>
  <c r="C1160" i="2"/>
  <c r="E1160" i="2" s="1"/>
  <c r="F1160" i="2"/>
  <c r="G1160" i="2" s="1"/>
  <c r="D1159" i="2"/>
  <c r="I1159" i="2" s="1"/>
  <c r="B1161" i="4" l="1"/>
  <c r="D1160" i="2"/>
  <c r="I1160" i="2" s="1"/>
  <c r="H1160" i="2"/>
  <c r="C1161" i="4" s="1"/>
  <c r="J1159" i="2"/>
  <c r="K1162" i="2"/>
  <c r="B1162" i="2"/>
  <c r="A1163" i="2"/>
  <c r="F1161" i="2"/>
  <c r="H1161" i="2" s="1"/>
  <c r="C1162" i="4" s="1"/>
  <c r="C1161" i="2"/>
  <c r="D1161" i="2" s="1"/>
  <c r="D1160" i="4"/>
  <c r="G1161" i="2" l="1"/>
  <c r="A1164" i="2"/>
  <c r="K1163" i="2"/>
  <c r="B1163" i="2"/>
  <c r="E1161" i="2"/>
  <c r="I1161" i="2" s="1"/>
  <c r="C1162" i="2"/>
  <c r="D1162" i="2" s="1"/>
  <c r="F1162" i="2"/>
  <c r="H1162" i="2" s="1"/>
  <c r="C1163" i="4" s="1"/>
  <c r="J1160" i="2"/>
  <c r="D1161" i="4"/>
  <c r="E1162" i="2" l="1"/>
  <c r="I1162" i="2" s="1"/>
  <c r="G1162" i="2"/>
  <c r="F1163" i="2"/>
  <c r="H1163" i="2" s="1"/>
  <c r="C1164" i="4" s="1"/>
  <c r="C1163" i="2"/>
  <c r="D1163" i="2" s="1"/>
  <c r="B1164" i="2"/>
  <c r="A1165" i="2"/>
  <c r="K1164" i="2"/>
  <c r="B1162" i="4"/>
  <c r="D1162" i="4" s="1"/>
  <c r="J1161" i="2"/>
  <c r="B1165" i="2" l="1"/>
  <c r="A1166" i="2"/>
  <c r="K1165" i="2"/>
  <c r="E1163" i="2"/>
  <c r="I1163" i="2" s="1"/>
  <c r="F1164" i="2"/>
  <c r="H1164" i="2" s="1"/>
  <c r="C1165" i="4" s="1"/>
  <c r="C1164" i="2"/>
  <c r="E1164" i="2" s="1"/>
  <c r="B1163" i="4"/>
  <c r="D1163" i="4" s="1"/>
  <c r="J1162" i="2"/>
  <c r="G1163" i="2"/>
  <c r="B1164" i="4" l="1"/>
  <c r="D1164" i="4" s="1"/>
  <c r="J1163" i="2"/>
  <c r="G1164" i="2"/>
  <c r="D1164" i="2"/>
  <c r="I1164" i="2" s="1"/>
  <c r="A1167" i="2"/>
  <c r="K1166" i="2"/>
  <c r="B1166" i="2"/>
  <c r="F1165" i="2"/>
  <c r="H1165" i="2" s="1"/>
  <c r="C1166" i="4" s="1"/>
  <c r="C1165" i="2"/>
  <c r="D1165" i="2" s="1"/>
  <c r="G1165" i="2" l="1"/>
  <c r="E1165" i="2"/>
  <c r="I1165" i="2" s="1"/>
  <c r="F1166" i="2"/>
  <c r="H1166" i="2" s="1"/>
  <c r="C1167" i="4" s="1"/>
  <c r="C1166" i="2"/>
  <c r="D1166" i="2" s="1"/>
  <c r="B1167" i="2"/>
  <c r="A1168" i="2"/>
  <c r="K1167" i="2"/>
  <c r="B1165" i="4"/>
  <c r="D1165" i="4" s="1"/>
  <c r="J1164" i="2"/>
  <c r="B1168" i="2" l="1"/>
  <c r="A1169" i="2"/>
  <c r="K1168" i="2"/>
  <c r="C1167" i="2"/>
  <c r="D1167" i="2" s="1"/>
  <c r="F1167" i="2"/>
  <c r="H1167" i="2" s="1"/>
  <c r="C1168" i="4" s="1"/>
  <c r="E1166" i="2"/>
  <c r="I1166" i="2" s="1"/>
  <c r="G1166" i="2"/>
  <c r="B1166" i="4"/>
  <c r="D1166" i="4" s="1"/>
  <c r="J1165" i="2"/>
  <c r="B1167" i="4" l="1"/>
  <c r="D1167" i="4" s="1"/>
  <c r="J1166" i="2"/>
  <c r="E1167" i="2"/>
  <c r="I1167" i="2" s="1"/>
  <c r="G1167" i="2"/>
  <c r="A1170" i="2"/>
  <c r="K1169" i="2"/>
  <c r="B1169" i="2"/>
  <c r="C1168" i="2"/>
  <c r="E1168" i="2" s="1"/>
  <c r="F1168" i="2"/>
  <c r="H1168" i="2" s="1"/>
  <c r="C1169" i="4" s="1"/>
  <c r="D1168" i="2" l="1"/>
  <c r="I1168" i="2" s="1"/>
  <c r="B1168" i="4"/>
  <c r="D1168" i="4" s="1"/>
  <c r="J1167" i="2"/>
  <c r="G1168" i="2"/>
  <c r="F1169" i="2"/>
  <c r="H1169" i="2" s="1"/>
  <c r="C1170" i="4" s="1"/>
  <c r="C1169" i="2"/>
  <c r="E1169" i="2" s="1"/>
  <c r="B1170" i="2"/>
  <c r="A1171" i="2"/>
  <c r="K1170" i="2"/>
  <c r="B1171" i="2" l="1"/>
  <c r="A1172" i="2"/>
  <c r="K1171" i="2"/>
  <c r="C1170" i="2"/>
  <c r="E1170" i="2" s="1"/>
  <c r="F1170" i="2"/>
  <c r="G1170" i="2" s="1"/>
  <c r="D1169" i="2"/>
  <c r="I1169" i="2" s="1"/>
  <c r="G1169" i="2"/>
  <c r="B1169" i="4"/>
  <c r="D1169" i="4" s="1"/>
  <c r="J1168" i="2"/>
  <c r="B1171" i="4" l="1"/>
  <c r="B1170" i="4"/>
  <c r="D1170" i="4" s="1"/>
  <c r="J1169" i="2"/>
  <c r="D1170" i="2"/>
  <c r="I1170" i="2" s="1"/>
  <c r="H1170" i="2"/>
  <c r="C1171" i="4" s="1"/>
  <c r="A1173" i="2"/>
  <c r="K1172" i="2"/>
  <c r="B1172" i="2"/>
  <c r="F1171" i="2"/>
  <c r="H1171" i="2" s="1"/>
  <c r="C1172" i="4" s="1"/>
  <c r="C1171" i="2"/>
  <c r="E1171" i="2" s="1"/>
  <c r="G1171" i="2" l="1"/>
  <c r="D1171" i="2"/>
  <c r="I1171" i="2" s="1"/>
  <c r="F1172" i="2"/>
  <c r="H1172" i="2" s="1"/>
  <c r="C1173" i="4" s="1"/>
  <c r="C1172" i="2"/>
  <c r="D1172" i="2" s="1"/>
  <c r="B1173" i="2"/>
  <c r="A1174" i="2"/>
  <c r="K1173" i="2"/>
  <c r="J1170" i="2"/>
  <c r="D1171" i="4"/>
  <c r="B1174" i="2" l="1"/>
  <c r="A1175" i="2"/>
  <c r="K1174" i="2"/>
  <c r="F1173" i="2"/>
  <c r="H1173" i="2" s="1"/>
  <c r="C1174" i="4" s="1"/>
  <c r="C1173" i="2"/>
  <c r="E1173" i="2" s="1"/>
  <c r="E1172" i="2"/>
  <c r="I1172" i="2" s="1"/>
  <c r="G1172" i="2"/>
  <c r="B1172" i="4"/>
  <c r="D1172" i="4" s="1"/>
  <c r="J1171" i="2"/>
  <c r="B1173" i="4" l="1"/>
  <c r="D1173" i="4" s="1"/>
  <c r="J1172" i="2"/>
  <c r="D1173" i="2"/>
  <c r="I1173" i="2" s="1"/>
  <c r="G1173" i="2"/>
  <c r="C1174" i="2"/>
  <c r="E1174" i="2" s="1"/>
  <c r="F1174" i="2"/>
  <c r="H1174" i="2" s="1"/>
  <c r="C1175" i="4" s="1"/>
  <c r="A1176" i="2"/>
  <c r="K1175" i="2"/>
  <c r="B1175" i="2"/>
  <c r="H1175" i="2" l="1"/>
  <c r="C1176" i="4" s="1"/>
  <c r="F1175" i="2"/>
  <c r="G1175" i="2" s="1"/>
  <c r="C1175" i="2"/>
  <c r="D1175" i="2" s="1"/>
  <c r="A1177" i="2"/>
  <c r="K1176" i="2"/>
  <c r="B1176" i="2"/>
  <c r="B1174" i="4"/>
  <c r="D1174" i="4" s="1"/>
  <c r="J1173" i="2"/>
  <c r="D1174" i="2"/>
  <c r="I1174" i="2" s="1"/>
  <c r="G1174" i="2"/>
  <c r="B1176" i="4" l="1"/>
  <c r="D1176" i="4" s="1"/>
  <c r="J1175" i="2"/>
  <c r="B1175" i="4"/>
  <c r="D1175" i="4" s="1"/>
  <c r="J1174" i="2"/>
  <c r="B1177" i="2"/>
  <c r="A1178" i="2"/>
  <c r="K1177" i="2"/>
  <c r="E1175" i="2"/>
  <c r="I1175" i="2" s="1"/>
  <c r="F1176" i="2"/>
  <c r="G1176" i="2" s="1"/>
  <c r="C1176" i="2"/>
  <c r="E1176" i="2" s="1"/>
  <c r="B1177" i="4" l="1"/>
  <c r="D1176" i="2"/>
  <c r="I1176" i="2" s="1"/>
  <c r="H1176" i="2"/>
  <c r="C1177" i="4" s="1"/>
  <c r="K1178" i="2"/>
  <c r="B1178" i="2"/>
  <c r="A1179" i="2"/>
  <c r="F1177" i="2"/>
  <c r="H1177" i="2" s="1"/>
  <c r="C1178" i="4" s="1"/>
  <c r="C1177" i="2"/>
  <c r="E1177" i="2" s="1"/>
  <c r="D1177" i="2" l="1"/>
  <c r="I1177" i="2" s="1"/>
  <c r="G1177" i="2"/>
  <c r="J1176" i="2"/>
  <c r="A1180" i="2"/>
  <c r="K1179" i="2"/>
  <c r="B1179" i="2"/>
  <c r="F1178" i="2"/>
  <c r="H1178" i="2" s="1"/>
  <c r="C1179" i="4" s="1"/>
  <c r="C1178" i="2"/>
  <c r="D1178" i="2" s="1"/>
  <c r="D1177" i="4"/>
  <c r="E1178" i="2" l="1"/>
  <c r="I1178" i="2" s="1"/>
  <c r="C1179" i="2"/>
  <c r="E1179" i="2" s="1"/>
  <c r="F1179" i="2"/>
  <c r="G1179" i="2" s="1"/>
  <c r="G1178" i="2"/>
  <c r="B1178" i="4"/>
  <c r="D1178" i="4" s="1"/>
  <c r="J1177" i="2"/>
  <c r="B1180" i="2"/>
  <c r="A1181" i="2"/>
  <c r="K1180" i="2"/>
  <c r="B1180" i="4" l="1"/>
  <c r="B1181" i="2"/>
  <c r="A1182" i="2"/>
  <c r="K1181" i="2"/>
  <c r="B1179" i="4"/>
  <c r="D1179" i="4" s="1"/>
  <c r="J1178" i="2"/>
  <c r="D1179" i="2"/>
  <c r="I1179" i="2" s="1"/>
  <c r="H1179" i="2"/>
  <c r="C1180" i="4" s="1"/>
  <c r="C1180" i="2"/>
  <c r="E1180" i="2" s="1"/>
  <c r="F1180" i="2"/>
  <c r="H1180" i="2" s="1"/>
  <c r="C1181" i="4" s="1"/>
  <c r="G1180" i="2" l="1"/>
  <c r="D1180" i="2"/>
  <c r="I1180" i="2" s="1"/>
  <c r="A1183" i="2"/>
  <c r="K1182" i="2"/>
  <c r="B1182" i="2"/>
  <c r="J1179" i="2"/>
  <c r="C1181" i="2"/>
  <c r="E1181" i="2" s="1"/>
  <c r="F1181" i="2"/>
  <c r="G1181" i="2" s="1"/>
  <c r="D1180" i="4"/>
  <c r="B1182" i="4" l="1"/>
  <c r="D1181" i="2"/>
  <c r="I1181" i="2" s="1"/>
  <c r="H1181" i="2"/>
  <c r="C1182" i="4" s="1"/>
  <c r="C1182" i="2"/>
  <c r="D1182" i="2" s="1"/>
  <c r="F1182" i="2"/>
  <c r="H1182" i="2" s="1"/>
  <c r="C1183" i="4" s="1"/>
  <c r="B1183" i="2"/>
  <c r="A1184" i="2"/>
  <c r="K1183" i="2"/>
  <c r="B1181" i="4"/>
  <c r="D1181" i="4" s="1"/>
  <c r="J1180" i="2"/>
  <c r="E1182" i="2" l="1"/>
  <c r="I1182" i="2" s="1"/>
  <c r="G1182" i="2"/>
  <c r="B1184" i="2"/>
  <c r="A1185" i="2"/>
  <c r="K1184" i="2"/>
  <c r="C1183" i="2"/>
  <c r="D1183" i="2" s="1"/>
  <c r="F1183" i="2"/>
  <c r="G1183" i="2" s="1"/>
  <c r="J1181" i="2"/>
  <c r="D1182" i="4"/>
  <c r="B1184" i="4" l="1"/>
  <c r="E1183" i="2"/>
  <c r="I1183" i="2" s="1"/>
  <c r="H1183" i="2"/>
  <c r="C1184" i="4" s="1"/>
  <c r="A1186" i="2"/>
  <c r="K1185" i="2"/>
  <c r="B1185" i="2"/>
  <c r="F1184" i="2"/>
  <c r="H1184" i="2" s="1"/>
  <c r="C1185" i="4" s="1"/>
  <c r="C1184" i="2"/>
  <c r="D1184" i="2" s="1"/>
  <c r="B1183" i="4"/>
  <c r="D1183" i="4" s="1"/>
  <c r="J1182" i="2"/>
  <c r="E1184" i="2" l="1"/>
  <c r="I1184" i="2" s="1"/>
  <c r="J1183" i="2"/>
  <c r="G1184" i="2"/>
  <c r="F1185" i="2"/>
  <c r="H1185" i="2" s="1"/>
  <c r="C1186" i="4" s="1"/>
  <c r="C1185" i="2"/>
  <c r="E1185" i="2" s="1"/>
  <c r="B1186" i="2"/>
  <c r="A1187" i="2"/>
  <c r="K1186" i="2"/>
  <c r="D1184" i="4"/>
  <c r="C1186" i="2" l="1"/>
  <c r="D1186" i="2" s="1"/>
  <c r="F1186" i="2"/>
  <c r="H1186" i="2" s="1"/>
  <c r="C1187" i="4" s="1"/>
  <c r="D1185" i="2"/>
  <c r="I1185" i="2" s="1"/>
  <c r="A1188" i="2"/>
  <c r="K1187" i="2"/>
  <c r="B1187" i="2"/>
  <c r="B1185" i="4"/>
  <c r="D1185" i="4" s="1"/>
  <c r="J1184" i="2"/>
  <c r="G1185" i="2"/>
  <c r="B1186" i="4" l="1"/>
  <c r="D1186" i="4" s="1"/>
  <c r="J1185" i="2"/>
  <c r="F1187" i="2"/>
  <c r="H1187" i="2" s="1"/>
  <c r="C1188" i="4" s="1"/>
  <c r="C1187" i="2"/>
  <c r="E1187" i="2" s="1"/>
  <c r="A1189" i="2"/>
  <c r="K1188" i="2"/>
  <c r="B1188" i="2"/>
  <c r="E1186" i="2"/>
  <c r="I1186" i="2" s="1"/>
  <c r="G1186" i="2"/>
  <c r="C1188" i="2" l="1"/>
  <c r="D1188" i="2" s="1"/>
  <c r="F1188" i="2"/>
  <c r="G1188" i="2" s="1"/>
  <c r="B1189" i="2"/>
  <c r="A1190" i="2"/>
  <c r="K1189" i="2"/>
  <c r="G1187" i="2"/>
  <c r="B1187" i="4"/>
  <c r="D1187" i="4" s="1"/>
  <c r="J1186" i="2"/>
  <c r="D1187" i="2"/>
  <c r="I1187" i="2" s="1"/>
  <c r="B1189" i="4" l="1"/>
  <c r="B1188" i="4"/>
  <c r="D1188" i="4" s="1"/>
  <c r="J1187" i="2"/>
  <c r="C1189" i="2"/>
  <c r="E1189" i="2" s="1"/>
  <c r="F1189" i="2"/>
  <c r="H1189" i="2" s="1"/>
  <c r="C1190" i="4" s="1"/>
  <c r="K1190" i="2"/>
  <c r="A1191" i="2"/>
  <c r="B1190" i="2"/>
  <c r="E1188" i="2"/>
  <c r="I1188" i="2" s="1"/>
  <c r="H1188" i="2"/>
  <c r="C1189" i="4" s="1"/>
  <c r="B1191" i="2" l="1"/>
  <c r="A1192" i="2"/>
  <c r="K1191" i="2"/>
  <c r="F1190" i="2"/>
  <c r="G1190" i="2" s="1"/>
  <c r="C1190" i="2"/>
  <c r="E1190" i="2" s="1"/>
  <c r="D1189" i="2"/>
  <c r="I1189" i="2" s="1"/>
  <c r="G1189" i="2"/>
  <c r="J1188" i="2"/>
  <c r="D1189" i="4"/>
  <c r="B1191" i="4" l="1"/>
  <c r="B1190" i="4"/>
  <c r="D1190" i="4" s="1"/>
  <c r="J1189" i="2"/>
  <c r="H1190" i="2"/>
  <c r="C1191" i="4" s="1"/>
  <c r="D1190" i="2"/>
  <c r="I1190" i="2" s="1"/>
  <c r="B1192" i="2"/>
  <c r="K1192" i="2"/>
  <c r="A1193" i="2"/>
  <c r="F1191" i="2"/>
  <c r="G1191" i="2" s="1"/>
  <c r="C1191" i="2"/>
  <c r="E1191" i="2" s="1"/>
  <c r="B1192" i="4" l="1"/>
  <c r="H1191" i="2"/>
  <c r="C1192" i="4" s="1"/>
  <c r="C1192" i="2"/>
  <c r="D1192" i="2" s="1"/>
  <c r="F1192" i="2"/>
  <c r="H1192" i="2" s="1"/>
  <c r="C1193" i="4" s="1"/>
  <c r="D1191" i="2"/>
  <c r="I1191" i="2" s="1"/>
  <c r="A1194" i="2"/>
  <c r="B1193" i="2"/>
  <c r="K1193" i="2"/>
  <c r="J1190" i="2"/>
  <c r="D1191" i="4"/>
  <c r="F1193" i="2" l="1"/>
  <c r="H1193" i="2" s="1"/>
  <c r="C1194" i="4" s="1"/>
  <c r="C1193" i="2"/>
  <c r="E1193" i="2" s="1"/>
  <c r="B1194" i="2"/>
  <c r="A1195" i="2"/>
  <c r="K1194" i="2"/>
  <c r="E1192" i="2"/>
  <c r="I1192" i="2" s="1"/>
  <c r="G1192" i="2"/>
  <c r="J1191" i="2"/>
  <c r="D1192" i="4"/>
  <c r="B1193" i="4" l="1"/>
  <c r="D1193" i="4" s="1"/>
  <c r="J1192" i="2"/>
  <c r="B1195" i="2"/>
  <c r="A1196" i="2"/>
  <c r="K1195" i="2"/>
  <c r="C1194" i="2"/>
  <c r="E1194" i="2" s="1"/>
  <c r="F1194" i="2"/>
  <c r="G1194" i="2" s="1"/>
  <c r="D1193" i="2"/>
  <c r="I1193" i="2" s="1"/>
  <c r="G1193" i="2"/>
  <c r="B1195" i="4" l="1"/>
  <c r="B1194" i="4"/>
  <c r="D1194" i="4" s="1"/>
  <c r="J1193" i="2"/>
  <c r="D1194" i="2"/>
  <c r="I1194" i="2" s="1"/>
  <c r="H1194" i="2"/>
  <c r="C1195" i="4" s="1"/>
  <c r="A1197" i="2"/>
  <c r="K1196" i="2"/>
  <c r="B1196" i="2"/>
  <c r="C1195" i="2"/>
  <c r="D1195" i="2" s="1"/>
  <c r="F1195" i="2"/>
  <c r="G1195" i="2" s="1"/>
  <c r="B1196" i="4" l="1"/>
  <c r="H1195" i="2"/>
  <c r="C1196" i="4" s="1"/>
  <c r="E1195" i="2"/>
  <c r="I1195" i="2" s="1"/>
  <c r="F1196" i="2"/>
  <c r="H1196" i="2" s="1"/>
  <c r="C1197" i="4" s="1"/>
  <c r="C1196" i="2"/>
  <c r="E1196" i="2" s="1"/>
  <c r="B1197" i="2"/>
  <c r="A1198" i="2"/>
  <c r="K1197" i="2"/>
  <c r="J1194" i="2"/>
  <c r="D1195" i="4"/>
  <c r="D1196" i="2" l="1"/>
  <c r="I1196" i="2" s="1"/>
  <c r="G1196" i="2"/>
  <c r="K1198" i="2"/>
  <c r="A1199" i="2"/>
  <c r="B1198" i="2"/>
  <c r="J1195" i="2"/>
  <c r="F1197" i="2"/>
  <c r="H1197" i="2" s="1"/>
  <c r="C1198" i="4" s="1"/>
  <c r="C1197" i="2"/>
  <c r="E1197" i="2" s="1"/>
  <c r="D1196" i="4"/>
  <c r="D1197" i="2" l="1"/>
  <c r="I1197" i="2" s="1"/>
  <c r="G1197" i="2"/>
  <c r="A1200" i="2"/>
  <c r="K1199" i="2"/>
  <c r="B1199" i="2"/>
  <c r="B1197" i="4"/>
  <c r="D1197" i="4" s="1"/>
  <c r="J1196" i="2"/>
  <c r="C1198" i="2"/>
  <c r="D1198" i="2" s="1"/>
  <c r="F1198" i="2"/>
  <c r="H1198" i="2" s="1"/>
  <c r="C1199" i="4" s="1"/>
  <c r="G1198" i="2" l="1"/>
  <c r="E1198" i="2"/>
  <c r="I1198" i="2" s="1"/>
  <c r="F1199" i="2"/>
  <c r="H1199" i="2" s="1"/>
  <c r="C1200" i="4" s="1"/>
  <c r="C1199" i="2"/>
  <c r="E1199" i="2" s="1"/>
  <c r="K1200" i="2"/>
  <c r="A1201" i="2"/>
  <c r="B1200" i="2"/>
  <c r="B1198" i="4"/>
  <c r="D1198" i="4" s="1"/>
  <c r="J1197" i="2"/>
  <c r="B1201" i="2" l="1"/>
  <c r="A1202" i="2"/>
  <c r="K1201" i="2"/>
  <c r="D1199" i="2"/>
  <c r="I1199" i="2" s="1"/>
  <c r="C1200" i="2"/>
  <c r="E1200" i="2" s="1"/>
  <c r="F1200" i="2"/>
  <c r="H1200" i="2" s="1"/>
  <c r="C1201" i="4" s="1"/>
  <c r="G1199" i="2"/>
  <c r="B1199" i="4"/>
  <c r="D1199" i="4" s="1"/>
  <c r="J1198" i="2"/>
  <c r="B1200" i="4" l="1"/>
  <c r="D1200" i="4" s="1"/>
  <c r="J1199" i="2"/>
  <c r="D1200" i="2"/>
  <c r="I1200" i="2" s="1"/>
  <c r="G1200" i="2"/>
  <c r="K1202" i="2"/>
  <c r="B1202" i="2"/>
  <c r="A1203" i="2"/>
  <c r="C1201" i="2"/>
  <c r="E1201" i="2" s="1"/>
  <c r="F1201" i="2"/>
  <c r="G1201" i="2" s="1"/>
  <c r="B1202" i="4" l="1"/>
  <c r="D1201" i="2"/>
  <c r="I1201" i="2" s="1"/>
  <c r="F1202" i="2"/>
  <c r="G1202" i="2" s="1"/>
  <c r="C1202" i="2"/>
  <c r="E1202" i="2" s="1"/>
  <c r="H1201" i="2"/>
  <c r="C1202" i="4" s="1"/>
  <c r="A1204" i="2"/>
  <c r="B1203" i="2"/>
  <c r="K1203" i="2"/>
  <c r="B1201" i="4"/>
  <c r="D1201" i="4" s="1"/>
  <c r="J1200" i="2"/>
  <c r="B1203" i="4" l="1"/>
  <c r="F1203" i="2"/>
  <c r="H1203" i="2" s="1"/>
  <c r="C1204" i="4" s="1"/>
  <c r="C1203" i="2"/>
  <c r="D1203" i="2" s="1"/>
  <c r="A1205" i="2"/>
  <c r="K1204" i="2"/>
  <c r="B1204" i="2"/>
  <c r="H1202" i="2"/>
  <c r="C1203" i="4" s="1"/>
  <c r="D1202" i="2"/>
  <c r="I1202" i="2" s="1"/>
  <c r="J1201" i="2"/>
  <c r="D1202" i="4"/>
  <c r="F1204" i="2" l="1"/>
  <c r="G1204" i="2" s="1"/>
  <c r="C1204" i="2"/>
  <c r="E1204" i="2" s="1"/>
  <c r="B1205" i="2"/>
  <c r="A1206" i="2"/>
  <c r="K1205" i="2"/>
  <c r="G1203" i="2"/>
  <c r="J1202" i="2"/>
  <c r="E1203" i="2"/>
  <c r="I1203" i="2" s="1"/>
  <c r="D1203" i="4"/>
  <c r="B1205" i="4" l="1"/>
  <c r="K1206" i="2"/>
  <c r="A1207" i="2"/>
  <c r="B1206" i="2"/>
  <c r="C1205" i="2"/>
  <c r="E1205" i="2" s="1"/>
  <c r="F1205" i="2"/>
  <c r="G1205" i="2" s="1"/>
  <c r="H1204" i="2"/>
  <c r="C1205" i="4" s="1"/>
  <c r="B1204" i="4"/>
  <c r="D1204" i="4" s="1"/>
  <c r="J1203" i="2"/>
  <c r="D1204" i="2"/>
  <c r="I1204" i="2" s="1"/>
  <c r="B1206" i="4" l="1"/>
  <c r="H1205" i="2"/>
  <c r="C1206" i="4" s="1"/>
  <c r="D1205" i="2"/>
  <c r="I1205" i="2" s="1"/>
  <c r="B1207" i="2"/>
  <c r="A1208" i="2"/>
  <c r="K1207" i="2"/>
  <c r="J1204" i="2"/>
  <c r="C1206" i="2"/>
  <c r="D1206" i="2" s="1"/>
  <c r="F1206" i="2"/>
  <c r="G1206" i="2" s="1"/>
  <c r="D1205" i="4"/>
  <c r="B1207" i="4" l="1"/>
  <c r="F1207" i="2"/>
  <c r="H1207" i="2" s="1"/>
  <c r="C1208" i="4" s="1"/>
  <c r="C1207" i="2"/>
  <c r="D1207" i="2" s="1"/>
  <c r="E1206" i="2"/>
  <c r="I1206" i="2" s="1"/>
  <c r="H1206" i="2"/>
  <c r="C1207" i="4" s="1"/>
  <c r="J1205" i="2"/>
  <c r="B1208" i="2"/>
  <c r="K1208" i="2"/>
  <c r="A1209" i="2"/>
  <c r="D1206" i="4"/>
  <c r="C1208" i="2" l="1"/>
  <c r="E1208" i="2" s="1"/>
  <c r="F1208" i="2"/>
  <c r="H1208" i="2" s="1"/>
  <c r="C1209" i="4" s="1"/>
  <c r="G1207" i="2"/>
  <c r="E1207" i="2"/>
  <c r="I1207" i="2" s="1"/>
  <c r="J1206" i="2"/>
  <c r="A1210" i="2"/>
  <c r="B1209" i="2"/>
  <c r="K1209" i="2"/>
  <c r="D1207" i="4"/>
  <c r="B1208" i="4" l="1"/>
  <c r="D1208" i="4" s="1"/>
  <c r="J1207" i="2"/>
  <c r="F1209" i="2"/>
  <c r="G1209" i="2" s="1"/>
  <c r="C1209" i="2"/>
  <c r="E1209" i="2" s="1"/>
  <c r="B1210" i="2"/>
  <c r="A1211" i="2"/>
  <c r="K1210" i="2"/>
  <c r="D1208" i="2"/>
  <c r="I1208" i="2" s="1"/>
  <c r="G1208" i="2"/>
  <c r="B1210" i="4" l="1"/>
  <c r="B1211" i="2"/>
  <c r="A1212" i="2"/>
  <c r="K1211" i="2"/>
  <c r="F1210" i="2"/>
  <c r="G1210" i="2" s="1"/>
  <c r="C1210" i="2"/>
  <c r="E1210" i="2" s="1"/>
  <c r="H1209" i="2"/>
  <c r="C1210" i="4" s="1"/>
  <c r="B1209" i="4"/>
  <c r="D1209" i="4" s="1"/>
  <c r="J1208" i="2"/>
  <c r="D1209" i="2"/>
  <c r="I1209" i="2" s="1"/>
  <c r="B1211" i="4" l="1"/>
  <c r="D1210" i="2"/>
  <c r="I1210" i="2" s="1"/>
  <c r="J1209" i="2"/>
  <c r="H1210" i="2"/>
  <c r="C1211" i="4" s="1"/>
  <c r="A1213" i="2"/>
  <c r="K1212" i="2"/>
  <c r="B1212" i="2"/>
  <c r="F1211" i="2"/>
  <c r="G1211" i="2" s="1"/>
  <c r="C1211" i="2"/>
  <c r="E1211" i="2" s="1"/>
  <c r="D1210" i="4"/>
  <c r="B1212" i="4" l="1"/>
  <c r="H1211" i="2"/>
  <c r="C1212" i="4" s="1"/>
  <c r="D1211" i="2"/>
  <c r="I1211" i="2" s="1"/>
  <c r="F1212" i="2"/>
  <c r="G1212" i="2" s="1"/>
  <c r="C1212" i="2"/>
  <c r="E1212" i="2" s="1"/>
  <c r="B1213" i="2"/>
  <c r="A1214" i="2"/>
  <c r="K1213" i="2"/>
  <c r="J1210" i="2"/>
  <c r="D1211" i="4"/>
  <c r="B1213" i="4" l="1"/>
  <c r="C1213" i="2"/>
  <c r="D1213" i="2" s="1"/>
  <c r="F1213" i="2"/>
  <c r="H1213" i="2" s="1"/>
  <c r="C1214" i="4" s="1"/>
  <c r="H1212" i="2"/>
  <c r="C1213" i="4" s="1"/>
  <c r="D1212" i="2"/>
  <c r="I1212" i="2" s="1"/>
  <c r="K1214" i="2"/>
  <c r="A1215" i="2"/>
  <c r="B1214" i="2"/>
  <c r="J1211" i="2"/>
  <c r="D1212" i="4"/>
  <c r="C1214" i="2" l="1"/>
  <c r="E1214" i="2" s="1"/>
  <c r="F1214" i="2"/>
  <c r="G1214" i="2" s="1"/>
  <c r="A1216" i="2"/>
  <c r="K1215" i="2"/>
  <c r="B1215" i="2"/>
  <c r="G1213" i="2"/>
  <c r="J1212" i="2"/>
  <c r="E1213" i="2"/>
  <c r="I1213" i="2" s="1"/>
  <c r="D1213" i="4"/>
  <c r="B1215" i="4" l="1"/>
  <c r="B1214" i="4"/>
  <c r="D1214" i="4" s="1"/>
  <c r="J1213" i="2"/>
  <c r="F1215" i="2"/>
  <c r="H1215" i="2" s="1"/>
  <c r="C1216" i="4" s="1"/>
  <c r="C1215" i="2"/>
  <c r="D1215" i="2" s="1"/>
  <c r="K1216" i="2"/>
  <c r="A1217" i="2"/>
  <c r="B1216" i="2"/>
  <c r="D1214" i="2"/>
  <c r="I1214" i="2" s="1"/>
  <c r="H1214" i="2"/>
  <c r="C1215" i="4" s="1"/>
  <c r="B1217" i="2" l="1"/>
  <c r="A1218" i="2"/>
  <c r="K1217" i="2"/>
  <c r="F1216" i="2"/>
  <c r="H1216" i="2" s="1"/>
  <c r="C1217" i="4" s="1"/>
  <c r="C1216" i="2"/>
  <c r="E1216" i="2" s="1"/>
  <c r="E1215" i="2"/>
  <c r="I1215" i="2" s="1"/>
  <c r="G1215" i="2"/>
  <c r="J1214" i="2"/>
  <c r="D1215" i="4"/>
  <c r="B1216" i="4" l="1"/>
  <c r="D1216" i="4" s="1"/>
  <c r="J1215" i="2"/>
  <c r="D1216" i="2"/>
  <c r="I1216" i="2" s="1"/>
  <c r="G1216" i="2"/>
  <c r="K1218" i="2"/>
  <c r="B1218" i="2"/>
  <c r="A1219" i="2"/>
  <c r="F1217" i="2"/>
  <c r="G1217" i="2" s="1"/>
  <c r="C1217" i="2"/>
  <c r="D1217" i="2" s="1"/>
  <c r="B1218" i="4" l="1"/>
  <c r="H1217" i="2"/>
  <c r="C1218" i="4" s="1"/>
  <c r="E1217" i="2"/>
  <c r="I1217" i="2" s="1"/>
  <c r="C1218" i="2"/>
  <c r="E1218" i="2" s="1"/>
  <c r="F1218" i="2"/>
  <c r="G1218" i="2" s="1"/>
  <c r="A1220" i="2"/>
  <c r="B1219" i="2"/>
  <c r="K1219" i="2"/>
  <c r="B1217" i="4"/>
  <c r="D1217" i="4" s="1"/>
  <c r="J1216" i="2"/>
  <c r="B1219" i="4" l="1"/>
  <c r="F1219" i="2"/>
  <c r="H1219" i="2" s="1"/>
  <c r="C1220" i="4" s="1"/>
  <c r="C1219" i="2"/>
  <c r="D1219" i="2" s="1"/>
  <c r="H1218" i="2"/>
  <c r="C1219" i="4" s="1"/>
  <c r="D1218" i="2"/>
  <c r="I1218" i="2" s="1"/>
  <c r="J1217" i="2"/>
  <c r="A1221" i="2"/>
  <c r="K1220" i="2"/>
  <c r="B1220" i="2"/>
  <c r="D1218" i="4"/>
  <c r="B1221" i="2" l="1"/>
  <c r="A1222" i="2"/>
  <c r="K1221" i="2"/>
  <c r="G1219" i="2"/>
  <c r="J1218" i="2"/>
  <c r="C1220" i="2"/>
  <c r="D1220" i="2" s="1"/>
  <c r="F1220" i="2"/>
  <c r="H1220" i="2" s="1"/>
  <c r="C1221" i="4" s="1"/>
  <c r="E1219" i="2"/>
  <c r="I1219" i="2" s="1"/>
  <c r="D1219" i="4"/>
  <c r="G1220" i="2" l="1"/>
  <c r="E1220" i="2"/>
  <c r="I1220" i="2" s="1"/>
  <c r="B1220" i="4"/>
  <c r="D1220" i="4" s="1"/>
  <c r="J1219" i="2"/>
  <c r="K1222" i="2"/>
  <c r="A1223" i="2"/>
  <c r="B1222" i="2"/>
  <c r="F1221" i="2"/>
  <c r="H1221" i="2" s="1"/>
  <c r="C1222" i="4" s="1"/>
  <c r="C1221" i="2"/>
  <c r="D1221" i="2" s="1"/>
  <c r="G1221" i="2" l="1"/>
  <c r="C1222" i="2"/>
  <c r="E1222" i="2" s="1"/>
  <c r="F1222" i="2"/>
  <c r="H1222" i="2" s="1"/>
  <c r="C1223" i="4" s="1"/>
  <c r="E1221" i="2"/>
  <c r="I1221" i="2" s="1"/>
  <c r="B1223" i="2"/>
  <c r="A1224" i="2"/>
  <c r="K1223" i="2"/>
  <c r="B1221" i="4"/>
  <c r="D1221" i="4" s="1"/>
  <c r="J1220" i="2"/>
  <c r="B1224" i="2" l="1"/>
  <c r="K1224" i="2"/>
  <c r="A1225" i="2"/>
  <c r="C1223" i="2"/>
  <c r="D1223" i="2" s="1"/>
  <c r="F1223" i="2"/>
  <c r="G1223" i="2" s="1"/>
  <c r="D1222" i="2"/>
  <c r="I1222" i="2" s="1"/>
  <c r="G1222" i="2"/>
  <c r="B1222" i="4"/>
  <c r="D1222" i="4" s="1"/>
  <c r="J1221" i="2"/>
  <c r="B1224" i="4" l="1"/>
  <c r="B1223" i="4"/>
  <c r="D1223" i="4" s="1"/>
  <c r="J1222" i="2"/>
  <c r="E1223" i="2"/>
  <c r="I1223" i="2" s="1"/>
  <c r="H1223" i="2"/>
  <c r="C1224" i="4" s="1"/>
  <c r="A1226" i="2"/>
  <c r="B1225" i="2"/>
  <c r="K1225" i="2"/>
  <c r="C1224" i="2"/>
  <c r="E1224" i="2" s="1"/>
  <c r="F1224" i="2"/>
  <c r="H1224" i="2" s="1"/>
  <c r="C1225" i="4" s="1"/>
  <c r="D1224" i="2" l="1"/>
  <c r="I1224" i="2" s="1"/>
  <c r="J1223" i="2"/>
  <c r="G1224" i="2"/>
  <c r="F1225" i="2"/>
  <c r="H1225" i="2" s="1"/>
  <c r="C1226" i="4" s="1"/>
  <c r="C1225" i="2"/>
  <c r="E1225" i="2" s="1"/>
  <c r="B1226" i="2"/>
  <c r="A1227" i="2"/>
  <c r="K1226" i="2"/>
  <c r="D1224" i="4"/>
  <c r="B1227" i="2" l="1"/>
  <c r="A1228" i="2"/>
  <c r="K1227" i="2"/>
  <c r="F1226" i="2"/>
  <c r="G1226" i="2" s="1"/>
  <c r="C1226" i="2"/>
  <c r="D1226" i="2" s="1"/>
  <c r="G1225" i="2"/>
  <c r="D1225" i="2"/>
  <c r="I1225" i="2" s="1"/>
  <c r="B1225" i="4"/>
  <c r="D1225" i="4" s="1"/>
  <c r="J1224" i="2"/>
  <c r="B1227" i="4" l="1"/>
  <c r="H1226" i="2"/>
  <c r="C1227" i="4" s="1"/>
  <c r="E1226" i="2"/>
  <c r="I1226" i="2" s="1"/>
  <c r="B1226" i="4"/>
  <c r="D1226" i="4" s="1"/>
  <c r="J1225" i="2"/>
  <c r="A1229" i="2"/>
  <c r="K1228" i="2"/>
  <c r="B1228" i="2"/>
  <c r="C1227" i="2"/>
  <c r="E1227" i="2" s="1"/>
  <c r="F1227" i="2"/>
  <c r="G1227" i="2" s="1"/>
  <c r="B1228" i="4" l="1"/>
  <c r="D1227" i="2"/>
  <c r="I1227" i="2" s="1"/>
  <c r="H1227" i="2"/>
  <c r="C1228" i="4" s="1"/>
  <c r="C1228" i="2"/>
  <c r="E1228" i="2" s="1"/>
  <c r="F1228" i="2"/>
  <c r="G1228" i="2" s="1"/>
  <c r="J1226" i="2"/>
  <c r="B1229" i="2"/>
  <c r="A1230" i="2"/>
  <c r="K1229" i="2"/>
  <c r="D1227" i="4"/>
  <c r="B1229" i="4" l="1"/>
  <c r="K1230" i="2"/>
  <c r="A1231" i="2"/>
  <c r="B1230" i="2"/>
  <c r="F1229" i="2"/>
  <c r="H1229" i="2" s="1"/>
  <c r="C1230" i="4" s="1"/>
  <c r="C1229" i="2"/>
  <c r="E1229" i="2" s="1"/>
  <c r="H1228" i="2"/>
  <c r="C1229" i="4" s="1"/>
  <c r="D1228" i="2"/>
  <c r="I1228" i="2" s="1"/>
  <c r="J1227" i="2"/>
  <c r="D1228" i="4"/>
  <c r="D1229" i="2" l="1"/>
  <c r="I1229" i="2" s="1"/>
  <c r="C1230" i="2"/>
  <c r="E1230" i="2" s="1"/>
  <c r="F1230" i="2"/>
  <c r="G1230" i="2" s="1"/>
  <c r="A1232" i="2"/>
  <c r="K1231" i="2"/>
  <c r="B1231" i="2"/>
  <c r="J1228" i="2"/>
  <c r="G1229" i="2"/>
  <c r="D1229" i="4"/>
  <c r="B1231" i="4" l="1"/>
  <c r="B1230" i="4"/>
  <c r="D1230" i="4" s="1"/>
  <c r="J1229" i="2"/>
  <c r="K1232" i="2"/>
  <c r="A1233" i="2"/>
  <c r="B1232" i="2"/>
  <c r="D1230" i="2"/>
  <c r="I1230" i="2" s="1"/>
  <c r="H1230" i="2"/>
  <c r="C1231" i="4" s="1"/>
  <c r="F1231" i="2"/>
  <c r="H1231" i="2" s="1"/>
  <c r="C1232" i="4" s="1"/>
  <c r="C1231" i="2"/>
  <c r="E1231" i="2" s="1"/>
  <c r="G1231" i="2" l="1"/>
  <c r="D1231" i="2"/>
  <c r="I1231" i="2" s="1"/>
  <c r="F1232" i="2"/>
  <c r="H1232" i="2" s="1"/>
  <c r="C1233" i="4" s="1"/>
  <c r="C1232" i="2"/>
  <c r="D1232" i="2" s="1"/>
  <c r="B1233" i="2"/>
  <c r="A1234" i="2"/>
  <c r="K1233" i="2"/>
  <c r="J1230" i="2"/>
  <c r="D1231" i="4"/>
  <c r="K1234" i="2" l="1"/>
  <c r="B1234" i="2"/>
  <c r="A1235" i="2"/>
  <c r="E1232" i="2"/>
  <c r="I1232" i="2" s="1"/>
  <c r="F1233" i="2"/>
  <c r="H1233" i="2" s="1"/>
  <c r="C1234" i="4" s="1"/>
  <c r="C1233" i="2"/>
  <c r="E1233" i="2" s="1"/>
  <c r="G1232" i="2"/>
  <c r="B1232" i="4"/>
  <c r="D1232" i="4" s="1"/>
  <c r="J1231" i="2"/>
  <c r="D1233" i="2" l="1"/>
  <c r="I1233" i="2" s="1"/>
  <c r="G1233" i="2"/>
  <c r="C1234" i="2"/>
  <c r="E1234" i="2" s="1"/>
  <c r="F1234" i="2"/>
  <c r="H1234" i="2" s="1"/>
  <c r="C1235" i="4" s="1"/>
  <c r="B1233" i="4"/>
  <c r="D1233" i="4" s="1"/>
  <c r="J1232" i="2"/>
  <c r="A1236" i="2"/>
  <c r="B1235" i="2"/>
  <c r="K1235" i="2"/>
  <c r="A1237" i="2" l="1"/>
  <c r="K1236" i="2"/>
  <c r="B1236" i="2"/>
  <c r="G1234" i="2"/>
  <c r="B1234" i="4"/>
  <c r="D1234" i="4" s="1"/>
  <c r="J1233" i="2"/>
  <c r="F1235" i="2"/>
  <c r="H1235" i="2" s="1"/>
  <c r="C1236" i="4" s="1"/>
  <c r="C1235" i="2"/>
  <c r="D1235" i="2" s="1"/>
  <c r="D1234" i="2"/>
  <c r="I1234" i="2" s="1"/>
  <c r="E1235" i="2" l="1"/>
  <c r="I1235" i="2" s="1"/>
  <c r="G1235" i="2"/>
  <c r="F1236" i="2"/>
  <c r="G1236" i="2" s="1"/>
  <c r="C1236" i="2"/>
  <c r="E1236" i="2" s="1"/>
  <c r="B1235" i="4"/>
  <c r="D1235" i="4" s="1"/>
  <c r="J1234" i="2"/>
  <c r="B1237" i="2"/>
  <c r="A1238" i="2"/>
  <c r="K1237" i="2"/>
  <c r="B1237" i="4" l="1"/>
  <c r="H1236" i="2"/>
  <c r="C1237" i="4" s="1"/>
  <c r="A1239" i="2"/>
  <c r="K1238" i="2"/>
  <c r="B1238" i="2"/>
  <c r="B1236" i="4"/>
  <c r="D1236" i="4" s="1"/>
  <c r="J1235" i="2"/>
  <c r="F1237" i="2"/>
  <c r="H1237" i="2" s="1"/>
  <c r="C1238" i="4" s="1"/>
  <c r="C1237" i="2"/>
  <c r="D1237" i="2" s="1"/>
  <c r="D1236" i="2"/>
  <c r="I1236" i="2" s="1"/>
  <c r="E1237" i="2" l="1"/>
  <c r="I1237" i="2" s="1"/>
  <c r="B1239" i="2"/>
  <c r="A1240" i="2"/>
  <c r="K1239" i="2"/>
  <c r="J1236" i="2"/>
  <c r="G1237" i="2"/>
  <c r="C1238" i="2"/>
  <c r="E1238" i="2" s="1"/>
  <c r="F1238" i="2"/>
  <c r="G1238" i="2" s="1"/>
  <c r="D1237" i="4"/>
  <c r="B1239" i="4" l="1"/>
  <c r="D1238" i="2"/>
  <c r="I1238" i="2" s="1"/>
  <c r="H1238" i="2"/>
  <c r="C1239" i="4" s="1"/>
  <c r="B1238" i="4"/>
  <c r="D1238" i="4" s="1"/>
  <c r="J1237" i="2"/>
  <c r="F1239" i="2"/>
  <c r="H1239" i="2" s="1"/>
  <c r="C1240" i="4" s="1"/>
  <c r="C1239" i="2"/>
  <c r="D1239" i="2" s="1"/>
  <c r="B1240" i="2"/>
  <c r="K1240" i="2"/>
  <c r="A1241" i="2"/>
  <c r="A1242" i="2" l="1"/>
  <c r="K1241" i="2"/>
  <c r="B1241" i="2"/>
  <c r="F1240" i="2"/>
  <c r="H1240" i="2" s="1"/>
  <c r="C1241" i="4" s="1"/>
  <c r="C1240" i="2"/>
  <c r="D1240" i="2" s="1"/>
  <c r="G1239" i="2"/>
  <c r="E1239" i="2"/>
  <c r="I1239" i="2" s="1"/>
  <c r="J1238" i="2"/>
  <c r="D1239" i="4"/>
  <c r="B1240" i="4" l="1"/>
  <c r="D1240" i="4" s="1"/>
  <c r="J1239" i="2"/>
  <c r="E1240" i="2"/>
  <c r="I1240" i="2" s="1"/>
  <c r="G1240" i="2"/>
  <c r="F1241" i="2"/>
  <c r="H1241" i="2" s="1"/>
  <c r="C1242" i="4" s="1"/>
  <c r="C1241" i="2"/>
  <c r="D1241" i="2" s="1"/>
  <c r="B1242" i="2"/>
  <c r="A1243" i="2"/>
  <c r="K1242" i="2"/>
  <c r="B1243" i="2" l="1"/>
  <c r="A1244" i="2"/>
  <c r="K1243" i="2"/>
  <c r="E1241" i="2"/>
  <c r="I1241" i="2" s="1"/>
  <c r="C1242" i="2"/>
  <c r="D1242" i="2" s="1"/>
  <c r="F1242" i="2"/>
  <c r="G1242" i="2" s="1"/>
  <c r="B1241" i="4"/>
  <c r="D1241" i="4" s="1"/>
  <c r="J1240" i="2"/>
  <c r="G1241" i="2"/>
  <c r="B1243" i="4" l="1"/>
  <c r="B1242" i="4"/>
  <c r="D1242" i="4" s="1"/>
  <c r="J1241" i="2"/>
  <c r="E1242" i="2"/>
  <c r="I1242" i="2" s="1"/>
  <c r="H1242" i="2"/>
  <c r="C1243" i="4" s="1"/>
  <c r="A1245" i="2"/>
  <c r="K1244" i="2"/>
  <c r="B1244" i="2"/>
  <c r="F1243" i="2"/>
  <c r="G1243" i="2" s="1"/>
  <c r="C1243" i="2"/>
  <c r="E1243" i="2" s="1"/>
  <c r="B1244" i="4" l="1"/>
  <c r="D1243" i="2"/>
  <c r="I1243" i="2" s="1"/>
  <c r="H1243" i="2"/>
  <c r="C1244" i="4" s="1"/>
  <c r="C1244" i="2"/>
  <c r="E1244" i="2" s="1"/>
  <c r="F1244" i="2"/>
  <c r="H1244" i="2" s="1"/>
  <c r="C1245" i="4" s="1"/>
  <c r="B1245" i="2"/>
  <c r="A1246" i="2"/>
  <c r="K1245" i="2"/>
  <c r="J1242" i="2"/>
  <c r="D1243" i="4"/>
  <c r="G1244" i="2" l="1"/>
  <c r="K1246" i="2"/>
  <c r="A1247" i="2"/>
  <c r="B1246" i="2"/>
  <c r="J1243" i="2"/>
  <c r="F1245" i="2"/>
  <c r="G1245" i="2" s="1"/>
  <c r="C1245" i="2"/>
  <c r="E1245" i="2" s="1"/>
  <c r="D1244" i="2"/>
  <c r="I1244" i="2" s="1"/>
  <c r="D1244" i="4"/>
  <c r="B1246" i="4" l="1"/>
  <c r="H1245" i="2"/>
  <c r="C1246" i="4" s="1"/>
  <c r="D1245" i="2"/>
  <c r="I1245" i="2" s="1"/>
  <c r="C1246" i="2"/>
  <c r="E1246" i="2" s="1"/>
  <c r="F1246" i="2"/>
  <c r="G1246" i="2" s="1"/>
  <c r="A1248" i="2"/>
  <c r="K1247" i="2"/>
  <c r="B1247" i="2"/>
  <c r="B1245" i="4"/>
  <c r="D1245" i="4" s="1"/>
  <c r="J1244" i="2"/>
  <c r="B1247" i="4" l="1"/>
  <c r="F1247" i="2"/>
  <c r="H1247" i="2" s="1"/>
  <c r="C1248" i="4" s="1"/>
  <c r="C1247" i="2"/>
  <c r="D1247" i="2" s="1"/>
  <c r="K1248" i="2"/>
  <c r="A1249" i="2"/>
  <c r="B1248" i="2"/>
  <c r="H1246" i="2"/>
  <c r="C1247" i="4" s="1"/>
  <c r="D1246" i="2"/>
  <c r="I1246" i="2" s="1"/>
  <c r="J1245" i="2"/>
  <c r="D1246" i="4"/>
  <c r="B1249" i="2" l="1"/>
  <c r="A1250" i="2"/>
  <c r="K1249" i="2"/>
  <c r="C1248" i="2"/>
  <c r="E1248" i="2" s="1"/>
  <c r="F1248" i="2"/>
  <c r="G1248" i="2" s="1"/>
  <c r="G1247" i="2"/>
  <c r="E1247" i="2"/>
  <c r="I1247" i="2" s="1"/>
  <c r="J1246" i="2"/>
  <c r="D1247" i="4"/>
  <c r="B1249" i="4" l="1"/>
  <c r="B1248" i="4"/>
  <c r="D1248" i="4" s="1"/>
  <c r="J1247" i="2"/>
  <c r="D1248" i="2"/>
  <c r="I1248" i="2" s="1"/>
  <c r="H1248" i="2"/>
  <c r="C1249" i="4" s="1"/>
  <c r="K1250" i="2"/>
  <c r="B1250" i="2"/>
  <c r="A1251" i="2"/>
  <c r="C1249" i="2"/>
  <c r="D1249" i="2" s="1"/>
  <c r="F1249" i="2"/>
  <c r="G1249" i="2" s="1"/>
  <c r="B1250" i="4" l="1"/>
  <c r="H1249" i="2"/>
  <c r="C1250" i="4" s="1"/>
  <c r="E1249" i="2"/>
  <c r="I1249" i="2" s="1"/>
  <c r="A1252" i="2"/>
  <c r="K1251" i="2"/>
  <c r="B1251" i="2"/>
  <c r="C1250" i="2"/>
  <c r="E1250" i="2" s="1"/>
  <c r="F1250" i="2"/>
  <c r="H1250" i="2" s="1"/>
  <c r="C1251" i="4" s="1"/>
  <c r="J1248" i="2"/>
  <c r="D1249" i="4"/>
  <c r="G1250" i="2" l="1"/>
  <c r="D1250" i="2"/>
  <c r="I1250" i="2" s="1"/>
  <c r="B1252" i="2"/>
  <c r="A1253" i="2"/>
  <c r="K1252" i="2"/>
  <c r="J1249" i="2"/>
  <c r="F1251" i="2"/>
  <c r="H1251" i="2" s="1"/>
  <c r="C1252" i="4" s="1"/>
  <c r="C1251" i="2"/>
  <c r="D1251" i="2" s="1"/>
  <c r="D1250" i="4"/>
  <c r="G1251" i="2" l="1"/>
  <c r="E1251" i="2"/>
  <c r="I1251" i="2" s="1"/>
  <c r="B1253" i="2"/>
  <c r="A1254" i="2"/>
  <c r="K1253" i="2"/>
  <c r="F1252" i="2"/>
  <c r="G1252" i="2" s="1"/>
  <c r="C1252" i="2"/>
  <c r="E1252" i="2" s="1"/>
  <c r="B1251" i="4"/>
  <c r="D1251" i="4" s="1"/>
  <c r="J1250" i="2"/>
  <c r="B1253" i="4" l="1"/>
  <c r="H1252" i="2"/>
  <c r="C1253" i="4" s="1"/>
  <c r="D1252" i="2"/>
  <c r="I1252" i="2" s="1"/>
  <c r="A1255" i="2"/>
  <c r="K1254" i="2"/>
  <c r="B1254" i="2"/>
  <c r="F1253" i="2"/>
  <c r="G1253" i="2" s="1"/>
  <c r="C1253" i="2"/>
  <c r="E1253" i="2" s="1"/>
  <c r="B1252" i="4"/>
  <c r="D1252" i="4" s="1"/>
  <c r="J1251" i="2"/>
  <c r="B1254" i="4" l="1"/>
  <c r="H1253" i="2"/>
  <c r="C1254" i="4" s="1"/>
  <c r="D1253" i="2"/>
  <c r="I1253" i="2" s="1"/>
  <c r="C1254" i="2"/>
  <c r="E1254" i="2" s="1"/>
  <c r="F1254" i="2"/>
  <c r="G1254" i="2" s="1"/>
  <c r="B1255" i="2"/>
  <c r="A1256" i="2"/>
  <c r="K1255" i="2"/>
  <c r="J1252" i="2"/>
  <c r="D1253" i="4"/>
  <c r="B1255" i="4" l="1"/>
  <c r="B1256" i="2"/>
  <c r="A1257" i="2"/>
  <c r="K1256" i="2"/>
  <c r="D1254" i="2"/>
  <c r="I1254" i="2" s="1"/>
  <c r="H1254" i="2"/>
  <c r="C1255" i="4" s="1"/>
  <c r="F1255" i="2"/>
  <c r="H1255" i="2" s="1"/>
  <c r="C1256" i="4" s="1"/>
  <c r="C1255" i="2"/>
  <c r="E1255" i="2" s="1"/>
  <c r="J1253" i="2"/>
  <c r="D1254" i="4"/>
  <c r="G1255" i="2" l="1"/>
  <c r="D1255" i="2"/>
  <c r="I1255" i="2" s="1"/>
  <c r="J1254" i="2"/>
  <c r="A1258" i="2"/>
  <c r="K1257" i="2"/>
  <c r="B1257" i="2"/>
  <c r="F1256" i="2"/>
  <c r="H1256" i="2" s="1"/>
  <c r="C1257" i="4" s="1"/>
  <c r="C1256" i="2"/>
  <c r="D1256" i="2" s="1"/>
  <c r="D1255" i="4"/>
  <c r="E1256" i="2" l="1"/>
  <c r="I1256" i="2" s="1"/>
  <c r="G1256" i="2"/>
  <c r="F1257" i="2"/>
  <c r="H1257" i="2" s="1"/>
  <c r="C1258" i="4" s="1"/>
  <c r="C1257" i="2"/>
  <c r="E1257" i="2" s="1"/>
  <c r="B1258" i="2"/>
  <c r="A1259" i="2"/>
  <c r="K1258" i="2"/>
  <c r="B1256" i="4"/>
  <c r="D1256" i="4" s="1"/>
  <c r="J1255" i="2"/>
  <c r="B1259" i="2" l="1"/>
  <c r="A1260" i="2"/>
  <c r="K1259" i="2"/>
  <c r="C1258" i="2"/>
  <c r="E1258" i="2" s="1"/>
  <c r="F1258" i="2"/>
  <c r="G1258" i="2" s="1"/>
  <c r="B1257" i="4"/>
  <c r="D1257" i="4" s="1"/>
  <c r="J1256" i="2"/>
  <c r="D1257" i="2"/>
  <c r="I1257" i="2" s="1"/>
  <c r="G1257" i="2"/>
  <c r="B1259" i="4" l="1"/>
  <c r="D1258" i="2"/>
  <c r="I1258" i="2" s="1"/>
  <c r="H1258" i="2"/>
  <c r="C1259" i="4" s="1"/>
  <c r="B1258" i="4"/>
  <c r="D1258" i="4" s="1"/>
  <c r="J1257" i="2"/>
  <c r="A1261" i="2"/>
  <c r="K1260" i="2"/>
  <c r="B1260" i="2"/>
  <c r="C1259" i="2"/>
  <c r="D1259" i="2" s="1"/>
  <c r="F1259" i="2"/>
  <c r="H1259" i="2" s="1"/>
  <c r="C1260" i="4" s="1"/>
  <c r="E1259" i="2" l="1"/>
  <c r="I1259" i="2" s="1"/>
  <c r="J1258" i="2"/>
  <c r="G1259" i="2"/>
  <c r="F1260" i="2"/>
  <c r="H1260" i="2" s="1"/>
  <c r="C1261" i="4" s="1"/>
  <c r="C1260" i="2"/>
  <c r="E1260" i="2" s="1"/>
  <c r="B1261" i="2"/>
  <c r="A1262" i="2"/>
  <c r="K1261" i="2"/>
  <c r="D1259" i="4"/>
  <c r="B1262" i="2" l="1"/>
  <c r="A1263" i="2"/>
  <c r="K1262" i="2"/>
  <c r="F1261" i="2"/>
  <c r="G1261" i="2" s="1"/>
  <c r="C1261" i="2"/>
  <c r="E1261" i="2" s="1"/>
  <c r="G1260" i="2"/>
  <c r="D1260" i="2"/>
  <c r="I1260" i="2" s="1"/>
  <c r="B1260" i="4"/>
  <c r="D1260" i="4" s="1"/>
  <c r="J1259" i="2"/>
  <c r="B1262" i="4" l="1"/>
  <c r="B1261" i="4"/>
  <c r="D1261" i="4" s="1"/>
  <c r="J1260" i="2"/>
  <c r="D1261" i="2"/>
  <c r="I1261" i="2" s="1"/>
  <c r="H1261" i="2"/>
  <c r="C1262" i="4" s="1"/>
  <c r="A1264" i="2"/>
  <c r="K1263" i="2"/>
  <c r="B1263" i="2"/>
  <c r="C1262" i="2"/>
  <c r="D1262" i="2" s="1"/>
  <c r="F1262" i="2"/>
  <c r="H1262" i="2" s="1"/>
  <c r="C1263" i="4" s="1"/>
  <c r="E1262" i="2" l="1"/>
  <c r="I1262" i="2" s="1"/>
  <c r="G1262" i="2"/>
  <c r="F1263" i="2"/>
  <c r="H1263" i="2" s="1"/>
  <c r="C1264" i="4" s="1"/>
  <c r="C1263" i="2"/>
  <c r="E1263" i="2" s="1"/>
  <c r="A1265" i="2"/>
  <c r="K1264" i="2"/>
  <c r="B1264" i="2"/>
  <c r="J1261" i="2"/>
  <c r="D1262" i="4"/>
  <c r="B1265" i="2" l="1"/>
  <c r="A1266" i="2"/>
  <c r="K1265" i="2"/>
  <c r="B1263" i="4"/>
  <c r="D1263" i="4" s="1"/>
  <c r="J1262" i="2"/>
  <c r="C1264" i="2"/>
  <c r="D1264" i="2" s="1"/>
  <c r="F1264" i="2"/>
  <c r="H1264" i="2" s="1"/>
  <c r="C1265" i="4" s="1"/>
  <c r="D1263" i="2"/>
  <c r="I1263" i="2" s="1"/>
  <c r="G1263" i="2"/>
  <c r="E1264" i="2" l="1"/>
  <c r="I1264" i="2" s="1"/>
  <c r="B1264" i="4"/>
  <c r="D1264" i="4" s="1"/>
  <c r="J1263" i="2"/>
  <c r="G1264" i="2"/>
  <c r="K1266" i="2"/>
  <c r="B1266" i="2"/>
  <c r="A1267" i="2"/>
  <c r="F1265" i="2"/>
  <c r="H1265" i="2" s="1"/>
  <c r="C1266" i="4" s="1"/>
  <c r="C1265" i="2"/>
  <c r="E1265" i="2" s="1"/>
  <c r="G1265" i="2" l="1"/>
  <c r="A1268" i="2"/>
  <c r="K1267" i="2"/>
  <c r="B1267" i="2"/>
  <c r="B1265" i="4"/>
  <c r="D1265" i="4" s="1"/>
  <c r="J1264" i="2"/>
  <c r="D1265" i="2"/>
  <c r="I1265" i="2" s="1"/>
  <c r="F1266" i="2"/>
  <c r="H1266" i="2" s="1"/>
  <c r="C1267" i="4" s="1"/>
  <c r="C1266" i="2"/>
  <c r="D1266" i="2" s="1"/>
  <c r="E1266" i="2" l="1"/>
  <c r="I1266" i="2" s="1"/>
  <c r="B1268" i="2"/>
  <c r="A1269" i="2"/>
  <c r="K1268" i="2"/>
  <c r="G1266" i="2"/>
  <c r="C1267" i="2"/>
  <c r="E1267" i="2" s="1"/>
  <c r="F1267" i="2"/>
  <c r="G1267" i="2" s="1"/>
  <c r="B1266" i="4"/>
  <c r="D1266" i="4" s="1"/>
  <c r="J1265" i="2"/>
  <c r="B1268" i="4" l="1"/>
  <c r="H1267" i="2"/>
  <c r="C1268" i="4" s="1"/>
  <c r="B1267" i="4"/>
  <c r="D1267" i="4" s="1"/>
  <c r="J1266" i="2"/>
  <c r="C1268" i="2"/>
  <c r="D1268" i="2" s="1"/>
  <c r="F1268" i="2"/>
  <c r="G1268" i="2" s="1"/>
  <c r="D1267" i="2"/>
  <c r="I1267" i="2" s="1"/>
  <c r="B1269" i="2"/>
  <c r="A1270" i="2"/>
  <c r="K1269" i="2"/>
  <c r="B1269" i="4" l="1"/>
  <c r="A1271" i="2"/>
  <c r="K1270" i="2"/>
  <c r="B1270" i="2"/>
  <c r="F1269" i="2"/>
  <c r="H1269" i="2" s="1"/>
  <c r="C1270" i="4" s="1"/>
  <c r="C1269" i="2"/>
  <c r="E1269" i="2" s="1"/>
  <c r="H1268" i="2"/>
  <c r="C1269" i="4" s="1"/>
  <c r="E1268" i="2"/>
  <c r="I1268" i="2" s="1"/>
  <c r="J1267" i="2"/>
  <c r="D1268" i="4"/>
  <c r="G1269" i="2" l="1"/>
  <c r="D1269" i="2"/>
  <c r="I1269" i="2" s="1"/>
  <c r="J1268" i="2"/>
  <c r="F1270" i="2"/>
  <c r="H1270" i="2" s="1"/>
  <c r="C1271" i="4" s="1"/>
  <c r="C1270" i="2"/>
  <c r="D1270" i="2" s="1"/>
  <c r="B1271" i="2"/>
  <c r="A1272" i="2"/>
  <c r="K1271" i="2"/>
  <c r="D1269" i="4"/>
  <c r="B1272" i="2" l="1"/>
  <c r="A1273" i="2"/>
  <c r="K1272" i="2"/>
  <c r="E1270" i="2"/>
  <c r="I1270" i="2" s="1"/>
  <c r="F1271" i="2"/>
  <c r="H1271" i="2" s="1"/>
  <c r="C1272" i="4" s="1"/>
  <c r="C1271" i="2"/>
  <c r="D1271" i="2" s="1"/>
  <c r="G1270" i="2"/>
  <c r="B1270" i="4"/>
  <c r="D1270" i="4" s="1"/>
  <c r="J1269" i="2"/>
  <c r="B1271" i="4" l="1"/>
  <c r="D1271" i="4" s="1"/>
  <c r="J1270" i="2"/>
  <c r="G1271" i="2"/>
  <c r="E1271" i="2"/>
  <c r="I1271" i="2" s="1"/>
  <c r="A1274" i="2"/>
  <c r="K1273" i="2"/>
  <c r="B1273" i="2"/>
  <c r="C1272" i="2"/>
  <c r="E1272" i="2" s="1"/>
  <c r="F1272" i="2"/>
  <c r="G1272" i="2" s="1"/>
  <c r="B1273" i="4" l="1"/>
  <c r="D1272" i="2"/>
  <c r="I1272" i="2" s="1"/>
  <c r="H1272" i="2"/>
  <c r="C1273" i="4" s="1"/>
  <c r="C1273" i="2"/>
  <c r="D1273" i="2" s="1"/>
  <c r="F1273" i="2"/>
  <c r="G1273" i="2" s="1"/>
  <c r="B1274" i="2"/>
  <c r="A1275" i="2"/>
  <c r="K1274" i="2"/>
  <c r="B1272" i="4"/>
  <c r="D1272" i="4" s="1"/>
  <c r="J1271" i="2"/>
  <c r="B1274" i="4" l="1"/>
  <c r="F1274" i="2"/>
  <c r="H1274" i="2" s="1"/>
  <c r="C1275" i="4" s="1"/>
  <c r="C1274" i="2"/>
  <c r="E1274" i="2" s="1"/>
  <c r="E1273" i="2"/>
  <c r="I1273" i="2" s="1"/>
  <c r="H1273" i="2"/>
  <c r="C1274" i="4" s="1"/>
  <c r="B1275" i="2"/>
  <c r="A1276" i="2"/>
  <c r="K1275" i="2"/>
  <c r="J1272" i="2"/>
  <c r="D1273" i="4"/>
  <c r="A1277" i="2" l="1"/>
  <c r="K1276" i="2"/>
  <c r="B1276" i="2"/>
  <c r="C1275" i="2"/>
  <c r="E1275" i="2" s="1"/>
  <c r="F1275" i="2"/>
  <c r="G1275" i="2" s="1"/>
  <c r="G1274" i="2"/>
  <c r="J1273" i="2"/>
  <c r="D1274" i="2"/>
  <c r="I1274" i="2" s="1"/>
  <c r="D1274" i="4"/>
  <c r="B1276" i="4" l="1"/>
  <c r="D1275" i="2"/>
  <c r="I1275" i="2" s="1"/>
  <c r="H1275" i="2"/>
  <c r="C1276" i="4" s="1"/>
  <c r="B1275" i="4"/>
  <c r="D1275" i="4" s="1"/>
  <c r="J1274" i="2"/>
  <c r="F1276" i="2"/>
  <c r="H1276" i="2" s="1"/>
  <c r="C1277" i="4" s="1"/>
  <c r="C1276" i="2"/>
  <c r="E1276" i="2" s="1"/>
  <c r="B1277" i="2"/>
  <c r="A1278" i="2"/>
  <c r="K1277" i="2"/>
  <c r="B1278" i="2" l="1"/>
  <c r="A1279" i="2"/>
  <c r="K1278" i="2"/>
  <c r="G1276" i="2"/>
  <c r="F1277" i="2"/>
  <c r="H1277" i="2" s="1"/>
  <c r="C1278" i="4" s="1"/>
  <c r="C1277" i="2"/>
  <c r="E1277" i="2" s="1"/>
  <c r="D1276" i="2"/>
  <c r="I1276" i="2" s="1"/>
  <c r="J1275" i="2"/>
  <c r="D1276" i="4"/>
  <c r="D1277" i="2" l="1"/>
  <c r="I1277" i="2" s="1"/>
  <c r="B1277" i="4"/>
  <c r="D1277" i="4" s="1"/>
  <c r="J1276" i="2"/>
  <c r="G1277" i="2"/>
  <c r="A1280" i="2"/>
  <c r="K1279" i="2"/>
  <c r="B1279" i="2"/>
  <c r="C1278" i="2"/>
  <c r="E1278" i="2" s="1"/>
  <c r="F1278" i="2"/>
  <c r="H1278" i="2" s="1"/>
  <c r="C1279" i="4" s="1"/>
  <c r="D1278" i="2" l="1"/>
  <c r="I1278" i="2" s="1"/>
  <c r="G1278" i="2"/>
  <c r="A1281" i="2"/>
  <c r="K1280" i="2"/>
  <c r="B1280" i="2"/>
  <c r="F1279" i="2"/>
  <c r="H1279" i="2" s="1"/>
  <c r="C1280" i="4" s="1"/>
  <c r="C1279" i="2"/>
  <c r="D1279" i="2" s="1"/>
  <c r="B1278" i="4"/>
  <c r="D1278" i="4" s="1"/>
  <c r="J1277" i="2"/>
  <c r="E1279" i="2" l="1"/>
  <c r="I1279" i="2" s="1"/>
  <c r="C1280" i="2"/>
  <c r="E1280" i="2" s="1"/>
  <c r="F1280" i="2"/>
  <c r="G1280" i="2" s="1"/>
  <c r="B1279" i="4"/>
  <c r="D1279" i="4" s="1"/>
  <c r="J1278" i="2"/>
  <c r="G1279" i="2"/>
  <c r="B1281" i="2"/>
  <c r="A1282" i="2"/>
  <c r="K1281" i="2"/>
  <c r="B1281" i="4" l="1"/>
  <c r="C1281" i="2"/>
  <c r="E1281" i="2" s="1"/>
  <c r="F1281" i="2"/>
  <c r="G1281" i="2" s="1"/>
  <c r="K1282" i="2"/>
  <c r="B1282" i="2"/>
  <c r="A1283" i="2"/>
  <c r="D1280" i="2"/>
  <c r="I1280" i="2" s="1"/>
  <c r="H1280" i="2"/>
  <c r="C1281" i="4" s="1"/>
  <c r="B1280" i="4"/>
  <c r="D1280" i="4" s="1"/>
  <c r="J1279" i="2"/>
  <c r="B1282" i="4" l="1"/>
  <c r="F1282" i="2"/>
  <c r="H1282" i="2" s="1"/>
  <c r="C1283" i="4" s="1"/>
  <c r="C1282" i="2"/>
  <c r="D1282" i="2" s="1"/>
  <c r="H1281" i="2"/>
  <c r="C1282" i="4" s="1"/>
  <c r="J1280" i="2"/>
  <c r="A1284" i="2"/>
  <c r="K1283" i="2"/>
  <c r="B1283" i="2"/>
  <c r="D1281" i="2"/>
  <c r="I1281" i="2" s="1"/>
  <c r="D1281" i="4"/>
  <c r="E1282" i="2" l="1"/>
  <c r="I1282" i="2" s="1"/>
  <c r="J1281" i="2"/>
  <c r="C1283" i="2"/>
  <c r="D1283" i="2" s="1"/>
  <c r="F1283" i="2"/>
  <c r="H1283" i="2" s="1"/>
  <c r="C1284" i="4" s="1"/>
  <c r="B1284" i="2"/>
  <c r="A1285" i="2"/>
  <c r="K1284" i="2"/>
  <c r="G1282" i="2"/>
  <c r="D1282" i="4"/>
  <c r="B1283" i="4" l="1"/>
  <c r="D1283" i="4" s="1"/>
  <c r="J1282" i="2"/>
  <c r="B1285" i="2"/>
  <c r="A1286" i="2"/>
  <c r="K1285" i="2"/>
  <c r="C1284" i="2"/>
  <c r="D1284" i="2" s="1"/>
  <c r="F1284" i="2"/>
  <c r="H1284" i="2" s="1"/>
  <c r="C1285" i="4" s="1"/>
  <c r="E1283" i="2"/>
  <c r="I1283" i="2" s="1"/>
  <c r="G1283" i="2"/>
  <c r="B1284" i="4" l="1"/>
  <c r="D1284" i="4" s="1"/>
  <c r="J1283" i="2"/>
  <c r="G1284" i="2"/>
  <c r="E1284" i="2"/>
  <c r="I1284" i="2" s="1"/>
  <c r="A1287" i="2"/>
  <c r="K1286" i="2"/>
  <c r="B1286" i="2"/>
  <c r="F1285" i="2"/>
  <c r="G1285" i="2" s="1"/>
  <c r="C1285" i="2"/>
  <c r="D1285" i="2" s="1"/>
  <c r="B1286" i="4" l="1"/>
  <c r="E1285" i="2"/>
  <c r="I1285" i="2" s="1"/>
  <c r="H1285" i="2"/>
  <c r="C1286" i="4" s="1"/>
  <c r="B1287" i="2"/>
  <c r="A1288" i="2"/>
  <c r="K1287" i="2"/>
  <c r="F1286" i="2"/>
  <c r="H1286" i="2" s="1"/>
  <c r="C1287" i="4" s="1"/>
  <c r="C1286" i="2"/>
  <c r="D1286" i="2" s="1"/>
  <c r="B1285" i="4"/>
  <c r="D1285" i="4" s="1"/>
  <c r="J1284" i="2"/>
  <c r="G1286" i="2" l="1"/>
  <c r="E1286" i="2"/>
  <c r="I1286" i="2" s="1"/>
  <c r="F1287" i="2"/>
  <c r="H1287" i="2" s="1"/>
  <c r="C1288" i="4" s="1"/>
  <c r="C1287" i="2"/>
  <c r="D1287" i="2" s="1"/>
  <c r="B1288" i="2"/>
  <c r="A1289" i="2"/>
  <c r="K1288" i="2"/>
  <c r="J1285" i="2"/>
  <c r="D1286" i="4"/>
  <c r="A1290" i="2" l="1"/>
  <c r="K1289" i="2"/>
  <c r="B1289" i="2"/>
  <c r="C1288" i="2"/>
  <c r="D1288" i="2" s="1"/>
  <c r="F1288" i="2"/>
  <c r="G1288" i="2" s="1"/>
  <c r="E1287" i="2"/>
  <c r="I1287" i="2" s="1"/>
  <c r="G1287" i="2"/>
  <c r="B1287" i="4"/>
  <c r="D1287" i="4" s="1"/>
  <c r="J1286" i="2"/>
  <c r="B1289" i="4" l="1"/>
  <c r="B1288" i="4"/>
  <c r="D1288" i="4" s="1"/>
  <c r="J1287" i="2"/>
  <c r="E1288" i="2"/>
  <c r="I1288" i="2" s="1"/>
  <c r="H1288" i="2"/>
  <c r="C1289" i="4" s="1"/>
  <c r="C1289" i="2"/>
  <c r="D1289" i="2" s="1"/>
  <c r="F1289" i="2"/>
  <c r="H1289" i="2" s="1"/>
  <c r="C1290" i="4" s="1"/>
  <c r="B1290" i="2"/>
  <c r="A1291" i="2"/>
  <c r="K1290" i="2"/>
  <c r="F1290" i="2" l="1"/>
  <c r="H1290" i="2" s="1"/>
  <c r="C1291" i="4" s="1"/>
  <c r="C1290" i="2"/>
  <c r="E1290" i="2" s="1"/>
  <c r="E1289" i="2"/>
  <c r="I1289" i="2" s="1"/>
  <c r="B1291" i="2"/>
  <c r="A1292" i="2"/>
  <c r="K1291" i="2"/>
  <c r="J1288" i="2"/>
  <c r="G1289" i="2"/>
  <c r="D1289" i="4"/>
  <c r="A1293" i="2" l="1"/>
  <c r="K1292" i="2"/>
  <c r="B1292" i="2"/>
  <c r="B1290" i="4"/>
  <c r="D1290" i="4" s="1"/>
  <c r="J1289" i="2"/>
  <c r="C1291" i="2"/>
  <c r="D1291" i="2" s="1"/>
  <c r="F1291" i="2"/>
  <c r="H1291" i="2" s="1"/>
  <c r="C1292" i="4" s="1"/>
  <c r="D1290" i="2"/>
  <c r="I1290" i="2" s="1"/>
  <c r="G1290" i="2"/>
  <c r="E1291" i="2" l="1"/>
  <c r="I1291" i="2" s="1"/>
  <c r="B1291" i="4"/>
  <c r="D1291" i="4" s="1"/>
  <c r="J1290" i="2"/>
  <c r="G1291" i="2"/>
  <c r="F1292" i="2"/>
  <c r="G1292" i="2" s="1"/>
  <c r="C1292" i="2"/>
  <c r="D1292" i="2" s="1"/>
  <c r="B1293" i="2"/>
  <c r="A1294" i="2"/>
  <c r="K1293" i="2"/>
  <c r="B1293" i="4" l="1"/>
  <c r="B1294" i="2"/>
  <c r="A1295" i="2"/>
  <c r="K1294" i="2"/>
  <c r="F1293" i="2"/>
  <c r="H1293" i="2" s="1"/>
  <c r="C1294" i="4" s="1"/>
  <c r="C1293" i="2"/>
  <c r="E1293" i="2" s="1"/>
  <c r="E1292" i="2"/>
  <c r="I1292" i="2" s="1"/>
  <c r="H1292" i="2"/>
  <c r="C1293" i="4" s="1"/>
  <c r="B1292" i="4"/>
  <c r="D1292" i="4" s="1"/>
  <c r="J1291" i="2"/>
  <c r="G1293" i="2" l="1"/>
  <c r="D1293" i="2"/>
  <c r="I1293" i="2" s="1"/>
  <c r="F1294" i="2"/>
  <c r="G1294" i="2" s="1"/>
  <c r="C1294" i="2"/>
  <c r="E1294" i="2" s="1"/>
  <c r="A1296" i="2"/>
  <c r="K1295" i="2"/>
  <c r="B1295" i="2"/>
  <c r="J1292" i="2"/>
  <c r="D1293" i="4"/>
  <c r="B1295" i="4" l="1"/>
  <c r="C1295" i="2"/>
  <c r="D1295" i="2" s="1"/>
  <c r="F1295" i="2"/>
  <c r="H1295" i="2" s="1"/>
  <c r="C1296" i="4" s="1"/>
  <c r="A1297" i="2"/>
  <c r="K1296" i="2"/>
  <c r="B1296" i="2"/>
  <c r="H1294" i="2"/>
  <c r="C1295" i="4" s="1"/>
  <c r="D1294" i="2"/>
  <c r="I1294" i="2" s="1"/>
  <c r="B1294" i="4"/>
  <c r="D1294" i="4" s="1"/>
  <c r="J1293" i="2"/>
  <c r="B1297" i="2" l="1"/>
  <c r="A1298" i="2"/>
  <c r="K1297" i="2"/>
  <c r="E1295" i="2"/>
  <c r="I1295" i="2" s="1"/>
  <c r="F1296" i="2"/>
  <c r="H1296" i="2" s="1"/>
  <c r="C1297" i="4" s="1"/>
  <c r="C1296" i="2"/>
  <c r="D1296" i="2" s="1"/>
  <c r="G1295" i="2"/>
  <c r="J1294" i="2"/>
  <c r="D1295" i="4"/>
  <c r="B1296" i="4" l="1"/>
  <c r="D1296" i="4" s="1"/>
  <c r="J1295" i="2"/>
  <c r="E1296" i="2"/>
  <c r="I1296" i="2" s="1"/>
  <c r="G1296" i="2"/>
  <c r="K1298" i="2"/>
  <c r="B1298" i="2"/>
  <c r="A1299" i="2"/>
  <c r="C1297" i="2"/>
  <c r="E1297" i="2" s="1"/>
  <c r="F1297" i="2"/>
  <c r="H1297" i="2" s="1"/>
  <c r="C1298" i="4" s="1"/>
  <c r="G1297" i="2" l="1"/>
  <c r="D1297" i="2"/>
  <c r="I1297" i="2" s="1"/>
  <c r="A1300" i="2"/>
  <c r="K1299" i="2"/>
  <c r="B1299" i="2"/>
  <c r="F1298" i="2"/>
  <c r="H1298" i="2" s="1"/>
  <c r="C1299" i="4" s="1"/>
  <c r="C1298" i="2"/>
  <c r="E1298" i="2" s="1"/>
  <c r="B1297" i="4"/>
  <c r="D1297" i="4" s="1"/>
  <c r="J1296" i="2"/>
  <c r="D1298" i="2" l="1"/>
  <c r="I1298" i="2" s="1"/>
  <c r="C1299" i="2"/>
  <c r="E1299" i="2" s="1"/>
  <c r="F1299" i="2"/>
  <c r="H1299" i="2" s="1"/>
  <c r="C1300" i="4" s="1"/>
  <c r="G1298" i="2"/>
  <c r="B1300" i="2"/>
  <c r="A1301" i="2"/>
  <c r="K1300" i="2"/>
  <c r="B1298" i="4"/>
  <c r="D1298" i="4" s="1"/>
  <c r="J1297" i="2"/>
  <c r="C1300" i="2" l="1"/>
  <c r="E1300" i="2" s="1"/>
  <c r="F1300" i="2"/>
  <c r="H1300" i="2" s="1"/>
  <c r="C1301" i="4" s="1"/>
  <c r="B1299" i="4"/>
  <c r="D1299" i="4" s="1"/>
  <c r="J1298" i="2"/>
  <c r="D1299" i="2"/>
  <c r="I1299" i="2" s="1"/>
  <c r="G1299" i="2"/>
  <c r="B1301" i="2"/>
  <c r="A1302" i="2"/>
  <c r="K1301" i="2"/>
  <c r="A1303" i="2" l="1"/>
  <c r="K1302" i="2"/>
  <c r="B1302" i="2"/>
  <c r="C1301" i="2"/>
  <c r="E1301" i="2" s="1"/>
  <c r="F1301" i="2"/>
  <c r="G1301" i="2" s="1"/>
  <c r="B1300" i="4"/>
  <c r="D1300" i="4" s="1"/>
  <c r="J1299" i="2"/>
  <c r="G1300" i="2"/>
  <c r="D1300" i="2"/>
  <c r="I1300" i="2" s="1"/>
  <c r="B1302" i="4" l="1"/>
  <c r="H1301" i="2"/>
  <c r="C1302" i="4" s="1"/>
  <c r="B1301" i="4"/>
  <c r="D1301" i="4" s="1"/>
  <c r="J1300" i="2"/>
  <c r="D1301" i="2"/>
  <c r="I1301" i="2" s="1"/>
  <c r="F1302" i="2"/>
  <c r="H1302" i="2" s="1"/>
  <c r="C1303" i="4" s="1"/>
  <c r="C1302" i="2"/>
  <c r="E1302" i="2" s="1"/>
  <c r="B1303" i="2"/>
  <c r="A1304" i="2"/>
  <c r="K1303" i="2"/>
  <c r="F1303" i="2" l="1"/>
  <c r="H1303" i="2" s="1"/>
  <c r="C1304" i="4" s="1"/>
  <c r="C1303" i="2"/>
  <c r="D1303" i="2" s="1"/>
  <c r="G1302" i="2"/>
  <c r="B1304" i="2"/>
  <c r="A1305" i="2"/>
  <c r="K1304" i="2"/>
  <c r="J1301" i="2"/>
  <c r="D1302" i="2"/>
  <c r="I1302" i="2" s="1"/>
  <c r="D1302" i="4"/>
  <c r="B1303" i="4" l="1"/>
  <c r="D1303" i="4" s="1"/>
  <c r="J1302" i="2"/>
  <c r="A1306" i="2"/>
  <c r="K1305" i="2"/>
  <c r="B1305" i="2"/>
  <c r="F1304" i="2"/>
  <c r="G1304" i="2" s="1"/>
  <c r="C1304" i="2"/>
  <c r="E1304" i="2" s="1"/>
  <c r="E1303" i="2"/>
  <c r="I1303" i="2" s="1"/>
  <c r="G1303" i="2"/>
  <c r="B1305" i="4" l="1"/>
  <c r="B1304" i="4"/>
  <c r="D1304" i="4" s="1"/>
  <c r="J1303" i="2"/>
  <c r="D1304" i="2"/>
  <c r="I1304" i="2" s="1"/>
  <c r="H1304" i="2"/>
  <c r="C1305" i="4" s="1"/>
  <c r="F1305" i="2"/>
  <c r="G1305" i="2" s="1"/>
  <c r="C1305" i="2"/>
  <c r="D1305" i="2" s="1"/>
  <c r="B1306" i="2"/>
  <c r="A1307" i="2"/>
  <c r="K1306" i="2"/>
  <c r="B1306" i="4" l="1"/>
  <c r="E1305" i="2"/>
  <c r="I1305" i="2" s="1"/>
  <c r="H1305" i="2"/>
  <c r="C1306" i="4" s="1"/>
  <c r="B1307" i="2"/>
  <c r="A1308" i="2"/>
  <c r="K1307" i="2"/>
  <c r="F1306" i="2"/>
  <c r="H1306" i="2" s="1"/>
  <c r="C1307" i="4" s="1"/>
  <c r="C1306" i="2"/>
  <c r="E1306" i="2" s="1"/>
  <c r="J1304" i="2"/>
  <c r="D1305" i="4"/>
  <c r="D1306" i="2" l="1"/>
  <c r="I1306" i="2" s="1"/>
  <c r="C1307" i="2"/>
  <c r="E1307" i="2" s="1"/>
  <c r="F1307" i="2"/>
  <c r="H1307" i="2" s="1"/>
  <c r="C1308" i="4" s="1"/>
  <c r="G1306" i="2"/>
  <c r="A1309" i="2"/>
  <c r="K1308" i="2"/>
  <c r="B1308" i="2"/>
  <c r="J1305" i="2"/>
  <c r="D1306" i="4"/>
  <c r="B1309" i="2" l="1"/>
  <c r="A1310" i="2"/>
  <c r="K1309" i="2"/>
  <c r="D1307" i="2"/>
  <c r="I1307" i="2" s="1"/>
  <c r="G1307" i="2"/>
  <c r="F1308" i="2"/>
  <c r="H1308" i="2" s="1"/>
  <c r="C1309" i="4" s="1"/>
  <c r="C1308" i="2"/>
  <c r="E1308" i="2" s="1"/>
  <c r="B1307" i="4"/>
  <c r="D1307" i="4" s="1"/>
  <c r="J1306" i="2"/>
  <c r="D1308" i="2" l="1"/>
  <c r="I1308" i="2" s="1"/>
  <c r="G1308" i="2"/>
  <c r="B1308" i="4"/>
  <c r="D1308" i="4" s="1"/>
  <c r="J1307" i="2"/>
  <c r="B1310" i="2"/>
  <c r="A1311" i="2"/>
  <c r="K1310" i="2"/>
  <c r="F1309" i="2"/>
  <c r="H1309" i="2" s="1"/>
  <c r="C1310" i="4" s="1"/>
  <c r="C1309" i="2"/>
  <c r="E1309" i="2" s="1"/>
  <c r="G1309" i="2" l="1"/>
  <c r="D1309" i="2"/>
  <c r="I1309" i="2" s="1"/>
  <c r="B1309" i="4"/>
  <c r="D1309" i="4" s="1"/>
  <c r="J1308" i="2"/>
  <c r="A1312" i="2"/>
  <c r="K1311" i="2"/>
  <c r="B1311" i="2"/>
  <c r="C1310" i="2"/>
  <c r="E1310" i="2" s="1"/>
  <c r="F1310" i="2"/>
  <c r="H1310" i="2" s="1"/>
  <c r="C1311" i="4" s="1"/>
  <c r="D1310" i="2" l="1"/>
  <c r="I1310" i="2" s="1"/>
  <c r="C1311" i="2"/>
  <c r="D1311" i="2" s="1"/>
  <c r="F1311" i="2"/>
  <c r="G1311" i="2" s="1"/>
  <c r="G1310" i="2"/>
  <c r="A1313" i="2"/>
  <c r="K1312" i="2"/>
  <c r="B1312" i="2"/>
  <c r="B1310" i="4"/>
  <c r="D1310" i="4" s="1"/>
  <c r="J1309" i="2"/>
  <c r="B1312" i="4" l="1"/>
  <c r="C1312" i="2"/>
  <c r="E1312" i="2" s="1"/>
  <c r="F1312" i="2"/>
  <c r="H1312" i="2" s="1"/>
  <c r="C1313" i="4" s="1"/>
  <c r="B1313" i="2"/>
  <c r="A1314" i="2"/>
  <c r="K1313" i="2"/>
  <c r="E1311" i="2"/>
  <c r="I1311" i="2" s="1"/>
  <c r="H1311" i="2"/>
  <c r="C1312" i="4" s="1"/>
  <c r="B1311" i="4"/>
  <c r="D1311" i="4" s="1"/>
  <c r="J1310" i="2"/>
  <c r="K1314" i="2" l="1"/>
  <c r="B1314" i="2"/>
  <c r="A1315" i="2"/>
  <c r="C1313" i="2"/>
  <c r="E1313" i="2" s="1"/>
  <c r="F1313" i="2"/>
  <c r="H1313" i="2" s="1"/>
  <c r="C1314" i="4" s="1"/>
  <c r="D1312" i="2"/>
  <c r="I1312" i="2" s="1"/>
  <c r="G1312" i="2"/>
  <c r="J1311" i="2"/>
  <c r="D1312" i="4"/>
  <c r="B1313" i="4" l="1"/>
  <c r="D1313" i="4" s="1"/>
  <c r="J1312" i="2"/>
  <c r="F1314" i="2"/>
  <c r="G1314" i="2" s="1"/>
  <c r="C1314" i="2"/>
  <c r="E1314" i="2" s="1"/>
  <c r="G1313" i="2"/>
  <c r="D1313" i="2"/>
  <c r="I1313" i="2" s="1"/>
  <c r="A1316" i="2"/>
  <c r="K1315" i="2"/>
  <c r="B1315" i="2"/>
  <c r="B1315" i="4" l="1"/>
  <c r="B1314" i="4"/>
  <c r="D1314" i="4" s="1"/>
  <c r="J1313" i="2"/>
  <c r="C1315" i="2"/>
  <c r="E1315" i="2" s="1"/>
  <c r="F1315" i="2"/>
  <c r="H1315" i="2" s="1"/>
  <c r="C1316" i="4" s="1"/>
  <c r="B1316" i="2"/>
  <c r="A1317" i="2"/>
  <c r="K1316" i="2"/>
  <c r="H1314" i="2"/>
  <c r="C1315" i="4" s="1"/>
  <c r="D1314" i="2"/>
  <c r="I1314" i="2" s="1"/>
  <c r="B1317" i="2" l="1"/>
  <c r="A1318" i="2"/>
  <c r="K1317" i="2"/>
  <c r="C1316" i="2"/>
  <c r="D1316" i="2" s="1"/>
  <c r="F1316" i="2"/>
  <c r="G1316" i="2" s="1"/>
  <c r="G1315" i="2"/>
  <c r="D1315" i="2"/>
  <c r="I1315" i="2" s="1"/>
  <c r="J1314" i="2"/>
  <c r="D1315" i="4"/>
  <c r="B1317" i="4" l="1"/>
  <c r="H1316" i="2"/>
  <c r="C1317" i="4" s="1"/>
  <c r="E1316" i="2"/>
  <c r="I1316" i="2" s="1"/>
  <c r="B1316" i="4"/>
  <c r="D1316" i="4" s="1"/>
  <c r="J1315" i="2"/>
  <c r="A1319" i="2"/>
  <c r="K1318" i="2"/>
  <c r="B1318" i="2"/>
  <c r="C1317" i="2"/>
  <c r="D1317" i="2" s="1"/>
  <c r="F1317" i="2"/>
  <c r="G1317" i="2" s="1"/>
  <c r="B1318" i="4" l="1"/>
  <c r="H1317" i="2"/>
  <c r="C1318" i="4" s="1"/>
  <c r="E1317" i="2"/>
  <c r="I1317" i="2" s="1"/>
  <c r="J1316" i="2"/>
  <c r="F1318" i="2"/>
  <c r="H1318" i="2" s="1"/>
  <c r="C1319" i="4" s="1"/>
  <c r="C1318" i="2"/>
  <c r="E1318" i="2" s="1"/>
  <c r="B1319" i="2"/>
  <c r="A1320" i="2"/>
  <c r="K1319" i="2"/>
  <c r="D1317" i="4"/>
  <c r="B1320" i="2" l="1"/>
  <c r="A1321" i="2"/>
  <c r="K1320" i="2"/>
  <c r="F1319" i="2"/>
  <c r="H1319" i="2" s="1"/>
  <c r="C1320" i="4" s="1"/>
  <c r="C1319" i="2"/>
  <c r="E1319" i="2" s="1"/>
  <c r="G1318" i="2"/>
  <c r="D1318" i="2"/>
  <c r="I1318" i="2" s="1"/>
  <c r="J1317" i="2"/>
  <c r="D1318" i="4"/>
  <c r="B1319" i="4" l="1"/>
  <c r="D1319" i="4" s="1"/>
  <c r="J1318" i="2"/>
  <c r="G1319" i="2"/>
  <c r="D1319" i="2"/>
  <c r="I1319" i="2" s="1"/>
  <c r="A1322" i="2"/>
  <c r="K1321" i="2"/>
  <c r="B1321" i="2"/>
  <c r="F1320" i="2"/>
  <c r="G1320" i="2" s="1"/>
  <c r="C1320" i="2"/>
  <c r="D1320" i="2" s="1"/>
  <c r="B1321" i="4" l="1"/>
  <c r="E1320" i="2"/>
  <c r="I1320" i="2" s="1"/>
  <c r="H1320" i="2"/>
  <c r="C1321" i="4" s="1"/>
  <c r="F1321" i="2"/>
  <c r="H1321" i="2" s="1"/>
  <c r="C1322" i="4" s="1"/>
  <c r="C1321" i="2"/>
  <c r="E1321" i="2" s="1"/>
  <c r="B1322" i="2"/>
  <c r="A1323" i="2"/>
  <c r="K1322" i="2"/>
  <c r="B1320" i="4"/>
  <c r="D1320" i="4" s="1"/>
  <c r="J1319" i="2"/>
  <c r="B1323" i="2" l="1"/>
  <c r="A1324" i="2"/>
  <c r="K1323" i="2"/>
  <c r="G1321" i="2"/>
  <c r="C1322" i="2"/>
  <c r="E1322" i="2" s="1"/>
  <c r="F1322" i="2"/>
  <c r="H1322" i="2" s="1"/>
  <c r="C1323" i="4" s="1"/>
  <c r="D1321" i="2"/>
  <c r="I1321" i="2" s="1"/>
  <c r="D1321" i="4"/>
  <c r="J1320" i="2"/>
  <c r="B1322" i="4" l="1"/>
  <c r="D1322" i="4" s="1"/>
  <c r="J1321" i="2"/>
  <c r="D1322" i="2"/>
  <c r="I1322" i="2" s="1"/>
  <c r="G1322" i="2"/>
  <c r="A1325" i="2"/>
  <c r="K1324" i="2"/>
  <c r="B1324" i="2"/>
  <c r="C1323" i="2"/>
  <c r="E1323" i="2" s="1"/>
  <c r="F1323" i="2"/>
  <c r="G1323" i="2" s="1"/>
  <c r="B1324" i="4" l="1"/>
  <c r="F1324" i="2"/>
  <c r="H1324" i="2" s="1"/>
  <c r="C1325" i="4" s="1"/>
  <c r="C1324" i="2"/>
  <c r="D1324" i="2" s="1"/>
  <c r="D1323" i="2"/>
  <c r="I1323" i="2" s="1"/>
  <c r="H1323" i="2"/>
  <c r="C1324" i="4" s="1"/>
  <c r="B1325" i="2"/>
  <c r="A1326" i="2"/>
  <c r="K1325" i="2"/>
  <c r="B1323" i="4"/>
  <c r="D1323" i="4" s="1"/>
  <c r="J1322" i="2"/>
  <c r="C1325" i="2" l="1"/>
  <c r="E1325" i="2" s="1"/>
  <c r="F1325" i="2"/>
  <c r="H1325" i="2" s="1"/>
  <c r="C1326" i="4" s="1"/>
  <c r="B1326" i="2"/>
  <c r="A1327" i="2"/>
  <c r="K1326" i="2"/>
  <c r="E1324" i="2"/>
  <c r="I1324" i="2" s="1"/>
  <c r="G1324" i="2"/>
  <c r="J1323" i="2"/>
  <c r="D1324" i="4"/>
  <c r="A1328" i="2" l="1"/>
  <c r="K1327" i="2"/>
  <c r="B1327" i="2"/>
  <c r="C1326" i="2"/>
  <c r="E1326" i="2" s="1"/>
  <c r="F1326" i="2"/>
  <c r="G1326" i="2" s="1"/>
  <c r="B1325" i="4"/>
  <c r="D1325" i="4" s="1"/>
  <c r="J1324" i="2"/>
  <c r="G1325" i="2"/>
  <c r="D1325" i="2"/>
  <c r="I1325" i="2" s="1"/>
  <c r="B1327" i="4" l="1"/>
  <c r="B1326" i="4"/>
  <c r="D1326" i="4" s="1"/>
  <c r="J1325" i="2"/>
  <c r="H1326" i="2"/>
  <c r="C1327" i="4" s="1"/>
  <c r="D1326" i="2"/>
  <c r="I1326" i="2" s="1"/>
  <c r="F1327" i="2"/>
  <c r="H1327" i="2" s="1"/>
  <c r="C1328" i="4" s="1"/>
  <c r="C1327" i="2"/>
  <c r="E1327" i="2" s="1"/>
  <c r="A1329" i="2"/>
  <c r="K1328" i="2"/>
  <c r="B1328" i="2"/>
  <c r="D1327" i="2" l="1"/>
  <c r="I1327" i="2" s="1"/>
  <c r="G1327" i="2"/>
  <c r="C1328" i="2"/>
  <c r="D1328" i="2" s="1"/>
  <c r="F1328" i="2"/>
  <c r="G1328" i="2" s="1"/>
  <c r="B1329" i="2"/>
  <c r="A1330" i="2"/>
  <c r="K1329" i="2"/>
  <c r="J1326" i="2"/>
  <c r="D1327" i="4"/>
  <c r="B1329" i="4" l="1"/>
  <c r="C1329" i="2"/>
  <c r="D1329" i="2" s="1"/>
  <c r="F1329" i="2"/>
  <c r="G1329" i="2" s="1"/>
  <c r="E1328" i="2"/>
  <c r="I1328" i="2" s="1"/>
  <c r="H1328" i="2"/>
  <c r="C1329" i="4" s="1"/>
  <c r="K1330" i="2"/>
  <c r="B1330" i="2"/>
  <c r="A1331" i="2"/>
  <c r="B1328" i="4"/>
  <c r="D1328" i="4" s="1"/>
  <c r="J1327" i="2"/>
  <c r="B1330" i="4" l="1"/>
  <c r="A1332" i="2"/>
  <c r="K1331" i="2"/>
  <c r="B1331" i="2"/>
  <c r="C1330" i="2"/>
  <c r="E1330" i="2" s="1"/>
  <c r="F1330" i="2"/>
  <c r="H1330" i="2" s="1"/>
  <c r="C1331" i="4" s="1"/>
  <c r="H1329" i="2"/>
  <c r="C1330" i="4" s="1"/>
  <c r="E1329" i="2"/>
  <c r="I1329" i="2" s="1"/>
  <c r="J1328" i="2"/>
  <c r="D1329" i="4"/>
  <c r="G1330" i="2" l="1"/>
  <c r="F1331" i="2"/>
  <c r="H1331" i="2" s="1"/>
  <c r="C1332" i="4" s="1"/>
  <c r="C1331" i="2"/>
  <c r="E1331" i="2" s="1"/>
  <c r="D1330" i="2"/>
  <c r="I1330" i="2" s="1"/>
  <c r="B1332" i="2"/>
  <c r="A1333" i="2"/>
  <c r="K1332" i="2"/>
  <c r="J1329" i="2"/>
  <c r="D1330" i="4"/>
  <c r="B1333" i="2" l="1"/>
  <c r="A1334" i="2"/>
  <c r="K1333" i="2"/>
  <c r="C1332" i="2"/>
  <c r="E1332" i="2" s="1"/>
  <c r="F1332" i="2"/>
  <c r="H1332" i="2" s="1"/>
  <c r="C1333" i="4" s="1"/>
  <c r="G1331" i="2"/>
  <c r="D1331" i="2"/>
  <c r="I1331" i="2" s="1"/>
  <c r="B1331" i="4"/>
  <c r="D1331" i="4" s="1"/>
  <c r="J1330" i="2"/>
  <c r="B1332" i="4" l="1"/>
  <c r="D1332" i="4" s="1"/>
  <c r="J1331" i="2"/>
  <c r="D1332" i="2"/>
  <c r="I1332" i="2" s="1"/>
  <c r="G1332" i="2"/>
  <c r="A1335" i="2"/>
  <c r="K1334" i="2"/>
  <c r="B1334" i="2"/>
  <c r="C1333" i="2"/>
  <c r="D1333" i="2" s="1"/>
  <c r="F1333" i="2"/>
  <c r="G1333" i="2" s="1"/>
  <c r="B1334" i="4" l="1"/>
  <c r="H1333" i="2"/>
  <c r="C1334" i="4" s="1"/>
  <c r="C1334" i="2"/>
  <c r="D1334" i="2" s="1"/>
  <c r="F1334" i="2"/>
  <c r="G1334" i="2" s="1"/>
  <c r="K1335" i="2"/>
  <c r="B1335" i="2"/>
  <c r="A1336" i="2"/>
  <c r="E1333" i="2"/>
  <c r="I1333" i="2" s="1"/>
  <c r="B1333" i="4"/>
  <c r="D1333" i="4" s="1"/>
  <c r="J1332" i="2"/>
  <c r="B1335" i="4" l="1"/>
  <c r="A1337" i="2"/>
  <c r="K1336" i="2"/>
  <c r="B1336" i="2"/>
  <c r="E1334" i="2"/>
  <c r="I1334" i="2" s="1"/>
  <c r="H1334" i="2"/>
  <c r="C1335" i="4" s="1"/>
  <c r="J1333" i="2"/>
  <c r="F1335" i="2"/>
  <c r="G1335" i="2" s="1"/>
  <c r="C1335" i="2"/>
  <c r="E1335" i="2" s="1"/>
  <c r="D1334" i="4"/>
  <c r="B1336" i="4" l="1"/>
  <c r="D1335" i="2"/>
  <c r="I1335" i="2" s="1"/>
  <c r="H1335" i="2"/>
  <c r="C1336" i="4" s="1"/>
  <c r="C1336" i="2"/>
  <c r="E1336" i="2" s="1"/>
  <c r="F1336" i="2"/>
  <c r="H1336" i="2" s="1"/>
  <c r="C1337" i="4" s="1"/>
  <c r="A1338" i="2"/>
  <c r="K1337" i="2"/>
  <c r="B1337" i="2"/>
  <c r="J1334" i="2"/>
  <c r="D1335" i="4"/>
  <c r="F1337" i="2" l="1"/>
  <c r="H1337" i="2" s="1"/>
  <c r="C1338" i="4" s="1"/>
  <c r="C1337" i="2"/>
  <c r="E1337" i="2" s="1"/>
  <c r="K1338" i="2"/>
  <c r="A1339" i="2"/>
  <c r="B1338" i="2"/>
  <c r="D1336" i="2"/>
  <c r="I1336" i="2" s="1"/>
  <c r="G1336" i="2"/>
  <c r="J1335" i="2"/>
  <c r="D1336" i="4"/>
  <c r="C1338" i="2" l="1"/>
  <c r="D1338" i="2" s="1"/>
  <c r="F1338" i="2"/>
  <c r="G1338" i="2" s="1"/>
  <c r="B1339" i="2"/>
  <c r="A1340" i="2"/>
  <c r="K1339" i="2"/>
  <c r="G1337" i="2"/>
  <c r="B1337" i="4"/>
  <c r="D1337" i="4" s="1"/>
  <c r="J1336" i="2"/>
  <c r="D1337" i="2"/>
  <c r="I1337" i="2" s="1"/>
  <c r="B1339" i="4" l="1"/>
  <c r="B1338" i="4"/>
  <c r="D1338" i="4" s="1"/>
  <c r="J1337" i="2"/>
  <c r="A1341" i="2"/>
  <c r="K1340" i="2"/>
  <c r="B1340" i="2"/>
  <c r="C1339" i="2"/>
  <c r="E1339" i="2" s="1"/>
  <c r="F1339" i="2"/>
  <c r="H1339" i="2" s="1"/>
  <c r="C1340" i="4" s="1"/>
  <c r="H1338" i="2"/>
  <c r="C1339" i="4" s="1"/>
  <c r="E1338" i="2"/>
  <c r="I1338" i="2" s="1"/>
  <c r="D1339" i="2" l="1"/>
  <c r="I1339" i="2" s="1"/>
  <c r="G1339" i="2"/>
  <c r="J1338" i="2"/>
  <c r="C1340" i="2"/>
  <c r="D1340" i="2" s="1"/>
  <c r="F1340" i="2"/>
  <c r="H1340" i="2" s="1"/>
  <c r="C1341" i="4" s="1"/>
  <c r="B1341" i="2"/>
  <c r="A1342" i="2"/>
  <c r="K1341" i="2"/>
  <c r="D1339" i="4"/>
  <c r="K1342" i="2" l="1"/>
  <c r="A1343" i="2"/>
  <c r="B1342" i="2"/>
  <c r="C1341" i="2"/>
  <c r="D1341" i="2" s="1"/>
  <c r="F1341" i="2"/>
  <c r="H1341" i="2" s="1"/>
  <c r="C1342" i="4" s="1"/>
  <c r="E1340" i="2"/>
  <c r="I1340" i="2" s="1"/>
  <c r="G1340" i="2"/>
  <c r="B1340" i="4"/>
  <c r="D1340" i="4" s="1"/>
  <c r="J1339" i="2"/>
  <c r="B1341" i="4" l="1"/>
  <c r="D1341" i="4" s="1"/>
  <c r="J1340" i="2"/>
  <c r="E1341" i="2"/>
  <c r="I1341" i="2" s="1"/>
  <c r="B1343" i="2"/>
  <c r="A1344" i="2"/>
  <c r="K1343" i="2"/>
  <c r="G1341" i="2"/>
  <c r="F1342" i="2"/>
  <c r="H1342" i="2" s="1"/>
  <c r="C1343" i="4" s="1"/>
  <c r="C1342" i="2"/>
  <c r="E1342" i="2" s="1"/>
  <c r="D1342" i="2" l="1"/>
  <c r="I1342" i="2" s="1"/>
  <c r="G1342" i="2"/>
  <c r="C1343" i="2"/>
  <c r="D1343" i="2" s="1"/>
  <c r="F1343" i="2"/>
  <c r="H1343" i="2" s="1"/>
  <c r="C1344" i="4" s="1"/>
  <c r="B1342" i="4"/>
  <c r="D1342" i="4" s="1"/>
  <c r="J1341" i="2"/>
  <c r="B1344" i="2"/>
  <c r="K1344" i="2"/>
  <c r="A1345" i="2"/>
  <c r="A1346" i="2" l="1"/>
  <c r="K1345" i="2"/>
  <c r="B1345" i="2"/>
  <c r="C1344" i="2"/>
  <c r="D1344" i="2" s="1"/>
  <c r="F1344" i="2"/>
  <c r="G1344" i="2" s="1"/>
  <c r="G1343" i="2"/>
  <c r="B1343" i="4"/>
  <c r="D1343" i="4" s="1"/>
  <c r="J1342" i="2"/>
  <c r="E1343" i="2"/>
  <c r="I1343" i="2" s="1"/>
  <c r="B1345" i="4" l="1"/>
  <c r="B1344" i="4"/>
  <c r="D1344" i="4" s="1"/>
  <c r="J1343" i="2"/>
  <c r="H1344" i="2"/>
  <c r="C1345" i="4" s="1"/>
  <c r="E1344" i="2"/>
  <c r="I1344" i="2" s="1"/>
  <c r="F1345" i="2"/>
  <c r="G1345" i="2" s="1"/>
  <c r="C1345" i="2"/>
  <c r="D1345" i="2" s="1"/>
  <c r="B1346" i="2"/>
  <c r="A1347" i="2"/>
  <c r="K1346" i="2"/>
  <c r="B1346" i="4" l="1"/>
  <c r="E1345" i="2"/>
  <c r="I1345" i="2" s="1"/>
  <c r="H1345" i="2"/>
  <c r="C1346" i="4" s="1"/>
  <c r="C1346" i="2"/>
  <c r="E1346" i="2" s="1"/>
  <c r="F1346" i="2"/>
  <c r="H1346" i="2" s="1"/>
  <c r="C1347" i="4" s="1"/>
  <c r="J1344" i="2"/>
  <c r="B1347" i="2"/>
  <c r="A1348" i="2"/>
  <c r="K1347" i="2"/>
  <c r="D1345" i="4"/>
  <c r="A1349" i="2" l="1"/>
  <c r="K1348" i="2"/>
  <c r="B1348" i="2"/>
  <c r="D1346" i="2"/>
  <c r="I1346" i="2" s="1"/>
  <c r="F1347" i="2"/>
  <c r="H1347" i="2" s="1"/>
  <c r="C1348" i="4" s="1"/>
  <c r="C1347" i="2"/>
  <c r="D1347" i="2" s="1"/>
  <c r="J1345" i="2"/>
  <c r="G1346" i="2"/>
  <c r="D1346" i="4"/>
  <c r="E1347" i="2" l="1"/>
  <c r="I1347" i="2" s="1"/>
  <c r="G1347" i="2"/>
  <c r="C1348" i="2"/>
  <c r="D1348" i="2" s="1"/>
  <c r="F1348" i="2"/>
  <c r="G1348" i="2" s="1"/>
  <c r="B1347" i="4"/>
  <c r="D1347" i="4" s="1"/>
  <c r="J1346" i="2"/>
  <c r="B1349" i="2"/>
  <c r="A1350" i="2"/>
  <c r="K1349" i="2"/>
  <c r="B1349" i="4" l="1"/>
  <c r="C1349" i="2"/>
  <c r="D1349" i="2" s="1"/>
  <c r="F1349" i="2"/>
  <c r="H1349" i="2" s="1"/>
  <c r="C1350" i="4" s="1"/>
  <c r="K1350" i="2"/>
  <c r="A1351" i="2"/>
  <c r="B1350" i="2"/>
  <c r="E1348" i="2"/>
  <c r="I1348" i="2" s="1"/>
  <c r="B1348" i="4"/>
  <c r="D1348" i="4" s="1"/>
  <c r="J1347" i="2"/>
  <c r="H1348" i="2"/>
  <c r="C1349" i="4" s="1"/>
  <c r="A1352" i="2" l="1"/>
  <c r="K1351" i="2"/>
  <c r="B1351" i="2"/>
  <c r="E1349" i="2"/>
  <c r="I1349" i="2" s="1"/>
  <c r="J1348" i="2"/>
  <c r="F1350" i="2"/>
  <c r="H1350" i="2" s="1"/>
  <c r="C1351" i="4" s="1"/>
  <c r="C1350" i="2"/>
  <c r="E1350" i="2" s="1"/>
  <c r="G1349" i="2"/>
  <c r="D1349" i="4"/>
  <c r="B1350" i="4" l="1"/>
  <c r="D1350" i="4" s="1"/>
  <c r="J1349" i="2"/>
  <c r="D1350" i="2"/>
  <c r="I1350" i="2" s="1"/>
  <c r="G1350" i="2"/>
  <c r="C1351" i="2"/>
  <c r="E1351" i="2" s="1"/>
  <c r="F1351" i="2"/>
  <c r="H1351" i="2" s="1"/>
  <c r="C1352" i="4" s="1"/>
  <c r="K1352" i="2"/>
  <c r="A1353" i="2"/>
  <c r="B1352" i="2"/>
  <c r="G1351" i="2" l="1"/>
  <c r="C1352" i="2"/>
  <c r="E1352" i="2" s="1"/>
  <c r="F1352" i="2"/>
  <c r="H1352" i="2" s="1"/>
  <c r="C1353" i="4" s="1"/>
  <c r="B1353" i="2"/>
  <c r="A1354" i="2"/>
  <c r="K1353" i="2"/>
  <c r="B1351" i="4"/>
  <c r="D1351" i="4" s="1"/>
  <c r="J1350" i="2"/>
  <c r="D1351" i="2"/>
  <c r="I1351" i="2" s="1"/>
  <c r="K1354" i="2" l="1"/>
  <c r="B1354" i="2"/>
  <c r="A1355" i="2"/>
  <c r="F1353" i="2"/>
  <c r="H1353" i="2" s="1"/>
  <c r="C1354" i="4" s="1"/>
  <c r="C1353" i="2"/>
  <c r="E1353" i="2" s="1"/>
  <c r="D1352" i="2"/>
  <c r="I1352" i="2" s="1"/>
  <c r="G1352" i="2"/>
  <c r="B1352" i="4"/>
  <c r="D1352" i="4" s="1"/>
  <c r="J1351" i="2"/>
  <c r="B1353" i="4" l="1"/>
  <c r="D1353" i="4" s="1"/>
  <c r="J1352" i="2"/>
  <c r="G1353" i="2"/>
  <c r="C1354" i="2"/>
  <c r="E1354" i="2" s="1"/>
  <c r="F1354" i="2"/>
  <c r="H1354" i="2" s="1"/>
  <c r="C1355" i="4" s="1"/>
  <c r="D1353" i="2"/>
  <c r="I1353" i="2" s="1"/>
  <c r="A1356" i="2"/>
  <c r="B1355" i="2"/>
  <c r="K1355" i="2"/>
  <c r="A1357" i="2" l="1"/>
  <c r="K1356" i="2"/>
  <c r="B1356" i="2"/>
  <c r="D1354" i="2"/>
  <c r="I1354" i="2" s="1"/>
  <c r="G1354" i="2"/>
  <c r="F1355" i="2"/>
  <c r="H1355" i="2" s="1"/>
  <c r="C1356" i="4" s="1"/>
  <c r="C1355" i="2"/>
  <c r="D1355" i="2" s="1"/>
  <c r="B1354" i="4"/>
  <c r="D1354" i="4" s="1"/>
  <c r="J1353" i="2"/>
  <c r="E1355" i="2" l="1"/>
  <c r="I1355" i="2" s="1"/>
  <c r="G1355" i="2"/>
  <c r="B1355" i="4"/>
  <c r="D1355" i="4" s="1"/>
  <c r="J1354" i="2"/>
  <c r="C1356" i="2"/>
  <c r="D1356" i="2" s="1"/>
  <c r="F1356" i="2"/>
  <c r="H1356" i="2" s="1"/>
  <c r="C1357" i="4" s="1"/>
  <c r="B1357" i="2"/>
  <c r="A1358" i="2"/>
  <c r="K1357" i="2"/>
  <c r="K1358" i="2" l="1"/>
  <c r="A1359" i="2"/>
  <c r="B1358" i="2"/>
  <c r="C1357" i="2"/>
  <c r="E1357" i="2" s="1"/>
  <c r="F1357" i="2"/>
  <c r="H1357" i="2" s="1"/>
  <c r="C1358" i="4" s="1"/>
  <c r="G1356" i="2"/>
  <c r="E1356" i="2"/>
  <c r="I1356" i="2" s="1"/>
  <c r="B1356" i="4"/>
  <c r="D1356" i="4" s="1"/>
  <c r="J1355" i="2"/>
  <c r="B1357" i="4" l="1"/>
  <c r="D1357" i="4" s="1"/>
  <c r="J1356" i="2"/>
  <c r="G1357" i="2"/>
  <c r="D1357" i="2"/>
  <c r="I1357" i="2" s="1"/>
  <c r="B1359" i="2"/>
  <c r="A1360" i="2"/>
  <c r="K1359" i="2"/>
  <c r="F1358" i="2"/>
  <c r="G1358" i="2" s="1"/>
  <c r="C1358" i="2"/>
  <c r="E1358" i="2" s="1"/>
  <c r="B1359" i="4" l="1"/>
  <c r="H1358" i="2"/>
  <c r="C1359" i="4" s="1"/>
  <c r="C1359" i="2"/>
  <c r="D1359" i="2" s="1"/>
  <c r="F1359" i="2"/>
  <c r="H1359" i="2" s="1"/>
  <c r="C1360" i="4" s="1"/>
  <c r="D1358" i="2"/>
  <c r="I1358" i="2" s="1"/>
  <c r="B1358" i="4"/>
  <c r="D1358" i="4" s="1"/>
  <c r="J1357" i="2"/>
  <c r="B1360" i="2"/>
  <c r="K1360" i="2"/>
  <c r="A1361" i="2"/>
  <c r="F1360" i="2" l="1"/>
  <c r="H1360" i="2" s="1"/>
  <c r="C1361" i="4" s="1"/>
  <c r="C1360" i="2"/>
  <c r="D1360" i="2" s="1"/>
  <c r="G1359" i="2"/>
  <c r="A1362" i="2"/>
  <c r="B1361" i="2"/>
  <c r="K1361" i="2"/>
  <c r="E1359" i="2"/>
  <c r="I1359" i="2" s="1"/>
  <c r="J1358" i="2"/>
  <c r="D1359" i="4"/>
  <c r="B1362" i="2" l="1"/>
  <c r="A1363" i="2"/>
  <c r="K1362" i="2"/>
  <c r="B1360" i="4"/>
  <c r="D1360" i="4" s="1"/>
  <c r="J1359" i="2"/>
  <c r="E1360" i="2"/>
  <c r="I1360" i="2" s="1"/>
  <c r="F1361" i="2"/>
  <c r="G1361" i="2" s="1"/>
  <c r="C1361" i="2"/>
  <c r="E1361" i="2" s="1"/>
  <c r="G1360" i="2"/>
  <c r="B1362" i="4" l="1"/>
  <c r="B1361" i="4"/>
  <c r="D1361" i="4" s="1"/>
  <c r="J1360" i="2"/>
  <c r="D1361" i="2"/>
  <c r="I1361" i="2" s="1"/>
  <c r="H1361" i="2"/>
  <c r="C1362" i="4" s="1"/>
  <c r="C1362" i="2"/>
  <c r="E1362" i="2" s="1"/>
  <c r="F1362" i="2"/>
  <c r="H1362" i="2" s="1"/>
  <c r="C1363" i="4" s="1"/>
  <c r="B1363" i="2"/>
  <c r="A1364" i="2"/>
  <c r="K1363" i="2"/>
  <c r="A1365" i="2" l="1"/>
  <c r="K1364" i="2"/>
  <c r="B1364" i="2"/>
  <c r="C1363" i="2"/>
  <c r="E1363" i="2" s="1"/>
  <c r="F1363" i="2"/>
  <c r="H1363" i="2" s="1"/>
  <c r="C1364" i="4" s="1"/>
  <c r="D1362" i="2"/>
  <c r="I1362" i="2" s="1"/>
  <c r="G1362" i="2"/>
  <c r="J1361" i="2"/>
  <c r="D1362" i="4"/>
  <c r="B1363" i="4" l="1"/>
  <c r="D1363" i="4" s="1"/>
  <c r="J1362" i="2"/>
  <c r="D1363" i="2"/>
  <c r="I1363" i="2" s="1"/>
  <c r="G1363" i="2"/>
  <c r="C1364" i="2"/>
  <c r="E1364" i="2" s="1"/>
  <c r="F1364" i="2"/>
  <c r="H1364" i="2" s="1"/>
  <c r="C1365" i="4" s="1"/>
  <c r="B1365" i="2"/>
  <c r="A1366" i="2"/>
  <c r="K1365" i="2"/>
  <c r="K1366" i="2" l="1"/>
  <c r="A1367" i="2"/>
  <c r="B1366" i="2"/>
  <c r="D1364" i="2"/>
  <c r="I1364" i="2" s="1"/>
  <c r="G1364" i="2"/>
  <c r="F1365" i="2"/>
  <c r="H1365" i="2" s="1"/>
  <c r="C1366" i="4" s="1"/>
  <c r="C1365" i="2"/>
  <c r="D1365" i="2" s="1"/>
  <c r="B1364" i="4"/>
  <c r="D1364" i="4" s="1"/>
  <c r="J1363" i="2"/>
  <c r="E1365" i="2" l="1"/>
  <c r="I1365" i="2" s="1"/>
  <c r="G1365" i="2"/>
  <c r="B1365" i="4"/>
  <c r="D1365" i="4" s="1"/>
  <c r="J1364" i="2"/>
  <c r="F1366" i="2"/>
  <c r="G1366" i="2" s="1"/>
  <c r="C1366" i="2"/>
  <c r="D1366" i="2" s="1"/>
  <c r="A1368" i="2"/>
  <c r="K1367" i="2"/>
  <c r="B1367" i="2"/>
  <c r="B1367" i="4" l="1"/>
  <c r="C1367" i="2"/>
  <c r="E1367" i="2" s="1"/>
  <c r="F1367" i="2"/>
  <c r="H1367" i="2" s="1"/>
  <c r="C1368" i="4" s="1"/>
  <c r="E1366" i="2"/>
  <c r="I1366" i="2" s="1"/>
  <c r="K1368" i="2"/>
  <c r="A1369" i="2"/>
  <c r="B1368" i="2"/>
  <c r="H1366" i="2"/>
  <c r="C1367" i="4" s="1"/>
  <c r="B1366" i="4"/>
  <c r="D1366" i="4" s="1"/>
  <c r="J1365" i="2"/>
  <c r="B1369" i="2" l="1"/>
  <c r="A1370" i="2"/>
  <c r="K1369" i="2"/>
  <c r="G1367" i="2"/>
  <c r="C1368" i="2"/>
  <c r="E1368" i="2" s="1"/>
  <c r="F1368" i="2"/>
  <c r="G1368" i="2" s="1"/>
  <c r="D1367" i="2"/>
  <c r="I1367" i="2" s="1"/>
  <c r="J1366" i="2"/>
  <c r="D1367" i="4"/>
  <c r="B1369" i="4" l="1"/>
  <c r="H1368" i="2"/>
  <c r="C1369" i="4" s="1"/>
  <c r="D1368" i="2"/>
  <c r="I1368" i="2" s="1"/>
  <c r="B1368" i="4"/>
  <c r="D1368" i="4" s="1"/>
  <c r="J1367" i="2"/>
  <c r="K1370" i="2"/>
  <c r="B1370" i="2"/>
  <c r="A1371" i="2"/>
  <c r="C1369" i="2"/>
  <c r="E1369" i="2" s="1"/>
  <c r="F1369" i="2"/>
  <c r="G1369" i="2" s="1"/>
  <c r="B1370" i="4" l="1"/>
  <c r="H1369" i="2"/>
  <c r="C1370" i="4" s="1"/>
  <c r="A1372" i="2"/>
  <c r="B1371" i="2"/>
  <c r="K1371" i="2"/>
  <c r="D1369" i="2"/>
  <c r="I1369" i="2" s="1"/>
  <c r="J1368" i="2"/>
  <c r="C1370" i="2"/>
  <c r="E1370" i="2" s="1"/>
  <c r="F1370" i="2"/>
  <c r="H1370" i="2" s="1"/>
  <c r="C1371" i="4" s="1"/>
  <c r="D1369" i="4"/>
  <c r="D1370" i="2" l="1"/>
  <c r="I1370" i="2" s="1"/>
  <c r="G1370" i="2"/>
  <c r="F1371" i="2"/>
  <c r="G1371" i="2" s="1"/>
  <c r="C1371" i="2"/>
  <c r="D1371" i="2" s="1"/>
  <c r="A1373" i="2"/>
  <c r="K1372" i="2"/>
  <c r="B1372" i="2"/>
  <c r="J1369" i="2"/>
  <c r="D1370" i="4"/>
  <c r="B1372" i="4" l="1"/>
  <c r="H1371" i="2"/>
  <c r="C1372" i="4" s="1"/>
  <c r="F1372" i="2"/>
  <c r="H1372" i="2" s="1"/>
  <c r="C1373" i="4" s="1"/>
  <c r="C1372" i="2"/>
  <c r="E1372" i="2" s="1"/>
  <c r="B1373" i="2"/>
  <c r="A1374" i="2"/>
  <c r="K1373" i="2"/>
  <c r="B1371" i="4"/>
  <c r="D1371" i="4" s="1"/>
  <c r="J1370" i="2"/>
  <c r="E1371" i="2"/>
  <c r="I1371" i="2" s="1"/>
  <c r="K1374" i="2" l="1"/>
  <c r="A1375" i="2"/>
  <c r="B1374" i="2"/>
  <c r="C1373" i="2"/>
  <c r="E1373" i="2" s="1"/>
  <c r="F1373" i="2"/>
  <c r="H1373" i="2" s="1"/>
  <c r="C1374" i="4" s="1"/>
  <c r="G1372" i="2"/>
  <c r="J1371" i="2"/>
  <c r="D1372" i="2"/>
  <c r="I1372" i="2" s="1"/>
  <c r="D1372" i="4"/>
  <c r="G1373" i="2" l="1"/>
  <c r="D1373" i="2"/>
  <c r="I1373" i="2" s="1"/>
  <c r="B1375" i="2"/>
  <c r="A1376" i="2"/>
  <c r="K1375" i="2"/>
  <c r="B1373" i="4"/>
  <c r="D1373" i="4" s="1"/>
  <c r="J1372" i="2"/>
  <c r="F1374" i="2"/>
  <c r="H1374" i="2" s="1"/>
  <c r="C1375" i="4" s="1"/>
  <c r="C1374" i="2"/>
  <c r="E1374" i="2" s="1"/>
  <c r="D1374" i="2" l="1"/>
  <c r="I1374" i="2" s="1"/>
  <c r="G1374" i="2"/>
  <c r="B1376" i="2"/>
  <c r="K1376" i="2"/>
  <c r="A1377" i="2"/>
  <c r="F1375" i="2"/>
  <c r="H1375" i="2" s="1"/>
  <c r="C1376" i="4" s="1"/>
  <c r="C1375" i="2"/>
  <c r="D1375" i="2" s="1"/>
  <c r="B1374" i="4"/>
  <c r="D1374" i="4" s="1"/>
  <c r="J1373" i="2"/>
  <c r="G1375" i="2" l="1"/>
  <c r="C1376" i="2"/>
  <c r="E1376" i="2" s="1"/>
  <c r="F1376" i="2"/>
  <c r="H1376" i="2" s="1"/>
  <c r="C1377" i="4" s="1"/>
  <c r="E1375" i="2"/>
  <c r="I1375" i="2" s="1"/>
  <c r="A1378" i="2"/>
  <c r="B1377" i="2"/>
  <c r="K1377" i="2"/>
  <c r="B1375" i="4"/>
  <c r="D1375" i="4" s="1"/>
  <c r="J1374" i="2"/>
  <c r="B1378" i="2" l="1"/>
  <c r="A1379" i="2"/>
  <c r="K1378" i="2"/>
  <c r="D1376" i="2"/>
  <c r="I1376" i="2" s="1"/>
  <c r="G1376" i="2"/>
  <c r="F1377" i="2"/>
  <c r="H1377" i="2" s="1"/>
  <c r="C1378" i="4" s="1"/>
  <c r="C1377" i="2"/>
  <c r="D1377" i="2" s="1"/>
  <c r="B1376" i="4"/>
  <c r="D1376" i="4" s="1"/>
  <c r="J1375" i="2"/>
  <c r="E1377" i="2" l="1"/>
  <c r="I1377" i="2" s="1"/>
  <c r="G1377" i="2"/>
  <c r="B1377" i="4"/>
  <c r="D1377" i="4" s="1"/>
  <c r="J1376" i="2"/>
  <c r="B1379" i="2"/>
  <c r="A1380" i="2"/>
  <c r="K1379" i="2"/>
  <c r="F1378" i="2"/>
  <c r="G1378" i="2" s="1"/>
  <c r="C1378" i="2"/>
  <c r="E1378" i="2" s="1"/>
  <c r="B1379" i="4" l="1"/>
  <c r="D1378" i="2"/>
  <c r="I1378" i="2" s="1"/>
  <c r="A1381" i="2"/>
  <c r="K1380" i="2"/>
  <c r="B1380" i="2"/>
  <c r="H1378" i="2"/>
  <c r="C1379" i="4" s="1"/>
  <c r="F1379" i="2"/>
  <c r="H1379" i="2" s="1"/>
  <c r="C1380" i="4" s="1"/>
  <c r="C1379" i="2"/>
  <c r="D1379" i="2" s="1"/>
  <c r="B1378" i="4"/>
  <c r="D1378" i="4" s="1"/>
  <c r="J1377" i="2"/>
  <c r="G1379" i="2" l="1"/>
  <c r="F1380" i="2"/>
  <c r="G1380" i="2" s="1"/>
  <c r="C1380" i="2"/>
  <c r="E1380" i="2" s="1"/>
  <c r="E1379" i="2"/>
  <c r="I1379" i="2" s="1"/>
  <c r="B1381" i="2"/>
  <c r="A1382" i="2"/>
  <c r="K1381" i="2"/>
  <c r="J1378" i="2"/>
  <c r="D1379" i="4"/>
  <c r="B1381" i="4" l="1"/>
  <c r="F1381" i="2"/>
  <c r="H1381" i="2" s="1"/>
  <c r="C1382" i="4" s="1"/>
  <c r="C1381" i="2"/>
  <c r="D1381" i="2" s="1"/>
  <c r="K1382" i="2"/>
  <c r="A1383" i="2"/>
  <c r="B1382" i="2"/>
  <c r="H1380" i="2"/>
  <c r="C1381" i="4" s="1"/>
  <c r="D1380" i="2"/>
  <c r="I1380" i="2" s="1"/>
  <c r="B1380" i="4"/>
  <c r="D1380" i="4" s="1"/>
  <c r="J1379" i="2"/>
  <c r="A1384" i="2" l="1"/>
  <c r="K1383" i="2"/>
  <c r="B1383" i="2"/>
  <c r="C1382" i="2"/>
  <c r="E1382" i="2" s="1"/>
  <c r="F1382" i="2"/>
  <c r="H1382" i="2" s="1"/>
  <c r="C1383" i="4" s="1"/>
  <c r="E1381" i="2"/>
  <c r="I1381" i="2" s="1"/>
  <c r="J1380" i="2"/>
  <c r="G1381" i="2"/>
  <c r="D1381" i="4"/>
  <c r="D1382" i="2" l="1"/>
  <c r="I1382" i="2" s="1"/>
  <c r="G1382" i="2"/>
  <c r="F1383" i="2"/>
  <c r="G1383" i="2" s="1"/>
  <c r="C1383" i="2"/>
  <c r="E1383" i="2" s="1"/>
  <c r="B1382" i="4"/>
  <c r="D1382" i="4" s="1"/>
  <c r="J1381" i="2"/>
  <c r="K1384" i="2"/>
  <c r="A1385" i="2"/>
  <c r="B1384" i="2"/>
  <c r="B1384" i="4" l="1"/>
  <c r="B1385" i="2"/>
  <c r="A1386" i="2"/>
  <c r="K1385" i="2"/>
  <c r="F1384" i="2"/>
  <c r="G1384" i="2" s="1"/>
  <c r="C1384" i="2"/>
  <c r="E1384" i="2" s="1"/>
  <c r="H1383" i="2"/>
  <c r="C1384" i="4" s="1"/>
  <c r="B1383" i="4"/>
  <c r="D1383" i="4" s="1"/>
  <c r="J1382" i="2"/>
  <c r="D1383" i="2"/>
  <c r="I1383" i="2" s="1"/>
  <c r="B1385" i="4" l="1"/>
  <c r="H1384" i="2"/>
  <c r="C1385" i="4" s="1"/>
  <c r="D1384" i="2"/>
  <c r="I1384" i="2" s="1"/>
  <c r="K1386" i="2"/>
  <c r="B1386" i="2"/>
  <c r="A1387" i="2"/>
  <c r="J1383" i="2"/>
  <c r="C1385" i="2"/>
  <c r="D1385" i="2" s="1"/>
  <c r="F1385" i="2"/>
  <c r="H1385" i="2" s="1"/>
  <c r="C1386" i="4" s="1"/>
  <c r="D1384" i="4"/>
  <c r="A1388" i="2" l="1"/>
  <c r="B1387" i="2"/>
  <c r="K1387" i="2"/>
  <c r="G1385" i="2"/>
  <c r="E1385" i="2"/>
  <c r="I1385" i="2" s="1"/>
  <c r="J1384" i="2"/>
  <c r="C1386" i="2"/>
  <c r="E1386" i="2" s="1"/>
  <c r="F1386" i="2"/>
  <c r="H1386" i="2" s="1"/>
  <c r="C1387" i="4" s="1"/>
  <c r="D1385" i="4"/>
  <c r="D1386" i="2" l="1"/>
  <c r="I1386" i="2" s="1"/>
  <c r="G1386" i="2"/>
  <c r="B1386" i="4"/>
  <c r="D1386" i="4" s="1"/>
  <c r="J1385" i="2"/>
  <c r="C1387" i="2"/>
  <c r="D1387" i="2" s="1"/>
  <c r="F1387" i="2"/>
  <c r="G1387" i="2" s="1"/>
  <c r="B1388" i="2"/>
  <c r="A1389" i="2"/>
  <c r="K1388" i="2"/>
  <c r="B1388" i="4" l="1"/>
  <c r="B1389" i="2"/>
  <c r="A1390" i="2"/>
  <c r="K1389" i="2"/>
  <c r="H1387" i="2"/>
  <c r="C1388" i="4" s="1"/>
  <c r="C1388" i="2"/>
  <c r="E1388" i="2" s="1"/>
  <c r="F1388" i="2"/>
  <c r="H1388" i="2" s="1"/>
  <c r="C1389" i="4" s="1"/>
  <c r="E1387" i="2"/>
  <c r="I1387" i="2" s="1"/>
  <c r="B1387" i="4"/>
  <c r="D1387" i="4" s="1"/>
  <c r="J1386" i="2"/>
  <c r="G1388" i="2" l="1"/>
  <c r="D1388" i="2"/>
  <c r="I1388" i="2" s="1"/>
  <c r="A1391" i="2"/>
  <c r="K1390" i="2"/>
  <c r="B1390" i="2"/>
  <c r="J1387" i="2"/>
  <c r="F1389" i="2"/>
  <c r="H1389" i="2" s="1"/>
  <c r="C1390" i="4" s="1"/>
  <c r="C1389" i="2"/>
  <c r="E1389" i="2" s="1"/>
  <c r="D1388" i="4"/>
  <c r="D1389" i="2" l="1"/>
  <c r="I1389" i="2" s="1"/>
  <c r="G1389" i="2"/>
  <c r="C1390" i="2"/>
  <c r="E1390" i="2" s="1"/>
  <c r="F1390" i="2"/>
  <c r="G1390" i="2" s="1"/>
  <c r="B1391" i="2"/>
  <c r="A1392" i="2"/>
  <c r="K1391" i="2"/>
  <c r="B1389" i="4"/>
  <c r="D1389" i="4" s="1"/>
  <c r="J1388" i="2"/>
  <c r="B1391" i="4" l="1"/>
  <c r="C1391" i="2"/>
  <c r="D1391" i="2" s="1"/>
  <c r="F1391" i="2"/>
  <c r="H1391" i="2" s="1"/>
  <c r="C1392" i="4" s="1"/>
  <c r="H1390" i="2"/>
  <c r="C1391" i="4" s="1"/>
  <c r="B1392" i="2"/>
  <c r="K1392" i="2"/>
  <c r="A1393" i="2"/>
  <c r="B1390" i="4"/>
  <c r="D1390" i="4" s="1"/>
  <c r="J1389" i="2"/>
  <c r="D1390" i="2"/>
  <c r="I1390" i="2" s="1"/>
  <c r="F1392" i="2" l="1"/>
  <c r="H1392" i="2" s="1"/>
  <c r="C1393" i="4" s="1"/>
  <c r="C1392" i="2"/>
  <c r="E1392" i="2" s="1"/>
  <c r="G1391" i="2"/>
  <c r="J1390" i="2"/>
  <c r="A1394" i="2"/>
  <c r="K1393" i="2"/>
  <c r="B1393" i="2"/>
  <c r="E1391" i="2"/>
  <c r="I1391" i="2" s="1"/>
  <c r="D1391" i="4"/>
  <c r="B1394" i="2" l="1"/>
  <c r="A1395" i="2"/>
  <c r="K1394" i="2"/>
  <c r="B1392" i="4"/>
  <c r="D1392" i="4" s="1"/>
  <c r="J1391" i="2"/>
  <c r="C1393" i="2"/>
  <c r="E1393" i="2" s="1"/>
  <c r="F1393" i="2"/>
  <c r="H1393" i="2" s="1"/>
  <c r="C1394" i="4" s="1"/>
  <c r="D1392" i="2"/>
  <c r="I1392" i="2" s="1"/>
  <c r="G1392" i="2"/>
  <c r="B1393" i="4" l="1"/>
  <c r="D1393" i="4" s="1"/>
  <c r="J1392" i="2"/>
  <c r="D1393" i="2"/>
  <c r="I1393" i="2" s="1"/>
  <c r="G1393" i="2"/>
  <c r="B1395" i="2"/>
  <c r="A1396" i="2"/>
  <c r="K1395" i="2"/>
  <c r="F1394" i="2"/>
  <c r="G1394" i="2" s="1"/>
  <c r="C1394" i="2"/>
  <c r="E1394" i="2" s="1"/>
  <c r="B1395" i="4" l="1"/>
  <c r="D1395" i="4" s="1"/>
  <c r="H1394" i="2"/>
  <c r="C1395" i="4" s="1"/>
  <c r="D1394" i="2"/>
  <c r="I1394" i="2" s="1"/>
  <c r="A1397" i="2"/>
  <c r="K1396" i="2"/>
  <c r="B1396" i="2"/>
  <c r="C1395" i="2"/>
  <c r="D1395" i="2" s="1"/>
  <c r="F1395" i="2"/>
  <c r="H1395" i="2" s="1"/>
  <c r="C1396" i="4" s="1"/>
  <c r="B1394" i="4"/>
  <c r="D1394" i="4" s="1"/>
  <c r="J1393" i="2"/>
  <c r="G1395" i="2" l="1"/>
  <c r="E1395" i="2"/>
  <c r="I1395" i="2" s="1"/>
  <c r="C1396" i="2"/>
  <c r="E1396" i="2" s="1"/>
  <c r="F1396" i="2"/>
  <c r="G1396" i="2" s="1"/>
  <c r="B1397" i="2"/>
  <c r="A1398" i="2"/>
  <c r="K1397" i="2"/>
  <c r="J1394" i="2"/>
  <c r="B1397" i="4" l="1"/>
  <c r="F1397" i="2"/>
  <c r="H1397" i="2" s="1"/>
  <c r="C1398" i="4" s="1"/>
  <c r="C1397" i="2"/>
  <c r="D1397" i="2" s="1"/>
  <c r="D1396" i="2"/>
  <c r="I1396" i="2" s="1"/>
  <c r="H1396" i="2"/>
  <c r="C1397" i="4" s="1"/>
  <c r="B1398" i="2"/>
  <c r="A1399" i="2"/>
  <c r="K1398" i="2"/>
  <c r="B1396" i="4"/>
  <c r="D1396" i="4" s="1"/>
  <c r="J1395" i="2"/>
  <c r="C1398" i="2" l="1"/>
  <c r="D1398" i="2" s="1"/>
  <c r="F1398" i="2"/>
  <c r="G1398" i="2" s="1"/>
  <c r="G1397" i="2"/>
  <c r="J1396" i="2"/>
  <c r="A1400" i="2"/>
  <c r="K1399" i="2"/>
  <c r="B1399" i="2"/>
  <c r="E1397" i="2"/>
  <c r="I1397" i="2" s="1"/>
  <c r="D1397" i="4"/>
  <c r="B1399" i="4" l="1"/>
  <c r="A1401" i="2"/>
  <c r="K1400" i="2"/>
  <c r="B1400" i="2"/>
  <c r="E1398" i="2"/>
  <c r="I1398" i="2" s="1"/>
  <c r="C1399" i="2"/>
  <c r="E1399" i="2" s="1"/>
  <c r="F1399" i="2"/>
  <c r="H1399" i="2" s="1"/>
  <c r="C1400" i="4" s="1"/>
  <c r="H1398" i="2"/>
  <c r="C1399" i="4" s="1"/>
  <c r="B1398" i="4"/>
  <c r="D1398" i="4" s="1"/>
  <c r="J1397" i="2"/>
  <c r="G1399" i="2" l="1"/>
  <c r="F1400" i="2"/>
  <c r="G1400" i="2" s="1"/>
  <c r="C1400" i="2"/>
  <c r="E1400" i="2" s="1"/>
  <c r="D1399" i="2"/>
  <c r="I1399" i="2" s="1"/>
  <c r="B1401" i="2"/>
  <c r="A1402" i="2"/>
  <c r="K1401" i="2"/>
  <c r="J1398" i="2"/>
  <c r="D1399" i="4"/>
  <c r="B1401" i="4" l="1"/>
  <c r="K1402" i="2"/>
  <c r="B1402" i="2"/>
  <c r="A1403" i="2"/>
  <c r="F1401" i="2"/>
  <c r="H1401" i="2" s="1"/>
  <c r="C1402" i="4" s="1"/>
  <c r="C1401" i="2"/>
  <c r="D1401" i="2" s="1"/>
  <c r="D1400" i="2"/>
  <c r="I1400" i="2" s="1"/>
  <c r="H1400" i="2"/>
  <c r="C1401" i="4" s="1"/>
  <c r="B1400" i="4"/>
  <c r="D1400" i="4" s="1"/>
  <c r="J1399" i="2"/>
  <c r="G1401" i="2" l="1"/>
  <c r="E1401" i="2"/>
  <c r="I1401" i="2" s="1"/>
  <c r="A1404" i="2"/>
  <c r="K1403" i="2"/>
  <c r="B1403" i="2"/>
  <c r="F1402" i="2"/>
  <c r="H1402" i="2" s="1"/>
  <c r="C1403" i="4" s="1"/>
  <c r="C1402" i="2"/>
  <c r="D1402" i="2" s="1"/>
  <c r="J1400" i="2"/>
  <c r="D1401" i="4"/>
  <c r="E1402" i="2" l="1"/>
  <c r="I1402" i="2" s="1"/>
  <c r="C1403" i="2"/>
  <c r="E1403" i="2" s="1"/>
  <c r="F1403" i="2"/>
  <c r="G1403" i="2" s="1"/>
  <c r="G1402" i="2"/>
  <c r="B1404" i="2"/>
  <c r="A1405" i="2"/>
  <c r="K1404" i="2"/>
  <c r="B1402" i="4"/>
  <c r="D1402" i="4" s="1"/>
  <c r="J1401" i="2"/>
  <c r="B1404" i="4" l="1"/>
  <c r="F1404" i="2"/>
  <c r="G1404" i="2" s="1"/>
  <c r="C1404" i="2"/>
  <c r="E1404" i="2" s="1"/>
  <c r="B1403" i="4"/>
  <c r="D1403" i="4" s="1"/>
  <c r="J1402" i="2"/>
  <c r="D1403" i="2"/>
  <c r="I1403" i="2" s="1"/>
  <c r="H1403" i="2"/>
  <c r="C1404" i="4" s="1"/>
  <c r="B1405" i="2"/>
  <c r="A1406" i="2"/>
  <c r="K1405" i="2"/>
  <c r="B1405" i="4" l="1"/>
  <c r="A1407" i="2"/>
  <c r="K1406" i="2"/>
  <c r="B1406" i="2"/>
  <c r="F1405" i="2"/>
  <c r="H1405" i="2" s="1"/>
  <c r="C1406" i="4" s="1"/>
  <c r="C1405" i="2"/>
  <c r="E1405" i="2" s="1"/>
  <c r="H1404" i="2"/>
  <c r="C1405" i="4" s="1"/>
  <c r="J1403" i="2"/>
  <c r="D1404" i="2"/>
  <c r="I1404" i="2" s="1"/>
  <c r="D1404" i="4"/>
  <c r="G1405" i="2" l="1"/>
  <c r="D1405" i="2"/>
  <c r="I1405" i="2" s="1"/>
  <c r="C1406" i="2"/>
  <c r="D1406" i="2" s="1"/>
  <c r="F1406" i="2"/>
  <c r="H1406" i="2" s="1"/>
  <c r="C1407" i="4" s="1"/>
  <c r="J1404" i="2"/>
  <c r="B1407" i="2"/>
  <c r="A1408" i="2"/>
  <c r="K1407" i="2"/>
  <c r="D1405" i="4"/>
  <c r="B1408" i="2" l="1"/>
  <c r="A1409" i="2"/>
  <c r="K1408" i="2"/>
  <c r="C1407" i="2"/>
  <c r="D1407" i="2" s="1"/>
  <c r="F1407" i="2"/>
  <c r="H1407" i="2" s="1"/>
  <c r="C1408" i="4" s="1"/>
  <c r="E1406" i="2"/>
  <c r="I1406" i="2" s="1"/>
  <c r="G1406" i="2"/>
  <c r="B1406" i="4"/>
  <c r="D1406" i="4" s="1"/>
  <c r="J1405" i="2"/>
  <c r="B1407" i="4" l="1"/>
  <c r="D1407" i="4" s="1"/>
  <c r="J1406" i="2"/>
  <c r="E1407" i="2"/>
  <c r="I1407" i="2" s="1"/>
  <c r="G1407" i="2"/>
  <c r="A1410" i="2"/>
  <c r="K1409" i="2"/>
  <c r="B1409" i="2"/>
  <c r="F1408" i="2"/>
  <c r="H1408" i="2" s="1"/>
  <c r="C1409" i="4" s="1"/>
  <c r="C1408" i="2"/>
  <c r="D1408" i="2" s="1"/>
  <c r="E1408" i="2" l="1"/>
  <c r="I1408" i="2" s="1"/>
  <c r="B1408" i="4"/>
  <c r="D1408" i="4" s="1"/>
  <c r="J1407" i="2"/>
  <c r="G1408" i="2"/>
  <c r="C1409" i="2"/>
  <c r="D1409" i="2" s="1"/>
  <c r="F1409" i="2"/>
  <c r="H1409" i="2" s="1"/>
  <c r="C1410" i="4" s="1"/>
  <c r="B1410" i="2"/>
  <c r="A1411" i="2"/>
  <c r="K1410" i="2"/>
  <c r="E1409" i="2" l="1"/>
  <c r="I1409" i="2" s="1"/>
  <c r="G1409" i="2"/>
  <c r="B1411" i="2"/>
  <c r="A1412" i="2"/>
  <c r="K1411" i="2"/>
  <c r="F1410" i="2"/>
  <c r="G1410" i="2" s="1"/>
  <c r="C1410" i="2"/>
  <c r="D1410" i="2" s="1"/>
  <c r="B1409" i="4"/>
  <c r="D1409" i="4" s="1"/>
  <c r="J1408" i="2"/>
  <c r="B1411" i="4" l="1"/>
  <c r="E1410" i="2"/>
  <c r="I1410" i="2" s="1"/>
  <c r="H1410" i="2"/>
  <c r="C1411" i="4" s="1"/>
  <c r="B1410" i="4"/>
  <c r="D1410" i="4" s="1"/>
  <c r="J1409" i="2"/>
  <c r="A1413" i="2"/>
  <c r="K1412" i="2"/>
  <c r="B1412" i="2"/>
  <c r="C1411" i="2"/>
  <c r="E1411" i="2" s="1"/>
  <c r="F1411" i="2"/>
  <c r="H1411" i="2" s="1"/>
  <c r="C1412" i="4" s="1"/>
  <c r="D1411" i="2" l="1"/>
  <c r="I1411" i="2" s="1"/>
  <c r="G1411" i="2"/>
  <c r="B1413" i="2"/>
  <c r="A1414" i="2"/>
  <c r="K1413" i="2"/>
  <c r="C1412" i="2"/>
  <c r="E1412" i="2" s="1"/>
  <c r="F1412" i="2"/>
  <c r="H1412" i="2" s="1"/>
  <c r="C1413" i="4" s="1"/>
  <c r="J1410" i="2"/>
  <c r="D1411" i="4"/>
  <c r="D1412" i="2" l="1"/>
  <c r="I1412" i="2" s="1"/>
  <c r="F1413" i="2"/>
  <c r="H1413" i="2" s="1"/>
  <c r="C1414" i="4" s="1"/>
  <c r="C1413" i="2"/>
  <c r="E1413" i="2" s="1"/>
  <c r="G1412" i="2"/>
  <c r="B1412" i="4"/>
  <c r="D1412" i="4" s="1"/>
  <c r="J1411" i="2"/>
  <c r="B1414" i="2"/>
  <c r="A1415" i="2"/>
  <c r="K1414" i="2"/>
  <c r="C1414" i="2" l="1"/>
  <c r="E1414" i="2" s="1"/>
  <c r="F1414" i="2"/>
  <c r="G1414" i="2" s="1"/>
  <c r="B1413" i="4"/>
  <c r="D1413" i="4" s="1"/>
  <c r="J1412" i="2"/>
  <c r="G1413" i="2"/>
  <c r="A1416" i="2"/>
  <c r="K1415" i="2"/>
  <c r="B1415" i="2"/>
  <c r="D1413" i="2"/>
  <c r="I1413" i="2" s="1"/>
  <c r="B1415" i="4" l="1"/>
  <c r="C1415" i="2"/>
  <c r="E1415" i="2" s="1"/>
  <c r="F1415" i="2"/>
  <c r="H1415" i="2" s="1"/>
  <c r="C1416" i="4" s="1"/>
  <c r="A1417" i="2"/>
  <c r="K1416" i="2"/>
  <c r="B1416" i="2"/>
  <c r="H1414" i="2"/>
  <c r="C1415" i="4" s="1"/>
  <c r="B1414" i="4"/>
  <c r="D1414" i="4" s="1"/>
  <c r="J1413" i="2"/>
  <c r="D1414" i="2"/>
  <c r="I1414" i="2" s="1"/>
  <c r="F1416" i="2" l="1"/>
  <c r="H1416" i="2" s="1"/>
  <c r="C1417" i="4" s="1"/>
  <c r="C1416" i="2"/>
  <c r="E1416" i="2" s="1"/>
  <c r="B1417" i="2"/>
  <c r="A1418" i="2"/>
  <c r="K1417" i="2"/>
  <c r="D1415" i="2"/>
  <c r="I1415" i="2" s="1"/>
  <c r="G1415" i="2"/>
  <c r="J1414" i="2"/>
  <c r="D1415" i="4"/>
  <c r="B1416" i="4" l="1"/>
  <c r="D1416" i="4" s="1"/>
  <c r="J1415" i="2"/>
  <c r="F1417" i="2"/>
  <c r="H1417" i="2" s="1"/>
  <c r="C1418" i="4" s="1"/>
  <c r="C1417" i="2"/>
  <c r="E1417" i="2" s="1"/>
  <c r="K1418" i="2"/>
  <c r="B1418" i="2"/>
  <c r="A1419" i="2"/>
  <c r="D1416" i="2"/>
  <c r="I1416" i="2" s="1"/>
  <c r="G1416" i="2"/>
  <c r="F1418" i="2" l="1"/>
  <c r="H1418" i="2" s="1"/>
  <c r="C1419" i="4" s="1"/>
  <c r="C1418" i="2"/>
  <c r="E1418" i="2" s="1"/>
  <c r="B1417" i="4"/>
  <c r="D1417" i="4" s="1"/>
  <c r="J1416" i="2"/>
  <c r="A1420" i="2"/>
  <c r="K1419" i="2"/>
  <c r="B1419" i="2"/>
  <c r="D1417" i="2"/>
  <c r="I1417" i="2" s="1"/>
  <c r="G1417" i="2"/>
  <c r="B1418" i="4" l="1"/>
  <c r="D1418" i="4" s="1"/>
  <c r="J1417" i="2"/>
  <c r="B1420" i="2"/>
  <c r="A1421" i="2"/>
  <c r="K1420" i="2"/>
  <c r="D1418" i="2"/>
  <c r="I1418" i="2" s="1"/>
  <c r="C1419" i="2"/>
  <c r="D1419" i="2" s="1"/>
  <c r="F1419" i="2"/>
  <c r="G1419" i="2" s="1"/>
  <c r="G1418" i="2"/>
  <c r="B1420" i="4" l="1"/>
  <c r="B1419" i="4"/>
  <c r="D1419" i="4" s="1"/>
  <c r="J1418" i="2"/>
  <c r="E1419" i="2"/>
  <c r="I1419" i="2" s="1"/>
  <c r="H1419" i="2"/>
  <c r="C1420" i="4" s="1"/>
  <c r="B1421" i="2"/>
  <c r="A1422" i="2"/>
  <c r="K1421" i="2"/>
  <c r="C1420" i="2"/>
  <c r="D1420" i="2" s="1"/>
  <c r="F1420" i="2"/>
  <c r="H1420" i="2" s="1"/>
  <c r="C1421" i="4" s="1"/>
  <c r="G1420" i="2" l="1"/>
  <c r="E1420" i="2"/>
  <c r="I1420" i="2" s="1"/>
  <c r="A1423" i="2"/>
  <c r="K1422" i="2"/>
  <c r="B1422" i="2"/>
  <c r="J1419" i="2"/>
  <c r="F1421" i="2"/>
  <c r="G1421" i="2" s="1"/>
  <c r="C1421" i="2"/>
  <c r="D1421" i="2" s="1"/>
  <c r="D1420" i="4"/>
  <c r="B1422" i="4" l="1"/>
  <c r="E1421" i="2"/>
  <c r="I1421" i="2" s="1"/>
  <c r="C1422" i="2"/>
  <c r="E1422" i="2" s="1"/>
  <c r="F1422" i="2"/>
  <c r="H1422" i="2" s="1"/>
  <c r="C1423" i="4" s="1"/>
  <c r="H1421" i="2"/>
  <c r="C1422" i="4" s="1"/>
  <c r="B1423" i="2"/>
  <c r="A1424" i="2"/>
  <c r="K1423" i="2"/>
  <c r="B1421" i="4"/>
  <c r="D1421" i="4" s="1"/>
  <c r="J1420" i="2"/>
  <c r="B1424" i="2" l="1"/>
  <c r="A1425" i="2"/>
  <c r="K1424" i="2"/>
  <c r="C1423" i="2"/>
  <c r="E1423" i="2" s="1"/>
  <c r="F1423" i="2"/>
  <c r="H1423" i="2" s="1"/>
  <c r="C1424" i="4" s="1"/>
  <c r="D1422" i="2"/>
  <c r="I1422" i="2" s="1"/>
  <c r="G1422" i="2"/>
  <c r="J1421" i="2"/>
  <c r="D1422" i="4"/>
  <c r="B1423" i="4" l="1"/>
  <c r="D1423" i="4" s="1"/>
  <c r="J1422" i="2"/>
  <c r="G1423" i="2"/>
  <c r="D1423" i="2"/>
  <c r="I1423" i="2" s="1"/>
  <c r="A1426" i="2"/>
  <c r="K1425" i="2"/>
  <c r="B1425" i="2"/>
  <c r="F1424" i="2"/>
  <c r="H1424" i="2" s="1"/>
  <c r="C1425" i="4" s="1"/>
  <c r="C1424" i="2"/>
  <c r="D1424" i="2" s="1"/>
  <c r="G1424" i="2" l="1"/>
  <c r="E1424" i="2"/>
  <c r="I1424" i="2" s="1"/>
  <c r="B1426" i="2"/>
  <c r="A1427" i="2"/>
  <c r="K1426" i="2"/>
  <c r="C1425" i="2"/>
  <c r="E1425" i="2" s="1"/>
  <c r="F1425" i="2"/>
  <c r="H1425" i="2" s="1"/>
  <c r="C1426" i="4" s="1"/>
  <c r="B1424" i="4"/>
  <c r="D1424" i="4" s="1"/>
  <c r="J1423" i="2"/>
  <c r="D1425" i="2" l="1"/>
  <c r="I1425" i="2" s="1"/>
  <c r="G1425" i="2"/>
  <c r="B1427" i="2"/>
  <c r="A1428" i="2"/>
  <c r="K1427" i="2"/>
  <c r="F1426" i="2"/>
  <c r="H1426" i="2" s="1"/>
  <c r="C1427" i="4" s="1"/>
  <c r="C1426" i="2"/>
  <c r="E1426" i="2" s="1"/>
  <c r="B1425" i="4"/>
  <c r="D1425" i="4" s="1"/>
  <c r="J1424" i="2"/>
  <c r="G1426" i="2" l="1"/>
  <c r="D1426" i="2"/>
  <c r="I1426" i="2" s="1"/>
  <c r="B1426" i="4"/>
  <c r="D1426" i="4" s="1"/>
  <c r="J1425" i="2"/>
  <c r="A1429" i="2"/>
  <c r="K1428" i="2"/>
  <c r="B1428" i="2"/>
  <c r="C1427" i="2"/>
  <c r="E1427" i="2" s="1"/>
  <c r="F1427" i="2"/>
  <c r="G1427" i="2" s="1"/>
  <c r="B1428" i="4" l="1"/>
  <c r="D1428" i="4" s="1"/>
  <c r="H1427" i="2"/>
  <c r="C1428" i="4" s="1"/>
  <c r="D1427" i="2"/>
  <c r="I1427" i="2" s="1"/>
  <c r="C1428" i="2"/>
  <c r="E1428" i="2" s="1"/>
  <c r="F1428" i="2"/>
  <c r="G1428" i="2" s="1"/>
  <c r="B1429" i="2"/>
  <c r="A1430" i="2"/>
  <c r="K1429" i="2"/>
  <c r="B1427" i="4"/>
  <c r="D1427" i="4" s="1"/>
  <c r="J1426" i="2"/>
  <c r="B1429" i="4" l="1"/>
  <c r="F1429" i="2"/>
  <c r="G1429" i="2" s="1"/>
  <c r="C1429" i="2"/>
  <c r="E1429" i="2" s="1"/>
  <c r="B1430" i="2"/>
  <c r="A1431" i="2"/>
  <c r="K1430" i="2"/>
  <c r="D1428" i="2"/>
  <c r="I1428" i="2" s="1"/>
  <c r="H1428" i="2"/>
  <c r="C1429" i="4" s="1"/>
  <c r="J1427" i="2"/>
  <c r="B1430" i="4" l="1"/>
  <c r="D1429" i="2"/>
  <c r="I1429" i="2" s="1"/>
  <c r="H1429" i="2"/>
  <c r="C1430" i="4" s="1"/>
  <c r="J1428" i="2"/>
  <c r="A1432" i="2"/>
  <c r="K1431" i="2"/>
  <c r="B1431" i="2"/>
  <c r="C1430" i="2"/>
  <c r="E1430" i="2" s="1"/>
  <c r="F1430" i="2"/>
  <c r="H1430" i="2" s="1"/>
  <c r="C1431" i="4" s="1"/>
  <c r="D1429" i="4"/>
  <c r="G1430" i="2" l="1"/>
  <c r="A1433" i="2"/>
  <c r="K1432" i="2"/>
  <c r="B1432" i="2"/>
  <c r="D1430" i="2"/>
  <c r="I1430" i="2" s="1"/>
  <c r="J1429" i="2"/>
  <c r="C1431" i="2"/>
  <c r="D1431" i="2" s="1"/>
  <c r="F1431" i="2"/>
  <c r="H1431" i="2" s="1"/>
  <c r="C1432" i="4" s="1"/>
  <c r="D1430" i="4"/>
  <c r="E1431" i="2" l="1"/>
  <c r="I1431" i="2" s="1"/>
  <c r="F1432" i="2"/>
  <c r="H1432" i="2" s="1"/>
  <c r="C1433" i="4" s="1"/>
  <c r="C1432" i="2"/>
  <c r="E1432" i="2" s="1"/>
  <c r="B1433" i="2"/>
  <c r="A1434" i="2"/>
  <c r="K1433" i="2"/>
  <c r="G1431" i="2"/>
  <c r="B1431" i="4"/>
  <c r="D1431" i="4" s="1"/>
  <c r="J1430" i="2"/>
  <c r="B1432" i="4" l="1"/>
  <c r="D1432" i="4" s="1"/>
  <c r="J1431" i="2"/>
  <c r="K1434" i="2"/>
  <c r="B1434" i="2"/>
  <c r="A1435" i="2"/>
  <c r="F1433" i="2"/>
  <c r="H1433" i="2" s="1"/>
  <c r="C1434" i="4" s="1"/>
  <c r="C1433" i="2"/>
  <c r="E1433" i="2" s="1"/>
  <c r="G1432" i="2"/>
  <c r="D1432" i="2"/>
  <c r="I1432" i="2" s="1"/>
  <c r="D1433" i="2" l="1"/>
  <c r="I1433" i="2" s="1"/>
  <c r="F1434" i="2"/>
  <c r="G1434" i="2" s="1"/>
  <c r="C1434" i="2"/>
  <c r="E1434" i="2" s="1"/>
  <c r="B1433" i="4"/>
  <c r="D1433" i="4" s="1"/>
  <c r="J1432" i="2"/>
  <c r="G1433" i="2"/>
  <c r="A1436" i="2"/>
  <c r="K1435" i="2"/>
  <c r="B1435" i="2"/>
  <c r="B1435" i="4" l="1"/>
  <c r="B1436" i="2"/>
  <c r="A1437" i="2"/>
  <c r="K1436" i="2"/>
  <c r="F1435" i="2"/>
  <c r="H1435" i="2" s="1"/>
  <c r="C1436" i="4" s="1"/>
  <c r="C1435" i="2"/>
  <c r="D1435" i="2" s="1"/>
  <c r="D1434" i="2"/>
  <c r="I1434" i="2" s="1"/>
  <c r="H1434" i="2"/>
  <c r="C1435" i="4" s="1"/>
  <c r="B1434" i="4"/>
  <c r="D1434" i="4" s="1"/>
  <c r="J1433" i="2"/>
  <c r="E1435" i="2" l="1"/>
  <c r="I1435" i="2" s="1"/>
  <c r="G1435" i="2"/>
  <c r="B1437" i="2"/>
  <c r="A1438" i="2"/>
  <c r="K1437" i="2"/>
  <c r="J1434" i="2"/>
  <c r="F1436" i="2"/>
  <c r="H1436" i="2" s="1"/>
  <c r="C1437" i="4" s="1"/>
  <c r="C1436" i="2"/>
  <c r="E1436" i="2" s="1"/>
  <c r="D1435" i="4"/>
  <c r="G1436" i="2" l="1"/>
  <c r="D1436" i="2"/>
  <c r="I1436" i="2" s="1"/>
  <c r="B1436" i="4"/>
  <c r="D1436" i="4" s="1"/>
  <c r="J1435" i="2"/>
  <c r="A1439" i="2"/>
  <c r="K1438" i="2"/>
  <c r="B1438" i="2"/>
  <c r="F1437" i="2"/>
  <c r="H1437" i="2" s="1"/>
  <c r="C1438" i="4" s="1"/>
  <c r="C1437" i="2"/>
  <c r="D1437" i="2" s="1"/>
  <c r="E1437" i="2" l="1"/>
  <c r="I1437" i="2" s="1"/>
  <c r="G1437" i="2"/>
  <c r="F1438" i="2"/>
  <c r="H1438" i="2" s="1"/>
  <c r="C1439" i="4" s="1"/>
  <c r="C1438" i="2"/>
  <c r="E1438" i="2" s="1"/>
  <c r="B1439" i="2"/>
  <c r="A1440" i="2"/>
  <c r="K1439" i="2"/>
  <c r="B1437" i="4"/>
  <c r="D1437" i="4" s="1"/>
  <c r="J1436" i="2"/>
  <c r="B1440" i="2" l="1"/>
  <c r="A1441" i="2"/>
  <c r="K1440" i="2"/>
  <c r="C1439" i="2"/>
  <c r="E1439" i="2" s="1"/>
  <c r="F1439" i="2"/>
  <c r="H1439" i="2" s="1"/>
  <c r="C1440" i="4" s="1"/>
  <c r="B1438" i="4"/>
  <c r="D1438" i="4" s="1"/>
  <c r="J1437" i="2"/>
  <c r="D1438" i="2"/>
  <c r="I1438" i="2" s="1"/>
  <c r="G1438" i="2"/>
  <c r="B1439" i="4" l="1"/>
  <c r="D1439" i="4" s="1"/>
  <c r="J1438" i="2"/>
  <c r="G1439" i="2"/>
  <c r="D1439" i="2"/>
  <c r="I1439" i="2" s="1"/>
  <c r="A1442" i="2"/>
  <c r="K1441" i="2"/>
  <c r="B1441" i="2"/>
  <c r="F1440" i="2"/>
  <c r="H1440" i="2" s="1"/>
  <c r="C1441" i="4" s="1"/>
  <c r="C1440" i="2"/>
  <c r="E1440" i="2" s="1"/>
  <c r="G1440" i="2" l="1"/>
  <c r="B1442" i="2"/>
  <c r="A1443" i="2"/>
  <c r="K1442" i="2"/>
  <c r="D1440" i="2"/>
  <c r="I1440" i="2" s="1"/>
  <c r="C1441" i="2"/>
  <c r="E1441" i="2" s="1"/>
  <c r="F1441" i="2"/>
  <c r="H1441" i="2" s="1"/>
  <c r="C1442" i="4" s="1"/>
  <c r="B1440" i="4"/>
  <c r="D1440" i="4" s="1"/>
  <c r="J1439" i="2"/>
  <c r="D1441" i="2" l="1"/>
  <c r="I1441" i="2" s="1"/>
  <c r="G1441" i="2"/>
  <c r="C1442" i="2"/>
  <c r="D1442" i="2" s="1"/>
  <c r="F1442" i="2"/>
  <c r="H1442" i="2" s="1"/>
  <c r="C1443" i="4" s="1"/>
  <c r="K1443" i="2"/>
  <c r="A1444" i="2"/>
  <c r="B1443" i="2"/>
  <c r="B1441" i="4"/>
  <c r="D1441" i="4" s="1"/>
  <c r="J1440" i="2"/>
  <c r="C1443" i="2" l="1"/>
  <c r="E1443" i="2" s="1"/>
  <c r="F1443" i="2"/>
  <c r="H1443" i="2" s="1"/>
  <c r="C1444" i="4" s="1"/>
  <c r="A1445" i="2"/>
  <c r="K1444" i="2"/>
  <c r="B1444" i="2"/>
  <c r="E1442" i="2"/>
  <c r="I1442" i="2" s="1"/>
  <c r="B1442" i="4"/>
  <c r="D1442" i="4" s="1"/>
  <c r="J1441" i="2"/>
  <c r="G1442" i="2"/>
  <c r="K1445" i="2" l="1"/>
  <c r="A1446" i="2"/>
  <c r="B1445" i="2"/>
  <c r="B1443" i="4"/>
  <c r="D1443" i="4" s="1"/>
  <c r="J1442" i="2"/>
  <c r="F1444" i="2"/>
  <c r="G1444" i="2" s="1"/>
  <c r="C1444" i="2"/>
  <c r="D1444" i="2" s="1"/>
  <c r="D1443" i="2"/>
  <c r="I1443" i="2" s="1"/>
  <c r="G1443" i="2"/>
  <c r="B1445" i="4" l="1"/>
  <c r="B1444" i="4"/>
  <c r="D1444" i="4" s="1"/>
  <c r="J1443" i="2"/>
  <c r="E1444" i="2"/>
  <c r="I1444" i="2" s="1"/>
  <c r="H1444" i="2"/>
  <c r="C1445" i="4" s="1"/>
  <c r="B1446" i="2"/>
  <c r="K1446" i="2"/>
  <c r="A1447" i="2"/>
  <c r="C1445" i="2"/>
  <c r="E1445" i="2" s="1"/>
  <c r="F1445" i="2"/>
  <c r="H1445" i="2" s="1"/>
  <c r="C1446" i="4" s="1"/>
  <c r="G1445" i="2" l="1"/>
  <c r="D1445" i="2"/>
  <c r="I1445" i="2" s="1"/>
  <c r="K1447" i="2"/>
  <c r="A1448" i="2"/>
  <c r="B1447" i="2"/>
  <c r="C1446" i="2"/>
  <c r="D1446" i="2" s="1"/>
  <c r="F1446" i="2"/>
  <c r="H1446" i="2" s="1"/>
  <c r="C1447" i="4" s="1"/>
  <c r="J1444" i="2"/>
  <c r="D1445" i="4"/>
  <c r="F1447" i="2" l="1"/>
  <c r="H1447" i="2" s="1"/>
  <c r="C1448" i="4" s="1"/>
  <c r="C1447" i="2"/>
  <c r="E1447" i="2" s="1"/>
  <c r="E1446" i="2"/>
  <c r="I1446" i="2" s="1"/>
  <c r="G1446" i="2"/>
  <c r="B1448" i="2"/>
  <c r="A1449" i="2"/>
  <c r="K1448" i="2"/>
  <c r="B1446" i="4"/>
  <c r="D1446" i="4" s="1"/>
  <c r="J1445" i="2"/>
  <c r="C1448" i="2" l="1"/>
  <c r="D1448" i="2" s="1"/>
  <c r="F1448" i="2"/>
  <c r="G1448" i="2" s="1"/>
  <c r="B1449" i="2"/>
  <c r="A1450" i="2"/>
  <c r="K1449" i="2"/>
  <c r="B1447" i="4"/>
  <c r="D1447" i="4" s="1"/>
  <c r="J1446" i="2"/>
  <c r="D1447" i="2"/>
  <c r="I1447" i="2" s="1"/>
  <c r="G1447" i="2"/>
  <c r="B1449" i="4" l="1"/>
  <c r="B1448" i="4"/>
  <c r="D1448" i="4" s="1"/>
  <c r="J1447" i="2"/>
  <c r="A1451" i="2"/>
  <c r="K1450" i="2"/>
  <c r="B1450" i="2"/>
  <c r="C1449" i="2"/>
  <c r="D1449" i="2" s="1"/>
  <c r="F1449" i="2"/>
  <c r="H1449" i="2" s="1"/>
  <c r="C1450" i="4" s="1"/>
  <c r="H1448" i="2"/>
  <c r="C1449" i="4" s="1"/>
  <c r="E1448" i="2"/>
  <c r="I1448" i="2" s="1"/>
  <c r="E1449" i="2" l="1"/>
  <c r="I1449" i="2" s="1"/>
  <c r="G1449" i="2"/>
  <c r="F1450" i="2"/>
  <c r="H1450" i="2" s="1"/>
  <c r="C1451" i="4" s="1"/>
  <c r="C1450" i="2"/>
  <c r="D1450" i="2" s="1"/>
  <c r="B1451" i="2"/>
  <c r="A1452" i="2"/>
  <c r="K1451" i="2"/>
  <c r="J1448" i="2"/>
  <c r="D1449" i="4"/>
  <c r="C1451" i="2" l="1"/>
  <c r="E1451" i="2" s="1"/>
  <c r="F1451" i="2"/>
  <c r="G1451" i="2" s="1"/>
  <c r="B1452" i="2"/>
  <c r="A1453" i="2"/>
  <c r="K1452" i="2"/>
  <c r="B1450" i="4"/>
  <c r="D1450" i="4" s="1"/>
  <c r="J1449" i="2"/>
  <c r="E1450" i="2"/>
  <c r="I1450" i="2" s="1"/>
  <c r="G1450" i="2"/>
  <c r="B1452" i="4" l="1"/>
  <c r="B1451" i="4"/>
  <c r="D1451" i="4" s="1"/>
  <c r="J1450" i="2"/>
  <c r="F1452" i="2"/>
  <c r="H1452" i="2" s="1"/>
  <c r="C1453" i="4" s="1"/>
  <c r="C1452" i="2"/>
  <c r="D1452" i="2" s="1"/>
  <c r="D1451" i="2"/>
  <c r="I1451" i="2" s="1"/>
  <c r="A1454" i="2"/>
  <c r="K1453" i="2"/>
  <c r="B1453" i="2"/>
  <c r="H1451" i="2"/>
  <c r="C1452" i="4" s="1"/>
  <c r="B1454" i="2" l="1"/>
  <c r="A1455" i="2"/>
  <c r="K1454" i="2"/>
  <c r="C1453" i="2"/>
  <c r="E1453" i="2" s="1"/>
  <c r="F1453" i="2"/>
  <c r="G1453" i="2" s="1"/>
  <c r="E1452" i="2"/>
  <c r="I1452" i="2" s="1"/>
  <c r="G1452" i="2"/>
  <c r="J1451" i="2"/>
  <c r="D1452" i="4"/>
  <c r="B1454" i="4" l="1"/>
  <c r="B1453" i="4"/>
  <c r="D1453" i="4" s="1"/>
  <c r="J1452" i="2"/>
  <c r="H1453" i="2"/>
  <c r="C1454" i="4" s="1"/>
  <c r="D1453" i="2"/>
  <c r="I1453" i="2" s="1"/>
  <c r="K1455" i="2"/>
  <c r="A1456" i="2"/>
  <c r="B1455" i="2"/>
  <c r="C1454" i="2"/>
  <c r="D1454" i="2" s="1"/>
  <c r="F1454" i="2"/>
  <c r="G1454" i="2" s="1"/>
  <c r="B1455" i="4" l="1"/>
  <c r="H1454" i="2"/>
  <c r="C1455" i="4" s="1"/>
  <c r="F1455" i="2"/>
  <c r="G1455" i="2" s="1"/>
  <c r="C1455" i="2"/>
  <c r="E1455" i="2" s="1"/>
  <c r="E1454" i="2"/>
  <c r="I1454" i="2" s="1"/>
  <c r="A1457" i="2"/>
  <c r="K1456" i="2"/>
  <c r="B1456" i="2"/>
  <c r="J1453" i="2"/>
  <c r="D1454" i="4"/>
  <c r="B1456" i="4" l="1"/>
  <c r="F1456" i="2"/>
  <c r="H1456" i="2" s="1"/>
  <c r="C1457" i="4" s="1"/>
  <c r="C1456" i="2"/>
  <c r="D1456" i="2" s="1"/>
  <c r="K1457" i="2"/>
  <c r="B1457" i="2"/>
  <c r="A1458" i="2"/>
  <c r="D1455" i="2"/>
  <c r="I1455" i="2" s="1"/>
  <c r="H1455" i="2"/>
  <c r="C1456" i="4" s="1"/>
  <c r="J1454" i="2"/>
  <c r="D1455" i="4"/>
  <c r="C1457" i="2" l="1"/>
  <c r="E1457" i="2" s="1"/>
  <c r="F1457" i="2"/>
  <c r="H1457" i="2" s="1"/>
  <c r="C1458" i="4" s="1"/>
  <c r="B1458" i="2"/>
  <c r="A1459" i="2"/>
  <c r="K1458" i="2"/>
  <c r="G1456" i="2"/>
  <c r="E1456" i="2"/>
  <c r="I1456" i="2" s="1"/>
  <c r="J1455" i="2"/>
  <c r="D1456" i="4"/>
  <c r="B1457" i="4" l="1"/>
  <c r="D1457" i="4" s="1"/>
  <c r="J1456" i="2"/>
  <c r="K1459" i="2"/>
  <c r="B1459" i="2"/>
  <c r="A1460" i="2"/>
  <c r="F1458" i="2"/>
  <c r="G1458" i="2" s="1"/>
  <c r="C1458" i="2"/>
  <c r="D1458" i="2" s="1"/>
  <c r="D1457" i="2"/>
  <c r="I1457" i="2" s="1"/>
  <c r="G1457" i="2"/>
  <c r="B1459" i="4" l="1"/>
  <c r="B1458" i="4"/>
  <c r="D1458" i="4" s="1"/>
  <c r="J1457" i="2"/>
  <c r="H1458" i="2"/>
  <c r="C1459" i="4" s="1"/>
  <c r="E1458" i="2"/>
  <c r="I1458" i="2" s="1"/>
  <c r="C1459" i="2"/>
  <c r="E1459" i="2" s="1"/>
  <c r="F1459" i="2"/>
  <c r="G1459" i="2" s="1"/>
  <c r="A1461" i="2"/>
  <c r="B1460" i="2"/>
  <c r="K1460" i="2"/>
  <c r="B1460" i="4" l="1"/>
  <c r="A1462" i="2"/>
  <c r="K1461" i="2"/>
  <c r="B1461" i="2"/>
  <c r="H1459" i="2"/>
  <c r="C1460" i="4" s="1"/>
  <c r="D1459" i="2"/>
  <c r="I1459" i="2" s="1"/>
  <c r="C1460" i="2"/>
  <c r="D1460" i="2" s="1"/>
  <c r="F1460" i="2"/>
  <c r="H1460" i="2" s="1"/>
  <c r="C1461" i="4" s="1"/>
  <c r="J1458" i="2"/>
  <c r="D1459" i="4"/>
  <c r="E1460" i="2" l="1"/>
  <c r="I1460" i="2" s="1"/>
  <c r="G1460" i="2"/>
  <c r="J1459" i="2"/>
  <c r="C1461" i="2"/>
  <c r="E1461" i="2" s="1"/>
  <c r="F1461" i="2"/>
  <c r="G1461" i="2" s="1"/>
  <c r="B1462" i="2"/>
  <c r="A1463" i="2"/>
  <c r="K1462" i="2"/>
  <c r="D1460" i="4"/>
  <c r="B1462" i="4" l="1"/>
  <c r="C1462" i="2"/>
  <c r="D1462" i="2" s="1"/>
  <c r="F1462" i="2"/>
  <c r="H1462" i="2" s="1"/>
  <c r="C1463" i="4" s="1"/>
  <c r="H1461" i="2"/>
  <c r="C1462" i="4" s="1"/>
  <c r="K1463" i="2"/>
  <c r="A1464" i="2"/>
  <c r="B1463" i="2"/>
  <c r="B1461" i="4"/>
  <c r="D1461" i="4" s="1"/>
  <c r="J1460" i="2"/>
  <c r="D1461" i="2"/>
  <c r="I1461" i="2" s="1"/>
  <c r="B1464" i="2" l="1"/>
  <c r="A1465" i="2"/>
  <c r="K1464" i="2"/>
  <c r="G1462" i="2"/>
  <c r="J1461" i="2"/>
  <c r="F1463" i="2"/>
  <c r="G1463" i="2" s="1"/>
  <c r="C1463" i="2"/>
  <c r="E1463" i="2" s="1"/>
  <c r="E1462" i="2"/>
  <c r="I1462" i="2" s="1"/>
  <c r="D1462" i="4"/>
  <c r="B1464" i="4" l="1"/>
  <c r="H1463" i="2"/>
  <c r="C1464" i="4" s="1"/>
  <c r="B1463" i="4"/>
  <c r="D1463" i="4" s="1"/>
  <c r="J1462" i="2"/>
  <c r="D1463" i="2"/>
  <c r="I1463" i="2" s="1"/>
  <c r="B1465" i="2"/>
  <c r="K1465" i="2"/>
  <c r="A1466" i="2"/>
  <c r="C1464" i="2"/>
  <c r="D1464" i="2" s="1"/>
  <c r="F1464" i="2"/>
  <c r="G1464" i="2" s="1"/>
  <c r="B1465" i="4" l="1"/>
  <c r="H1464" i="2"/>
  <c r="C1465" i="4" s="1"/>
  <c r="E1464" i="2"/>
  <c r="I1464" i="2" s="1"/>
  <c r="J1463" i="2"/>
  <c r="A1467" i="2"/>
  <c r="B1466" i="2"/>
  <c r="K1466" i="2"/>
  <c r="C1465" i="2"/>
  <c r="D1465" i="2" s="1"/>
  <c r="F1465" i="2"/>
  <c r="H1465" i="2" s="1"/>
  <c r="C1466" i="4" s="1"/>
  <c r="D1464" i="4"/>
  <c r="G1465" i="2" l="1"/>
  <c r="E1465" i="2"/>
  <c r="I1465" i="2" s="1"/>
  <c r="F1466" i="2"/>
  <c r="H1466" i="2" s="1"/>
  <c r="C1467" i="4" s="1"/>
  <c r="C1466" i="2"/>
  <c r="D1466" i="2" s="1"/>
  <c r="B1467" i="2"/>
  <c r="A1468" i="2"/>
  <c r="K1467" i="2"/>
  <c r="J1464" i="2"/>
  <c r="D1465" i="4"/>
  <c r="B1468" i="2" l="1"/>
  <c r="A1469" i="2"/>
  <c r="K1468" i="2"/>
  <c r="C1467" i="2"/>
  <c r="E1467" i="2" s="1"/>
  <c r="F1467" i="2"/>
  <c r="G1467" i="2" s="1"/>
  <c r="E1466" i="2"/>
  <c r="I1466" i="2" s="1"/>
  <c r="G1466" i="2"/>
  <c r="B1466" i="4"/>
  <c r="D1466" i="4" s="1"/>
  <c r="J1465" i="2"/>
  <c r="B1468" i="4" l="1"/>
  <c r="B1467" i="4"/>
  <c r="D1467" i="4" s="1"/>
  <c r="J1466" i="2"/>
  <c r="D1467" i="2"/>
  <c r="I1467" i="2" s="1"/>
  <c r="H1467" i="2"/>
  <c r="C1468" i="4" s="1"/>
  <c r="A1470" i="2"/>
  <c r="K1469" i="2"/>
  <c r="B1469" i="2"/>
  <c r="F1468" i="2"/>
  <c r="G1468" i="2" s="1"/>
  <c r="C1468" i="2"/>
  <c r="E1468" i="2" s="1"/>
  <c r="B1469" i="4" l="1"/>
  <c r="H1468" i="2"/>
  <c r="C1469" i="4" s="1"/>
  <c r="D1468" i="2"/>
  <c r="I1468" i="2" s="1"/>
  <c r="C1469" i="2"/>
  <c r="E1469" i="2" s="1"/>
  <c r="F1469" i="2"/>
  <c r="H1469" i="2" s="1"/>
  <c r="C1470" i="4" s="1"/>
  <c r="B1470" i="2"/>
  <c r="A1471" i="2"/>
  <c r="K1470" i="2"/>
  <c r="J1467" i="2"/>
  <c r="D1468" i="4"/>
  <c r="D1469" i="2" l="1"/>
  <c r="I1469" i="2" s="1"/>
  <c r="G1469" i="2"/>
  <c r="K1471" i="2"/>
  <c r="B1471" i="2"/>
  <c r="A1472" i="2"/>
  <c r="J1468" i="2"/>
  <c r="C1470" i="2"/>
  <c r="D1470" i="2" s="1"/>
  <c r="F1470" i="2"/>
  <c r="H1470" i="2" s="1"/>
  <c r="C1471" i="4" s="1"/>
  <c r="D1469" i="4"/>
  <c r="E1470" i="2" l="1"/>
  <c r="I1470" i="2" s="1"/>
  <c r="B1470" i="4"/>
  <c r="D1470" i="4" s="1"/>
  <c r="J1469" i="2"/>
  <c r="G1470" i="2"/>
  <c r="A1473" i="2"/>
  <c r="K1472" i="2"/>
  <c r="B1472" i="2"/>
  <c r="F1471" i="2"/>
  <c r="H1471" i="2" s="1"/>
  <c r="C1472" i="4" s="1"/>
  <c r="C1471" i="2"/>
  <c r="E1471" i="2" s="1"/>
  <c r="D1471" i="2" l="1"/>
  <c r="I1471" i="2" s="1"/>
  <c r="F1472" i="2"/>
  <c r="G1472" i="2" s="1"/>
  <c r="C1472" i="2"/>
  <c r="D1472" i="2" s="1"/>
  <c r="G1471" i="2"/>
  <c r="K1473" i="2"/>
  <c r="A1474" i="2"/>
  <c r="B1473" i="2"/>
  <c r="B1471" i="4"/>
  <c r="D1471" i="4" s="1"/>
  <c r="J1470" i="2"/>
  <c r="B1473" i="4" l="1"/>
  <c r="B1472" i="4"/>
  <c r="D1472" i="4" s="1"/>
  <c r="J1471" i="2"/>
  <c r="C1473" i="2"/>
  <c r="D1473" i="2" s="1"/>
  <c r="F1473" i="2"/>
  <c r="G1473" i="2" s="1"/>
  <c r="E1472" i="2"/>
  <c r="I1472" i="2" s="1"/>
  <c r="H1472" i="2"/>
  <c r="C1473" i="4" s="1"/>
  <c r="B1474" i="2"/>
  <c r="A1475" i="2"/>
  <c r="K1474" i="2"/>
  <c r="B1474" i="4" l="1"/>
  <c r="E1473" i="2"/>
  <c r="I1473" i="2" s="1"/>
  <c r="H1473" i="2"/>
  <c r="C1474" i="4" s="1"/>
  <c r="J1472" i="2"/>
  <c r="K1475" i="2"/>
  <c r="B1475" i="2"/>
  <c r="A1476" i="2"/>
  <c r="F1474" i="2"/>
  <c r="H1474" i="2" s="1"/>
  <c r="C1475" i="4" s="1"/>
  <c r="C1474" i="2"/>
  <c r="E1474" i="2" s="1"/>
  <c r="D1473" i="4"/>
  <c r="D1474" i="2" l="1"/>
  <c r="I1474" i="2" s="1"/>
  <c r="G1474" i="2"/>
  <c r="J1473" i="2"/>
  <c r="A1477" i="2"/>
  <c r="B1476" i="2"/>
  <c r="K1476" i="2"/>
  <c r="C1475" i="2"/>
  <c r="D1475" i="2" s="1"/>
  <c r="F1475" i="2"/>
  <c r="G1475" i="2" s="1"/>
  <c r="D1474" i="4"/>
  <c r="B1476" i="4" l="1"/>
  <c r="E1475" i="2"/>
  <c r="I1475" i="2" s="1"/>
  <c r="H1475" i="2"/>
  <c r="C1476" i="4" s="1"/>
  <c r="B1475" i="4"/>
  <c r="D1475" i="4" s="1"/>
  <c r="J1474" i="2"/>
  <c r="F1476" i="2"/>
  <c r="H1476" i="2" s="1"/>
  <c r="C1477" i="4" s="1"/>
  <c r="C1476" i="2"/>
  <c r="D1476" i="2" s="1"/>
  <c r="A1478" i="2"/>
  <c r="K1477" i="2"/>
  <c r="B1477" i="2"/>
  <c r="F1477" i="2" l="1"/>
  <c r="G1477" i="2" s="1"/>
  <c r="C1477" i="2"/>
  <c r="E1477" i="2" s="1"/>
  <c r="B1478" i="2"/>
  <c r="A1479" i="2"/>
  <c r="K1478" i="2"/>
  <c r="G1476" i="2"/>
  <c r="J1475" i="2"/>
  <c r="E1476" i="2"/>
  <c r="I1476" i="2" s="1"/>
  <c r="D1476" i="4"/>
  <c r="B1478" i="4" l="1"/>
  <c r="K1479" i="2"/>
  <c r="A1480" i="2"/>
  <c r="B1479" i="2"/>
  <c r="C1478" i="2"/>
  <c r="E1478" i="2" s="1"/>
  <c r="F1478" i="2"/>
  <c r="H1478" i="2" s="1"/>
  <c r="C1479" i="4" s="1"/>
  <c r="H1477" i="2"/>
  <c r="C1478" i="4" s="1"/>
  <c r="B1477" i="4"/>
  <c r="D1477" i="4" s="1"/>
  <c r="J1476" i="2"/>
  <c r="D1477" i="2"/>
  <c r="I1477" i="2" s="1"/>
  <c r="D1478" i="2" l="1"/>
  <c r="I1478" i="2" s="1"/>
  <c r="G1478" i="2"/>
  <c r="F1479" i="2"/>
  <c r="G1479" i="2" s="1"/>
  <c r="C1479" i="2"/>
  <c r="E1479" i="2" s="1"/>
  <c r="B1480" i="2"/>
  <c r="A1481" i="2"/>
  <c r="K1480" i="2"/>
  <c r="J1477" i="2"/>
  <c r="D1478" i="4"/>
  <c r="B1480" i="4" l="1"/>
  <c r="C1480" i="2"/>
  <c r="D1480" i="2" s="1"/>
  <c r="F1480" i="2"/>
  <c r="H1480" i="2" s="1"/>
  <c r="C1481" i="4" s="1"/>
  <c r="H1479" i="2"/>
  <c r="C1480" i="4" s="1"/>
  <c r="B1481" i="2"/>
  <c r="K1481" i="2"/>
  <c r="A1482" i="2"/>
  <c r="D1479" i="2"/>
  <c r="I1479" i="2" s="1"/>
  <c r="B1479" i="4"/>
  <c r="D1479" i="4" s="1"/>
  <c r="J1478" i="2"/>
  <c r="A1483" i="2" l="1"/>
  <c r="B1482" i="2"/>
  <c r="K1482" i="2"/>
  <c r="C1481" i="2"/>
  <c r="D1481" i="2" s="1"/>
  <c r="F1481" i="2"/>
  <c r="G1481" i="2" s="1"/>
  <c r="G1480" i="2"/>
  <c r="J1479" i="2"/>
  <c r="E1480" i="2"/>
  <c r="I1480" i="2" s="1"/>
  <c r="D1480" i="4"/>
  <c r="B1482" i="4" l="1"/>
  <c r="E1481" i="2"/>
  <c r="I1481" i="2" s="1"/>
  <c r="H1481" i="2"/>
  <c r="C1482" i="4" s="1"/>
  <c r="B1481" i="4"/>
  <c r="D1481" i="4" s="1"/>
  <c r="J1480" i="2"/>
  <c r="F1482" i="2"/>
  <c r="H1482" i="2" s="1"/>
  <c r="C1483" i="4" s="1"/>
  <c r="C1482" i="2"/>
  <c r="E1482" i="2" s="1"/>
  <c r="B1483" i="2"/>
  <c r="A1484" i="2"/>
  <c r="K1483" i="2"/>
  <c r="B1484" i="2" l="1"/>
  <c r="A1485" i="2"/>
  <c r="K1484" i="2"/>
  <c r="C1483" i="2"/>
  <c r="E1483" i="2" s="1"/>
  <c r="F1483" i="2"/>
  <c r="H1483" i="2" s="1"/>
  <c r="C1484" i="4" s="1"/>
  <c r="G1482" i="2"/>
  <c r="D1482" i="2"/>
  <c r="I1482" i="2" s="1"/>
  <c r="J1481" i="2"/>
  <c r="D1482" i="4"/>
  <c r="G1483" i="2" l="1"/>
  <c r="B1483" i="4"/>
  <c r="D1483" i="4" s="1"/>
  <c r="J1482" i="2"/>
  <c r="D1483" i="2"/>
  <c r="I1483" i="2" s="1"/>
  <c r="A1486" i="2"/>
  <c r="K1485" i="2"/>
  <c r="B1485" i="2"/>
  <c r="C1484" i="2"/>
  <c r="D1484" i="2" s="1"/>
  <c r="F1484" i="2"/>
  <c r="H1484" i="2" s="1"/>
  <c r="C1485" i="4" s="1"/>
  <c r="E1484" i="2" l="1"/>
  <c r="I1484" i="2" s="1"/>
  <c r="F1485" i="2"/>
  <c r="H1485" i="2" s="1"/>
  <c r="C1486" i="4" s="1"/>
  <c r="C1485" i="2"/>
  <c r="E1485" i="2" s="1"/>
  <c r="B1486" i="2"/>
  <c r="A1487" i="2"/>
  <c r="K1486" i="2"/>
  <c r="G1484" i="2"/>
  <c r="B1484" i="4"/>
  <c r="D1484" i="4" s="1"/>
  <c r="J1483" i="2"/>
  <c r="B1485" i="4" l="1"/>
  <c r="D1485" i="4" s="1"/>
  <c r="J1484" i="2"/>
  <c r="K1487" i="2"/>
  <c r="A1488" i="2"/>
  <c r="B1487" i="2"/>
  <c r="C1486" i="2"/>
  <c r="D1486" i="2" s="1"/>
  <c r="F1486" i="2"/>
  <c r="H1486" i="2" s="1"/>
  <c r="C1487" i="4" s="1"/>
  <c r="G1485" i="2"/>
  <c r="D1485" i="2"/>
  <c r="I1485" i="2" s="1"/>
  <c r="B1486" i="4" l="1"/>
  <c r="D1486" i="4" s="1"/>
  <c r="J1485" i="2"/>
  <c r="E1486" i="2"/>
  <c r="I1486" i="2" s="1"/>
  <c r="G1486" i="2"/>
  <c r="A1489" i="2"/>
  <c r="K1488" i="2"/>
  <c r="B1488" i="2"/>
  <c r="C1487" i="2"/>
  <c r="D1487" i="2" s="1"/>
  <c r="F1487" i="2"/>
  <c r="G1487" i="2" s="1"/>
  <c r="B1488" i="4" l="1"/>
  <c r="H1487" i="2"/>
  <c r="C1488" i="4" s="1"/>
  <c r="E1487" i="2"/>
  <c r="I1487" i="2" s="1"/>
  <c r="F1488" i="2"/>
  <c r="H1488" i="2" s="1"/>
  <c r="C1489" i="4" s="1"/>
  <c r="C1488" i="2"/>
  <c r="E1488" i="2" s="1"/>
  <c r="B1487" i="4"/>
  <c r="D1487" i="4" s="1"/>
  <c r="J1486" i="2"/>
  <c r="K1489" i="2"/>
  <c r="A1490" i="2"/>
  <c r="B1489" i="2"/>
  <c r="G1488" i="2" l="1"/>
  <c r="D1488" i="2"/>
  <c r="I1488" i="2" s="1"/>
  <c r="F1489" i="2"/>
  <c r="H1489" i="2" s="1"/>
  <c r="C1490" i="4" s="1"/>
  <c r="C1489" i="2"/>
  <c r="E1489" i="2" s="1"/>
  <c r="B1490" i="2"/>
  <c r="A1491" i="2"/>
  <c r="K1490" i="2"/>
  <c r="J1487" i="2"/>
  <c r="D1488" i="4"/>
  <c r="K1491" i="2" l="1"/>
  <c r="B1491" i="2"/>
  <c r="A1492" i="2"/>
  <c r="D1489" i="2"/>
  <c r="I1489" i="2" s="1"/>
  <c r="G1489" i="2"/>
  <c r="F1490" i="2"/>
  <c r="H1490" i="2" s="1"/>
  <c r="C1491" i="4" s="1"/>
  <c r="C1490" i="2"/>
  <c r="E1490" i="2" s="1"/>
  <c r="B1489" i="4"/>
  <c r="D1489" i="4" s="1"/>
  <c r="J1488" i="2"/>
  <c r="G1490" i="2" l="1"/>
  <c r="D1490" i="2"/>
  <c r="I1490" i="2" s="1"/>
  <c r="B1490" i="4"/>
  <c r="D1490" i="4" s="1"/>
  <c r="J1489" i="2"/>
  <c r="A1493" i="2"/>
  <c r="B1492" i="2"/>
  <c r="K1492" i="2"/>
  <c r="F1491" i="2"/>
  <c r="G1491" i="2" s="1"/>
  <c r="C1491" i="2"/>
  <c r="D1491" i="2" s="1"/>
  <c r="B1492" i="4" l="1"/>
  <c r="E1491" i="2"/>
  <c r="I1491" i="2" s="1"/>
  <c r="H1491" i="2"/>
  <c r="C1492" i="4" s="1"/>
  <c r="B1493" i="2"/>
  <c r="A1494" i="2"/>
  <c r="K1493" i="2"/>
  <c r="C1492" i="2"/>
  <c r="D1492" i="2" s="1"/>
  <c r="F1492" i="2"/>
  <c r="H1492" i="2" s="1"/>
  <c r="C1493" i="4" s="1"/>
  <c r="B1491" i="4"/>
  <c r="D1491" i="4" s="1"/>
  <c r="J1490" i="2"/>
  <c r="G1492" i="2" l="1"/>
  <c r="F1493" i="2"/>
  <c r="H1493" i="2" s="1"/>
  <c r="C1494" i="4" s="1"/>
  <c r="C1493" i="2"/>
  <c r="D1493" i="2" s="1"/>
  <c r="E1492" i="2"/>
  <c r="I1492" i="2" s="1"/>
  <c r="J1491" i="2"/>
  <c r="B1494" i="2"/>
  <c r="A1495" i="2"/>
  <c r="K1494" i="2"/>
  <c r="D1492" i="4"/>
  <c r="G1493" i="2" l="1"/>
  <c r="E1493" i="2"/>
  <c r="I1493" i="2" s="1"/>
  <c r="A1496" i="2"/>
  <c r="K1495" i="2"/>
  <c r="B1495" i="2"/>
  <c r="C1494" i="2"/>
  <c r="E1494" i="2" s="1"/>
  <c r="F1494" i="2"/>
  <c r="G1494" i="2" s="1"/>
  <c r="B1493" i="4"/>
  <c r="D1493" i="4" s="1"/>
  <c r="J1492" i="2"/>
  <c r="B1495" i="4" l="1"/>
  <c r="D1494" i="2"/>
  <c r="I1494" i="2" s="1"/>
  <c r="H1494" i="2"/>
  <c r="C1495" i="4" s="1"/>
  <c r="F1495" i="2"/>
  <c r="H1495" i="2" s="1"/>
  <c r="C1496" i="4" s="1"/>
  <c r="C1495" i="2"/>
  <c r="E1495" i="2" s="1"/>
  <c r="B1496" i="2"/>
  <c r="A1497" i="2"/>
  <c r="K1496" i="2"/>
  <c r="B1494" i="4"/>
  <c r="D1494" i="4" s="1"/>
  <c r="J1493" i="2"/>
  <c r="B1497" i="2" l="1"/>
  <c r="K1497" i="2"/>
  <c r="A1498" i="2"/>
  <c r="D1495" i="2"/>
  <c r="I1495" i="2" s="1"/>
  <c r="G1495" i="2"/>
  <c r="C1496" i="2"/>
  <c r="D1496" i="2" s="1"/>
  <c r="F1496" i="2"/>
  <c r="H1496" i="2" s="1"/>
  <c r="C1497" i="4" s="1"/>
  <c r="J1494" i="2"/>
  <c r="D1495" i="4"/>
  <c r="E1496" i="2" l="1"/>
  <c r="I1496" i="2" s="1"/>
  <c r="G1496" i="2"/>
  <c r="B1496" i="4"/>
  <c r="D1496" i="4" s="1"/>
  <c r="J1495" i="2"/>
  <c r="A1499" i="2"/>
  <c r="K1498" i="2"/>
  <c r="B1498" i="2"/>
  <c r="C1497" i="2"/>
  <c r="E1497" i="2" s="1"/>
  <c r="F1497" i="2"/>
  <c r="G1497" i="2" s="1"/>
  <c r="B1498" i="4" l="1"/>
  <c r="D1497" i="2"/>
  <c r="I1497" i="2" s="1"/>
  <c r="H1497" i="2"/>
  <c r="C1498" i="4" s="1"/>
  <c r="B1499" i="2"/>
  <c r="A1500" i="2"/>
  <c r="K1499" i="2"/>
  <c r="C1498" i="2"/>
  <c r="D1498" i="2" s="1"/>
  <c r="F1498" i="2"/>
  <c r="H1498" i="2" s="1"/>
  <c r="C1499" i="4" s="1"/>
  <c r="B1497" i="4"/>
  <c r="D1497" i="4" s="1"/>
  <c r="J1496" i="2"/>
  <c r="G1498" i="2" l="1"/>
  <c r="F1499" i="2"/>
  <c r="H1499" i="2" s="1"/>
  <c r="C1500" i="4" s="1"/>
  <c r="C1499" i="2"/>
  <c r="D1499" i="2" s="1"/>
  <c r="E1498" i="2"/>
  <c r="I1498" i="2" s="1"/>
  <c r="J1497" i="2"/>
  <c r="B1500" i="2"/>
  <c r="A1501" i="2"/>
  <c r="K1500" i="2"/>
  <c r="D1498" i="4"/>
  <c r="A1502" i="2" l="1"/>
  <c r="K1501" i="2"/>
  <c r="B1501" i="2"/>
  <c r="E1499" i="2"/>
  <c r="I1499" i="2" s="1"/>
  <c r="G1499" i="2"/>
  <c r="C1500" i="2"/>
  <c r="E1500" i="2" s="1"/>
  <c r="F1500" i="2"/>
  <c r="G1500" i="2" s="1"/>
  <c r="B1499" i="4"/>
  <c r="D1499" i="4" s="1"/>
  <c r="J1498" i="2"/>
  <c r="B1501" i="4" l="1"/>
  <c r="D1500" i="2"/>
  <c r="I1500" i="2" s="1"/>
  <c r="H1500" i="2"/>
  <c r="C1501" i="4" s="1"/>
  <c r="B1500" i="4"/>
  <c r="D1500" i="4" s="1"/>
  <c r="J1499" i="2"/>
  <c r="F1501" i="2"/>
  <c r="H1501" i="2" s="1"/>
  <c r="C1502" i="4" s="1"/>
  <c r="C1501" i="2"/>
  <c r="E1501" i="2" s="1"/>
  <c r="B1502" i="2"/>
  <c r="A1503" i="2"/>
  <c r="K1502" i="2"/>
  <c r="B1503" i="2" l="1"/>
  <c r="A1504" i="2"/>
  <c r="K1503" i="2"/>
  <c r="F1502" i="2"/>
  <c r="G1502" i="2" s="1"/>
  <c r="C1502" i="2"/>
  <c r="D1502" i="2" s="1"/>
  <c r="G1501" i="2"/>
  <c r="J1500" i="2"/>
  <c r="D1501" i="2"/>
  <c r="I1501" i="2" s="1"/>
  <c r="D1501" i="4"/>
  <c r="B1503" i="4" l="1"/>
  <c r="E1502" i="2"/>
  <c r="I1502" i="2" s="1"/>
  <c r="H1502" i="2"/>
  <c r="C1503" i="4" s="1"/>
  <c r="B1502" i="4"/>
  <c r="D1502" i="4" s="1"/>
  <c r="J1501" i="2"/>
  <c r="A1505" i="2"/>
  <c r="K1504" i="2"/>
  <c r="B1504" i="2"/>
  <c r="C1503" i="2"/>
  <c r="D1503" i="2" s="1"/>
  <c r="F1503" i="2"/>
  <c r="G1503" i="2" s="1"/>
  <c r="B1504" i="4" l="1"/>
  <c r="H1503" i="2"/>
  <c r="C1504" i="4" s="1"/>
  <c r="E1503" i="2"/>
  <c r="I1503" i="2" s="1"/>
  <c r="F1504" i="2"/>
  <c r="G1504" i="2" s="1"/>
  <c r="C1504" i="2"/>
  <c r="D1504" i="2" s="1"/>
  <c r="A1506" i="2"/>
  <c r="K1505" i="2"/>
  <c r="B1505" i="2"/>
  <c r="J1502" i="2"/>
  <c r="D1503" i="4"/>
  <c r="B1505" i="4" l="1"/>
  <c r="H1504" i="2"/>
  <c r="C1505" i="4" s="1"/>
  <c r="F1505" i="2"/>
  <c r="H1505" i="2" s="1"/>
  <c r="C1506" i="4" s="1"/>
  <c r="C1505" i="2"/>
  <c r="D1505" i="2" s="1"/>
  <c r="B1506" i="2"/>
  <c r="A1507" i="2"/>
  <c r="K1506" i="2"/>
  <c r="E1504" i="2"/>
  <c r="I1504" i="2" s="1"/>
  <c r="J1503" i="2"/>
  <c r="D1504" i="4"/>
  <c r="C1506" i="2" l="1"/>
  <c r="E1506" i="2" s="1"/>
  <c r="F1506" i="2"/>
  <c r="H1506" i="2" s="1"/>
  <c r="C1507" i="4" s="1"/>
  <c r="E1505" i="2"/>
  <c r="I1505" i="2" s="1"/>
  <c r="G1505" i="2"/>
  <c r="J1504" i="2"/>
  <c r="K1507" i="2"/>
  <c r="B1507" i="2"/>
  <c r="A1508" i="2"/>
  <c r="D1505" i="4"/>
  <c r="F1507" i="2" l="1"/>
  <c r="H1507" i="2" s="1"/>
  <c r="C1508" i="4" s="1"/>
  <c r="C1507" i="2"/>
  <c r="E1507" i="2" s="1"/>
  <c r="B1506" i="4"/>
  <c r="D1506" i="4" s="1"/>
  <c r="J1505" i="2"/>
  <c r="A1509" i="2"/>
  <c r="K1508" i="2"/>
  <c r="B1508" i="2"/>
  <c r="G1506" i="2"/>
  <c r="D1506" i="2"/>
  <c r="I1506" i="2" s="1"/>
  <c r="B1507" i="4" l="1"/>
  <c r="D1507" i="4" s="1"/>
  <c r="J1506" i="2"/>
  <c r="C1508" i="2"/>
  <c r="D1508" i="2" s="1"/>
  <c r="F1508" i="2"/>
  <c r="H1508" i="2" s="1"/>
  <c r="C1509" i="4" s="1"/>
  <c r="B1509" i="2"/>
  <c r="A1510" i="2"/>
  <c r="K1509" i="2"/>
  <c r="D1507" i="2"/>
  <c r="I1507" i="2" s="1"/>
  <c r="G1507" i="2"/>
  <c r="B1508" i="4" l="1"/>
  <c r="D1508" i="4" s="1"/>
  <c r="J1507" i="2"/>
  <c r="B1510" i="2"/>
  <c r="A1511" i="2"/>
  <c r="K1510" i="2"/>
  <c r="F1509" i="2"/>
  <c r="G1509" i="2" s="1"/>
  <c r="C1509" i="2"/>
  <c r="D1509" i="2" s="1"/>
  <c r="E1508" i="2"/>
  <c r="I1508" i="2" s="1"/>
  <c r="G1508" i="2"/>
  <c r="B1510" i="4" l="1"/>
  <c r="B1509" i="4"/>
  <c r="D1509" i="4" s="1"/>
  <c r="J1508" i="2"/>
  <c r="H1509" i="2"/>
  <c r="C1510" i="4" s="1"/>
  <c r="E1509" i="2"/>
  <c r="I1509" i="2" s="1"/>
  <c r="A1512" i="2"/>
  <c r="K1511" i="2"/>
  <c r="B1511" i="2"/>
  <c r="F1510" i="2"/>
  <c r="H1510" i="2" s="1"/>
  <c r="C1511" i="4" s="1"/>
  <c r="C1510" i="2"/>
  <c r="E1510" i="2" s="1"/>
  <c r="D1510" i="2" l="1"/>
  <c r="I1510" i="2" s="1"/>
  <c r="G1510" i="2"/>
  <c r="B1512" i="2"/>
  <c r="A1513" i="2"/>
  <c r="K1512" i="2"/>
  <c r="C1511" i="2"/>
  <c r="E1511" i="2" s="1"/>
  <c r="F1511" i="2"/>
  <c r="H1511" i="2" s="1"/>
  <c r="C1512" i="4" s="1"/>
  <c r="J1509" i="2"/>
  <c r="D1510" i="4"/>
  <c r="D1511" i="2" l="1"/>
  <c r="I1511" i="2" s="1"/>
  <c r="B1511" i="4"/>
  <c r="D1511" i="4" s="1"/>
  <c r="J1510" i="2"/>
  <c r="G1511" i="2"/>
  <c r="B1513" i="2"/>
  <c r="A1514" i="2"/>
  <c r="K1513" i="2"/>
  <c r="C1512" i="2"/>
  <c r="E1512" i="2" s="1"/>
  <c r="F1512" i="2"/>
  <c r="H1512" i="2" s="1"/>
  <c r="C1513" i="4" s="1"/>
  <c r="G1512" i="2" l="1"/>
  <c r="A1515" i="2"/>
  <c r="K1514" i="2"/>
  <c r="B1514" i="2"/>
  <c r="D1512" i="2"/>
  <c r="I1512" i="2" s="1"/>
  <c r="F1513" i="2"/>
  <c r="G1513" i="2" s="1"/>
  <c r="C1513" i="2"/>
  <c r="D1513" i="2" s="1"/>
  <c r="B1512" i="4"/>
  <c r="D1512" i="4" s="1"/>
  <c r="J1511" i="2"/>
  <c r="B1514" i="4" l="1"/>
  <c r="E1513" i="2"/>
  <c r="I1513" i="2" s="1"/>
  <c r="H1513" i="2"/>
  <c r="C1514" i="4" s="1"/>
  <c r="C1514" i="2"/>
  <c r="E1514" i="2" s="1"/>
  <c r="F1514" i="2"/>
  <c r="G1514" i="2" s="1"/>
  <c r="B1515" i="2"/>
  <c r="A1516" i="2"/>
  <c r="K1515" i="2"/>
  <c r="B1513" i="4"/>
  <c r="D1513" i="4" s="1"/>
  <c r="J1512" i="2"/>
  <c r="B1515" i="4" l="1"/>
  <c r="F1515" i="2"/>
  <c r="H1515" i="2" s="1"/>
  <c r="C1516" i="4" s="1"/>
  <c r="C1515" i="2"/>
  <c r="E1515" i="2" s="1"/>
  <c r="D1514" i="2"/>
  <c r="I1514" i="2" s="1"/>
  <c r="H1514" i="2"/>
  <c r="C1515" i="4" s="1"/>
  <c r="B1516" i="2"/>
  <c r="A1517" i="2"/>
  <c r="K1516" i="2"/>
  <c r="J1513" i="2"/>
  <c r="D1514" i="4"/>
  <c r="A1518" i="2" l="1"/>
  <c r="K1517" i="2"/>
  <c r="B1517" i="2"/>
  <c r="G1515" i="2"/>
  <c r="J1514" i="2"/>
  <c r="C1516" i="2"/>
  <c r="E1516" i="2" s="1"/>
  <c r="F1516" i="2"/>
  <c r="H1516" i="2" s="1"/>
  <c r="C1517" i="4" s="1"/>
  <c r="D1515" i="2"/>
  <c r="I1515" i="2" s="1"/>
  <c r="D1515" i="4"/>
  <c r="G1516" i="2" l="1"/>
  <c r="D1516" i="2"/>
  <c r="I1516" i="2" s="1"/>
  <c r="C1517" i="2"/>
  <c r="E1517" i="2" s="1"/>
  <c r="F1517" i="2"/>
  <c r="G1517" i="2" s="1"/>
  <c r="B1516" i="4"/>
  <c r="D1516" i="4" s="1"/>
  <c r="J1515" i="2"/>
  <c r="B1518" i="2"/>
  <c r="A1519" i="2"/>
  <c r="K1518" i="2"/>
  <c r="B1518" i="4" l="1"/>
  <c r="F1518" i="2"/>
  <c r="H1518" i="2" s="1"/>
  <c r="C1519" i="4" s="1"/>
  <c r="C1518" i="2"/>
  <c r="D1518" i="2" s="1"/>
  <c r="B1519" i="2"/>
  <c r="A1520" i="2"/>
  <c r="K1519" i="2"/>
  <c r="H1517" i="2"/>
  <c r="C1518" i="4" s="1"/>
  <c r="D1517" i="2"/>
  <c r="I1517" i="2" s="1"/>
  <c r="B1517" i="4"/>
  <c r="D1517" i="4" s="1"/>
  <c r="J1516" i="2"/>
  <c r="E1518" i="2" l="1"/>
  <c r="I1518" i="2" s="1"/>
  <c r="G1518" i="2"/>
  <c r="J1517" i="2"/>
  <c r="A1521" i="2"/>
  <c r="K1520" i="2"/>
  <c r="B1520" i="2"/>
  <c r="C1519" i="2"/>
  <c r="E1519" i="2" s="1"/>
  <c r="F1519" i="2"/>
  <c r="H1519" i="2" s="1"/>
  <c r="C1520" i="4" s="1"/>
  <c r="D1518" i="4"/>
  <c r="D1519" i="2" l="1"/>
  <c r="I1519" i="2" s="1"/>
  <c r="F1520" i="2"/>
  <c r="G1520" i="2" s="1"/>
  <c r="C1520" i="2"/>
  <c r="E1520" i="2" s="1"/>
  <c r="G1519" i="2"/>
  <c r="B1519" i="4"/>
  <c r="D1519" i="4" s="1"/>
  <c r="J1518" i="2"/>
  <c r="A1522" i="2"/>
  <c r="K1521" i="2"/>
  <c r="B1521" i="2"/>
  <c r="B1521" i="4" l="1"/>
  <c r="F1521" i="2"/>
  <c r="H1521" i="2" s="1"/>
  <c r="C1522" i="4" s="1"/>
  <c r="C1521" i="2"/>
  <c r="E1521" i="2" s="1"/>
  <c r="B1522" i="2"/>
  <c r="A1523" i="2"/>
  <c r="K1522" i="2"/>
  <c r="B1520" i="4"/>
  <c r="D1520" i="4" s="1"/>
  <c r="J1519" i="2"/>
  <c r="D1520" i="2"/>
  <c r="I1520" i="2" s="1"/>
  <c r="H1520" i="2"/>
  <c r="C1521" i="4" s="1"/>
  <c r="K1523" i="2" l="1"/>
  <c r="B1523" i="2"/>
  <c r="A1524" i="2"/>
  <c r="C1522" i="2"/>
  <c r="E1522" i="2" s="1"/>
  <c r="F1522" i="2"/>
  <c r="G1522" i="2" s="1"/>
  <c r="G1521" i="2"/>
  <c r="J1520" i="2"/>
  <c r="D1521" i="2"/>
  <c r="I1521" i="2" s="1"/>
  <c r="D1521" i="4"/>
  <c r="B1523" i="4" l="1"/>
  <c r="H1522" i="2"/>
  <c r="C1523" i="4" s="1"/>
  <c r="F1523" i="2"/>
  <c r="H1523" i="2" s="1"/>
  <c r="C1524" i="4" s="1"/>
  <c r="C1523" i="2"/>
  <c r="E1523" i="2" s="1"/>
  <c r="B1522" i="4"/>
  <c r="D1522" i="4" s="1"/>
  <c r="J1521" i="2"/>
  <c r="D1522" i="2"/>
  <c r="I1522" i="2" s="1"/>
  <c r="A1525" i="2"/>
  <c r="K1524" i="2"/>
  <c r="B1524" i="2"/>
  <c r="B1525" i="2" l="1"/>
  <c r="A1526" i="2"/>
  <c r="K1525" i="2"/>
  <c r="D1523" i="2"/>
  <c r="I1523" i="2" s="1"/>
  <c r="F1524" i="2"/>
  <c r="H1524" i="2" s="1"/>
  <c r="C1525" i="4" s="1"/>
  <c r="C1524" i="2"/>
  <c r="E1524" i="2" s="1"/>
  <c r="G1523" i="2"/>
  <c r="J1522" i="2"/>
  <c r="D1523" i="4"/>
  <c r="G1524" i="2" l="1"/>
  <c r="B1524" i="4"/>
  <c r="D1524" i="4" s="1"/>
  <c r="J1523" i="2"/>
  <c r="D1524" i="2"/>
  <c r="I1524" i="2" s="1"/>
  <c r="B1526" i="2"/>
  <c r="A1527" i="2"/>
  <c r="K1526" i="2"/>
  <c r="C1525" i="2"/>
  <c r="E1525" i="2" s="1"/>
  <c r="F1525" i="2"/>
  <c r="H1525" i="2" s="1"/>
  <c r="C1526" i="4" s="1"/>
  <c r="G1525" i="2" l="1"/>
  <c r="D1525" i="2"/>
  <c r="I1525" i="2" s="1"/>
  <c r="A1528" i="2"/>
  <c r="K1527" i="2"/>
  <c r="B1527" i="2"/>
  <c r="F1526" i="2"/>
  <c r="H1526" i="2" s="1"/>
  <c r="C1527" i="4" s="1"/>
  <c r="C1526" i="2"/>
  <c r="E1526" i="2" s="1"/>
  <c r="B1525" i="4"/>
  <c r="D1525" i="4" s="1"/>
  <c r="J1524" i="2"/>
  <c r="D1526" i="2" l="1"/>
  <c r="I1526" i="2" s="1"/>
  <c r="G1526" i="2"/>
  <c r="C1527" i="2"/>
  <c r="E1527" i="2" s="1"/>
  <c r="F1527" i="2"/>
  <c r="G1527" i="2" s="1"/>
  <c r="B1528" i="2"/>
  <c r="A1529" i="2"/>
  <c r="K1528" i="2"/>
  <c r="B1526" i="4"/>
  <c r="D1526" i="4" s="1"/>
  <c r="J1525" i="2"/>
  <c r="B1528" i="4" l="1"/>
  <c r="C1528" i="2"/>
  <c r="D1528" i="2" s="1"/>
  <c r="F1528" i="2"/>
  <c r="H1528" i="2" s="1"/>
  <c r="C1529" i="4" s="1"/>
  <c r="B1529" i="2"/>
  <c r="A1530" i="2"/>
  <c r="K1529" i="2"/>
  <c r="H1527" i="2"/>
  <c r="C1528" i="4" s="1"/>
  <c r="B1527" i="4"/>
  <c r="D1527" i="4" s="1"/>
  <c r="J1526" i="2"/>
  <c r="D1527" i="2"/>
  <c r="I1527" i="2" s="1"/>
  <c r="A1531" i="2" l="1"/>
  <c r="K1530" i="2"/>
  <c r="B1530" i="2"/>
  <c r="F1529" i="2"/>
  <c r="H1529" i="2" s="1"/>
  <c r="C1530" i="4" s="1"/>
  <c r="C1529" i="2"/>
  <c r="E1529" i="2" s="1"/>
  <c r="G1528" i="2"/>
  <c r="J1527" i="2"/>
  <c r="E1528" i="2"/>
  <c r="I1528" i="2" s="1"/>
  <c r="D1528" i="4"/>
  <c r="B1529" i="4" l="1"/>
  <c r="D1529" i="4" s="1"/>
  <c r="J1528" i="2"/>
  <c r="D1529" i="2"/>
  <c r="I1529" i="2" s="1"/>
  <c r="G1529" i="2"/>
  <c r="C1530" i="2"/>
  <c r="E1530" i="2" s="1"/>
  <c r="F1530" i="2"/>
  <c r="G1530" i="2" s="1"/>
  <c r="B1531" i="2"/>
  <c r="A1532" i="2"/>
  <c r="K1531" i="2"/>
  <c r="B1531" i="4" l="1"/>
  <c r="C1531" i="2"/>
  <c r="D1531" i="2" s="1"/>
  <c r="F1531" i="2"/>
  <c r="H1531" i="2" s="1"/>
  <c r="C1532" i="4" s="1"/>
  <c r="H1530" i="2"/>
  <c r="C1531" i="4" s="1"/>
  <c r="B1530" i="4"/>
  <c r="D1530" i="4" s="1"/>
  <c r="J1529" i="2"/>
  <c r="B1532" i="2"/>
  <c r="A1533" i="2"/>
  <c r="K1532" i="2"/>
  <c r="D1530" i="2"/>
  <c r="I1530" i="2" s="1"/>
  <c r="A1534" i="2" l="1"/>
  <c r="K1533" i="2"/>
  <c r="B1533" i="2"/>
  <c r="E1531" i="2"/>
  <c r="I1531" i="2" s="1"/>
  <c r="J1530" i="2"/>
  <c r="C1532" i="2"/>
  <c r="E1532" i="2" s="1"/>
  <c r="F1532" i="2"/>
  <c r="G1532" i="2" s="1"/>
  <c r="G1531" i="2"/>
  <c r="D1531" i="4"/>
  <c r="B1533" i="4" l="1"/>
  <c r="B1532" i="4"/>
  <c r="D1532" i="4" s="1"/>
  <c r="J1531" i="2"/>
  <c r="H1532" i="2"/>
  <c r="C1533" i="4" s="1"/>
  <c r="D1532" i="2"/>
  <c r="I1532" i="2" s="1"/>
  <c r="C1533" i="2"/>
  <c r="E1533" i="2" s="1"/>
  <c r="F1533" i="2"/>
  <c r="G1533" i="2" s="1"/>
  <c r="B1534" i="2"/>
  <c r="A1535" i="2"/>
  <c r="K1534" i="2"/>
  <c r="B1534" i="4" l="1"/>
  <c r="B1535" i="2"/>
  <c r="A1536" i="2"/>
  <c r="K1535" i="2"/>
  <c r="D1533" i="2"/>
  <c r="I1533" i="2" s="1"/>
  <c r="F1534" i="2"/>
  <c r="G1534" i="2" s="1"/>
  <c r="C1534" i="2"/>
  <c r="D1534" i="2" s="1"/>
  <c r="H1533" i="2"/>
  <c r="C1534" i="4" s="1"/>
  <c r="J1532" i="2"/>
  <c r="D1533" i="4"/>
  <c r="B1535" i="4" l="1"/>
  <c r="E1534" i="2"/>
  <c r="I1534" i="2" s="1"/>
  <c r="H1534" i="2"/>
  <c r="C1535" i="4" s="1"/>
  <c r="A1537" i="2"/>
  <c r="K1536" i="2"/>
  <c r="B1536" i="2"/>
  <c r="J1533" i="2"/>
  <c r="C1535" i="2"/>
  <c r="D1535" i="2" s="1"/>
  <c r="F1535" i="2"/>
  <c r="H1535" i="2" s="1"/>
  <c r="C1536" i="4" s="1"/>
  <c r="D1534" i="4"/>
  <c r="G1535" i="2" l="1"/>
  <c r="E1535" i="2"/>
  <c r="I1535" i="2" s="1"/>
  <c r="F1536" i="2"/>
  <c r="H1536" i="2" s="1"/>
  <c r="C1537" i="4" s="1"/>
  <c r="C1536" i="2"/>
  <c r="D1536" i="2" s="1"/>
  <c r="A1538" i="2"/>
  <c r="K1537" i="2"/>
  <c r="B1537" i="2"/>
  <c r="J1534" i="2"/>
  <c r="D1535" i="4"/>
  <c r="F1537" i="2" l="1"/>
  <c r="H1537" i="2" s="1"/>
  <c r="C1538" i="4" s="1"/>
  <c r="C1537" i="2"/>
  <c r="D1537" i="2" s="1"/>
  <c r="B1538" i="2"/>
  <c r="A1539" i="2"/>
  <c r="K1538" i="2"/>
  <c r="E1536" i="2"/>
  <c r="I1536" i="2" s="1"/>
  <c r="G1536" i="2"/>
  <c r="B1536" i="4"/>
  <c r="D1536" i="4" s="1"/>
  <c r="J1535" i="2"/>
  <c r="K1539" i="2" l="1"/>
  <c r="B1539" i="2"/>
  <c r="A1540" i="2"/>
  <c r="C1538" i="2"/>
  <c r="E1538" i="2" s="1"/>
  <c r="F1538" i="2"/>
  <c r="H1538" i="2" s="1"/>
  <c r="C1539" i="4" s="1"/>
  <c r="B1537" i="4"/>
  <c r="D1537" i="4" s="1"/>
  <c r="J1536" i="2"/>
  <c r="E1537" i="2"/>
  <c r="I1537" i="2" s="1"/>
  <c r="G1537" i="2"/>
  <c r="B1538" i="4" l="1"/>
  <c r="D1538" i="4" s="1"/>
  <c r="J1537" i="2"/>
  <c r="G1538" i="2"/>
  <c r="F1539" i="2"/>
  <c r="H1539" i="2" s="1"/>
  <c r="C1540" i="4" s="1"/>
  <c r="C1539" i="2"/>
  <c r="E1539" i="2" s="1"/>
  <c r="D1538" i="2"/>
  <c r="I1538" i="2" s="1"/>
  <c r="A1541" i="2"/>
  <c r="K1540" i="2"/>
  <c r="B1540" i="2"/>
  <c r="F1540" i="2" l="1"/>
  <c r="H1540" i="2" s="1"/>
  <c r="C1541" i="4" s="1"/>
  <c r="C1540" i="2"/>
  <c r="E1540" i="2" s="1"/>
  <c r="B1541" i="2"/>
  <c r="A1542" i="2"/>
  <c r="K1541" i="2"/>
  <c r="B1539" i="4"/>
  <c r="D1539" i="4" s="1"/>
  <c r="J1538" i="2"/>
  <c r="D1539" i="2"/>
  <c r="I1539" i="2" s="1"/>
  <c r="G1539" i="2"/>
  <c r="B1540" i="4" l="1"/>
  <c r="D1540" i="4" s="1"/>
  <c r="J1539" i="2"/>
  <c r="B1542" i="2"/>
  <c r="A1543" i="2"/>
  <c r="K1542" i="2"/>
  <c r="F1541" i="2"/>
  <c r="H1541" i="2" s="1"/>
  <c r="C1542" i="4" s="1"/>
  <c r="C1541" i="2"/>
  <c r="E1541" i="2" s="1"/>
  <c r="D1540" i="2"/>
  <c r="I1540" i="2" s="1"/>
  <c r="G1540" i="2"/>
  <c r="B1541" i="4" l="1"/>
  <c r="D1541" i="4" s="1"/>
  <c r="J1540" i="2"/>
  <c r="G1541" i="2"/>
  <c r="D1541" i="2"/>
  <c r="I1541" i="2" s="1"/>
  <c r="A1544" i="2"/>
  <c r="K1543" i="2"/>
  <c r="B1543" i="2"/>
  <c r="F1542" i="2"/>
  <c r="H1542" i="2" s="1"/>
  <c r="C1543" i="4" s="1"/>
  <c r="C1542" i="2"/>
  <c r="E1542" i="2" s="1"/>
  <c r="D1542" i="2" l="1"/>
  <c r="I1542" i="2" s="1"/>
  <c r="G1542" i="2"/>
  <c r="C1543" i="2"/>
  <c r="E1543" i="2" s="1"/>
  <c r="F1543" i="2"/>
  <c r="G1543" i="2" s="1"/>
  <c r="A1545" i="2"/>
  <c r="K1544" i="2"/>
  <c r="B1544" i="2"/>
  <c r="B1542" i="4"/>
  <c r="D1542" i="4" s="1"/>
  <c r="J1541" i="2"/>
  <c r="B1544" i="4" l="1"/>
  <c r="H1543" i="2"/>
  <c r="C1544" i="4" s="1"/>
  <c r="F1544" i="2"/>
  <c r="G1544" i="2" s="1"/>
  <c r="C1544" i="2"/>
  <c r="D1544" i="2" s="1"/>
  <c r="A1546" i="2"/>
  <c r="K1545" i="2"/>
  <c r="B1545" i="2"/>
  <c r="B1543" i="4"/>
  <c r="D1543" i="4" s="1"/>
  <c r="J1542" i="2"/>
  <c r="D1543" i="2"/>
  <c r="I1543" i="2" s="1"/>
  <c r="B1545" i="4" l="1"/>
  <c r="H1544" i="2"/>
  <c r="C1545" i="4" s="1"/>
  <c r="E1544" i="2"/>
  <c r="I1544" i="2" s="1"/>
  <c r="J1543" i="2"/>
  <c r="C1545" i="2"/>
  <c r="D1545" i="2" s="1"/>
  <c r="F1545" i="2"/>
  <c r="H1545" i="2" s="1"/>
  <c r="C1546" i="4" s="1"/>
  <c r="A1547" i="2"/>
  <c r="B1546" i="2"/>
  <c r="K1546" i="2"/>
  <c r="D1544" i="4"/>
  <c r="C1546" i="2" l="1"/>
  <c r="E1546" i="2" s="1"/>
  <c r="F1546" i="2"/>
  <c r="G1546" i="2" s="1"/>
  <c r="E1545" i="2"/>
  <c r="I1545" i="2" s="1"/>
  <c r="G1545" i="2"/>
  <c r="B1547" i="2"/>
  <c r="A1548" i="2"/>
  <c r="K1547" i="2"/>
  <c r="J1544" i="2"/>
  <c r="D1545" i="4"/>
  <c r="B1547" i="4" l="1"/>
  <c r="B1546" i="4"/>
  <c r="D1546" i="4" s="1"/>
  <c r="J1545" i="2"/>
  <c r="B1548" i="2"/>
  <c r="A1549" i="2"/>
  <c r="K1548" i="2"/>
  <c r="F1547" i="2"/>
  <c r="H1547" i="2" s="1"/>
  <c r="C1548" i="4" s="1"/>
  <c r="C1547" i="2"/>
  <c r="D1547" i="2" s="1"/>
  <c r="H1546" i="2"/>
  <c r="C1547" i="4" s="1"/>
  <c r="D1546" i="2"/>
  <c r="I1546" i="2" s="1"/>
  <c r="E1547" i="2" l="1"/>
  <c r="I1547" i="2" s="1"/>
  <c r="G1547" i="2"/>
  <c r="A1550" i="2"/>
  <c r="K1549" i="2"/>
  <c r="B1549" i="2"/>
  <c r="C1548" i="2"/>
  <c r="D1548" i="2" s="1"/>
  <c r="F1548" i="2"/>
  <c r="H1548" i="2" s="1"/>
  <c r="C1549" i="4" s="1"/>
  <c r="J1546" i="2"/>
  <c r="D1547" i="4"/>
  <c r="E1548" i="2" l="1"/>
  <c r="I1548" i="2" s="1"/>
  <c r="C1549" i="2"/>
  <c r="D1549" i="2" s="1"/>
  <c r="F1549" i="2"/>
  <c r="G1549" i="2" s="1"/>
  <c r="B1548" i="4"/>
  <c r="D1548" i="4" s="1"/>
  <c r="J1547" i="2"/>
  <c r="G1548" i="2"/>
  <c r="B1550" i="2"/>
  <c r="A1551" i="2"/>
  <c r="K1550" i="2"/>
  <c r="B1550" i="4" l="1"/>
  <c r="F1550" i="2"/>
  <c r="H1550" i="2" s="1"/>
  <c r="C1551" i="4" s="1"/>
  <c r="C1550" i="2"/>
  <c r="E1550" i="2" s="1"/>
  <c r="K1551" i="2"/>
  <c r="A1552" i="2"/>
  <c r="B1551" i="2"/>
  <c r="E1549" i="2"/>
  <c r="I1549" i="2" s="1"/>
  <c r="B1549" i="4"/>
  <c r="D1549" i="4" s="1"/>
  <c r="J1548" i="2"/>
  <c r="H1549" i="2"/>
  <c r="C1550" i="4" s="1"/>
  <c r="A1553" i="2" l="1"/>
  <c r="K1552" i="2"/>
  <c r="B1552" i="2"/>
  <c r="C1551" i="2"/>
  <c r="E1551" i="2" s="1"/>
  <c r="F1551" i="2"/>
  <c r="H1551" i="2" s="1"/>
  <c r="C1552" i="4" s="1"/>
  <c r="G1550" i="2"/>
  <c r="J1549" i="2"/>
  <c r="D1550" i="2"/>
  <c r="I1550" i="2" s="1"/>
  <c r="D1550" i="4"/>
  <c r="B1551" i="4" l="1"/>
  <c r="D1551" i="4" s="1"/>
  <c r="J1550" i="2"/>
  <c r="D1551" i="2"/>
  <c r="I1551" i="2" s="1"/>
  <c r="G1551" i="2"/>
  <c r="C1552" i="2"/>
  <c r="E1552" i="2" s="1"/>
  <c r="F1552" i="2"/>
  <c r="G1552" i="2" s="1"/>
  <c r="K1553" i="2"/>
  <c r="B1553" i="2"/>
  <c r="A1554" i="2"/>
  <c r="B1553" i="4" l="1"/>
  <c r="D1553" i="4" s="1"/>
  <c r="B1554" i="2"/>
  <c r="A1555" i="2"/>
  <c r="K1554" i="2"/>
  <c r="C1553" i="2"/>
  <c r="E1553" i="2" s="1"/>
  <c r="F1553" i="2"/>
  <c r="H1553" i="2" s="1"/>
  <c r="C1554" i="4" s="1"/>
  <c r="H1552" i="2"/>
  <c r="C1553" i="4" s="1"/>
  <c r="B1552" i="4"/>
  <c r="D1552" i="4" s="1"/>
  <c r="J1551" i="2"/>
  <c r="D1552" i="2"/>
  <c r="I1552" i="2" s="1"/>
  <c r="G1553" i="2" l="1"/>
  <c r="D1553" i="2"/>
  <c r="I1553" i="2" s="1"/>
  <c r="K1555" i="2"/>
  <c r="B1555" i="2"/>
  <c r="A1556" i="2"/>
  <c r="C1554" i="2"/>
  <c r="D1554" i="2" s="1"/>
  <c r="F1554" i="2"/>
  <c r="H1554" i="2" s="1"/>
  <c r="C1555" i="4" s="1"/>
  <c r="J1552" i="2"/>
  <c r="E1554" i="2" l="1"/>
  <c r="I1554" i="2" s="1"/>
  <c r="G1554" i="2"/>
  <c r="A1557" i="2"/>
  <c r="B1556" i="2"/>
  <c r="K1556" i="2"/>
  <c r="F1555" i="2"/>
  <c r="G1555" i="2" s="1"/>
  <c r="C1555" i="2"/>
  <c r="D1555" i="2" s="1"/>
  <c r="B1554" i="4"/>
  <c r="D1554" i="4" s="1"/>
  <c r="J1553" i="2"/>
  <c r="B1556" i="4" l="1"/>
  <c r="H1555" i="2"/>
  <c r="C1556" i="4" s="1"/>
  <c r="F1556" i="2"/>
  <c r="G1556" i="2" s="1"/>
  <c r="C1556" i="2"/>
  <c r="E1556" i="2" s="1"/>
  <c r="A1558" i="2"/>
  <c r="K1557" i="2"/>
  <c r="B1557" i="2"/>
  <c r="E1555" i="2"/>
  <c r="I1555" i="2" s="1"/>
  <c r="B1555" i="4"/>
  <c r="D1555" i="4" s="1"/>
  <c r="J1554" i="2"/>
  <c r="B1557" i="4" l="1"/>
  <c r="B1558" i="2"/>
  <c r="A1559" i="2"/>
  <c r="K1558" i="2"/>
  <c r="D1556" i="2"/>
  <c r="I1556" i="2" s="1"/>
  <c r="H1556" i="2"/>
  <c r="C1557" i="4" s="1"/>
  <c r="F1557" i="2"/>
  <c r="H1557" i="2" s="1"/>
  <c r="C1558" i="4" s="1"/>
  <c r="C1557" i="2"/>
  <c r="E1557" i="2" s="1"/>
  <c r="J1555" i="2"/>
  <c r="D1556" i="4"/>
  <c r="G1557" i="2" l="1"/>
  <c r="D1557" i="2"/>
  <c r="I1557" i="2" s="1"/>
  <c r="K1559" i="2"/>
  <c r="A1560" i="2"/>
  <c r="B1559" i="2"/>
  <c r="F1558" i="2"/>
  <c r="H1558" i="2" s="1"/>
  <c r="C1559" i="4" s="1"/>
  <c r="C1558" i="2"/>
  <c r="D1558" i="2" s="1"/>
  <c r="J1556" i="2"/>
  <c r="D1557" i="4"/>
  <c r="I1558" i="2" l="1"/>
  <c r="E1558" i="2"/>
  <c r="F1559" i="2"/>
  <c r="G1559" i="2" s="1"/>
  <c r="C1559" i="2"/>
  <c r="D1559" i="2" s="1"/>
  <c r="B1560" i="2"/>
  <c r="A1561" i="2"/>
  <c r="K1560" i="2"/>
  <c r="G1558" i="2"/>
  <c r="B1558" i="4"/>
  <c r="D1558" i="4" s="1"/>
  <c r="J1557" i="2"/>
  <c r="B1560" i="4" l="1"/>
  <c r="B1561" i="2"/>
  <c r="K1561" i="2"/>
  <c r="A1562" i="2"/>
  <c r="F1560" i="2"/>
  <c r="H1560" i="2" s="1"/>
  <c r="C1561" i="4" s="1"/>
  <c r="C1560" i="2"/>
  <c r="D1560" i="2" s="1"/>
  <c r="E1559" i="2"/>
  <c r="I1559" i="2" s="1"/>
  <c r="H1559" i="2"/>
  <c r="C1560" i="4" s="1"/>
  <c r="B1559" i="4"/>
  <c r="D1559" i="4" s="1"/>
  <c r="J1558" i="2"/>
  <c r="E1560" i="2" l="1"/>
  <c r="I1560" i="2" s="1"/>
  <c r="G1560" i="2"/>
  <c r="A1563" i="2"/>
  <c r="B1562" i="2"/>
  <c r="K1562" i="2"/>
  <c r="F1561" i="2"/>
  <c r="G1561" i="2" s="1"/>
  <c r="C1561" i="2"/>
  <c r="E1561" i="2" s="1"/>
  <c r="J1559" i="2"/>
  <c r="D1560" i="4"/>
  <c r="B1562" i="4" l="1"/>
  <c r="D1561" i="2"/>
  <c r="I1561" i="2" s="1"/>
  <c r="H1561" i="2"/>
  <c r="C1562" i="4" s="1"/>
  <c r="B1563" i="2"/>
  <c r="A1564" i="2"/>
  <c r="K1563" i="2"/>
  <c r="B1561" i="4"/>
  <c r="D1561" i="4" s="1"/>
  <c r="J1560" i="2"/>
  <c r="C1562" i="2"/>
  <c r="E1562" i="2" s="1"/>
  <c r="F1562" i="2"/>
  <c r="H1562" i="2" s="1"/>
  <c r="C1563" i="4" s="1"/>
  <c r="D1562" i="2" l="1"/>
  <c r="I1562" i="2" s="1"/>
  <c r="B1564" i="2"/>
  <c r="A1565" i="2"/>
  <c r="K1564" i="2"/>
  <c r="F1563" i="2"/>
  <c r="G1563" i="2" s="1"/>
  <c r="C1563" i="2"/>
  <c r="D1563" i="2" s="1"/>
  <c r="G1562" i="2"/>
  <c r="J1561" i="2"/>
  <c r="D1562" i="4"/>
  <c r="B1564" i="4" l="1"/>
  <c r="B1563" i="4"/>
  <c r="D1563" i="4" s="1"/>
  <c r="J1562" i="2"/>
  <c r="H1563" i="2"/>
  <c r="C1564" i="4" s="1"/>
  <c r="E1563" i="2"/>
  <c r="I1563" i="2" s="1"/>
  <c r="A1566" i="2"/>
  <c r="K1565" i="2"/>
  <c r="B1565" i="2"/>
  <c r="C1564" i="2"/>
  <c r="D1564" i="2" s="1"/>
  <c r="F1564" i="2"/>
  <c r="G1564" i="2" s="1"/>
  <c r="B1565" i="4" l="1"/>
  <c r="E1564" i="2"/>
  <c r="I1564" i="2" s="1"/>
  <c r="H1564" i="2"/>
  <c r="C1565" i="4" s="1"/>
  <c r="C1565" i="2"/>
  <c r="D1565" i="2" s="1"/>
  <c r="F1565" i="2"/>
  <c r="G1565" i="2" s="1"/>
  <c r="B1566" i="2"/>
  <c r="A1567" i="2"/>
  <c r="K1566" i="2"/>
  <c r="D1564" i="4"/>
  <c r="J1563" i="2"/>
  <c r="B1566" i="4" l="1"/>
  <c r="F1566" i="2"/>
  <c r="H1566" i="2" s="1"/>
  <c r="C1567" i="4" s="1"/>
  <c r="C1566" i="2"/>
  <c r="D1566" i="2" s="1"/>
  <c r="E1565" i="2"/>
  <c r="I1565" i="2" s="1"/>
  <c r="K1567" i="2"/>
  <c r="B1567" i="2"/>
  <c r="A1568" i="2"/>
  <c r="J1564" i="2"/>
  <c r="H1565" i="2"/>
  <c r="C1566" i="4" s="1"/>
  <c r="D1565" i="4"/>
  <c r="A1569" i="2" l="1"/>
  <c r="K1568" i="2"/>
  <c r="B1568" i="2"/>
  <c r="G1566" i="2"/>
  <c r="E1566" i="2"/>
  <c r="I1566" i="2" s="1"/>
  <c r="J1565" i="2"/>
  <c r="C1567" i="2"/>
  <c r="E1567" i="2" s="1"/>
  <c r="F1567" i="2"/>
  <c r="G1567" i="2" s="1"/>
  <c r="D1566" i="4"/>
  <c r="B1568" i="4" l="1"/>
  <c r="D1567" i="2"/>
  <c r="I1567" i="2" s="1"/>
  <c r="B1567" i="4"/>
  <c r="D1567" i="4" s="1"/>
  <c r="J1566" i="2"/>
  <c r="C1568" i="2"/>
  <c r="D1568" i="2" s="1"/>
  <c r="F1568" i="2"/>
  <c r="G1568" i="2" s="1"/>
  <c r="H1567" i="2"/>
  <c r="C1568" i="4" s="1"/>
  <c r="K1569" i="2"/>
  <c r="A1570" i="2"/>
  <c r="B1569" i="2"/>
  <c r="B1569" i="4" l="1"/>
  <c r="C1569" i="2"/>
  <c r="D1569" i="2" s="1"/>
  <c r="F1569" i="2"/>
  <c r="H1569" i="2" s="1"/>
  <c r="C1570" i="4" s="1"/>
  <c r="B1570" i="2"/>
  <c r="A1571" i="2"/>
  <c r="K1570" i="2"/>
  <c r="H1568" i="2"/>
  <c r="C1569" i="4" s="1"/>
  <c r="E1568" i="2"/>
  <c r="I1568" i="2" s="1"/>
  <c r="J1567" i="2"/>
  <c r="D1568" i="4"/>
  <c r="E1569" i="2" l="1"/>
  <c r="I1569" i="2" s="1"/>
  <c r="J1568" i="2"/>
  <c r="K1571" i="2"/>
  <c r="B1571" i="2"/>
  <c r="A1572" i="2"/>
  <c r="F1570" i="2"/>
  <c r="H1570" i="2" s="1"/>
  <c r="C1571" i="4" s="1"/>
  <c r="C1570" i="2"/>
  <c r="E1570" i="2" s="1"/>
  <c r="G1569" i="2"/>
  <c r="D1569" i="4"/>
  <c r="G1570" i="2" l="1"/>
  <c r="A1573" i="2"/>
  <c r="B1572" i="2"/>
  <c r="K1572" i="2"/>
  <c r="F1571" i="2"/>
  <c r="H1571" i="2" s="1"/>
  <c r="C1572" i="4" s="1"/>
  <c r="C1571" i="2"/>
  <c r="D1571" i="2" s="1"/>
  <c r="B1570" i="4"/>
  <c r="D1570" i="4" s="1"/>
  <c r="J1569" i="2"/>
  <c r="D1570" i="2"/>
  <c r="I1570" i="2" s="1"/>
  <c r="E1571" i="2" l="1"/>
  <c r="I1571" i="2" s="1"/>
  <c r="G1571" i="2"/>
  <c r="F1572" i="2"/>
  <c r="H1572" i="2" s="1"/>
  <c r="C1573" i="4" s="1"/>
  <c r="C1572" i="2"/>
  <c r="D1572" i="2" s="1"/>
  <c r="A1574" i="2"/>
  <c r="K1573" i="2"/>
  <c r="B1573" i="2"/>
  <c r="B1571" i="4"/>
  <c r="D1571" i="4" s="1"/>
  <c r="J1570" i="2"/>
  <c r="E1572" i="2" l="1"/>
  <c r="I1572" i="2" s="1"/>
  <c r="C1573" i="2"/>
  <c r="D1573" i="2" s="1"/>
  <c r="F1573" i="2"/>
  <c r="G1573" i="2" s="1"/>
  <c r="B1574" i="2"/>
  <c r="A1575" i="2"/>
  <c r="K1574" i="2"/>
  <c r="B1572" i="4"/>
  <c r="D1572" i="4" s="1"/>
  <c r="J1571" i="2"/>
  <c r="G1572" i="2"/>
  <c r="B1574" i="4" l="1"/>
  <c r="E1573" i="2"/>
  <c r="I1573" i="2" s="1"/>
  <c r="B1573" i="4"/>
  <c r="D1573" i="4" s="1"/>
  <c r="J1572" i="2"/>
  <c r="K1575" i="2"/>
  <c r="A1576" i="2"/>
  <c r="B1575" i="2"/>
  <c r="F1574" i="2"/>
  <c r="H1574" i="2" s="1"/>
  <c r="C1575" i="4" s="1"/>
  <c r="C1574" i="2"/>
  <c r="E1574" i="2" s="1"/>
  <c r="H1573" i="2"/>
  <c r="C1574" i="4" s="1"/>
  <c r="D1574" i="2" l="1"/>
  <c r="I1574" i="2" s="1"/>
  <c r="J1573" i="2"/>
  <c r="G1574" i="2"/>
  <c r="F1575" i="2"/>
  <c r="G1575" i="2" s="1"/>
  <c r="C1575" i="2"/>
  <c r="D1575" i="2" s="1"/>
  <c r="B1576" i="2"/>
  <c r="A1577" i="2"/>
  <c r="K1576" i="2"/>
  <c r="D1574" i="4"/>
  <c r="B1576" i="4" l="1"/>
  <c r="B1577" i="2"/>
  <c r="K1577" i="2"/>
  <c r="A1578" i="2"/>
  <c r="F1576" i="2"/>
  <c r="H1576" i="2" s="1"/>
  <c r="C1577" i="4" s="1"/>
  <c r="C1576" i="2"/>
  <c r="E1576" i="2" s="1"/>
  <c r="B1575" i="4"/>
  <c r="D1575" i="4" s="1"/>
  <c r="J1574" i="2"/>
  <c r="E1575" i="2"/>
  <c r="I1575" i="2" s="1"/>
  <c r="H1575" i="2"/>
  <c r="C1576" i="4" s="1"/>
  <c r="G1576" i="2" l="1"/>
  <c r="D1576" i="2"/>
  <c r="I1576" i="2" s="1"/>
  <c r="J1575" i="2"/>
  <c r="A1579" i="2"/>
  <c r="B1578" i="2"/>
  <c r="K1578" i="2"/>
  <c r="F1577" i="2"/>
  <c r="H1577" i="2" s="1"/>
  <c r="C1578" i="4" s="1"/>
  <c r="C1577" i="2"/>
  <c r="D1577" i="2" s="1"/>
  <c r="D1576" i="4"/>
  <c r="E1577" i="2" l="1"/>
  <c r="I1577" i="2" s="1"/>
  <c r="G1577" i="2"/>
  <c r="C1578" i="2"/>
  <c r="E1578" i="2" s="1"/>
  <c r="F1578" i="2"/>
  <c r="H1578" i="2" s="1"/>
  <c r="C1579" i="4" s="1"/>
  <c r="B1579" i="2"/>
  <c r="A1580" i="2"/>
  <c r="K1579" i="2"/>
  <c r="B1577" i="4"/>
  <c r="D1577" i="4" s="1"/>
  <c r="J1576" i="2"/>
  <c r="B1580" i="2" l="1"/>
  <c r="A1581" i="2"/>
  <c r="K1580" i="2"/>
  <c r="D1578" i="2"/>
  <c r="I1578" i="2" s="1"/>
  <c r="C1579" i="2"/>
  <c r="E1579" i="2" s="1"/>
  <c r="F1579" i="2"/>
  <c r="G1579" i="2" s="1"/>
  <c r="B1578" i="4"/>
  <c r="D1578" i="4" s="1"/>
  <c r="J1577" i="2"/>
  <c r="G1578" i="2"/>
  <c r="B1580" i="4" l="1"/>
  <c r="D1579" i="2"/>
  <c r="I1579" i="2" s="1"/>
  <c r="B1579" i="4"/>
  <c r="D1579" i="4" s="1"/>
  <c r="J1578" i="2"/>
  <c r="H1579" i="2"/>
  <c r="C1580" i="4" s="1"/>
  <c r="A1582" i="2"/>
  <c r="K1581" i="2"/>
  <c r="B1581" i="2"/>
  <c r="F1580" i="2"/>
  <c r="G1580" i="2" s="1"/>
  <c r="C1580" i="2"/>
  <c r="E1580" i="2" s="1"/>
  <c r="B1581" i="4" l="1"/>
  <c r="H1580" i="2"/>
  <c r="C1581" i="4" s="1"/>
  <c r="D1580" i="2"/>
  <c r="I1580" i="2" s="1"/>
  <c r="C1581" i="2"/>
  <c r="E1581" i="2" s="1"/>
  <c r="F1581" i="2"/>
  <c r="G1581" i="2" s="1"/>
  <c r="B1582" i="2"/>
  <c r="A1583" i="2"/>
  <c r="K1582" i="2"/>
  <c r="J1579" i="2"/>
  <c r="D1580" i="4"/>
  <c r="B1582" i="4" l="1"/>
  <c r="K1583" i="2"/>
  <c r="A1584" i="2"/>
  <c r="B1583" i="2"/>
  <c r="H1581" i="2"/>
  <c r="C1582" i="4" s="1"/>
  <c r="J1580" i="2"/>
  <c r="C1582" i="2"/>
  <c r="D1582" i="2" s="1"/>
  <c r="F1582" i="2"/>
  <c r="G1582" i="2" s="1"/>
  <c r="D1581" i="2"/>
  <c r="I1581" i="2" s="1"/>
  <c r="D1581" i="4"/>
  <c r="B1583" i="4" l="1"/>
  <c r="E1582" i="2"/>
  <c r="I1582" i="2" s="1"/>
  <c r="H1582" i="2"/>
  <c r="C1583" i="4" s="1"/>
  <c r="C1583" i="2"/>
  <c r="D1583" i="2" s="1"/>
  <c r="F1583" i="2"/>
  <c r="G1583" i="2" s="1"/>
  <c r="A1585" i="2"/>
  <c r="K1584" i="2"/>
  <c r="B1584" i="2"/>
  <c r="J1581" i="2"/>
  <c r="D1582" i="4"/>
  <c r="B1584" i="4" l="1"/>
  <c r="C1584" i="2"/>
  <c r="E1584" i="2" s="1"/>
  <c r="F1584" i="2"/>
  <c r="H1584" i="2" s="1"/>
  <c r="C1585" i="4" s="1"/>
  <c r="K1585" i="2"/>
  <c r="A1586" i="2"/>
  <c r="B1585" i="2"/>
  <c r="E1583" i="2"/>
  <c r="I1583" i="2" s="1"/>
  <c r="J1582" i="2"/>
  <c r="H1583" i="2"/>
  <c r="C1584" i="4" s="1"/>
  <c r="D1583" i="4"/>
  <c r="B1586" i="2" l="1"/>
  <c r="A1587" i="2"/>
  <c r="K1586" i="2"/>
  <c r="G1585" i="2"/>
  <c r="C1585" i="2"/>
  <c r="D1585" i="2" s="1"/>
  <c r="F1585" i="2"/>
  <c r="H1585" i="2" s="1"/>
  <c r="C1586" i="4" s="1"/>
  <c r="D1584" i="2"/>
  <c r="I1584" i="2" s="1"/>
  <c r="J1583" i="2"/>
  <c r="G1584" i="2"/>
  <c r="D1584" i="4"/>
  <c r="E1585" i="2" l="1"/>
  <c r="I1585" i="2" s="1"/>
  <c r="B1586" i="4"/>
  <c r="D1586" i="4" s="1"/>
  <c r="J1585" i="2"/>
  <c r="B1585" i="4"/>
  <c r="D1585" i="4" s="1"/>
  <c r="J1584" i="2"/>
  <c r="K1587" i="2"/>
  <c r="B1587" i="2"/>
  <c r="A1588" i="2"/>
  <c r="F1586" i="2"/>
  <c r="H1586" i="2" s="1"/>
  <c r="C1587" i="4" s="1"/>
  <c r="C1586" i="2"/>
  <c r="E1586" i="2" s="1"/>
  <c r="D1586" i="2" l="1"/>
  <c r="I1586" i="2" s="1"/>
  <c r="G1586" i="2"/>
  <c r="A1589" i="2"/>
  <c r="B1588" i="2"/>
  <c r="K1588" i="2"/>
  <c r="C1587" i="2"/>
  <c r="E1587" i="2" s="1"/>
  <c r="F1587" i="2"/>
  <c r="H1587" i="2" s="1"/>
  <c r="C1588" i="4" s="1"/>
  <c r="D1587" i="2" l="1"/>
  <c r="I1587" i="2" s="1"/>
  <c r="G1587" i="2"/>
  <c r="B1589" i="2"/>
  <c r="A1590" i="2"/>
  <c r="K1589" i="2"/>
  <c r="B1587" i="4"/>
  <c r="D1587" i="4" s="1"/>
  <c r="J1586" i="2"/>
  <c r="F1588" i="2"/>
  <c r="G1588" i="2" s="1"/>
  <c r="C1588" i="2"/>
  <c r="D1588" i="2" s="1"/>
  <c r="B1589" i="4" l="1"/>
  <c r="H1588" i="2"/>
  <c r="C1589" i="4" s="1"/>
  <c r="B1588" i="4"/>
  <c r="D1588" i="4" s="1"/>
  <c r="J1587" i="2"/>
  <c r="E1588" i="2"/>
  <c r="I1588" i="2" s="1"/>
  <c r="B1590" i="2"/>
  <c r="A1591" i="2"/>
  <c r="K1590" i="2"/>
  <c r="C1589" i="2"/>
  <c r="E1589" i="2" s="1"/>
  <c r="F1589" i="2"/>
  <c r="G1589" i="2" s="1"/>
  <c r="B1590" i="4" l="1"/>
  <c r="D1589" i="2"/>
  <c r="I1589" i="2" s="1"/>
  <c r="C1590" i="2"/>
  <c r="E1590" i="2" s="1"/>
  <c r="F1590" i="2"/>
  <c r="H1590" i="2" s="1"/>
  <c r="C1591" i="4" s="1"/>
  <c r="A1592" i="2"/>
  <c r="K1591" i="2"/>
  <c r="B1591" i="2"/>
  <c r="J1588" i="2"/>
  <c r="H1589" i="2"/>
  <c r="C1590" i="4" s="1"/>
  <c r="D1589" i="4"/>
  <c r="B1592" i="2" l="1"/>
  <c r="A1593" i="2"/>
  <c r="K1592" i="2"/>
  <c r="D1590" i="2"/>
  <c r="I1590" i="2" s="1"/>
  <c r="F1591" i="2"/>
  <c r="H1591" i="2" s="1"/>
  <c r="C1592" i="4" s="1"/>
  <c r="C1591" i="2"/>
  <c r="D1591" i="2" s="1"/>
  <c r="J1589" i="2"/>
  <c r="G1590" i="2"/>
  <c r="D1590" i="4"/>
  <c r="E1591" i="2" l="1"/>
  <c r="I1591" i="2" s="1"/>
  <c r="B1591" i="4"/>
  <c r="D1591" i="4" s="1"/>
  <c r="J1590" i="2"/>
  <c r="G1591" i="2"/>
  <c r="B1593" i="2"/>
  <c r="K1593" i="2"/>
  <c r="A1594" i="2"/>
  <c r="F1592" i="2"/>
  <c r="H1592" i="2" s="1"/>
  <c r="C1593" i="4" s="1"/>
  <c r="C1592" i="2"/>
  <c r="D1592" i="2" s="1"/>
  <c r="E1592" i="2" l="1"/>
  <c r="I1592" i="2" s="1"/>
  <c r="A1595" i="2"/>
  <c r="K1594" i="2"/>
  <c r="B1594" i="2"/>
  <c r="G1592" i="2"/>
  <c r="F1593" i="2"/>
  <c r="G1593" i="2" s="1"/>
  <c r="C1593" i="2"/>
  <c r="D1593" i="2" s="1"/>
  <c r="B1592" i="4"/>
  <c r="D1592" i="4" s="1"/>
  <c r="J1591" i="2"/>
  <c r="B1594" i="4" l="1"/>
  <c r="E1593" i="2"/>
  <c r="I1593" i="2" s="1"/>
  <c r="H1593" i="2"/>
  <c r="C1594" i="4" s="1"/>
  <c r="F1594" i="2"/>
  <c r="G1594" i="2" s="1"/>
  <c r="C1594" i="2"/>
  <c r="D1594" i="2" s="1"/>
  <c r="B1595" i="2"/>
  <c r="A1596" i="2"/>
  <c r="K1595" i="2"/>
  <c r="B1593" i="4"/>
  <c r="D1593" i="4" s="1"/>
  <c r="J1592" i="2"/>
  <c r="B1595" i="4" l="1"/>
  <c r="B1596" i="2"/>
  <c r="A1597" i="2"/>
  <c r="K1596" i="2"/>
  <c r="E1594" i="2"/>
  <c r="I1594" i="2" s="1"/>
  <c r="H1594" i="2"/>
  <c r="C1595" i="4" s="1"/>
  <c r="C1595" i="2"/>
  <c r="E1595" i="2" s="1"/>
  <c r="F1595" i="2"/>
  <c r="G1595" i="2" s="1"/>
  <c r="J1593" i="2"/>
  <c r="D1594" i="4"/>
  <c r="B1596" i="4" l="1"/>
  <c r="H1595" i="2"/>
  <c r="C1596" i="4" s="1"/>
  <c r="C1596" i="2"/>
  <c r="E1596" i="2" s="1"/>
  <c r="F1596" i="2"/>
  <c r="H1596" i="2" s="1"/>
  <c r="C1597" i="4" s="1"/>
  <c r="D1595" i="2"/>
  <c r="I1595" i="2" s="1"/>
  <c r="A1598" i="2"/>
  <c r="K1597" i="2"/>
  <c r="B1597" i="2"/>
  <c r="J1594" i="2"/>
  <c r="D1595" i="4"/>
  <c r="B1598" i="2" l="1"/>
  <c r="A1599" i="2"/>
  <c r="K1598" i="2"/>
  <c r="D1596" i="2"/>
  <c r="I1596" i="2" s="1"/>
  <c r="C1597" i="2"/>
  <c r="E1597" i="2" s="1"/>
  <c r="F1597" i="2"/>
  <c r="G1597" i="2" s="1"/>
  <c r="G1596" i="2"/>
  <c r="J1595" i="2"/>
  <c r="D1596" i="4"/>
  <c r="B1598" i="4" l="1"/>
  <c r="B1597" i="4"/>
  <c r="D1597" i="4" s="1"/>
  <c r="J1596" i="2"/>
  <c r="H1597" i="2"/>
  <c r="C1598" i="4" s="1"/>
  <c r="D1597" i="2"/>
  <c r="I1597" i="2" s="1"/>
  <c r="K1599" i="2"/>
  <c r="A1600" i="2"/>
  <c r="B1599" i="2"/>
  <c r="C1598" i="2"/>
  <c r="D1598" i="2" s="1"/>
  <c r="F1598" i="2"/>
  <c r="H1598" i="2" s="1"/>
  <c r="C1599" i="4" s="1"/>
  <c r="A1601" i="2" l="1"/>
  <c r="K1600" i="2"/>
  <c r="B1600" i="2"/>
  <c r="G1598" i="2"/>
  <c r="F1599" i="2"/>
  <c r="G1599" i="2" s="1"/>
  <c r="C1599" i="2"/>
  <c r="E1599" i="2" s="1"/>
  <c r="E1598" i="2"/>
  <c r="I1598" i="2" s="1"/>
  <c r="J1597" i="2"/>
  <c r="D1598" i="4"/>
  <c r="B1600" i="4" l="1"/>
  <c r="H1599" i="2"/>
  <c r="C1600" i="4" s="1"/>
  <c r="D1599" i="2"/>
  <c r="I1599" i="2" s="1"/>
  <c r="C1600" i="2"/>
  <c r="E1600" i="2" s="1"/>
  <c r="F1600" i="2"/>
  <c r="H1600" i="2" s="1"/>
  <c r="C1601" i="4" s="1"/>
  <c r="B1599" i="4"/>
  <c r="D1599" i="4" s="1"/>
  <c r="J1598" i="2"/>
  <c r="K1601" i="2"/>
  <c r="A1602" i="2"/>
  <c r="B1601" i="2"/>
  <c r="C1601" i="2" l="1"/>
  <c r="E1601" i="2" s="1"/>
  <c r="F1601" i="2"/>
  <c r="H1601" i="2" s="1"/>
  <c r="C1602" i="4" s="1"/>
  <c r="B1602" i="2"/>
  <c r="A1603" i="2"/>
  <c r="K1602" i="2"/>
  <c r="G1600" i="2"/>
  <c r="D1600" i="2"/>
  <c r="I1600" i="2" s="1"/>
  <c r="J1599" i="2"/>
  <c r="D1600" i="4"/>
  <c r="C1602" i="2" l="1"/>
  <c r="E1602" i="2" s="1"/>
  <c r="F1602" i="2"/>
  <c r="H1602" i="2" s="1"/>
  <c r="C1603" i="4" s="1"/>
  <c r="B1601" i="4"/>
  <c r="D1601" i="4" s="1"/>
  <c r="J1600" i="2"/>
  <c r="K1603" i="2"/>
  <c r="B1603" i="2"/>
  <c r="A1604" i="2"/>
  <c r="D1601" i="2"/>
  <c r="I1601" i="2" s="1"/>
  <c r="G1601" i="2"/>
  <c r="B1602" i="4" l="1"/>
  <c r="D1602" i="4" s="1"/>
  <c r="J1601" i="2"/>
  <c r="C1603" i="2"/>
  <c r="D1603" i="2" s="1"/>
  <c r="F1603" i="2"/>
  <c r="H1603" i="2" s="1"/>
  <c r="C1604" i="4" s="1"/>
  <c r="A1605" i="2"/>
  <c r="K1604" i="2"/>
  <c r="B1604" i="2"/>
  <c r="G1602" i="2"/>
  <c r="D1602" i="2"/>
  <c r="I1602" i="2" s="1"/>
  <c r="F1604" i="2" l="1"/>
  <c r="H1604" i="2" s="1"/>
  <c r="C1605" i="4" s="1"/>
  <c r="C1604" i="2"/>
  <c r="E1604" i="2" s="1"/>
  <c r="B1605" i="2"/>
  <c r="A1606" i="2"/>
  <c r="K1605" i="2"/>
  <c r="E1603" i="2"/>
  <c r="I1603" i="2" s="1"/>
  <c r="B1603" i="4"/>
  <c r="D1603" i="4" s="1"/>
  <c r="J1602" i="2"/>
  <c r="G1603" i="2"/>
  <c r="B1606" i="2" l="1"/>
  <c r="A1607" i="2"/>
  <c r="K1606" i="2"/>
  <c r="F1605" i="2"/>
  <c r="H1605" i="2" s="1"/>
  <c r="C1606" i="4" s="1"/>
  <c r="C1605" i="2"/>
  <c r="D1605" i="2" s="1"/>
  <c r="B1604" i="4"/>
  <c r="D1604" i="4" s="1"/>
  <c r="J1603" i="2"/>
  <c r="D1604" i="2"/>
  <c r="I1604" i="2" s="1"/>
  <c r="G1604" i="2"/>
  <c r="B1605" i="4" l="1"/>
  <c r="D1605" i="4" s="1"/>
  <c r="J1604" i="2"/>
  <c r="G1605" i="2"/>
  <c r="E1605" i="2"/>
  <c r="I1605" i="2" s="1"/>
  <c r="A1608" i="2"/>
  <c r="K1607" i="2"/>
  <c r="B1607" i="2"/>
  <c r="C1606" i="2"/>
  <c r="E1606" i="2" s="1"/>
  <c r="F1606" i="2"/>
  <c r="G1606" i="2" s="1"/>
  <c r="B1607" i="4" l="1"/>
  <c r="H1606" i="2"/>
  <c r="C1607" i="4" s="1"/>
  <c r="B1608" i="2"/>
  <c r="A1609" i="2"/>
  <c r="K1608" i="2"/>
  <c r="D1606" i="2"/>
  <c r="I1606" i="2" s="1"/>
  <c r="F1607" i="2"/>
  <c r="G1607" i="2" s="1"/>
  <c r="C1607" i="2"/>
  <c r="D1607" i="2" s="1"/>
  <c r="B1606" i="4"/>
  <c r="D1606" i="4" s="1"/>
  <c r="J1605" i="2"/>
  <c r="B1608" i="4" l="1"/>
  <c r="E1607" i="2"/>
  <c r="I1607" i="2" s="1"/>
  <c r="H1607" i="2"/>
  <c r="C1608" i="4" s="1"/>
  <c r="B1609" i="2"/>
  <c r="A1610" i="2"/>
  <c r="K1609" i="2"/>
  <c r="C1608" i="2"/>
  <c r="D1608" i="2" s="1"/>
  <c r="F1608" i="2"/>
  <c r="H1608" i="2" s="1"/>
  <c r="C1609" i="4" s="1"/>
  <c r="J1606" i="2"/>
  <c r="D1607" i="4"/>
  <c r="F1609" i="2" l="1"/>
  <c r="H1609" i="2" s="1"/>
  <c r="C1610" i="4" s="1"/>
  <c r="C1609" i="2"/>
  <c r="E1609" i="2" s="1"/>
  <c r="E1608" i="2"/>
  <c r="I1608" i="2" s="1"/>
  <c r="G1608" i="2"/>
  <c r="A1611" i="2"/>
  <c r="K1610" i="2"/>
  <c r="B1610" i="2"/>
  <c r="J1607" i="2"/>
  <c r="D1608" i="4"/>
  <c r="B1611" i="2" l="1"/>
  <c r="A1612" i="2"/>
  <c r="K1611" i="2"/>
  <c r="C1610" i="2"/>
  <c r="D1610" i="2" s="1"/>
  <c r="F1610" i="2"/>
  <c r="H1610" i="2" s="1"/>
  <c r="C1611" i="4" s="1"/>
  <c r="D1609" i="2"/>
  <c r="I1609" i="2" s="1"/>
  <c r="B1609" i="4"/>
  <c r="D1609" i="4" s="1"/>
  <c r="J1608" i="2"/>
  <c r="G1609" i="2"/>
  <c r="B1610" i="4" l="1"/>
  <c r="D1610" i="4" s="1"/>
  <c r="J1609" i="2"/>
  <c r="G1610" i="2"/>
  <c r="E1610" i="2"/>
  <c r="I1610" i="2" s="1"/>
  <c r="B1612" i="2"/>
  <c r="A1613" i="2"/>
  <c r="K1612" i="2"/>
  <c r="C1611" i="2"/>
  <c r="E1611" i="2" s="1"/>
  <c r="F1611" i="2"/>
  <c r="G1611" i="2" s="1"/>
  <c r="B1612" i="4" l="1"/>
  <c r="H1611" i="2"/>
  <c r="C1612" i="4" s="1"/>
  <c r="F1612" i="2"/>
  <c r="H1612" i="2" s="1"/>
  <c r="C1613" i="4" s="1"/>
  <c r="C1612" i="2"/>
  <c r="D1612" i="2" s="1"/>
  <c r="D1611" i="2"/>
  <c r="I1611" i="2" s="1"/>
  <c r="B1611" i="4"/>
  <c r="D1611" i="4" s="1"/>
  <c r="J1610" i="2"/>
  <c r="A1614" i="2"/>
  <c r="K1613" i="2"/>
  <c r="B1613" i="2"/>
  <c r="C1613" i="2" l="1"/>
  <c r="D1613" i="2" s="1"/>
  <c r="F1613" i="2"/>
  <c r="H1613" i="2" s="1"/>
  <c r="C1614" i="4" s="1"/>
  <c r="B1614" i="2"/>
  <c r="A1615" i="2"/>
  <c r="K1614" i="2"/>
  <c r="E1612" i="2"/>
  <c r="I1612" i="2" s="1"/>
  <c r="G1612" i="2"/>
  <c r="J1611" i="2"/>
  <c r="D1612" i="4"/>
  <c r="B1613" i="4" l="1"/>
  <c r="D1613" i="4" s="1"/>
  <c r="J1612" i="2"/>
  <c r="B1615" i="2"/>
  <c r="A1616" i="2"/>
  <c r="K1615" i="2"/>
  <c r="F1614" i="2"/>
  <c r="H1614" i="2" s="1"/>
  <c r="C1615" i="4" s="1"/>
  <c r="C1614" i="2"/>
  <c r="E1614" i="2" s="1"/>
  <c r="E1613" i="2"/>
  <c r="I1613" i="2" s="1"/>
  <c r="G1613" i="2"/>
  <c r="G1614" i="2" l="1"/>
  <c r="D1614" i="2"/>
  <c r="I1614" i="2" s="1"/>
  <c r="A1617" i="2"/>
  <c r="K1616" i="2"/>
  <c r="B1616" i="2"/>
  <c r="B1614" i="4"/>
  <c r="D1614" i="4" s="1"/>
  <c r="J1613" i="2"/>
  <c r="F1615" i="2"/>
  <c r="H1615" i="2" s="1"/>
  <c r="C1616" i="4" s="1"/>
  <c r="C1615" i="2"/>
  <c r="D1615" i="2" s="1"/>
  <c r="G1615" i="2" l="1"/>
  <c r="E1615" i="2"/>
  <c r="I1615" i="2" s="1"/>
  <c r="C1616" i="2"/>
  <c r="D1616" i="2" s="1"/>
  <c r="F1616" i="2"/>
  <c r="H1616" i="2" s="1"/>
  <c r="C1617" i="4" s="1"/>
  <c r="A1618" i="2"/>
  <c r="K1617" i="2"/>
  <c r="B1617" i="2"/>
  <c r="B1615" i="4"/>
  <c r="D1615" i="4" s="1"/>
  <c r="J1614" i="2"/>
  <c r="F1617" i="2" l="1"/>
  <c r="H1617" i="2" s="1"/>
  <c r="C1618" i="4" s="1"/>
  <c r="C1617" i="2"/>
  <c r="E1617" i="2" s="1"/>
  <c r="B1618" i="2"/>
  <c r="A1619" i="2"/>
  <c r="K1618" i="2"/>
  <c r="E1616" i="2"/>
  <c r="I1616" i="2" s="1"/>
  <c r="G1616" i="2"/>
  <c r="B1616" i="4"/>
  <c r="D1616" i="4" s="1"/>
  <c r="J1615" i="2"/>
  <c r="C1618" i="2" l="1"/>
  <c r="E1618" i="2" s="1"/>
  <c r="F1618" i="2"/>
  <c r="H1618" i="2" s="1"/>
  <c r="C1619" i="4" s="1"/>
  <c r="B1617" i="4"/>
  <c r="D1617" i="4" s="1"/>
  <c r="J1616" i="2"/>
  <c r="K1619" i="2"/>
  <c r="B1619" i="2"/>
  <c r="A1620" i="2"/>
  <c r="D1617" i="2"/>
  <c r="I1617" i="2" s="1"/>
  <c r="G1617" i="2"/>
  <c r="C1619" i="2" l="1"/>
  <c r="E1619" i="2" s="1"/>
  <c r="F1619" i="2"/>
  <c r="H1619" i="2" s="1"/>
  <c r="C1620" i="4" s="1"/>
  <c r="B1618" i="4"/>
  <c r="D1618" i="4" s="1"/>
  <c r="J1617" i="2"/>
  <c r="A1621" i="2"/>
  <c r="K1620" i="2"/>
  <c r="B1620" i="2"/>
  <c r="G1618" i="2"/>
  <c r="D1618" i="2"/>
  <c r="I1618" i="2" s="1"/>
  <c r="F1620" i="2" l="1"/>
  <c r="H1620" i="2" s="1"/>
  <c r="C1621" i="4" s="1"/>
  <c r="C1620" i="2"/>
  <c r="E1620" i="2" s="1"/>
  <c r="B1619" i="4"/>
  <c r="D1619" i="4" s="1"/>
  <c r="J1618" i="2"/>
  <c r="B1621" i="2"/>
  <c r="A1622" i="2"/>
  <c r="K1621" i="2"/>
  <c r="D1619" i="2"/>
  <c r="I1619" i="2" s="1"/>
  <c r="G1619" i="2"/>
  <c r="C1621" i="2" l="1"/>
  <c r="E1621" i="2" s="1"/>
  <c r="F1621" i="2"/>
  <c r="H1621" i="2" s="1"/>
  <c r="C1622" i="4" s="1"/>
  <c r="B1620" i="4"/>
  <c r="D1620" i="4" s="1"/>
  <c r="J1619" i="2"/>
  <c r="B1622" i="2"/>
  <c r="A1623" i="2"/>
  <c r="K1622" i="2"/>
  <c r="G1620" i="2"/>
  <c r="D1620" i="2"/>
  <c r="I1620" i="2" s="1"/>
  <c r="A1624" i="2" l="1"/>
  <c r="K1623" i="2"/>
  <c r="B1623" i="2"/>
  <c r="B1621" i="4"/>
  <c r="D1621" i="4" s="1"/>
  <c r="J1620" i="2"/>
  <c r="C1622" i="2"/>
  <c r="E1622" i="2" s="1"/>
  <c r="F1622" i="2"/>
  <c r="H1622" i="2" s="1"/>
  <c r="C1623" i="4" s="1"/>
  <c r="G1621" i="2"/>
  <c r="D1621" i="2"/>
  <c r="I1621" i="2" s="1"/>
  <c r="B1622" i="4" l="1"/>
  <c r="D1622" i="4" s="1"/>
  <c r="J1621" i="2"/>
  <c r="D1622" i="2"/>
  <c r="I1622" i="2" s="1"/>
  <c r="G1622" i="2"/>
  <c r="F1623" i="2"/>
  <c r="G1623" i="2" s="1"/>
  <c r="C1623" i="2"/>
  <c r="E1623" i="2" s="1"/>
  <c r="B1624" i="2"/>
  <c r="A1625" i="2"/>
  <c r="K1624" i="2"/>
  <c r="B1624" i="4" l="1"/>
  <c r="B1625" i="2"/>
  <c r="A1626" i="2"/>
  <c r="K1625" i="2"/>
  <c r="C1624" i="2"/>
  <c r="D1624" i="2" s="1"/>
  <c r="F1624" i="2"/>
  <c r="H1624" i="2" s="1"/>
  <c r="C1625" i="4" s="1"/>
  <c r="H1623" i="2"/>
  <c r="C1624" i="4" s="1"/>
  <c r="B1623" i="4"/>
  <c r="D1623" i="4" s="1"/>
  <c r="J1622" i="2"/>
  <c r="D1623" i="2"/>
  <c r="I1623" i="2" s="1"/>
  <c r="E1624" i="2" l="1"/>
  <c r="I1624" i="2" s="1"/>
  <c r="C1625" i="2"/>
  <c r="D1625" i="2" s="1"/>
  <c r="F1625" i="2"/>
  <c r="G1625" i="2" s="1"/>
  <c r="J1623" i="2"/>
  <c r="G1624" i="2"/>
  <c r="A1627" i="2"/>
  <c r="K1626" i="2"/>
  <c r="B1626" i="2"/>
  <c r="D1624" i="4"/>
  <c r="B1626" i="4" l="1"/>
  <c r="B1627" i="2"/>
  <c r="A1628" i="2"/>
  <c r="K1627" i="2"/>
  <c r="F1626" i="2"/>
  <c r="H1626" i="2" s="1"/>
  <c r="C1627" i="4" s="1"/>
  <c r="C1626" i="2"/>
  <c r="E1626" i="2" s="1"/>
  <c r="E1625" i="2"/>
  <c r="I1625" i="2" s="1"/>
  <c r="B1625" i="4"/>
  <c r="D1625" i="4" s="1"/>
  <c r="J1624" i="2"/>
  <c r="H1625" i="2"/>
  <c r="C1626" i="4" s="1"/>
  <c r="G1626" i="2" l="1"/>
  <c r="B1628" i="2"/>
  <c r="A1629" i="2"/>
  <c r="K1628" i="2"/>
  <c r="D1626" i="2"/>
  <c r="I1626" i="2" s="1"/>
  <c r="C1627" i="2"/>
  <c r="D1627" i="2" s="1"/>
  <c r="F1627" i="2"/>
  <c r="H1627" i="2" s="1"/>
  <c r="C1628" i="4" s="1"/>
  <c r="J1625" i="2"/>
  <c r="D1626" i="4"/>
  <c r="E1627" i="2" l="1"/>
  <c r="I1627" i="2" s="1"/>
  <c r="G1627" i="2"/>
  <c r="A1630" i="2"/>
  <c r="K1629" i="2"/>
  <c r="B1629" i="2"/>
  <c r="F1628" i="2"/>
  <c r="H1628" i="2" s="1"/>
  <c r="C1629" i="4" s="1"/>
  <c r="C1628" i="2"/>
  <c r="E1628" i="2" s="1"/>
  <c r="B1627" i="4"/>
  <c r="D1627" i="4" s="1"/>
  <c r="J1626" i="2"/>
  <c r="D1628" i="2" l="1"/>
  <c r="I1628" i="2" s="1"/>
  <c r="G1628" i="2"/>
  <c r="C1629" i="2"/>
  <c r="E1629" i="2" s="1"/>
  <c r="F1629" i="2"/>
  <c r="G1629" i="2" s="1"/>
  <c r="B1628" i="4"/>
  <c r="D1628" i="4" s="1"/>
  <c r="J1627" i="2"/>
  <c r="B1630" i="2"/>
  <c r="A1631" i="2"/>
  <c r="K1630" i="2"/>
  <c r="B1630" i="4" l="1"/>
  <c r="F1630" i="2"/>
  <c r="H1630" i="2" s="1"/>
  <c r="C1631" i="4" s="1"/>
  <c r="C1630" i="2"/>
  <c r="D1630" i="2" s="1"/>
  <c r="H1629" i="2"/>
  <c r="C1630" i="4" s="1"/>
  <c r="B1631" i="2"/>
  <c r="A1632" i="2"/>
  <c r="K1631" i="2"/>
  <c r="B1629" i="4"/>
  <c r="D1629" i="4" s="1"/>
  <c r="J1628" i="2"/>
  <c r="D1629" i="2"/>
  <c r="I1629" i="2" s="1"/>
  <c r="C1631" i="2" l="1"/>
  <c r="E1631" i="2" s="1"/>
  <c r="F1631" i="2"/>
  <c r="G1631" i="2" s="1"/>
  <c r="E1630" i="2"/>
  <c r="I1630" i="2" s="1"/>
  <c r="A1633" i="2"/>
  <c r="K1632" i="2"/>
  <c r="B1632" i="2"/>
  <c r="G1630" i="2"/>
  <c r="J1629" i="2"/>
  <c r="D1630" i="4"/>
  <c r="B1632" i="4" l="1"/>
  <c r="B1633" i="2"/>
  <c r="A1634" i="2"/>
  <c r="K1633" i="2"/>
  <c r="B1631" i="4"/>
  <c r="D1631" i="4" s="1"/>
  <c r="J1630" i="2"/>
  <c r="H1631" i="2"/>
  <c r="C1632" i="4" s="1"/>
  <c r="C1632" i="2"/>
  <c r="E1632" i="2" s="1"/>
  <c r="F1632" i="2"/>
  <c r="H1632" i="2" s="1"/>
  <c r="C1633" i="4" s="1"/>
  <c r="D1631" i="2"/>
  <c r="I1631" i="2" s="1"/>
  <c r="D1632" i="2" l="1"/>
  <c r="I1632" i="2" s="1"/>
  <c r="G1632" i="2"/>
  <c r="F1633" i="2"/>
  <c r="G1633" i="2" s="1"/>
  <c r="C1633" i="2"/>
  <c r="D1633" i="2" s="1"/>
  <c r="K1634" i="2"/>
  <c r="B1634" i="2"/>
  <c r="A1635" i="2"/>
  <c r="J1631" i="2"/>
  <c r="D1632" i="4"/>
  <c r="B1634" i="4" l="1"/>
  <c r="F1634" i="2"/>
  <c r="H1634" i="2" s="1"/>
  <c r="C1635" i="4" s="1"/>
  <c r="C1634" i="2"/>
  <c r="E1634" i="2" s="1"/>
  <c r="A1636" i="2"/>
  <c r="K1635" i="2"/>
  <c r="B1635" i="2"/>
  <c r="H1633" i="2"/>
  <c r="C1634" i="4" s="1"/>
  <c r="E1633" i="2"/>
  <c r="I1633" i="2" s="1"/>
  <c r="B1633" i="4"/>
  <c r="D1633" i="4" s="1"/>
  <c r="J1632" i="2"/>
  <c r="C1635" i="2" l="1"/>
  <c r="E1635" i="2" s="1"/>
  <c r="F1635" i="2"/>
  <c r="H1635" i="2" s="1"/>
  <c r="C1636" i="4" s="1"/>
  <c r="B1636" i="2"/>
  <c r="A1637" i="2"/>
  <c r="K1636" i="2"/>
  <c r="D1634" i="2"/>
  <c r="I1634" i="2" s="1"/>
  <c r="G1634" i="2"/>
  <c r="D1634" i="4"/>
  <c r="J1633" i="2"/>
  <c r="B1635" i="4" l="1"/>
  <c r="D1635" i="4" s="1"/>
  <c r="J1634" i="2"/>
  <c r="A1638" i="2"/>
  <c r="K1637" i="2"/>
  <c r="B1637" i="2"/>
  <c r="C1636" i="2"/>
  <c r="E1636" i="2" s="1"/>
  <c r="F1636" i="2"/>
  <c r="G1636" i="2" s="1"/>
  <c r="D1635" i="2"/>
  <c r="I1635" i="2" s="1"/>
  <c r="G1635" i="2"/>
  <c r="B1637" i="4" l="1"/>
  <c r="B1636" i="4"/>
  <c r="D1636" i="4" s="1"/>
  <c r="J1635" i="2"/>
  <c r="D1636" i="2"/>
  <c r="I1636" i="2" s="1"/>
  <c r="H1636" i="2"/>
  <c r="C1637" i="4" s="1"/>
  <c r="F1637" i="2"/>
  <c r="G1637" i="2" s="1"/>
  <c r="C1637" i="2"/>
  <c r="D1637" i="2" s="1"/>
  <c r="A1639" i="2"/>
  <c r="K1638" i="2"/>
  <c r="B1638" i="2"/>
  <c r="B1638" i="4" l="1"/>
  <c r="D1638" i="4" s="1"/>
  <c r="C1638" i="2"/>
  <c r="D1638" i="2" s="1"/>
  <c r="F1638" i="2"/>
  <c r="H1638" i="2" s="1"/>
  <c r="C1639" i="4" s="1"/>
  <c r="E1637" i="2"/>
  <c r="I1637" i="2" s="1"/>
  <c r="H1637" i="2"/>
  <c r="C1638" i="4" s="1"/>
  <c r="B1639" i="2"/>
  <c r="A1640" i="2"/>
  <c r="K1639" i="2"/>
  <c r="J1636" i="2"/>
  <c r="D1637" i="4"/>
  <c r="B1640" i="2" l="1"/>
  <c r="A1641" i="2"/>
  <c r="K1640" i="2"/>
  <c r="F1639" i="2"/>
  <c r="H1639" i="2" s="1"/>
  <c r="C1640" i="4" s="1"/>
  <c r="C1639" i="2"/>
  <c r="E1639" i="2" s="1"/>
  <c r="G1638" i="2"/>
  <c r="E1638" i="2"/>
  <c r="I1638" i="2" s="1"/>
  <c r="J1637" i="2"/>
  <c r="D1639" i="2" l="1"/>
  <c r="I1639" i="2" s="1"/>
  <c r="G1639" i="2"/>
  <c r="F1640" i="2"/>
  <c r="H1640" i="2" s="1"/>
  <c r="C1641" i="4" s="1"/>
  <c r="C1640" i="2"/>
  <c r="D1640" i="2" s="1"/>
  <c r="B1639" i="4"/>
  <c r="D1639" i="4" s="1"/>
  <c r="J1638" i="2"/>
  <c r="A1642" i="2"/>
  <c r="K1641" i="2"/>
  <c r="B1641" i="2"/>
  <c r="C1641" i="2" l="1"/>
  <c r="E1641" i="2" s="1"/>
  <c r="F1641" i="2"/>
  <c r="H1641" i="2" s="1"/>
  <c r="C1642" i="4" s="1"/>
  <c r="B1642" i="2"/>
  <c r="A1643" i="2"/>
  <c r="K1642" i="2"/>
  <c r="E1640" i="2"/>
  <c r="I1640" i="2" s="1"/>
  <c r="G1640" i="2"/>
  <c r="B1640" i="4"/>
  <c r="D1640" i="4" s="1"/>
  <c r="J1639" i="2"/>
  <c r="B1643" i="2" l="1"/>
  <c r="A1644" i="2"/>
  <c r="K1643" i="2"/>
  <c r="C1642" i="2"/>
  <c r="D1642" i="2" s="1"/>
  <c r="F1642" i="2"/>
  <c r="H1642" i="2" s="1"/>
  <c r="C1643" i="4" s="1"/>
  <c r="D1641" i="2"/>
  <c r="I1641" i="2" s="1"/>
  <c r="B1641" i="4"/>
  <c r="D1641" i="4" s="1"/>
  <c r="J1640" i="2"/>
  <c r="G1641" i="2"/>
  <c r="E1642" i="2" l="1"/>
  <c r="I1642" i="2" s="1"/>
  <c r="B1642" i="4"/>
  <c r="D1642" i="4" s="1"/>
  <c r="J1641" i="2"/>
  <c r="G1642" i="2"/>
  <c r="K1644" i="2"/>
  <c r="B1644" i="2"/>
  <c r="A1645" i="2"/>
  <c r="C1643" i="2"/>
  <c r="E1643" i="2" s="1"/>
  <c r="F1643" i="2"/>
  <c r="H1643" i="2" s="1"/>
  <c r="C1644" i="4" s="1"/>
  <c r="A1646" i="2" l="1"/>
  <c r="B1645" i="2"/>
  <c r="K1645" i="2"/>
  <c r="G1643" i="2"/>
  <c r="D1643" i="2"/>
  <c r="I1643" i="2" s="1"/>
  <c r="C1644" i="2"/>
  <c r="E1644" i="2" s="1"/>
  <c r="F1644" i="2"/>
  <c r="G1644" i="2" s="1"/>
  <c r="B1643" i="4"/>
  <c r="D1643" i="4" s="1"/>
  <c r="J1642" i="2"/>
  <c r="B1645" i="4" l="1"/>
  <c r="D1644" i="2"/>
  <c r="I1644" i="2" s="1"/>
  <c r="H1644" i="2"/>
  <c r="C1645" i="4" s="1"/>
  <c r="B1644" i="4"/>
  <c r="D1644" i="4" s="1"/>
  <c r="J1643" i="2"/>
  <c r="F1645" i="2"/>
  <c r="G1645" i="2" s="1"/>
  <c r="C1645" i="2"/>
  <c r="D1645" i="2" s="1"/>
  <c r="A1647" i="2"/>
  <c r="K1646" i="2"/>
  <c r="B1646" i="2"/>
  <c r="B1646" i="4" l="1"/>
  <c r="C1646" i="2"/>
  <c r="E1646" i="2" s="1"/>
  <c r="F1646" i="2"/>
  <c r="H1646" i="2" s="1"/>
  <c r="C1647" i="4" s="1"/>
  <c r="A1648" i="2"/>
  <c r="K1647" i="2"/>
  <c r="B1647" i="2"/>
  <c r="H1645" i="2"/>
  <c r="C1646" i="4" s="1"/>
  <c r="E1645" i="2"/>
  <c r="I1645" i="2" s="1"/>
  <c r="J1644" i="2"/>
  <c r="D1645" i="4"/>
  <c r="F1647" i="2" l="1"/>
  <c r="H1647" i="2" s="1"/>
  <c r="C1648" i="4" s="1"/>
  <c r="C1647" i="2"/>
  <c r="D1647" i="2" s="1"/>
  <c r="K1648" i="2"/>
  <c r="A1649" i="2"/>
  <c r="B1648" i="2"/>
  <c r="G1646" i="2"/>
  <c r="D1646" i="2"/>
  <c r="I1646" i="2" s="1"/>
  <c r="J1645" i="2"/>
  <c r="D1646" i="4"/>
  <c r="F1648" i="2" l="1"/>
  <c r="H1648" i="2" s="1"/>
  <c r="C1649" i="4" s="1"/>
  <c r="C1648" i="2"/>
  <c r="D1648" i="2" s="1"/>
  <c r="B1647" i="4"/>
  <c r="D1647" i="4" s="1"/>
  <c r="J1646" i="2"/>
  <c r="B1649" i="2"/>
  <c r="K1649" i="2"/>
  <c r="A1650" i="2"/>
  <c r="E1647" i="2"/>
  <c r="I1647" i="2" s="1"/>
  <c r="G1647" i="2"/>
  <c r="B1648" i="4" l="1"/>
  <c r="D1648" i="4" s="1"/>
  <c r="J1647" i="2"/>
  <c r="B1650" i="2"/>
  <c r="A1651" i="2"/>
  <c r="K1650" i="2"/>
  <c r="F1649" i="2"/>
  <c r="H1649" i="2" s="1"/>
  <c r="C1650" i="4" s="1"/>
  <c r="C1649" i="2"/>
  <c r="D1649" i="2" s="1"/>
  <c r="E1648" i="2"/>
  <c r="I1648" i="2" s="1"/>
  <c r="G1648" i="2"/>
  <c r="B1649" i="4" l="1"/>
  <c r="D1649" i="4" s="1"/>
  <c r="J1648" i="2"/>
  <c r="E1649" i="2"/>
  <c r="I1649" i="2" s="1"/>
  <c r="G1649" i="2"/>
  <c r="A1652" i="2"/>
  <c r="K1651" i="2"/>
  <c r="B1651" i="2"/>
  <c r="C1650" i="2"/>
  <c r="D1650" i="2" s="1"/>
  <c r="F1650" i="2"/>
  <c r="G1650" i="2" s="1"/>
  <c r="B1651" i="4" l="1"/>
  <c r="E1650" i="2"/>
  <c r="I1650" i="2" s="1"/>
  <c r="H1650" i="2"/>
  <c r="C1651" i="4" s="1"/>
  <c r="F1651" i="2"/>
  <c r="G1651" i="2" s="1"/>
  <c r="C1651" i="2"/>
  <c r="E1651" i="2" s="1"/>
  <c r="B1652" i="2"/>
  <c r="A1653" i="2"/>
  <c r="K1652" i="2"/>
  <c r="B1650" i="4"/>
  <c r="D1650" i="4" s="1"/>
  <c r="J1649" i="2"/>
  <c r="B1652" i="4" l="1"/>
  <c r="B1653" i="2"/>
  <c r="A1654" i="2"/>
  <c r="K1653" i="2"/>
  <c r="H1651" i="2"/>
  <c r="C1652" i="4" s="1"/>
  <c r="D1651" i="2"/>
  <c r="I1651" i="2" s="1"/>
  <c r="C1652" i="2"/>
  <c r="E1652" i="2" s="1"/>
  <c r="F1652" i="2"/>
  <c r="H1652" i="2" s="1"/>
  <c r="C1653" i="4" s="1"/>
  <c r="J1650" i="2"/>
  <c r="D1651" i="4"/>
  <c r="G1652" i="2" l="1"/>
  <c r="A1655" i="2"/>
  <c r="K1654" i="2"/>
  <c r="B1654" i="2"/>
  <c r="J1651" i="2"/>
  <c r="D1652" i="2"/>
  <c r="I1652" i="2" s="1"/>
  <c r="F1653" i="2"/>
  <c r="H1653" i="2" s="1"/>
  <c r="C1654" i="4" s="1"/>
  <c r="C1653" i="2"/>
  <c r="E1653" i="2" s="1"/>
  <c r="D1652" i="4"/>
  <c r="D1653" i="2" l="1"/>
  <c r="I1653" i="2" s="1"/>
  <c r="G1653" i="2"/>
  <c r="F1654" i="2"/>
  <c r="G1654" i="2" s="1"/>
  <c r="C1654" i="2"/>
  <c r="D1654" i="2" s="1"/>
  <c r="B1655" i="2"/>
  <c r="A1656" i="2"/>
  <c r="K1655" i="2"/>
  <c r="B1653" i="4"/>
  <c r="D1653" i="4" s="1"/>
  <c r="J1652" i="2"/>
  <c r="B1655" i="4" l="1"/>
  <c r="A1657" i="2"/>
  <c r="K1656" i="2"/>
  <c r="B1656" i="2"/>
  <c r="H1654" i="2"/>
  <c r="C1655" i="4" s="1"/>
  <c r="C1655" i="2"/>
  <c r="D1655" i="2" s="1"/>
  <c r="F1655" i="2"/>
  <c r="G1655" i="2" s="1"/>
  <c r="B1654" i="4"/>
  <c r="D1654" i="4" s="1"/>
  <c r="J1653" i="2"/>
  <c r="E1654" i="2"/>
  <c r="I1654" i="2" s="1"/>
  <c r="B1656" i="4" l="1"/>
  <c r="E1655" i="2"/>
  <c r="I1655" i="2" s="1"/>
  <c r="H1655" i="2"/>
  <c r="C1656" i="4" s="1"/>
  <c r="F1656" i="2"/>
  <c r="G1656" i="2" s="1"/>
  <c r="C1656" i="2"/>
  <c r="E1656" i="2" s="1"/>
  <c r="A1658" i="2"/>
  <c r="K1657" i="2"/>
  <c r="B1657" i="2"/>
  <c r="J1654" i="2"/>
  <c r="D1655" i="4"/>
  <c r="B1657" i="4" l="1"/>
  <c r="F1657" i="2"/>
  <c r="H1657" i="2" s="1"/>
  <c r="C1658" i="4" s="1"/>
  <c r="C1657" i="2"/>
  <c r="E1657" i="2" s="1"/>
  <c r="K1658" i="2"/>
  <c r="B1658" i="2"/>
  <c r="A1659" i="2"/>
  <c r="H1656" i="2"/>
  <c r="C1657" i="4" s="1"/>
  <c r="J1655" i="2"/>
  <c r="D1656" i="2"/>
  <c r="I1656" i="2" s="1"/>
  <c r="D1656" i="4"/>
  <c r="F1658" i="2" l="1"/>
  <c r="H1658" i="2" s="1"/>
  <c r="C1659" i="4" s="1"/>
  <c r="C1658" i="2"/>
  <c r="E1658" i="2" s="1"/>
  <c r="B1659" i="2"/>
  <c r="A1660" i="2"/>
  <c r="K1659" i="2"/>
  <c r="D1657" i="2"/>
  <c r="I1657" i="2" s="1"/>
  <c r="J1656" i="2"/>
  <c r="G1657" i="2"/>
  <c r="D1657" i="4"/>
  <c r="K1660" i="2" l="1"/>
  <c r="B1660" i="2"/>
  <c r="A1661" i="2"/>
  <c r="C1659" i="2"/>
  <c r="D1659" i="2" s="1"/>
  <c r="F1659" i="2"/>
  <c r="H1659" i="2" s="1"/>
  <c r="C1660" i="4" s="1"/>
  <c r="B1658" i="4"/>
  <c r="D1658" i="4" s="1"/>
  <c r="J1657" i="2"/>
  <c r="D1658" i="2"/>
  <c r="I1658" i="2" s="1"/>
  <c r="G1658" i="2"/>
  <c r="G1659" i="2" l="1"/>
  <c r="B1659" i="4"/>
  <c r="D1659" i="4" s="1"/>
  <c r="J1658" i="2"/>
  <c r="E1659" i="2"/>
  <c r="I1659" i="2" s="1"/>
  <c r="F1660" i="2"/>
  <c r="G1660" i="2" s="1"/>
  <c r="C1660" i="2"/>
  <c r="E1660" i="2" s="1"/>
  <c r="A1662" i="2"/>
  <c r="B1661" i="2"/>
  <c r="K1661" i="2"/>
  <c r="B1661" i="4" l="1"/>
  <c r="F1661" i="2"/>
  <c r="H1661" i="2" s="1"/>
  <c r="C1662" i="4" s="1"/>
  <c r="C1661" i="2"/>
  <c r="E1661" i="2" s="1"/>
  <c r="A1663" i="2"/>
  <c r="K1662" i="2"/>
  <c r="B1662" i="2"/>
  <c r="H1660" i="2"/>
  <c r="C1661" i="4" s="1"/>
  <c r="D1660" i="2"/>
  <c r="I1660" i="2" s="1"/>
  <c r="B1660" i="4"/>
  <c r="D1660" i="4" s="1"/>
  <c r="J1659" i="2"/>
  <c r="F1662" i="2" l="1"/>
  <c r="H1662" i="2" s="1"/>
  <c r="C1663" i="4" s="1"/>
  <c r="C1662" i="2"/>
  <c r="E1662" i="2" s="1"/>
  <c r="B1663" i="2"/>
  <c r="A1664" i="2"/>
  <c r="K1663" i="2"/>
  <c r="G1661" i="2"/>
  <c r="J1660" i="2"/>
  <c r="D1661" i="2"/>
  <c r="I1661" i="2" s="1"/>
  <c r="D1661" i="4"/>
  <c r="K1664" i="2" l="1"/>
  <c r="A1665" i="2"/>
  <c r="B1664" i="2"/>
  <c r="F1663" i="2"/>
  <c r="H1663" i="2" s="1"/>
  <c r="C1664" i="4" s="1"/>
  <c r="C1663" i="2"/>
  <c r="D1663" i="2" s="1"/>
  <c r="D1662" i="2"/>
  <c r="I1662" i="2" s="1"/>
  <c r="B1662" i="4"/>
  <c r="D1662" i="4" s="1"/>
  <c r="J1661" i="2"/>
  <c r="G1662" i="2"/>
  <c r="B1663" i="4" l="1"/>
  <c r="D1663" i="4" s="1"/>
  <c r="J1662" i="2"/>
  <c r="G1663" i="2"/>
  <c r="B1665" i="2"/>
  <c r="A1666" i="2"/>
  <c r="K1665" i="2"/>
  <c r="E1663" i="2"/>
  <c r="I1663" i="2" s="1"/>
  <c r="C1664" i="2"/>
  <c r="E1664" i="2" s="1"/>
  <c r="F1664" i="2"/>
  <c r="H1664" i="2" s="1"/>
  <c r="C1665" i="4" s="1"/>
  <c r="D1664" i="2" l="1"/>
  <c r="I1664" i="2" s="1"/>
  <c r="G1664" i="2"/>
  <c r="B1666" i="2"/>
  <c r="A1667" i="2"/>
  <c r="K1666" i="2"/>
  <c r="C1665" i="2"/>
  <c r="E1665" i="2" s="1"/>
  <c r="F1665" i="2"/>
  <c r="H1665" i="2" s="1"/>
  <c r="C1666" i="4" s="1"/>
  <c r="B1664" i="4"/>
  <c r="D1664" i="4" s="1"/>
  <c r="J1663" i="2"/>
  <c r="G1665" i="2" l="1"/>
  <c r="D1665" i="2"/>
  <c r="I1665" i="2" s="1"/>
  <c r="B1665" i="4"/>
  <c r="D1665" i="4" s="1"/>
  <c r="J1664" i="2"/>
  <c r="A1668" i="2"/>
  <c r="B1667" i="2"/>
  <c r="K1667" i="2"/>
  <c r="C1666" i="2"/>
  <c r="E1666" i="2" s="1"/>
  <c r="F1666" i="2"/>
  <c r="H1666" i="2" s="1"/>
  <c r="C1667" i="4" s="1"/>
  <c r="D1666" i="2" l="1"/>
  <c r="I1666" i="2" s="1"/>
  <c r="G1666" i="2"/>
  <c r="C1667" i="2"/>
  <c r="E1667" i="2" s="1"/>
  <c r="F1667" i="2"/>
  <c r="G1667" i="2" s="1"/>
  <c r="B1668" i="2"/>
  <c r="A1669" i="2"/>
  <c r="K1668" i="2"/>
  <c r="B1666" i="4"/>
  <c r="D1666" i="4" s="1"/>
  <c r="J1665" i="2"/>
  <c r="B1668" i="4" l="1"/>
  <c r="B1669" i="2"/>
  <c r="A1670" i="2"/>
  <c r="K1669" i="2"/>
  <c r="C1668" i="2"/>
  <c r="E1668" i="2" s="1"/>
  <c r="F1668" i="2"/>
  <c r="G1668" i="2" s="1"/>
  <c r="H1667" i="2"/>
  <c r="C1668" i="4" s="1"/>
  <c r="B1667" i="4"/>
  <c r="D1667" i="4" s="1"/>
  <c r="J1666" i="2"/>
  <c r="D1667" i="2"/>
  <c r="I1667" i="2" s="1"/>
  <c r="B1669" i="4" l="1"/>
  <c r="D1668" i="2"/>
  <c r="I1668" i="2" s="1"/>
  <c r="J1667" i="2"/>
  <c r="H1668" i="2"/>
  <c r="C1669" i="4" s="1"/>
  <c r="A1671" i="2"/>
  <c r="K1670" i="2"/>
  <c r="B1670" i="2"/>
  <c r="H1669" i="2"/>
  <c r="C1670" i="4" s="1"/>
  <c r="F1669" i="2"/>
  <c r="G1669" i="2" s="1"/>
  <c r="C1669" i="2"/>
  <c r="D1669" i="2" s="1"/>
  <c r="D1668" i="4"/>
  <c r="B1670" i="4" l="1"/>
  <c r="D1670" i="4" s="1"/>
  <c r="J1669" i="2"/>
  <c r="E1669" i="2"/>
  <c r="I1669" i="2" s="1"/>
  <c r="F1670" i="2"/>
  <c r="H1670" i="2" s="1"/>
  <c r="C1671" i="4" s="1"/>
  <c r="C1670" i="2"/>
  <c r="E1670" i="2" s="1"/>
  <c r="B1671" i="2"/>
  <c r="A1672" i="2"/>
  <c r="K1671" i="2"/>
  <c r="J1668" i="2"/>
  <c r="D1669" i="4"/>
  <c r="D1670" i="2" l="1"/>
  <c r="I1670" i="2" s="1"/>
  <c r="G1670" i="2"/>
  <c r="K1672" i="2"/>
  <c r="B1672" i="2"/>
  <c r="A1673" i="2"/>
  <c r="C1671" i="2"/>
  <c r="E1671" i="2" s="1"/>
  <c r="F1671" i="2"/>
  <c r="H1671" i="2" s="1"/>
  <c r="C1672" i="4" s="1"/>
  <c r="D1671" i="2" l="1"/>
  <c r="I1671" i="2" s="1"/>
  <c r="F1672" i="2"/>
  <c r="G1672" i="2" s="1"/>
  <c r="C1672" i="2"/>
  <c r="E1672" i="2" s="1"/>
  <c r="G1671" i="2"/>
  <c r="B1671" i="4"/>
  <c r="D1671" i="4" s="1"/>
  <c r="J1670" i="2"/>
  <c r="A1674" i="2"/>
  <c r="K1673" i="2"/>
  <c r="B1673" i="2"/>
  <c r="B1673" i="4" l="1"/>
  <c r="F1673" i="2"/>
  <c r="H1673" i="2" s="1"/>
  <c r="C1674" i="4" s="1"/>
  <c r="C1673" i="2"/>
  <c r="E1673" i="2" s="1"/>
  <c r="H1672" i="2"/>
  <c r="C1673" i="4" s="1"/>
  <c r="K1674" i="2"/>
  <c r="A1675" i="2"/>
  <c r="B1674" i="2"/>
  <c r="B1672" i="4"/>
  <c r="D1672" i="4" s="1"/>
  <c r="J1671" i="2"/>
  <c r="D1672" i="2"/>
  <c r="I1672" i="2" s="1"/>
  <c r="D1673" i="2" l="1"/>
  <c r="I1673" i="2" s="1"/>
  <c r="J1672" i="2"/>
  <c r="F1674" i="2"/>
  <c r="H1674" i="2" s="1"/>
  <c r="C1675" i="4" s="1"/>
  <c r="C1674" i="2"/>
  <c r="E1674" i="2" s="1"/>
  <c r="B1675" i="2"/>
  <c r="A1676" i="2"/>
  <c r="K1675" i="2"/>
  <c r="G1673" i="2"/>
  <c r="D1673" i="4"/>
  <c r="K1676" i="2" l="1"/>
  <c r="B1676" i="2"/>
  <c r="A1677" i="2"/>
  <c r="F1675" i="2"/>
  <c r="H1675" i="2" s="1"/>
  <c r="C1676" i="4" s="1"/>
  <c r="C1675" i="2"/>
  <c r="E1675" i="2" s="1"/>
  <c r="D1674" i="2"/>
  <c r="I1674" i="2" s="1"/>
  <c r="G1674" i="2"/>
  <c r="B1674" i="4"/>
  <c r="D1674" i="4" s="1"/>
  <c r="J1673" i="2"/>
  <c r="B1675" i="4" l="1"/>
  <c r="D1675" i="4" s="1"/>
  <c r="J1674" i="2"/>
  <c r="G1675" i="2"/>
  <c r="D1675" i="2"/>
  <c r="I1675" i="2" s="1"/>
  <c r="F1676" i="2"/>
  <c r="G1676" i="2" s="1"/>
  <c r="C1676" i="2"/>
  <c r="D1676" i="2" s="1"/>
  <c r="A1678" i="2"/>
  <c r="B1677" i="2"/>
  <c r="K1677" i="2"/>
  <c r="B1677" i="4" l="1"/>
  <c r="A1679" i="2"/>
  <c r="K1678" i="2"/>
  <c r="B1678" i="2"/>
  <c r="E1676" i="2"/>
  <c r="I1676" i="2" s="1"/>
  <c r="C1677" i="2"/>
  <c r="E1677" i="2" s="1"/>
  <c r="F1677" i="2"/>
  <c r="G1677" i="2" s="1"/>
  <c r="H1676" i="2"/>
  <c r="C1677" i="4" s="1"/>
  <c r="B1676" i="4"/>
  <c r="D1676" i="4" s="1"/>
  <c r="J1675" i="2"/>
  <c r="B1678" i="4" l="1"/>
  <c r="D1677" i="2"/>
  <c r="I1677" i="2" s="1"/>
  <c r="H1677" i="2"/>
  <c r="C1678" i="4" s="1"/>
  <c r="C1678" i="2"/>
  <c r="D1678" i="2" s="1"/>
  <c r="F1678" i="2"/>
  <c r="G1678" i="2" s="1"/>
  <c r="B1679" i="2"/>
  <c r="A1680" i="2"/>
  <c r="K1679" i="2"/>
  <c r="J1676" i="2"/>
  <c r="D1677" i="4"/>
  <c r="B1679" i="4" l="1"/>
  <c r="K1680" i="2"/>
  <c r="A1681" i="2"/>
  <c r="B1680" i="2"/>
  <c r="F1679" i="2"/>
  <c r="H1679" i="2" s="1"/>
  <c r="C1680" i="4" s="1"/>
  <c r="C1679" i="2"/>
  <c r="E1679" i="2" s="1"/>
  <c r="H1678" i="2"/>
  <c r="C1679" i="4" s="1"/>
  <c r="E1678" i="2"/>
  <c r="I1678" i="2" s="1"/>
  <c r="J1677" i="2"/>
  <c r="D1678" i="4"/>
  <c r="D1679" i="2" l="1"/>
  <c r="I1679" i="2" s="1"/>
  <c r="C1680" i="2"/>
  <c r="E1680" i="2" s="1"/>
  <c r="F1680" i="2"/>
  <c r="H1680" i="2" s="1"/>
  <c r="C1681" i="4" s="1"/>
  <c r="B1681" i="2"/>
  <c r="A1682" i="2"/>
  <c r="K1681" i="2"/>
  <c r="J1678" i="2"/>
  <c r="G1679" i="2"/>
  <c r="D1679" i="4"/>
  <c r="B1682" i="2" l="1"/>
  <c r="K1682" i="2"/>
  <c r="A1683" i="2"/>
  <c r="F1681" i="2"/>
  <c r="H1681" i="2" s="1"/>
  <c r="C1682" i="4" s="1"/>
  <c r="C1681" i="2"/>
  <c r="D1681" i="2" s="1"/>
  <c r="D1680" i="2"/>
  <c r="I1680" i="2" s="1"/>
  <c r="G1680" i="2"/>
  <c r="B1680" i="4"/>
  <c r="D1680" i="4" s="1"/>
  <c r="J1679" i="2"/>
  <c r="B1681" i="4" l="1"/>
  <c r="D1681" i="4" s="1"/>
  <c r="J1680" i="2"/>
  <c r="E1681" i="2"/>
  <c r="I1681" i="2" s="1"/>
  <c r="G1681" i="2"/>
  <c r="A1684" i="2"/>
  <c r="B1683" i="2"/>
  <c r="K1683" i="2"/>
  <c r="C1682" i="2"/>
  <c r="E1682" i="2" s="1"/>
  <c r="F1682" i="2"/>
  <c r="H1682" i="2" s="1"/>
  <c r="C1683" i="4" s="1"/>
  <c r="D1682" i="2" l="1"/>
  <c r="I1682" i="2" s="1"/>
  <c r="B1682" i="4"/>
  <c r="D1682" i="4" s="1"/>
  <c r="J1681" i="2"/>
  <c r="G1682" i="2"/>
  <c r="C1683" i="2"/>
  <c r="E1683" i="2" s="1"/>
  <c r="F1683" i="2"/>
  <c r="H1683" i="2" s="1"/>
  <c r="C1684" i="4" s="1"/>
  <c r="B1684" i="2"/>
  <c r="A1685" i="2"/>
  <c r="K1684" i="2"/>
  <c r="B1685" i="2" l="1"/>
  <c r="A1686" i="2"/>
  <c r="K1685" i="2"/>
  <c r="C1684" i="2"/>
  <c r="E1684" i="2" s="1"/>
  <c r="F1684" i="2"/>
  <c r="H1684" i="2" s="1"/>
  <c r="C1685" i="4" s="1"/>
  <c r="D1683" i="2"/>
  <c r="I1683" i="2" s="1"/>
  <c r="G1683" i="2"/>
  <c r="B1683" i="4"/>
  <c r="D1683" i="4" s="1"/>
  <c r="J1682" i="2"/>
  <c r="B1684" i="4" l="1"/>
  <c r="D1684" i="4" s="1"/>
  <c r="J1683" i="2"/>
  <c r="D1684" i="2"/>
  <c r="I1684" i="2" s="1"/>
  <c r="G1684" i="2"/>
  <c r="A1687" i="2"/>
  <c r="K1686" i="2"/>
  <c r="B1686" i="2"/>
  <c r="C1685" i="2"/>
  <c r="D1685" i="2" s="1"/>
  <c r="F1685" i="2"/>
  <c r="G1685" i="2" s="1"/>
  <c r="B1686" i="4" l="1"/>
  <c r="H1685" i="2"/>
  <c r="C1686" i="4" s="1"/>
  <c r="F1686" i="2"/>
  <c r="G1686" i="2" s="1"/>
  <c r="C1686" i="2"/>
  <c r="E1686" i="2" s="1"/>
  <c r="B1687" i="2"/>
  <c r="A1688" i="2"/>
  <c r="K1687" i="2"/>
  <c r="E1685" i="2"/>
  <c r="I1685" i="2" s="1"/>
  <c r="B1685" i="4"/>
  <c r="D1685" i="4" s="1"/>
  <c r="J1684" i="2"/>
  <c r="B1687" i="4" l="1"/>
  <c r="F1687" i="2"/>
  <c r="H1687" i="2" s="1"/>
  <c r="C1688" i="4" s="1"/>
  <c r="C1687" i="2"/>
  <c r="E1687" i="2" s="1"/>
  <c r="K1688" i="2"/>
  <c r="A1689" i="2"/>
  <c r="B1688" i="2"/>
  <c r="D1686" i="2"/>
  <c r="I1686" i="2" s="1"/>
  <c r="H1686" i="2"/>
  <c r="C1687" i="4" s="1"/>
  <c r="J1685" i="2"/>
  <c r="D1686" i="4"/>
  <c r="A1690" i="2" l="1"/>
  <c r="K1689" i="2"/>
  <c r="B1689" i="2"/>
  <c r="D1687" i="2"/>
  <c r="I1687" i="2" s="1"/>
  <c r="J1686" i="2"/>
  <c r="C1688" i="2"/>
  <c r="D1688" i="2" s="1"/>
  <c r="F1688" i="2"/>
  <c r="G1688" i="2" s="1"/>
  <c r="G1687" i="2"/>
  <c r="D1687" i="4"/>
  <c r="B1689" i="4" l="1"/>
  <c r="B1688" i="4"/>
  <c r="D1688" i="4" s="1"/>
  <c r="J1687" i="2"/>
  <c r="E1688" i="2"/>
  <c r="I1688" i="2" s="1"/>
  <c r="H1688" i="2"/>
  <c r="C1689" i="4" s="1"/>
  <c r="F1689" i="2"/>
  <c r="H1689" i="2" s="1"/>
  <c r="C1690" i="4" s="1"/>
  <c r="C1689" i="2"/>
  <c r="D1689" i="2" s="1"/>
  <c r="K1690" i="2"/>
  <c r="A1691" i="2"/>
  <c r="B1690" i="2"/>
  <c r="C1690" i="2" l="1"/>
  <c r="E1690" i="2" s="1"/>
  <c r="F1690" i="2"/>
  <c r="H1690" i="2" s="1"/>
  <c r="C1691" i="4" s="1"/>
  <c r="E1689" i="2"/>
  <c r="I1689" i="2" s="1"/>
  <c r="B1691" i="2"/>
  <c r="A1692" i="2"/>
  <c r="K1691" i="2"/>
  <c r="G1689" i="2"/>
  <c r="J1688" i="2"/>
  <c r="D1689" i="4"/>
  <c r="B1690" i="4" l="1"/>
  <c r="D1690" i="4" s="1"/>
  <c r="J1689" i="2"/>
  <c r="K1692" i="2"/>
  <c r="B1692" i="2"/>
  <c r="A1693" i="2"/>
  <c r="F1691" i="2"/>
  <c r="H1691" i="2" s="1"/>
  <c r="C1692" i="4" s="1"/>
  <c r="C1691" i="2"/>
  <c r="E1691" i="2" s="1"/>
  <c r="D1690" i="2"/>
  <c r="I1690" i="2" s="1"/>
  <c r="G1690" i="2"/>
  <c r="B1691" i="4" l="1"/>
  <c r="D1691" i="4" s="1"/>
  <c r="J1690" i="2"/>
  <c r="G1691" i="2"/>
  <c r="D1691" i="2"/>
  <c r="I1691" i="2" s="1"/>
  <c r="A1694" i="2"/>
  <c r="B1693" i="2"/>
  <c r="K1693" i="2"/>
  <c r="F1692" i="2"/>
  <c r="H1692" i="2" s="1"/>
  <c r="C1693" i="4" s="1"/>
  <c r="C1692" i="2"/>
  <c r="E1692" i="2" s="1"/>
  <c r="D1692" i="2" l="1"/>
  <c r="I1692" i="2" s="1"/>
  <c r="G1692" i="2"/>
  <c r="C1693" i="2"/>
  <c r="D1693" i="2" s="1"/>
  <c r="F1693" i="2"/>
  <c r="G1693" i="2" s="1"/>
  <c r="A1695" i="2"/>
  <c r="K1694" i="2"/>
  <c r="B1694" i="2"/>
  <c r="B1692" i="4"/>
  <c r="D1692" i="4" s="1"/>
  <c r="J1691" i="2"/>
  <c r="B1694" i="4" l="1"/>
  <c r="F1694" i="2"/>
  <c r="H1694" i="2" s="1"/>
  <c r="C1695" i="4" s="1"/>
  <c r="C1694" i="2"/>
  <c r="D1694" i="2" s="1"/>
  <c r="H1693" i="2"/>
  <c r="C1694" i="4" s="1"/>
  <c r="B1695" i="2"/>
  <c r="A1696" i="2"/>
  <c r="K1695" i="2"/>
  <c r="B1693" i="4"/>
  <c r="D1693" i="4" s="1"/>
  <c r="J1692" i="2"/>
  <c r="E1693" i="2"/>
  <c r="I1693" i="2" s="1"/>
  <c r="K1696" i="2" l="1"/>
  <c r="A1697" i="2"/>
  <c r="B1696" i="2"/>
  <c r="F1695" i="2"/>
  <c r="H1695" i="2" s="1"/>
  <c r="C1696" i="4" s="1"/>
  <c r="C1695" i="2"/>
  <c r="D1695" i="2" s="1"/>
  <c r="G1694" i="2"/>
  <c r="E1694" i="2"/>
  <c r="I1694" i="2" s="1"/>
  <c r="J1693" i="2"/>
  <c r="D1694" i="4"/>
  <c r="B1695" i="4" l="1"/>
  <c r="D1695" i="4" s="1"/>
  <c r="J1694" i="2"/>
  <c r="E1695" i="2"/>
  <c r="I1695" i="2" s="1"/>
  <c r="C1696" i="2"/>
  <c r="D1696" i="2" s="1"/>
  <c r="F1696" i="2"/>
  <c r="G1696" i="2" s="1"/>
  <c r="G1695" i="2"/>
  <c r="B1697" i="2"/>
  <c r="A1698" i="2"/>
  <c r="K1697" i="2"/>
  <c r="B1697" i="4" l="1"/>
  <c r="F1697" i="2"/>
  <c r="H1697" i="2" s="1"/>
  <c r="C1698" i="4" s="1"/>
  <c r="C1697" i="2"/>
  <c r="E1697" i="2" s="1"/>
  <c r="E1696" i="2"/>
  <c r="I1696" i="2" s="1"/>
  <c r="H1696" i="2"/>
  <c r="C1697" i="4" s="1"/>
  <c r="B1698" i="2"/>
  <c r="K1698" i="2"/>
  <c r="A1699" i="2"/>
  <c r="B1696" i="4"/>
  <c r="D1696" i="4" s="1"/>
  <c r="J1695" i="2"/>
  <c r="A1700" i="2" l="1"/>
  <c r="B1699" i="2"/>
  <c r="K1699" i="2"/>
  <c r="G1697" i="2"/>
  <c r="D1697" i="2"/>
  <c r="I1697" i="2" s="1"/>
  <c r="J1696" i="2"/>
  <c r="C1698" i="2"/>
  <c r="D1698" i="2" s="1"/>
  <c r="F1698" i="2"/>
  <c r="G1698" i="2" s="1"/>
  <c r="D1697" i="4"/>
  <c r="B1699" i="4" l="1"/>
  <c r="E1698" i="2"/>
  <c r="I1698" i="2" s="1"/>
  <c r="H1698" i="2"/>
  <c r="C1699" i="4" s="1"/>
  <c r="B1698" i="4"/>
  <c r="D1698" i="4" s="1"/>
  <c r="J1697" i="2"/>
  <c r="F1699" i="2"/>
  <c r="G1699" i="2" s="1"/>
  <c r="C1699" i="2"/>
  <c r="E1699" i="2" s="1"/>
  <c r="B1700" i="2"/>
  <c r="A1701" i="2"/>
  <c r="K1700" i="2"/>
  <c r="B1700" i="4" l="1"/>
  <c r="D1699" i="2"/>
  <c r="I1699" i="2" s="1"/>
  <c r="H1699" i="2"/>
  <c r="C1700" i="4" s="1"/>
  <c r="B1701" i="2"/>
  <c r="A1702" i="2"/>
  <c r="K1701" i="2"/>
  <c r="C1700" i="2"/>
  <c r="E1700" i="2" s="1"/>
  <c r="F1700" i="2"/>
  <c r="H1700" i="2" s="1"/>
  <c r="C1701" i="4" s="1"/>
  <c r="J1698" i="2"/>
  <c r="D1699" i="4"/>
  <c r="D1700" i="2" l="1"/>
  <c r="I1700" i="2" s="1"/>
  <c r="G1700" i="2"/>
  <c r="A1703" i="2"/>
  <c r="K1702" i="2"/>
  <c r="B1702" i="2"/>
  <c r="F1701" i="2"/>
  <c r="H1701" i="2" s="1"/>
  <c r="C1702" i="4" s="1"/>
  <c r="C1701" i="2"/>
  <c r="D1701" i="2" s="1"/>
  <c r="J1699" i="2"/>
  <c r="D1700" i="4"/>
  <c r="E1701" i="2" l="1"/>
  <c r="I1701" i="2" s="1"/>
  <c r="B1701" i="4"/>
  <c r="D1701" i="4" s="1"/>
  <c r="J1700" i="2"/>
  <c r="G1701" i="2"/>
  <c r="F1702" i="2"/>
  <c r="H1702" i="2" s="1"/>
  <c r="C1703" i="4" s="1"/>
  <c r="C1702" i="2"/>
  <c r="E1702" i="2" s="1"/>
  <c r="B1703" i="2"/>
  <c r="A1704" i="2"/>
  <c r="K1703" i="2"/>
  <c r="K1704" i="2" l="1"/>
  <c r="A1705" i="2"/>
  <c r="B1704" i="2"/>
  <c r="D1702" i="2"/>
  <c r="I1702" i="2" s="1"/>
  <c r="F1703" i="2"/>
  <c r="H1703" i="2" s="1"/>
  <c r="C1704" i="4" s="1"/>
  <c r="C1703" i="2"/>
  <c r="D1703" i="2" s="1"/>
  <c r="G1702" i="2"/>
  <c r="B1702" i="4"/>
  <c r="D1702" i="4" s="1"/>
  <c r="J1701" i="2"/>
  <c r="B1703" i="4" l="1"/>
  <c r="D1703" i="4" s="1"/>
  <c r="J1702" i="2"/>
  <c r="E1703" i="2"/>
  <c r="I1703" i="2" s="1"/>
  <c r="G1703" i="2"/>
  <c r="A1706" i="2"/>
  <c r="K1705" i="2"/>
  <c r="B1705" i="2"/>
  <c r="C1704" i="2"/>
  <c r="E1704" i="2" s="1"/>
  <c r="F1704" i="2"/>
  <c r="G1704" i="2" s="1"/>
  <c r="B1705" i="4" l="1"/>
  <c r="D1704" i="2"/>
  <c r="I1704" i="2" s="1"/>
  <c r="H1704" i="2"/>
  <c r="C1705" i="4" s="1"/>
  <c r="B1704" i="4"/>
  <c r="D1704" i="4" s="1"/>
  <c r="J1703" i="2"/>
  <c r="F1705" i="2"/>
  <c r="H1705" i="2" s="1"/>
  <c r="C1706" i="4" s="1"/>
  <c r="C1705" i="2"/>
  <c r="D1705" i="2" s="1"/>
  <c r="K1706" i="2"/>
  <c r="B1706" i="2"/>
  <c r="A1707" i="2"/>
  <c r="B1707" i="2" l="1"/>
  <c r="A1708" i="2"/>
  <c r="K1707" i="2"/>
  <c r="C1706" i="2"/>
  <c r="E1706" i="2" s="1"/>
  <c r="F1706" i="2"/>
  <c r="H1706" i="2" s="1"/>
  <c r="C1707" i="4" s="1"/>
  <c r="E1705" i="2"/>
  <c r="I1705" i="2" s="1"/>
  <c r="J1704" i="2"/>
  <c r="G1705" i="2"/>
  <c r="D1705" i="4"/>
  <c r="D1706" i="2" l="1"/>
  <c r="I1706" i="2" s="1"/>
  <c r="G1706" i="2"/>
  <c r="B1706" i="4"/>
  <c r="D1706" i="4" s="1"/>
  <c r="J1705" i="2"/>
  <c r="K1708" i="2"/>
  <c r="B1708" i="2"/>
  <c r="A1709" i="2"/>
  <c r="C1707" i="2"/>
  <c r="E1707" i="2" s="1"/>
  <c r="F1707" i="2"/>
  <c r="G1707" i="2" s="1"/>
  <c r="B1708" i="4" l="1"/>
  <c r="H1707" i="2"/>
  <c r="C1708" i="4" s="1"/>
  <c r="A1710" i="2"/>
  <c r="K1709" i="2"/>
  <c r="B1709" i="2"/>
  <c r="D1707" i="2"/>
  <c r="I1707" i="2" s="1"/>
  <c r="C1708" i="2"/>
  <c r="D1708" i="2" s="1"/>
  <c r="F1708" i="2"/>
  <c r="G1708" i="2" s="1"/>
  <c r="B1707" i="4"/>
  <c r="D1707" i="4" s="1"/>
  <c r="J1706" i="2"/>
  <c r="B1709" i="4" l="1"/>
  <c r="H1708" i="2"/>
  <c r="C1709" i="4" s="1"/>
  <c r="E1708" i="2"/>
  <c r="I1708" i="2" s="1"/>
  <c r="C1709" i="2"/>
  <c r="D1709" i="2" s="1"/>
  <c r="F1709" i="2"/>
  <c r="H1709" i="2" s="1"/>
  <c r="C1710" i="4" s="1"/>
  <c r="B1710" i="2"/>
  <c r="A1711" i="2"/>
  <c r="K1710" i="2"/>
  <c r="J1707" i="2"/>
  <c r="D1708" i="4"/>
  <c r="B1711" i="2" l="1"/>
  <c r="A1712" i="2"/>
  <c r="K1711" i="2"/>
  <c r="E1709" i="2"/>
  <c r="I1709" i="2" s="1"/>
  <c r="G1709" i="2"/>
  <c r="C1710" i="2"/>
  <c r="D1710" i="2" s="1"/>
  <c r="F1710" i="2"/>
  <c r="G1710" i="2" s="1"/>
  <c r="J1708" i="2"/>
  <c r="D1709" i="4"/>
  <c r="B1711" i="4" l="1"/>
  <c r="H1710" i="2"/>
  <c r="C1711" i="4" s="1"/>
  <c r="E1710" i="2"/>
  <c r="I1710" i="2" s="1"/>
  <c r="B1710" i="4"/>
  <c r="D1710" i="4" s="1"/>
  <c r="J1709" i="2"/>
  <c r="A1713" i="2"/>
  <c r="K1712" i="2"/>
  <c r="B1712" i="2"/>
  <c r="F1711" i="2"/>
  <c r="G1711" i="2" s="1"/>
  <c r="C1711" i="2"/>
  <c r="E1711" i="2" s="1"/>
  <c r="B1712" i="4" l="1"/>
  <c r="D1711" i="2"/>
  <c r="I1711" i="2" s="1"/>
  <c r="H1711" i="2"/>
  <c r="C1712" i="4" s="1"/>
  <c r="J1710" i="2"/>
  <c r="C1712" i="2"/>
  <c r="E1712" i="2" s="1"/>
  <c r="F1712" i="2"/>
  <c r="H1712" i="2" s="1"/>
  <c r="C1713" i="4" s="1"/>
  <c r="B1713" i="2"/>
  <c r="A1714" i="2"/>
  <c r="K1713" i="2"/>
  <c r="D1711" i="4"/>
  <c r="B1714" i="2" l="1"/>
  <c r="A1715" i="2"/>
  <c r="K1714" i="2"/>
  <c r="D1712" i="2"/>
  <c r="I1712" i="2" s="1"/>
  <c r="F1713" i="2"/>
  <c r="H1713" i="2" s="1"/>
  <c r="C1714" i="4" s="1"/>
  <c r="C1713" i="2"/>
  <c r="D1713" i="2" s="1"/>
  <c r="J1711" i="2"/>
  <c r="G1712" i="2"/>
  <c r="D1712" i="4"/>
  <c r="B1713" i="4" l="1"/>
  <c r="D1713" i="4" s="1"/>
  <c r="J1712" i="2"/>
  <c r="E1713" i="2"/>
  <c r="I1713" i="2" s="1"/>
  <c r="G1713" i="2"/>
  <c r="A1716" i="2"/>
  <c r="K1715" i="2"/>
  <c r="B1715" i="2"/>
  <c r="C1714" i="2"/>
  <c r="D1714" i="2" s="1"/>
  <c r="F1714" i="2"/>
  <c r="H1714" i="2" s="1"/>
  <c r="C1715" i="4" s="1"/>
  <c r="E1714" i="2" l="1"/>
  <c r="I1714" i="2" s="1"/>
  <c r="F1715" i="2"/>
  <c r="H1715" i="2" s="1"/>
  <c r="C1716" i="4" s="1"/>
  <c r="C1715" i="2"/>
  <c r="E1715" i="2" s="1"/>
  <c r="G1714" i="2"/>
  <c r="B1714" i="4"/>
  <c r="D1714" i="4" s="1"/>
  <c r="J1713" i="2"/>
  <c r="B1716" i="2"/>
  <c r="A1717" i="2"/>
  <c r="K1716" i="2"/>
  <c r="C1716" i="2" l="1"/>
  <c r="E1716" i="2" s="1"/>
  <c r="F1716" i="2"/>
  <c r="G1716" i="2" s="1"/>
  <c r="B1715" i="4"/>
  <c r="D1715" i="4" s="1"/>
  <c r="J1714" i="2"/>
  <c r="B1717" i="2"/>
  <c r="A1718" i="2"/>
  <c r="K1717" i="2"/>
  <c r="G1715" i="2"/>
  <c r="D1715" i="2"/>
  <c r="I1715" i="2" s="1"/>
  <c r="B1717" i="4" l="1"/>
  <c r="B1716" i="4"/>
  <c r="D1716" i="4" s="1"/>
  <c r="J1715" i="2"/>
  <c r="A1719" i="2"/>
  <c r="K1718" i="2"/>
  <c r="B1718" i="2"/>
  <c r="C1717" i="2"/>
  <c r="E1717" i="2" s="1"/>
  <c r="F1717" i="2"/>
  <c r="H1717" i="2" s="1"/>
  <c r="C1718" i="4" s="1"/>
  <c r="H1716" i="2"/>
  <c r="C1717" i="4" s="1"/>
  <c r="D1716" i="2"/>
  <c r="I1716" i="2" s="1"/>
  <c r="D1717" i="2" l="1"/>
  <c r="I1717" i="2" s="1"/>
  <c r="G1717" i="2"/>
  <c r="C1718" i="2"/>
  <c r="E1718" i="2" s="1"/>
  <c r="F1718" i="2"/>
  <c r="G1718" i="2" s="1"/>
  <c r="B1719" i="2"/>
  <c r="A1720" i="2"/>
  <c r="K1719" i="2"/>
  <c r="J1716" i="2"/>
  <c r="D1717" i="4"/>
  <c r="B1719" i="4" l="1"/>
  <c r="C1719" i="2"/>
  <c r="D1719" i="2" s="1"/>
  <c r="F1719" i="2"/>
  <c r="H1719" i="2" s="1"/>
  <c r="C1720" i="4" s="1"/>
  <c r="D1718" i="2"/>
  <c r="I1718" i="2" s="1"/>
  <c r="H1718" i="2"/>
  <c r="C1719" i="4" s="1"/>
  <c r="B1720" i="2"/>
  <c r="K1720" i="2"/>
  <c r="A1721" i="2"/>
  <c r="B1718" i="4"/>
  <c r="D1718" i="4" s="1"/>
  <c r="J1717" i="2"/>
  <c r="A1722" i="2" l="1"/>
  <c r="K1721" i="2"/>
  <c r="B1721" i="2"/>
  <c r="E1719" i="2"/>
  <c r="I1719" i="2" s="1"/>
  <c r="J1718" i="2"/>
  <c r="F1720" i="2"/>
  <c r="H1720" i="2" s="1"/>
  <c r="C1721" i="4" s="1"/>
  <c r="C1720" i="2"/>
  <c r="D1720" i="2" s="1"/>
  <c r="G1719" i="2"/>
  <c r="D1719" i="4"/>
  <c r="B1720" i="4" l="1"/>
  <c r="D1720" i="4" s="1"/>
  <c r="J1719" i="2"/>
  <c r="G1720" i="2"/>
  <c r="E1720" i="2"/>
  <c r="I1720" i="2" s="1"/>
  <c r="C1721" i="2"/>
  <c r="E1721" i="2" s="1"/>
  <c r="F1721" i="2"/>
  <c r="G1721" i="2" s="1"/>
  <c r="A1723" i="2"/>
  <c r="K1722" i="2"/>
  <c r="B1722" i="2"/>
  <c r="B1722" i="4" l="1"/>
  <c r="C1722" i="2"/>
  <c r="D1722" i="2" s="1"/>
  <c r="F1722" i="2"/>
  <c r="H1722" i="2" s="1"/>
  <c r="C1723" i="4" s="1"/>
  <c r="B1723" i="2"/>
  <c r="A1724" i="2"/>
  <c r="K1723" i="2"/>
  <c r="D1721" i="2"/>
  <c r="I1721" i="2" s="1"/>
  <c r="H1721" i="2"/>
  <c r="C1722" i="4" s="1"/>
  <c r="B1721" i="4"/>
  <c r="D1721" i="4" s="1"/>
  <c r="J1720" i="2"/>
  <c r="K1724" i="2" l="1"/>
  <c r="B1724" i="2"/>
  <c r="A1725" i="2"/>
  <c r="C1723" i="2"/>
  <c r="E1723" i="2" s="1"/>
  <c r="F1723" i="2"/>
  <c r="H1723" i="2" s="1"/>
  <c r="C1724" i="4" s="1"/>
  <c r="E1722" i="2"/>
  <c r="I1722" i="2" s="1"/>
  <c r="J1721" i="2"/>
  <c r="G1722" i="2"/>
  <c r="D1722" i="4"/>
  <c r="G1723" i="2" l="1"/>
  <c r="C1724" i="2"/>
  <c r="E1724" i="2" s="1"/>
  <c r="F1724" i="2"/>
  <c r="H1724" i="2" s="1"/>
  <c r="C1725" i="4" s="1"/>
  <c r="B1723" i="4"/>
  <c r="D1723" i="4" s="1"/>
  <c r="J1722" i="2"/>
  <c r="D1723" i="2"/>
  <c r="I1723" i="2" s="1"/>
  <c r="A1726" i="2"/>
  <c r="K1725" i="2"/>
  <c r="B1725" i="2"/>
  <c r="D1724" i="2" l="1"/>
  <c r="I1724" i="2" s="1"/>
  <c r="G1724" i="2"/>
  <c r="F1725" i="2"/>
  <c r="H1725" i="2" s="1"/>
  <c r="C1726" i="4" s="1"/>
  <c r="C1725" i="2"/>
  <c r="E1725" i="2" s="1"/>
  <c r="B1726" i="2"/>
  <c r="A1727" i="2"/>
  <c r="K1726" i="2"/>
  <c r="B1724" i="4"/>
  <c r="D1724" i="4" s="1"/>
  <c r="J1723" i="2"/>
  <c r="F1726" i="2" l="1"/>
  <c r="H1726" i="2" s="1"/>
  <c r="C1727" i="4" s="1"/>
  <c r="C1726" i="2"/>
  <c r="E1726" i="2" s="1"/>
  <c r="D1725" i="2"/>
  <c r="I1725" i="2" s="1"/>
  <c r="B1727" i="2"/>
  <c r="A1728" i="2"/>
  <c r="K1727" i="2"/>
  <c r="B1725" i="4"/>
  <c r="D1725" i="4" s="1"/>
  <c r="J1724" i="2"/>
  <c r="G1725" i="2"/>
  <c r="B1726" i="4" l="1"/>
  <c r="D1726" i="4" s="1"/>
  <c r="J1725" i="2"/>
  <c r="A1729" i="2"/>
  <c r="K1728" i="2"/>
  <c r="B1728" i="2"/>
  <c r="F1727" i="2"/>
  <c r="G1727" i="2" s="1"/>
  <c r="C1727" i="2"/>
  <c r="D1727" i="2" s="1"/>
  <c r="G1726" i="2"/>
  <c r="D1726" i="2"/>
  <c r="I1726" i="2" s="1"/>
  <c r="B1728" i="4" l="1"/>
  <c r="B1727" i="4"/>
  <c r="D1727" i="4" s="1"/>
  <c r="J1726" i="2"/>
  <c r="E1727" i="2"/>
  <c r="I1727" i="2" s="1"/>
  <c r="H1727" i="2"/>
  <c r="C1728" i="4" s="1"/>
  <c r="C1728" i="2"/>
  <c r="D1728" i="2" s="1"/>
  <c r="F1728" i="2"/>
  <c r="H1728" i="2" s="1"/>
  <c r="C1729" i="4" s="1"/>
  <c r="B1729" i="2"/>
  <c r="A1730" i="2"/>
  <c r="K1729" i="2"/>
  <c r="B1730" i="2" l="1"/>
  <c r="A1731" i="2"/>
  <c r="K1730" i="2"/>
  <c r="F1729" i="2"/>
  <c r="H1729" i="2" s="1"/>
  <c r="C1730" i="4" s="1"/>
  <c r="C1729" i="2"/>
  <c r="D1729" i="2" s="1"/>
  <c r="E1728" i="2"/>
  <c r="I1728" i="2" s="1"/>
  <c r="G1728" i="2"/>
  <c r="J1727" i="2"/>
  <c r="D1728" i="4"/>
  <c r="B1729" i="4" l="1"/>
  <c r="D1729" i="4" s="1"/>
  <c r="J1728" i="2"/>
  <c r="E1729" i="2"/>
  <c r="I1729" i="2" s="1"/>
  <c r="G1729" i="2"/>
  <c r="A1732" i="2"/>
  <c r="K1731" i="2"/>
  <c r="B1731" i="2"/>
  <c r="F1730" i="2"/>
  <c r="G1730" i="2" s="1"/>
  <c r="C1730" i="2"/>
  <c r="E1730" i="2" s="1"/>
  <c r="B1731" i="4" l="1"/>
  <c r="D1731" i="4" s="1"/>
  <c r="D1730" i="2"/>
  <c r="I1730" i="2" s="1"/>
  <c r="H1730" i="2"/>
  <c r="C1731" i="4" s="1"/>
  <c r="C1731" i="2"/>
  <c r="E1731" i="2" s="1"/>
  <c r="F1731" i="2"/>
  <c r="H1731" i="2" s="1"/>
  <c r="C1732" i="4" s="1"/>
  <c r="B1730" i="4"/>
  <c r="D1730" i="4" s="1"/>
  <c r="J1729" i="2"/>
  <c r="B1732" i="2"/>
  <c r="A1733" i="2"/>
  <c r="K1732" i="2"/>
  <c r="F1732" i="2" l="1"/>
  <c r="H1732" i="2" s="1"/>
  <c r="C1733" i="4" s="1"/>
  <c r="C1732" i="2"/>
  <c r="E1732" i="2" s="1"/>
  <c r="K1733" i="2"/>
  <c r="B1733" i="2"/>
  <c r="A1734" i="2"/>
  <c r="D1731" i="2"/>
  <c r="I1731" i="2" s="1"/>
  <c r="G1731" i="2"/>
  <c r="J1730" i="2"/>
  <c r="F1733" i="2" l="1"/>
  <c r="H1733" i="2" s="1"/>
  <c r="C1734" i="4" s="1"/>
  <c r="C1733" i="2"/>
  <c r="E1733" i="2" s="1"/>
  <c r="B1732" i="4"/>
  <c r="D1732" i="4" s="1"/>
  <c r="J1731" i="2"/>
  <c r="A1735" i="2"/>
  <c r="B1734" i="2"/>
  <c r="K1734" i="2"/>
  <c r="G1732" i="2"/>
  <c r="D1732" i="2"/>
  <c r="I1732" i="2" s="1"/>
  <c r="B1733" i="4" l="1"/>
  <c r="D1733" i="4" s="1"/>
  <c r="J1732" i="2"/>
  <c r="A1736" i="2"/>
  <c r="K1735" i="2"/>
  <c r="B1735" i="2"/>
  <c r="G1733" i="2"/>
  <c r="F1734" i="2"/>
  <c r="G1734" i="2" s="1"/>
  <c r="C1734" i="2"/>
  <c r="D1734" i="2" s="1"/>
  <c r="D1733" i="2"/>
  <c r="I1733" i="2" s="1"/>
  <c r="B1735" i="4" l="1"/>
  <c r="E1734" i="2"/>
  <c r="I1734" i="2" s="1"/>
  <c r="H1734" i="2"/>
  <c r="C1735" i="4" s="1"/>
  <c r="B1734" i="4"/>
  <c r="D1734" i="4" s="1"/>
  <c r="J1733" i="2"/>
  <c r="F1735" i="2"/>
  <c r="G1735" i="2" s="1"/>
  <c r="C1735" i="2"/>
  <c r="E1735" i="2" s="1"/>
  <c r="B1736" i="2"/>
  <c r="A1737" i="2"/>
  <c r="K1736" i="2"/>
  <c r="B1736" i="4" l="1"/>
  <c r="K1737" i="2"/>
  <c r="A1738" i="2"/>
  <c r="B1737" i="2"/>
  <c r="F1736" i="2"/>
  <c r="H1736" i="2" s="1"/>
  <c r="C1737" i="4" s="1"/>
  <c r="C1736" i="2"/>
  <c r="D1736" i="2" s="1"/>
  <c r="H1735" i="2"/>
  <c r="C1736" i="4" s="1"/>
  <c r="J1734" i="2"/>
  <c r="D1735" i="2"/>
  <c r="I1735" i="2" s="1"/>
  <c r="D1735" i="4"/>
  <c r="G1736" i="2" l="1"/>
  <c r="E1736" i="2"/>
  <c r="I1736" i="2" s="1"/>
  <c r="B1738" i="2"/>
  <c r="A1739" i="2"/>
  <c r="K1738" i="2"/>
  <c r="J1735" i="2"/>
  <c r="F1737" i="2"/>
  <c r="H1737" i="2" s="1"/>
  <c r="C1738" i="4" s="1"/>
  <c r="C1737" i="2"/>
  <c r="D1737" i="2" s="1"/>
  <c r="D1736" i="4"/>
  <c r="G1737" i="2" l="1"/>
  <c r="B1739" i="2"/>
  <c r="K1739" i="2"/>
  <c r="A1740" i="2"/>
  <c r="E1737" i="2"/>
  <c r="I1737" i="2" s="1"/>
  <c r="F1738" i="2"/>
  <c r="H1738" i="2" s="1"/>
  <c r="C1739" i="4" s="1"/>
  <c r="C1738" i="2"/>
  <c r="D1738" i="2" s="1"/>
  <c r="B1737" i="4"/>
  <c r="D1737" i="4" s="1"/>
  <c r="J1736" i="2"/>
  <c r="G1738" i="2" l="1"/>
  <c r="B1738" i="4"/>
  <c r="D1738" i="4" s="1"/>
  <c r="J1737" i="2"/>
  <c r="E1738" i="2"/>
  <c r="I1738" i="2" s="1"/>
  <c r="A1741" i="2"/>
  <c r="B1740" i="2"/>
  <c r="K1740" i="2"/>
  <c r="F1739" i="2"/>
  <c r="G1739" i="2" s="1"/>
  <c r="C1739" i="2"/>
  <c r="E1739" i="2" s="1"/>
  <c r="B1740" i="4" l="1"/>
  <c r="H1739" i="2"/>
  <c r="C1740" i="4" s="1"/>
  <c r="D1739" i="2"/>
  <c r="I1739" i="2" s="1"/>
  <c r="C1740" i="2"/>
  <c r="E1740" i="2" s="1"/>
  <c r="F1740" i="2"/>
  <c r="H1740" i="2" s="1"/>
  <c r="C1741" i="4" s="1"/>
  <c r="B1741" i="2"/>
  <c r="A1742" i="2"/>
  <c r="K1741" i="2"/>
  <c r="B1739" i="4"/>
  <c r="D1739" i="4" s="1"/>
  <c r="J1738" i="2"/>
  <c r="C1741" i="2" l="1"/>
  <c r="E1741" i="2" s="1"/>
  <c r="F1741" i="2"/>
  <c r="G1741" i="2" s="1"/>
  <c r="D1740" i="2"/>
  <c r="I1740" i="2" s="1"/>
  <c r="G1740" i="2"/>
  <c r="J1739" i="2"/>
  <c r="B1742" i="2"/>
  <c r="A1743" i="2"/>
  <c r="K1742" i="2"/>
  <c r="D1740" i="4"/>
  <c r="B1742" i="4" l="1"/>
  <c r="A1744" i="2"/>
  <c r="K1743" i="2"/>
  <c r="B1743" i="2"/>
  <c r="F1742" i="2"/>
  <c r="H1742" i="2" s="1"/>
  <c r="C1743" i="4" s="1"/>
  <c r="C1742" i="2"/>
  <c r="E1742" i="2" s="1"/>
  <c r="B1741" i="4"/>
  <c r="D1741" i="4" s="1"/>
  <c r="J1740" i="2"/>
  <c r="D1741" i="2"/>
  <c r="I1741" i="2" s="1"/>
  <c r="H1741" i="2"/>
  <c r="C1742" i="4" s="1"/>
  <c r="D1742" i="2" l="1"/>
  <c r="I1742" i="2" s="1"/>
  <c r="J1741" i="2"/>
  <c r="G1742" i="2"/>
  <c r="C1743" i="2"/>
  <c r="D1743" i="2" s="1"/>
  <c r="F1743" i="2"/>
  <c r="G1743" i="2" s="1"/>
  <c r="B1744" i="2"/>
  <c r="A1745" i="2"/>
  <c r="K1744" i="2"/>
  <c r="D1742" i="4"/>
  <c r="B1744" i="4" l="1"/>
  <c r="K1745" i="2"/>
  <c r="A1746" i="2"/>
  <c r="B1745" i="2"/>
  <c r="C1744" i="2"/>
  <c r="E1744" i="2" s="1"/>
  <c r="F1744" i="2"/>
  <c r="H1744" i="2" s="1"/>
  <c r="C1745" i="4" s="1"/>
  <c r="B1743" i="4"/>
  <c r="D1743" i="4" s="1"/>
  <c r="J1742" i="2"/>
  <c r="E1743" i="2"/>
  <c r="I1743" i="2" s="1"/>
  <c r="H1743" i="2"/>
  <c r="C1744" i="4" s="1"/>
  <c r="D1744" i="2" l="1"/>
  <c r="I1744" i="2" s="1"/>
  <c r="C1745" i="2"/>
  <c r="E1745" i="2" s="1"/>
  <c r="F1745" i="2"/>
  <c r="H1745" i="2" s="1"/>
  <c r="C1746" i="4" s="1"/>
  <c r="A1747" i="2"/>
  <c r="K1746" i="2"/>
  <c r="B1746" i="2"/>
  <c r="J1743" i="2"/>
  <c r="G1744" i="2"/>
  <c r="D1744" i="4"/>
  <c r="B1745" i="4" l="1"/>
  <c r="D1745" i="4" s="1"/>
  <c r="J1744" i="2"/>
  <c r="C1746" i="2"/>
  <c r="D1746" i="2" s="1"/>
  <c r="F1746" i="2"/>
  <c r="H1746" i="2" s="1"/>
  <c r="C1747" i="4" s="1"/>
  <c r="D1745" i="2"/>
  <c r="I1745" i="2" s="1"/>
  <c r="G1745" i="2"/>
  <c r="K1747" i="2"/>
  <c r="A1748" i="2"/>
  <c r="B1747" i="2"/>
  <c r="B1746" i="4" l="1"/>
  <c r="D1746" i="4" s="1"/>
  <c r="J1745" i="2"/>
  <c r="E1746" i="2"/>
  <c r="I1746" i="2" s="1"/>
  <c r="C1747" i="2"/>
  <c r="E1747" i="2" s="1"/>
  <c r="F1747" i="2"/>
  <c r="H1747" i="2" s="1"/>
  <c r="C1748" i="4" s="1"/>
  <c r="B1748" i="2"/>
  <c r="A1749" i="2"/>
  <c r="K1748" i="2"/>
  <c r="G1746" i="2"/>
  <c r="B1747" i="4" l="1"/>
  <c r="D1747" i="4" s="1"/>
  <c r="J1746" i="2"/>
  <c r="K1749" i="2"/>
  <c r="B1749" i="2"/>
  <c r="A1750" i="2"/>
  <c r="F1748" i="2"/>
  <c r="H1748" i="2" s="1"/>
  <c r="C1749" i="4" s="1"/>
  <c r="C1748" i="2"/>
  <c r="E1748" i="2" s="1"/>
  <c r="D1747" i="2"/>
  <c r="I1747" i="2" s="1"/>
  <c r="G1747" i="2"/>
  <c r="G1748" i="2" l="1"/>
  <c r="A1751" i="2"/>
  <c r="B1750" i="2"/>
  <c r="K1750" i="2"/>
  <c r="D1748" i="2"/>
  <c r="I1748" i="2" s="1"/>
  <c r="F1749" i="2"/>
  <c r="G1749" i="2" s="1"/>
  <c r="C1749" i="2"/>
  <c r="E1749" i="2" s="1"/>
  <c r="B1748" i="4"/>
  <c r="D1748" i="4" s="1"/>
  <c r="J1747" i="2"/>
  <c r="B1750" i="4" l="1"/>
  <c r="A1752" i="2"/>
  <c r="K1751" i="2"/>
  <c r="B1751" i="2"/>
  <c r="H1749" i="2"/>
  <c r="C1750" i="4" s="1"/>
  <c r="D1749" i="2"/>
  <c r="I1749" i="2" s="1"/>
  <c r="C1750" i="2"/>
  <c r="D1750" i="2" s="1"/>
  <c r="F1750" i="2"/>
  <c r="H1750" i="2" s="1"/>
  <c r="C1751" i="4" s="1"/>
  <c r="B1749" i="4"/>
  <c r="D1749" i="4" s="1"/>
  <c r="J1748" i="2"/>
  <c r="E1750" i="2" l="1"/>
  <c r="I1750" i="2" s="1"/>
  <c r="G1750" i="2"/>
  <c r="C1751" i="2"/>
  <c r="E1751" i="2" s="1"/>
  <c r="F1751" i="2"/>
  <c r="G1751" i="2" s="1"/>
  <c r="J1749" i="2"/>
  <c r="B1752" i="2"/>
  <c r="A1753" i="2"/>
  <c r="K1752" i="2"/>
  <c r="D1750" i="4"/>
  <c r="B1752" i="4" l="1"/>
  <c r="H1751" i="2"/>
  <c r="C1752" i="4" s="1"/>
  <c r="F1752" i="2"/>
  <c r="H1752" i="2" s="1"/>
  <c r="C1753" i="4" s="1"/>
  <c r="C1752" i="2"/>
  <c r="D1752" i="2" s="1"/>
  <c r="B1751" i="4"/>
  <c r="D1751" i="4" s="1"/>
  <c r="J1750" i="2"/>
  <c r="K1753" i="2"/>
  <c r="B1753" i="2"/>
  <c r="A1754" i="2"/>
  <c r="D1751" i="2"/>
  <c r="I1751" i="2" s="1"/>
  <c r="G1752" i="2" l="1"/>
  <c r="J1751" i="2"/>
  <c r="B1754" i="2"/>
  <c r="A1755" i="2"/>
  <c r="K1754" i="2"/>
  <c r="F1753" i="2"/>
  <c r="G1753" i="2" s="1"/>
  <c r="C1753" i="2"/>
  <c r="E1753" i="2" s="1"/>
  <c r="E1752" i="2"/>
  <c r="I1752" i="2" s="1"/>
  <c r="D1752" i="4"/>
  <c r="B1754" i="4" l="1"/>
  <c r="D1753" i="2"/>
  <c r="I1753" i="2" s="1"/>
  <c r="H1753" i="2"/>
  <c r="C1754" i="4" s="1"/>
  <c r="F1754" i="2"/>
  <c r="H1754" i="2" s="1"/>
  <c r="C1755" i="4" s="1"/>
  <c r="C1754" i="2"/>
  <c r="D1754" i="2" s="1"/>
  <c r="B1755" i="2"/>
  <c r="K1755" i="2"/>
  <c r="A1756" i="2"/>
  <c r="B1753" i="4"/>
  <c r="D1753" i="4" s="1"/>
  <c r="J1752" i="2"/>
  <c r="A1757" i="2" l="1"/>
  <c r="B1756" i="2"/>
  <c r="K1756" i="2"/>
  <c r="F1755" i="2"/>
  <c r="H1755" i="2" s="1"/>
  <c r="C1756" i="4" s="1"/>
  <c r="C1755" i="2"/>
  <c r="E1755" i="2" s="1"/>
  <c r="E1754" i="2"/>
  <c r="I1754" i="2" s="1"/>
  <c r="J1753" i="2"/>
  <c r="G1754" i="2"/>
  <c r="D1754" i="4"/>
  <c r="B1755" i="4" l="1"/>
  <c r="D1755" i="4" s="1"/>
  <c r="J1754" i="2"/>
  <c r="D1755" i="2"/>
  <c r="I1755" i="2" s="1"/>
  <c r="G1755" i="2"/>
  <c r="F1756" i="2"/>
  <c r="G1756" i="2" s="1"/>
  <c r="C1756" i="2"/>
  <c r="E1756" i="2" s="1"/>
  <c r="B1757" i="2"/>
  <c r="A1758" i="2"/>
  <c r="K1757" i="2"/>
  <c r="B1757" i="4" l="1"/>
  <c r="C1757" i="2"/>
  <c r="D1757" i="2" s="1"/>
  <c r="F1757" i="2"/>
  <c r="G1757" i="2" s="1"/>
  <c r="D1756" i="2"/>
  <c r="I1756" i="2" s="1"/>
  <c r="H1756" i="2"/>
  <c r="C1757" i="4" s="1"/>
  <c r="B1756" i="4"/>
  <c r="D1756" i="4" s="1"/>
  <c r="J1755" i="2"/>
  <c r="B1758" i="2"/>
  <c r="A1759" i="2"/>
  <c r="K1758" i="2"/>
  <c r="B1758" i="4" l="1"/>
  <c r="A1760" i="2"/>
  <c r="K1759" i="2"/>
  <c r="B1759" i="2"/>
  <c r="F1758" i="2"/>
  <c r="H1758" i="2" s="1"/>
  <c r="C1759" i="4" s="1"/>
  <c r="C1758" i="2"/>
  <c r="D1758" i="2" s="1"/>
  <c r="E1757" i="2"/>
  <c r="I1757" i="2" s="1"/>
  <c r="H1757" i="2"/>
  <c r="C1758" i="4" s="1"/>
  <c r="J1756" i="2"/>
  <c r="D1757" i="4"/>
  <c r="G1758" i="2" l="1"/>
  <c r="E1758" i="2"/>
  <c r="I1758" i="2" s="1"/>
  <c r="J1757" i="2"/>
  <c r="F1759" i="2"/>
  <c r="G1759" i="2" s="1"/>
  <c r="C1759" i="2"/>
  <c r="D1759" i="2" s="1"/>
  <c r="B1760" i="2"/>
  <c r="A1761" i="2"/>
  <c r="K1760" i="2"/>
  <c r="D1758" i="4"/>
  <c r="B1760" i="4" l="1"/>
  <c r="K1761" i="2"/>
  <c r="A1762" i="2"/>
  <c r="B1761" i="2"/>
  <c r="E1759" i="2"/>
  <c r="I1759" i="2" s="1"/>
  <c r="C1760" i="2"/>
  <c r="D1760" i="2" s="1"/>
  <c r="F1760" i="2"/>
  <c r="H1760" i="2" s="1"/>
  <c r="C1761" i="4" s="1"/>
  <c r="H1759" i="2"/>
  <c r="C1760" i="4" s="1"/>
  <c r="B1759" i="4"/>
  <c r="D1759" i="4" s="1"/>
  <c r="J1758" i="2"/>
  <c r="E1760" i="2" l="1"/>
  <c r="I1760" i="2" s="1"/>
  <c r="F1761" i="2"/>
  <c r="H1761" i="2" s="1"/>
  <c r="C1762" i="4" s="1"/>
  <c r="C1761" i="2"/>
  <c r="E1761" i="2" s="1"/>
  <c r="A1763" i="2"/>
  <c r="K1762" i="2"/>
  <c r="B1762" i="2"/>
  <c r="J1759" i="2"/>
  <c r="G1760" i="2"/>
  <c r="D1760" i="4"/>
  <c r="C1762" i="2" l="1"/>
  <c r="E1762" i="2" s="1"/>
  <c r="F1762" i="2"/>
  <c r="H1762" i="2" s="1"/>
  <c r="C1763" i="4" s="1"/>
  <c r="G1761" i="2"/>
  <c r="B1761" i="4"/>
  <c r="D1761" i="4" s="1"/>
  <c r="J1760" i="2"/>
  <c r="K1763" i="2"/>
  <c r="A1764" i="2"/>
  <c r="B1763" i="2"/>
  <c r="D1761" i="2"/>
  <c r="I1761" i="2" s="1"/>
  <c r="C1763" i="2" l="1"/>
  <c r="E1763" i="2" s="1"/>
  <c r="F1763" i="2"/>
  <c r="H1763" i="2" s="1"/>
  <c r="C1764" i="4" s="1"/>
  <c r="B1762" i="4"/>
  <c r="D1762" i="4" s="1"/>
  <c r="J1761" i="2"/>
  <c r="B1764" i="2"/>
  <c r="A1765" i="2"/>
  <c r="K1764" i="2"/>
  <c r="G1762" i="2"/>
  <c r="D1762" i="2"/>
  <c r="I1762" i="2" s="1"/>
  <c r="F1764" i="2" l="1"/>
  <c r="H1764" i="2" s="1"/>
  <c r="C1765" i="4" s="1"/>
  <c r="C1764" i="2"/>
  <c r="E1764" i="2" s="1"/>
  <c r="B1763" i="4"/>
  <c r="D1763" i="4" s="1"/>
  <c r="J1762" i="2"/>
  <c r="K1765" i="2"/>
  <c r="B1765" i="2"/>
  <c r="A1766" i="2"/>
  <c r="D1763" i="2"/>
  <c r="I1763" i="2" s="1"/>
  <c r="G1763" i="2"/>
  <c r="B1764" i="4" l="1"/>
  <c r="D1764" i="4" s="1"/>
  <c r="J1763" i="2"/>
  <c r="A1767" i="2"/>
  <c r="B1766" i="2"/>
  <c r="K1766" i="2"/>
  <c r="F1765" i="2"/>
  <c r="G1765" i="2" s="1"/>
  <c r="C1765" i="2"/>
  <c r="E1765" i="2" s="1"/>
  <c r="G1764" i="2"/>
  <c r="D1764" i="2"/>
  <c r="I1764" i="2" s="1"/>
  <c r="B1766" i="4" l="1"/>
  <c r="B1765" i="4"/>
  <c r="D1765" i="4" s="1"/>
  <c r="J1764" i="2"/>
  <c r="H1765" i="2"/>
  <c r="C1766" i="4" s="1"/>
  <c r="D1765" i="2"/>
  <c r="I1765" i="2" s="1"/>
  <c r="C1766" i="2"/>
  <c r="D1766" i="2" s="1"/>
  <c r="F1766" i="2"/>
  <c r="H1766" i="2" s="1"/>
  <c r="C1767" i="4" s="1"/>
  <c r="A1768" i="2"/>
  <c r="K1767" i="2"/>
  <c r="B1767" i="2"/>
  <c r="C1767" i="2" l="1"/>
  <c r="E1767" i="2" s="1"/>
  <c r="F1767" i="2"/>
  <c r="G1767" i="2" s="1"/>
  <c r="B1768" i="2"/>
  <c r="A1769" i="2"/>
  <c r="K1768" i="2"/>
  <c r="G1766" i="2"/>
  <c r="E1766" i="2"/>
  <c r="I1766" i="2" s="1"/>
  <c r="J1765" i="2"/>
  <c r="D1766" i="4"/>
  <c r="B1768" i="4" l="1"/>
  <c r="B1767" i="4"/>
  <c r="D1767" i="4" s="1"/>
  <c r="J1766" i="2"/>
  <c r="K1769" i="2"/>
  <c r="A1770" i="2"/>
  <c r="B1769" i="2"/>
  <c r="C1768" i="2"/>
  <c r="D1768" i="2" s="1"/>
  <c r="F1768" i="2"/>
  <c r="H1768" i="2" s="1"/>
  <c r="C1769" i="4" s="1"/>
  <c r="H1767" i="2"/>
  <c r="C1768" i="4" s="1"/>
  <c r="D1767" i="2"/>
  <c r="I1767" i="2" s="1"/>
  <c r="G1768" i="2" l="1"/>
  <c r="B1770" i="2"/>
  <c r="A1771" i="2"/>
  <c r="K1770" i="2"/>
  <c r="E1768" i="2"/>
  <c r="I1768" i="2" s="1"/>
  <c r="F1769" i="2"/>
  <c r="H1769" i="2" s="1"/>
  <c r="C1770" i="4" s="1"/>
  <c r="C1769" i="2"/>
  <c r="E1769" i="2" s="1"/>
  <c r="J1767" i="2"/>
  <c r="D1768" i="4"/>
  <c r="D1769" i="2" l="1"/>
  <c r="I1769" i="2" s="1"/>
  <c r="G1769" i="2"/>
  <c r="F1770" i="2"/>
  <c r="H1770" i="2" s="1"/>
  <c r="C1771" i="4" s="1"/>
  <c r="C1770" i="2"/>
  <c r="E1770" i="2" s="1"/>
  <c r="B1771" i="2"/>
  <c r="K1771" i="2"/>
  <c r="A1772" i="2"/>
  <c r="B1769" i="4"/>
  <c r="D1769" i="4" s="1"/>
  <c r="J1768" i="2"/>
  <c r="A1773" i="2" l="1"/>
  <c r="B1772" i="2"/>
  <c r="K1772" i="2"/>
  <c r="F1771" i="2"/>
  <c r="G1771" i="2" s="1"/>
  <c r="C1771" i="2"/>
  <c r="E1771" i="2" s="1"/>
  <c r="D1770" i="2"/>
  <c r="I1770" i="2" s="1"/>
  <c r="B1770" i="4"/>
  <c r="D1770" i="4" s="1"/>
  <c r="J1769" i="2"/>
  <c r="G1770" i="2"/>
  <c r="B1772" i="4" l="1"/>
  <c r="B1771" i="4"/>
  <c r="D1771" i="4" s="1"/>
  <c r="J1770" i="2"/>
  <c r="H1771" i="2"/>
  <c r="C1772" i="4" s="1"/>
  <c r="D1771" i="2"/>
  <c r="I1771" i="2" s="1"/>
  <c r="F1772" i="2"/>
  <c r="H1772" i="2" s="1"/>
  <c r="C1773" i="4" s="1"/>
  <c r="C1772" i="2"/>
  <c r="E1772" i="2" s="1"/>
  <c r="B1773" i="2"/>
  <c r="A1774" i="2"/>
  <c r="K1773" i="2"/>
  <c r="B1774" i="2" l="1"/>
  <c r="A1775" i="2"/>
  <c r="K1774" i="2"/>
  <c r="D1772" i="2"/>
  <c r="I1772" i="2" s="1"/>
  <c r="G1772" i="2"/>
  <c r="F1773" i="2"/>
  <c r="G1773" i="2" s="1"/>
  <c r="C1773" i="2"/>
  <c r="D1773" i="2" s="1"/>
  <c r="J1771" i="2"/>
  <c r="D1772" i="4"/>
  <c r="B1774" i="4" l="1"/>
  <c r="H1773" i="2"/>
  <c r="C1774" i="4" s="1"/>
  <c r="E1773" i="2"/>
  <c r="I1773" i="2" s="1"/>
  <c r="B1773" i="4"/>
  <c r="D1773" i="4" s="1"/>
  <c r="J1772" i="2"/>
  <c r="A1776" i="2"/>
  <c r="K1775" i="2"/>
  <c r="B1775" i="2"/>
  <c r="F1774" i="2"/>
  <c r="G1774" i="2" s="1"/>
  <c r="C1774" i="2"/>
  <c r="D1774" i="2" s="1"/>
  <c r="B1775" i="4" l="1"/>
  <c r="E1774" i="2"/>
  <c r="I1774" i="2" s="1"/>
  <c r="F1775" i="2"/>
  <c r="G1775" i="2" s="1"/>
  <c r="C1775" i="2"/>
  <c r="E1775" i="2" s="1"/>
  <c r="H1774" i="2"/>
  <c r="C1775" i="4" s="1"/>
  <c r="J1773" i="2"/>
  <c r="B1776" i="2"/>
  <c r="A1777" i="2"/>
  <c r="K1776" i="2"/>
  <c r="D1774" i="4"/>
  <c r="B1776" i="4" l="1"/>
  <c r="K1777" i="2"/>
  <c r="A1778" i="2"/>
  <c r="B1777" i="2"/>
  <c r="C1776" i="2"/>
  <c r="D1776" i="2" s="1"/>
  <c r="F1776" i="2"/>
  <c r="G1776" i="2" s="1"/>
  <c r="H1775" i="2"/>
  <c r="C1776" i="4" s="1"/>
  <c r="D1775" i="2"/>
  <c r="I1775" i="2" s="1"/>
  <c r="J1774" i="2"/>
  <c r="D1775" i="4"/>
  <c r="B1777" i="4" l="1"/>
  <c r="H1776" i="2"/>
  <c r="C1777" i="4" s="1"/>
  <c r="E1776" i="2"/>
  <c r="I1776" i="2" s="1"/>
  <c r="F1777" i="2"/>
  <c r="H1777" i="2" s="1"/>
  <c r="C1778" i="4" s="1"/>
  <c r="C1777" i="2"/>
  <c r="E1777" i="2" s="1"/>
  <c r="A1779" i="2"/>
  <c r="K1778" i="2"/>
  <c r="B1778" i="2"/>
  <c r="J1775" i="2"/>
  <c r="D1776" i="4"/>
  <c r="C1778" i="2" l="1"/>
  <c r="E1778" i="2" s="1"/>
  <c r="F1778" i="2"/>
  <c r="H1778" i="2" s="1"/>
  <c r="C1779" i="4" s="1"/>
  <c r="K1779" i="2"/>
  <c r="A1780" i="2"/>
  <c r="B1779" i="2"/>
  <c r="D1777" i="2"/>
  <c r="I1777" i="2" s="1"/>
  <c r="G1777" i="2"/>
  <c r="J1776" i="2"/>
  <c r="D1777" i="4"/>
  <c r="C1779" i="2" l="1"/>
  <c r="E1779" i="2" s="1"/>
  <c r="F1779" i="2"/>
  <c r="H1779" i="2" s="1"/>
  <c r="C1780" i="4" s="1"/>
  <c r="B1778" i="4"/>
  <c r="D1778" i="4" s="1"/>
  <c r="J1777" i="2"/>
  <c r="B1780" i="2"/>
  <c r="A1781" i="2"/>
  <c r="K1780" i="2"/>
  <c r="G1778" i="2"/>
  <c r="D1778" i="2"/>
  <c r="I1778" i="2" s="1"/>
  <c r="K1781" i="2" l="1"/>
  <c r="B1781" i="2"/>
  <c r="A1782" i="2"/>
  <c r="B1779" i="4"/>
  <c r="D1779" i="4" s="1"/>
  <c r="J1778" i="2"/>
  <c r="C1780" i="2"/>
  <c r="D1780" i="2" s="1"/>
  <c r="F1780" i="2"/>
  <c r="H1780" i="2" s="1"/>
  <c r="C1781" i="4" s="1"/>
  <c r="D1779" i="2"/>
  <c r="I1779" i="2" s="1"/>
  <c r="G1779" i="2"/>
  <c r="B1780" i="4" l="1"/>
  <c r="D1780" i="4" s="1"/>
  <c r="J1779" i="2"/>
  <c r="E1780" i="2"/>
  <c r="I1780" i="2" s="1"/>
  <c r="G1780" i="2"/>
  <c r="F1781" i="2"/>
  <c r="H1781" i="2" s="1"/>
  <c r="C1782" i="4" s="1"/>
  <c r="C1781" i="2"/>
  <c r="D1781" i="2" s="1"/>
  <c r="A1783" i="2"/>
  <c r="B1782" i="2"/>
  <c r="K1782" i="2"/>
  <c r="B1783" i="2" l="1"/>
  <c r="A1784" i="2"/>
  <c r="K1783" i="2"/>
  <c r="E1781" i="2"/>
  <c r="I1781" i="2" s="1"/>
  <c r="C1782" i="2"/>
  <c r="D1782" i="2" s="1"/>
  <c r="F1782" i="2"/>
  <c r="G1782" i="2" s="1"/>
  <c r="B1781" i="4"/>
  <c r="D1781" i="4" s="1"/>
  <c r="J1780" i="2"/>
  <c r="G1781" i="2"/>
  <c r="B1783" i="4" l="1"/>
  <c r="B1782" i="4"/>
  <c r="D1782" i="4" s="1"/>
  <c r="J1781" i="2"/>
  <c r="E1782" i="2"/>
  <c r="I1782" i="2" s="1"/>
  <c r="H1782" i="2"/>
  <c r="C1783" i="4" s="1"/>
  <c r="B1784" i="2"/>
  <c r="A1785" i="2"/>
  <c r="K1784" i="2"/>
  <c r="C1783" i="2"/>
  <c r="E1783" i="2" s="1"/>
  <c r="F1783" i="2"/>
  <c r="G1783" i="2" s="1"/>
  <c r="B1784" i="4" l="1"/>
  <c r="D1784" i="4" s="1"/>
  <c r="H1783" i="2"/>
  <c r="C1784" i="4" s="1"/>
  <c r="D1783" i="2"/>
  <c r="I1783" i="2" s="1"/>
  <c r="A1786" i="2"/>
  <c r="K1785" i="2"/>
  <c r="B1785" i="2"/>
  <c r="J1782" i="2"/>
  <c r="F1784" i="2"/>
  <c r="H1784" i="2" s="1"/>
  <c r="C1785" i="4" s="1"/>
  <c r="C1784" i="2"/>
  <c r="E1784" i="2" s="1"/>
  <c r="D1783" i="4"/>
  <c r="G1784" i="2" l="1"/>
  <c r="D1784" i="2"/>
  <c r="I1784" i="2" s="1"/>
  <c r="F1785" i="2"/>
  <c r="G1785" i="2" s="1"/>
  <c r="C1785" i="2"/>
  <c r="D1785" i="2" s="1"/>
  <c r="B1786" i="2"/>
  <c r="A1787" i="2"/>
  <c r="K1786" i="2"/>
  <c r="J1783" i="2"/>
  <c r="B1786" i="4" l="1"/>
  <c r="F1786" i="2"/>
  <c r="H1786" i="2" s="1"/>
  <c r="C1787" i="4" s="1"/>
  <c r="C1786" i="2"/>
  <c r="D1786" i="2" s="1"/>
  <c r="E1785" i="2"/>
  <c r="I1785" i="2" s="1"/>
  <c r="H1785" i="2"/>
  <c r="C1786" i="4" s="1"/>
  <c r="B1787" i="2"/>
  <c r="K1787" i="2"/>
  <c r="A1788" i="2"/>
  <c r="B1785" i="4"/>
  <c r="D1785" i="4" s="1"/>
  <c r="J1784" i="2"/>
  <c r="C1787" i="2" l="1"/>
  <c r="E1787" i="2" s="1"/>
  <c r="F1787" i="2"/>
  <c r="H1787" i="2" s="1"/>
  <c r="C1788" i="4" s="1"/>
  <c r="E1786" i="2"/>
  <c r="I1786" i="2" s="1"/>
  <c r="A1789" i="2"/>
  <c r="K1788" i="2"/>
  <c r="B1788" i="2"/>
  <c r="G1786" i="2"/>
  <c r="J1785" i="2"/>
  <c r="D1786" i="4"/>
  <c r="B1787" i="4" l="1"/>
  <c r="D1787" i="4" s="1"/>
  <c r="J1786" i="2"/>
  <c r="D1787" i="2"/>
  <c r="I1787" i="2" s="1"/>
  <c r="F1788" i="2"/>
  <c r="H1788" i="2" s="1"/>
  <c r="C1789" i="4" s="1"/>
  <c r="C1788" i="2"/>
  <c r="E1788" i="2" s="1"/>
  <c r="B1789" i="2"/>
  <c r="A1790" i="2"/>
  <c r="K1789" i="2"/>
  <c r="G1787" i="2"/>
  <c r="B1790" i="2" l="1"/>
  <c r="A1791" i="2"/>
  <c r="K1790" i="2"/>
  <c r="F1789" i="2"/>
  <c r="H1789" i="2" s="1"/>
  <c r="C1790" i="4" s="1"/>
  <c r="C1789" i="2"/>
  <c r="E1789" i="2" s="1"/>
  <c r="B1788" i="4"/>
  <c r="D1788" i="4" s="1"/>
  <c r="J1787" i="2"/>
  <c r="D1788" i="2"/>
  <c r="I1788" i="2" s="1"/>
  <c r="G1788" i="2"/>
  <c r="B1789" i="4" l="1"/>
  <c r="D1789" i="4" s="1"/>
  <c r="J1788" i="2"/>
  <c r="D1789" i="2"/>
  <c r="I1789" i="2" s="1"/>
  <c r="G1789" i="2"/>
  <c r="A1792" i="2"/>
  <c r="K1791" i="2"/>
  <c r="B1791" i="2"/>
  <c r="C1790" i="2"/>
  <c r="E1790" i="2" s="1"/>
  <c r="F1790" i="2"/>
  <c r="G1790" i="2" s="1"/>
  <c r="B1791" i="4" l="1"/>
  <c r="H1790" i="2"/>
  <c r="C1791" i="4" s="1"/>
  <c r="C1791" i="2"/>
  <c r="E1791" i="2" s="1"/>
  <c r="F1791" i="2"/>
  <c r="G1791" i="2" s="1"/>
  <c r="B1792" i="2"/>
  <c r="A1793" i="2"/>
  <c r="K1792" i="2"/>
  <c r="D1790" i="2"/>
  <c r="I1790" i="2" s="1"/>
  <c r="B1790" i="4"/>
  <c r="D1790" i="4" s="1"/>
  <c r="J1789" i="2"/>
  <c r="B1792" i="4" l="1"/>
  <c r="F1792" i="2"/>
  <c r="H1792" i="2" s="1"/>
  <c r="C1793" i="4" s="1"/>
  <c r="C1792" i="2"/>
  <c r="E1792" i="2" s="1"/>
  <c r="H1791" i="2"/>
  <c r="C1792" i="4" s="1"/>
  <c r="D1791" i="2"/>
  <c r="I1791" i="2" s="1"/>
  <c r="J1790" i="2"/>
  <c r="A1794" i="2"/>
  <c r="K1793" i="2"/>
  <c r="B1793" i="2"/>
  <c r="D1791" i="4"/>
  <c r="F1793" i="2" l="1"/>
  <c r="G1793" i="2" s="1"/>
  <c r="C1793" i="2"/>
  <c r="D1793" i="2" s="1"/>
  <c r="A1795" i="2"/>
  <c r="K1794" i="2"/>
  <c r="B1794" i="2"/>
  <c r="D1792" i="2"/>
  <c r="I1792" i="2" s="1"/>
  <c r="J1791" i="2"/>
  <c r="G1792" i="2"/>
  <c r="D1792" i="4"/>
  <c r="B1794" i="4" l="1"/>
  <c r="C1794" i="2"/>
  <c r="D1794" i="2" s="1"/>
  <c r="F1794" i="2"/>
  <c r="H1794" i="2" s="1"/>
  <c r="C1795" i="4" s="1"/>
  <c r="K1795" i="2"/>
  <c r="A1796" i="2"/>
  <c r="B1795" i="2"/>
  <c r="B1793" i="4"/>
  <c r="D1793" i="4" s="1"/>
  <c r="J1792" i="2"/>
  <c r="E1793" i="2"/>
  <c r="I1793" i="2" s="1"/>
  <c r="H1793" i="2"/>
  <c r="C1794" i="4" s="1"/>
  <c r="B1796" i="2" l="1"/>
  <c r="A1797" i="2"/>
  <c r="K1796" i="2"/>
  <c r="F1795" i="2"/>
  <c r="G1795" i="2" s="1"/>
  <c r="C1795" i="2"/>
  <c r="D1795" i="2" s="1"/>
  <c r="G1794" i="2"/>
  <c r="E1794" i="2"/>
  <c r="I1794" i="2" s="1"/>
  <c r="J1793" i="2"/>
  <c r="D1794" i="4"/>
  <c r="I1795" i="2" l="1"/>
  <c r="B1796" i="4"/>
  <c r="E1795" i="2"/>
  <c r="H1795" i="2"/>
  <c r="C1796" i="4" s="1"/>
  <c r="B1795" i="4"/>
  <c r="D1795" i="4" s="1"/>
  <c r="J1794" i="2"/>
  <c r="K1797" i="2"/>
  <c r="B1797" i="2"/>
  <c r="A1798" i="2"/>
  <c r="C1796" i="2"/>
  <c r="D1796" i="2" s="1"/>
  <c r="F1796" i="2"/>
  <c r="G1796" i="2" s="1"/>
  <c r="B1797" i="4" l="1"/>
  <c r="H1796" i="2"/>
  <c r="C1797" i="4" s="1"/>
  <c r="A1799" i="2"/>
  <c r="K1798" i="2"/>
  <c r="B1798" i="2"/>
  <c r="E1796" i="2"/>
  <c r="I1796" i="2" s="1"/>
  <c r="J1795" i="2"/>
  <c r="F1797" i="2"/>
  <c r="H1797" i="2" s="1"/>
  <c r="C1798" i="4" s="1"/>
  <c r="C1797" i="2"/>
  <c r="E1797" i="2" s="1"/>
  <c r="D1796" i="4"/>
  <c r="G1797" i="2" l="1"/>
  <c r="C1798" i="2"/>
  <c r="E1798" i="2" s="1"/>
  <c r="F1798" i="2"/>
  <c r="G1798" i="2" s="1"/>
  <c r="D1797" i="2"/>
  <c r="I1797" i="2" s="1"/>
  <c r="B1799" i="2"/>
  <c r="A1800" i="2"/>
  <c r="K1799" i="2"/>
  <c r="J1796" i="2"/>
  <c r="D1797" i="4"/>
  <c r="B1799" i="4" l="1"/>
  <c r="F1799" i="2"/>
  <c r="H1799" i="2" s="1"/>
  <c r="C1800" i="4" s="1"/>
  <c r="C1799" i="2"/>
  <c r="E1799" i="2" s="1"/>
  <c r="D1798" i="2"/>
  <c r="I1798" i="2" s="1"/>
  <c r="H1798" i="2"/>
  <c r="C1799" i="4" s="1"/>
  <c r="B1800" i="2"/>
  <c r="A1801" i="2"/>
  <c r="K1800" i="2"/>
  <c r="B1798" i="4"/>
  <c r="D1798" i="4" s="1"/>
  <c r="J1797" i="2"/>
  <c r="A1802" i="2" l="1"/>
  <c r="K1801" i="2"/>
  <c r="B1801" i="2"/>
  <c r="D1799" i="2"/>
  <c r="I1799" i="2" s="1"/>
  <c r="J1798" i="2"/>
  <c r="F1800" i="2"/>
  <c r="H1800" i="2" s="1"/>
  <c r="C1801" i="4" s="1"/>
  <c r="C1800" i="2"/>
  <c r="E1800" i="2" s="1"/>
  <c r="G1799" i="2"/>
  <c r="D1799" i="4"/>
  <c r="B1800" i="4" l="1"/>
  <c r="D1800" i="4" s="1"/>
  <c r="J1799" i="2"/>
  <c r="D1800" i="2"/>
  <c r="I1800" i="2" s="1"/>
  <c r="G1800" i="2"/>
  <c r="F1801" i="2"/>
  <c r="G1801" i="2" s="1"/>
  <c r="C1801" i="2"/>
  <c r="E1801" i="2" s="1"/>
  <c r="B1802" i="2"/>
  <c r="A1803" i="2"/>
  <c r="K1802" i="2"/>
  <c r="B1802" i="4" l="1"/>
  <c r="C1802" i="2"/>
  <c r="D1802" i="2" s="1"/>
  <c r="F1802" i="2"/>
  <c r="H1802" i="2" s="1"/>
  <c r="C1803" i="4" s="1"/>
  <c r="H1801" i="2"/>
  <c r="C1802" i="4" s="1"/>
  <c r="B1803" i="2"/>
  <c r="A1804" i="2"/>
  <c r="K1803" i="2"/>
  <c r="D1801" i="2"/>
  <c r="I1801" i="2" s="1"/>
  <c r="B1801" i="4"/>
  <c r="D1801" i="4" s="1"/>
  <c r="J1800" i="2"/>
  <c r="C1803" i="2" l="1"/>
  <c r="E1803" i="2" s="1"/>
  <c r="F1803" i="2"/>
  <c r="H1803" i="2" s="1"/>
  <c r="C1804" i="4" s="1"/>
  <c r="G1802" i="2"/>
  <c r="J1801" i="2"/>
  <c r="A1805" i="2"/>
  <c r="K1804" i="2"/>
  <c r="B1804" i="2"/>
  <c r="E1802" i="2"/>
  <c r="I1802" i="2" s="1"/>
  <c r="D1802" i="4"/>
  <c r="C1804" i="2" l="1"/>
  <c r="D1804" i="2" s="1"/>
  <c r="F1804" i="2"/>
  <c r="H1804" i="2" s="1"/>
  <c r="C1805" i="4" s="1"/>
  <c r="B1803" i="4"/>
  <c r="D1803" i="4" s="1"/>
  <c r="J1802" i="2"/>
  <c r="B1805" i="2"/>
  <c r="K1805" i="2"/>
  <c r="N14" i="2" s="1"/>
  <c r="N22" i="2" s="1"/>
  <c r="N15" i="2"/>
  <c r="D1803" i="2"/>
  <c r="I1803" i="2" s="1"/>
  <c r="G1803" i="2"/>
  <c r="B1804" i="4" l="1"/>
  <c r="D1804" i="4" s="1"/>
  <c r="J1803" i="2"/>
  <c r="E1804" i="2"/>
  <c r="I1804" i="2" s="1"/>
  <c r="C1805" i="2"/>
  <c r="E1805" i="2" s="1"/>
  <c r="F1805" i="2"/>
  <c r="G1805" i="2" s="1"/>
  <c r="G1804" i="2"/>
  <c r="B1806" i="4" l="1"/>
  <c r="B1805" i="4"/>
  <c r="D1805" i="4" s="1"/>
  <c r="J1804" i="2"/>
  <c r="D1805" i="2"/>
  <c r="I1805" i="2" s="1"/>
  <c r="H1805" i="2"/>
  <c r="C1806" i="4" s="1"/>
  <c r="N6" i="2" l="1"/>
  <c r="N19" i="2" s="1"/>
  <c r="N5" i="2"/>
  <c r="N18" i="2" s="1"/>
  <c r="N7" i="2"/>
  <c r="N20" i="2" s="1"/>
  <c r="N13" i="2"/>
  <c r="N21" i="2" s="1"/>
  <c r="J1805" i="2"/>
  <c r="D1806" i="4"/>
  <c r="N12" i="2" l="1"/>
  <c r="N11" i="2"/>
</calcChain>
</file>

<file path=xl/sharedStrings.xml><?xml version="1.0" encoding="utf-8"?>
<sst xmlns="http://schemas.openxmlformats.org/spreadsheetml/2006/main" count="349" uniqueCount="311">
  <si>
    <t>사이클로이드 감속기 설계 입력</t>
  </si>
  <si>
    <t>노란 셀만 입력하세요. 회색 셀은 자동 계산됩니다.</t>
  </si>
  <si>
    <t>기본 설계 파라미터  (논문 A Fig.3)</t>
  </si>
  <si>
    <t>핀 중심원 반경</t>
  </si>
  <si>
    <t>mm</t>
  </si>
  <si>
    <t>핀들의 중심이 놓인 원의 반경. 감속기 외형 크기를 결정</t>
  </si>
  <si>
    <t>r_p</t>
  </si>
  <si>
    <t>핀 반경</t>
  </si>
  <si>
    <t>핀 하나의 반경. 논문 A의 등거리(equidistant) q</t>
  </si>
  <si>
    <t>r_rp</t>
  </si>
  <si>
    <t>편심량</t>
  </si>
  <si>
    <t>입력축 편심. 꽃잎 깊이 = 2a</t>
  </si>
  <si>
    <t>a</t>
  </si>
  <si>
    <t>사이클로이드 이빨 수</t>
  </si>
  <si>
    <t>개</t>
  </si>
  <si>
    <t>감속비와 동일. 이 값이 곧 1단 감속비</t>
  </si>
  <si>
    <t>z_c</t>
  </si>
  <si>
    <t>기어 폭</t>
  </si>
  <si>
    <t>축방향 두께. 접촉 길이로 쓰임</t>
  </si>
  <si>
    <t>b_c</t>
  </si>
  <si>
    <t>이빨당 계산 점 수</t>
  </si>
  <si>
    <t>논문 A 기본값 95. 이빨 하나 윤곽의 해상도</t>
  </si>
  <si>
    <t>k</t>
  </si>
  <si>
    <t>전체윤곽 각 스텝</t>
  </si>
  <si>
    <t>deg</t>
  </si>
  <si>
    <t>작을수록 정밀. 0.2도면 1800점 (논문 A 값)</t>
  </si>
  <si>
    <t>dphi_out</t>
  </si>
  <si>
    <t>유도 파라미터  (논문 A Fig.4 / 자동 계산)</t>
  </si>
  <si>
    <t>핀 개수</t>
  </si>
  <si>
    <t>z_p = z_c + 1  &lt;- 이빨은 항상 핀보다 1개 적다</t>
  </si>
  <si>
    <t>z_p</t>
  </si>
  <si>
    <t>단폭 계수</t>
  </si>
  <si>
    <t>-</t>
  </si>
  <si>
    <t>K1 = a*z_p/r_p  형상 무차원수. 권장 0.5~0.9</t>
  </si>
  <si>
    <t>K_1</t>
  </si>
  <si>
    <t>상대 전달비</t>
  </si>
  <si>
    <t>i_H = z_p/z_c   논문 B 수식에 쓰임</t>
  </si>
  <si>
    <t>i_H</t>
  </si>
  <si>
    <t>감속비</t>
  </si>
  <si>
    <t>: 1</t>
  </si>
  <si>
    <t>z_c 와 같음. 크랭크축 z_c회전 -&gt; 출력 1회전</t>
  </si>
  <si>
    <t>i</t>
  </si>
  <si>
    <t>Q (논문 A)</t>
  </si>
  <si>
    <t>Q = a*z_p  논문 A Shin&amp;Kwon 계수</t>
  </si>
  <si>
    <t>Q</t>
  </si>
  <si>
    <t>이빨하나 각 스텝</t>
  </si>
  <si>
    <t>dphi = 360/(z_c*k)   논문 A: 0.344498</t>
  </si>
  <si>
    <t>dphi_lobe</t>
  </si>
  <si>
    <t>설계 조건 검증  (통과해야 제작 가능)</t>
  </si>
  <si>
    <t>구동 성립 조건</t>
  </si>
  <si>
    <t>r_p/(a*z_p) &gt; 1  이것이 깨지면 치형이 자기교차하여 형상 자체가 성립하지 않음</t>
  </si>
  <si>
    <t>단폭계수 범위</t>
  </si>
  <si>
    <t>K1 = a*z_p/r_p.  1 이상이면 불성립, 너무 작으면 이빨이 얕아 감속효율 저하</t>
  </si>
  <si>
    <t>오프셋 성립</t>
  </si>
  <si>
    <t>핀 반경이 치형 최소 곡률반경보다 크면 등거리 곡선이 파괴됨</t>
  </si>
  <si>
    <t>이빨 끝 반경</t>
  </si>
  <si>
    <t>참고값</t>
  </si>
  <si>
    <t>r_p - r_rp + a   치형 최대 반경 (계산 검산용)</t>
  </si>
  <si>
    <t>이빨 골 반경</t>
  </si>
  <si>
    <t>r_p - r_rp - a   치형 최소 반경.  꽃잎 깊이는 2a</t>
  </si>
  <si>
    <t>치형 수정 계수  (논문 B / 실제 제작에 필수)</t>
  </si>
  <si>
    <t>표준 치형은 틈새가 0이므로 조립·윤활·오차보상이 불가합니다. 반드시 수정해야 합니다.</t>
  </si>
  <si>
    <t>반경 틈새 총량</t>
  </si>
  <si>
    <t>조립·윤활 요구가 정하는 값. 논문 B는 0.005mm 사용</t>
  </si>
  <si>
    <t>dr</t>
  </si>
  <si>
    <t>핀위치 수정</t>
  </si>
  <si>
    <t>음수여야 함. 이빨 끝·뿌리에 틈 생성. 논문 B Case a 값</t>
  </si>
  <si>
    <t>d_rp</t>
  </si>
  <si>
    <t>핀반경 수정</t>
  </si>
  <si>
    <t>양수여야 함. 이빨 측면에 틈 생성. 논문 B Case a 값</t>
  </si>
  <si>
    <t>d_rrp</t>
  </si>
  <si>
    <t>경험식 권장값 (참고)</t>
  </si>
  <si>
    <t xml:space="preserve">  d_rrp (경험식)</t>
  </si>
  <si>
    <t>논문 B 식(18).  Song 예제에서 0.0157</t>
  </si>
  <si>
    <t xml:space="preserve">  d_rp (경험식)</t>
  </si>
  <si>
    <t>논문 B 식(19).  Song 예제에서 -0.0107</t>
  </si>
  <si>
    <t>수정계수 합 검증</t>
  </si>
  <si>
    <t>d_rp + d_rrp = dr 이어야 함.  논문 B Case b는 이 제약을 위반(0.0059)</t>
  </si>
  <si>
    <t>수정 후 K1</t>
  </si>
  <si>
    <t>핀위치 수정 시 K1 갱신 필수 (논문 B 명시). 이 값이 수정치형 계산에 쓰임</t>
  </si>
  <si>
    <t>성능 계산용 입력  (파이썬 solver 가 읽습니다)</t>
  </si>
  <si>
    <t>출력 토크 T</t>
  </si>
  <si>
    <t>N.m</t>
  </si>
  <si>
    <t>출력축 토크. 논문 B 예제는 420 N.m. 접촉력 계산에 쓰입니다</t>
  </si>
  <si>
    <t>전달오차·백래시·접촉력은 수식으로 불가능하므로 solver 폴더의 성능계산.bat 을 실행하면 [6.성능계산] 시트가 생깁니다.</t>
  </si>
  <si>
    <t>치형 좌표 계산  (논문 A 식1·2 / 수정 치형 / 논문 B 식20)</t>
  </si>
  <si>
    <t>phi [deg]</t>
  </si>
  <si>
    <t>phi [rad]</t>
  </si>
  <si>
    <t>Psi 표준</t>
  </si>
  <si>
    <t>Bx 표준</t>
  </si>
  <si>
    <t>By 표준</t>
  </si>
  <si>
    <t>Psi 수정</t>
  </si>
  <si>
    <t>x 수정</t>
  </si>
  <si>
    <t>y 수정</t>
  </si>
  <si>
    <t>반경 표준</t>
  </si>
  <si>
    <t>반경 수정</t>
  </si>
  <si>
    <t>틈새 [mm]</t>
  </si>
  <si>
    <t>요약 (검산용)</t>
  </si>
  <si>
    <t>논문A</t>
  </si>
  <si>
    <t>RADIANS</t>
  </si>
  <si>
    <t>식(2) ATAN2</t>
  </si>
  <si>
    <t>식(1)</t>
  </si>
  <si>
    <t>식(2) 수정값</t>
  </si>
  <si>
    <t>식(1) 수정값</t>
  </si>
  <si>
    <t>sqrt</t>
  </si>
  <si>
    <t>논문B 식(20) 0~180도만</t>
  </si>
  <si>
    <t>표준 최대 반경</t>
  </si>
  <si>
    <t>이론값 r_p - r_rp + a 와 같아야 함</t>
  </si>
  <si>
    <t>표준 최소 반경</t>
  </si>
  <si>
    <t>이론값 r_p - r_rp - a 와 같아야 함</t>
  </si>
  <si>
    <t>표준 꽃잎 깊이</t>
  </si>
  <si>
    <t>이론값 2a 와 같아야 함</t>
  </si>
  <si>
    <t>이론 최대반경</t>
  </si>
  <si>
    <t>r_p - r_rp + a</t>
  </si>
  <si>
    <t>이론 최소반경</t>
  </si>
  <si>
    <t>r_p - r_rp - a</t>
  </si>
  <si>
    <t>이론 꽃잎깊이</t>
  </si>
  <si>
    <t>2a</t>
  </si>
  <si>
    <t>수정 최대 반경</t>
  </si>
  <si>
    <t>표준보다 약간 작아야 함</t>
  </si>
  <si>
    <t>수정 최소 반경</t>
  </si>
  <si>
    <t>반경 감소량</t>
  </si>
  <si>
    <t>수정으로 줄어든 반경. 수 um 수준</t>
  </si>
  <si>
    <t>최대 초기틈새</t>
  </si>
  <si>
    <t>논문B 식(20). 수 um 수준이어야 함</t>
  </si>
  <si>
    <t>계산 점 수</t>
  </si>
  <si>
    <t>phi 스텝에 따라 결정</t>
  </si>
  <si>
    <t>치형 검증</t>
  </si>
  <si>
    <t>최대반경 일치</t>
  </si>
  <si>
    <t>표준 계산값이 r_p-r_rp+a 와 맞는가</t>
  </si>
  <si>
    <t>최소반경 일치</t>
  </si>
  <si>
    <t>표준 계산값이 r_p-r_rp-a 와 맞는가</t>
  </si>
  <si>
    <t>꽃잎깊이 = 2a</t>
  </si>
  <si>
    <t>꽃잎 깊이가 편심의 2배인가</t>
  </si>
  <si>
    <t>수정량 스케일</t>
  </si>
  <si>
    <t>반경 감소가 0.1mm 미만인가 (수정은 미세해야 함)</t>
  </si>
  <si>
    <t>틈새 스케일</t>
  </si>
  <si>
    <t>초기 틈새가 0.1mm 미만인가</t>
  </si>
  <si>
    <t>치형 곡선  (논문 A Fig.6 대응)</t>
  </si>
  <si>
    <t>파라미터를 바꾸면 이 그래프가 자동으로 갱신됩니다. 꽃잎 개수를 세어 z_c 와 같은지 확인하세요.</t>
  </si>
  <si>
    <t>두 곡선은 수 um 차이라 이 배율에서는 겹쳐 보입니다. 차이는 아래 '초기 틈새' 그래프로 확인하세요.</t>
  </si>
  <si>
    <t>CAD 가져오기용 좌표</t>
  </si>
  <si>
    <t>B·C 열을 복사해 CAD 스플라인으로 붙이거나, 이 시트를 CSV로 저장해 가져오세요. D열은 CSV 한 줄 형태입니다.</t>
  </si>
  <si>
    <t>치형 선택</t>
  </si>
  <si>
    <t>수정</t>
  </si>
  <si>
    <t>점 번호</t>
  </si>
  <si>
    <t>X [mm]</t>
  </si>
  <si>
    <t>Y [mm]</t>
  </si>
  <si>
    <t>CSV (X,Y)</t>
  </si>
  <si>
    <t>사용 설명 및 근거</t>
  </si>
  <si>
    <t>1. 이 파일은 무엇인가</t>
  </si>
  <si>
    <t>출처 논문 A</t>
  </si>
  <si>
    <t>Nachimowicz, J. &amp; Rafalowski, S. (2016) Modelling the Meshing of Cycloidal Gears, Acta Mechanica et Automatica 10(2), 137-140.  DOI 10.1515/ama-2016-0022</t>
  </si>
  <si>
    <t>출처 논문 B</t>
  </si>
  <si>
    <t>Song, X., Chen, Y. &amp; Yang, J. (2023) Study of the Transmission Characteristics of the Cycloid Gear Based on a Multi-Objective Optimization Modification, Machines 11, 775.  DOI 10.3390/machines11080775</t>
  </si>
  <si>
    <t>치형 방정식 원출처</t>
  </si>
  <si>
    <t>Shin, J. &amp; Kwon, S. (2006) On the lobe profile design in a cycloid reducer using instant velocity center, Mechanism and Machine Theory 41(5).</t>
  </si>
  <si>
    <t>2. 사용 순서</t>
  </si>
  <si>
    <t>1단계</t>
  </si>
  <si>
    <t>[1.설계입력] 노란 셀에 파라미터를 넣습니다. r_p, r_rp, a, z_c 가 핵심입니다.</t>
  </si>
  <si>
    <t>2단계</t>
  </si>
  <si>
    <t>같은 시트 '설계 조건 검증' 블록이 모두 초록(통과)인지 확인합니다. 빨강(위반)이면 그 치형은 물리적으로 제작할 수 없습니다.</t>
  </si>
  <si>
    <t>3단계</t>
  </si>
  <si>
    <t>[2.치형좌표] 가 자동 갱신됩니다. 오른쪽 '치형 검증' 블록이 통과인지 봅니다.</t>
  </si>
  <si>
    <t>4단계</t>
  </si>
  <si>
    <t>[3.치형그래프] 에서 꽃잎 개수를 세어 z_c 와 같은지 확인합니다. 다르면 어딘가 잘못된 것입니다.</t>
  </si>
  <si>
    <t>5단계</t>
  </si>
  <si>
    <t>[1.설계입력] '치형 수정 계수' 에 d_rp(음수), d_rrp(양수)를 넣습니다. 합이 dr 과 같아야 합니다(자동 검증).</t>
  </si>
  <si>
    <t>6단계</t>
  </si>
  <si>
    <t>[4.CAD출력] 에서 '수정' 을 선택하고 X·Y 열을 복사해 CAD로 가져갑니다.</t>
  </si>
  <si>
    <t>3. 핵심 수식과 근거</t>
  </si>
  <si>
    <t>표준 치형 (논문A 식1)</t>
  </si>
  <si>
    <t>Bx = r_p*cos(phi) - r_rp*cos(phi+Psi) - a*cos(z_p*phi)
By = -r_p*sin(phi) + r_rp*sin(phi+Psi) + a*sin(z_p*phi)
첫 항 = 기본 원, 둘째 항 = 핀 반경 오프셋, 셋째 항 = 꽃잎 물결(진폭 a, z_p회 진동)</t>
  </si>
  <si>
    <t>접촉각 (논문A 식2)</t>
  </si>
  <si>
    <t>Psi = atan[ sin((1-z_p)*phi) / ( r_p/(a*z_p) - cos((1-z_p)*phi) ) ]
이 파일은 ATAN 대신 ATAN2(분모, 분자)를 씁니다. Excel 인수 순서는 (x, y) 입니다.</t>
  </si>
  <si>
    <t>S (논문B 식3)</t>
  </si>
  <si>
    <t>S = 1 + K1^2 - 2*K1*cos(phi)   코사인 법칙 형태. sqrt(S)가 거리이고 r_rp/S 항이 핀 반경 오프셋 역할을 합니다.</t>
  </si>
  <si>
    <t>수정 치형 (구현 방식)</t>
  </si>
  <si>
    <t>논문 B 식(4)(5)를 그대로 쓰지 않고, 검증된 논문 A 식(1)에 다음 치환을 적용했습니다.
    r_p -&gt; r_p + d_rp,   r_rp -&gt; r_rp + d_rrp
이유는 아래 '6. 논문 B 식을 그대로 쓰지 않은 이유' 를 보세요. 이 방식의 결과는 논문 B 식(20) 초기틈새와 독립적으로 교차검증했습니다.</t>
  </si>
  <si>
    <t>초기 틈새 (논문B 식20)</t>
  </si>
  <si>
    <t>d(phi) = d_rrp*(1 - sin(phi)/sqrt(S)) - d_rp*(1 - K1*cos(phi) - sqrt(1-K1^2)*sin(phi))/sqrt(S)
출처는 Zhu(2010) 기어설계핸드북. 첫 항이 핀반경 수정의 기여, 둘째 항이 핀위치 수정의 기여입니다. 틈새는 두 수정의 선형 중첩입니다.</t>
  </si>
  <si>
    <t>경험식 (논문B 식18·19)</t>
  </si>
  <si>
    <t>d_rrp = dr/(1-sqrt(1-K1^2)),   d_rp = -dr*sqrt(1-K1^2)/(1-sqrt(1-K1^2))
Guan(2002)의 복합수정 경험식. Song 예제에서 0.0157 / -0.0107 mm.</t>
  </si>
  <si>
    <t>4. 구동 성립 조건이 왜 중요한가</t>
  </si>
  <si>
    <t>조건</t>
  </si>
  <si>
    <t>r_p/(a*z_p) &gt; 1   (같은 뜻으로 K1 &lt; 1)</t>
  </si>
  <si>
    <t>이유</t>
  </si>
  <si>
    <t>Psi 식의 분모가 r_p/(a*z_p) - cos(...) 입니다. cos의 최대가 1이므로 r_p/(a*z_p) &lt;= 1 이면 어떤 phi에서 분모가 0이 되어 Psi가 발산합니다. 기하학적으로는 편심이 너무 커서 꽃잎이 자기 자신을 파고드는 상태입니다.</t>
  </si>
  <si>
    <t>부수 효과</t>
  </si>
  <si>
    <t>이 조건이 성립하면 분모가 항상 양수이므로 ATAN 과 ATAN2 결과가 같습니다. 조건 경계를 탐색할 때만 ATAN2 가 안전합니다.</t>
  </si>
  <si>
    <t>5. 논문을 그대로 쓰지 않고 고친 점</t>
  </si>
  <si>
    <t>하드코딩 제거</t>
  </si>
  <si>
    <t>논문 A 스프레드시트는 수식에 43.64, 12, -11, 1.818 을 직접 박아 넣었습니다. 파라미터를 바꾸면 1800행을 다시 고쳐야 합니다. 이 파일은 전부 절대참조($C$6 등)로 바꿔 입력 셀만 고치면 즉시 반영됩니다.</t>
  </si>
  <si>
    <t>Psi 참조 오류 수정</t>
  </si>
  <si>
    <t>논문 A Tab.2 의 Excel 수식은 COS(B19+B20) 으로 되어 있어 Psi 대신 다음 행의 phi 를 더합니다. 식(1)에 따르면 COS(B19+C19) 가 맞습니다. 이 파일은 올바르게 같은 행의 Psi 를 참조합니다.</t>
  </si>
  <si>
    <t>정확한 상수 사용</t>
  </si>
  <si>
    <t>논문은 r_p/(a*z_p) 를 1.818 로 반올림해 넣었습니다. 이 파일은 셀 참조로 계산하므로 반올림 오차가 없습니다.</t>
  </si>
  <si>
    <t>K1 갱신</t>
  </si>
  <si>
    <t>핀위치 수정이 들어가면 K1 = a*z_p/(r_p+d_rp) 로 갱신해야 합니다(논문 B 명시). [1.설계입력] C39 가 그 값이며 초기틈새 식(20) 계산에 쓰입니다.</t>
  </si>
  <si>
    <t>6. 논문 B 식(4)(5)를 그대로 쓰지 않은 이유</t>
  </si>
  <si>
    <t>무엇을 발견했나</t>
  </si>
  <si>
    <t>논문 B 식(4)(5)를 그대로 구현해 계산해 보면 phi=0 에서 x = 27.99mm 가 나옵니다. 같은 조건의 표준 치형은 76.5mm 이므로 48mm 나 어긋납니다. 수정량은 수 um 여야 하는데 있을 수 없는 차이입니다.</t>
  </si>
  <si>
    <t>원인</t>
  </si>
  <si>
    <t>논문 B 식의 오프셋 항은 r_rp/S 형태입니다. S = 1+K1^2-2*K1*cos(phi) 이므로 phi=0 에서 S = (1-K1)^2 = 0.0719 이고, r_rp/S = 4/0.0719 = 55.6mm 가 됩니다. 핀 반경 4mm 의 14배입니다. 즉 논문 B 의 S^-1 오프셋은 논문 A 의 치형과 스케일이 맞지 않습니다. 두 논문의 phi 정의가 다른 것과 같은 뿌리의 문제입니다.</t>
  </si>
  <si>
    <t>어떻게 했나</t>
  </si>
  <si>
    <t>검증된 논문 A 식(1)(2)에 r_p -&gt; r_p+d_rp, r_rp -&gt; r_rp+d_rrp 치환을 적용했습니다. 물리적으로도 이것이 '핀이 조금 더 굵고 조금 더 안쪽에 있다고 가정해 깎는다' 는 핀반경·핀위치 수정의 정의 그대로입니다.</t>
  </si>
  <si>
    <t>교차 검증 결과</t>
  </si>
  <si>
    <t>이 방식으로 얻은 표준-수정 곡선 사이 법선 간격은 0.0104 ~ 0.0112mm 입니다. 논문 B 식(20)의 초기 틈새는 0 ~ 0.0111mm 로 최대값이 거의 일치하며, 43도에서 최소가 되는 것도 논문 B Fig.11 의 형태와 맞습니다. 서로 독립적인 두 식이 일치하므로 이 구현을 신뢰할 수 있습니다.</t>
  </si>
  <si>
    <t>실무적 의미</t>
  </si>
  <si>
    <t>논문 B 식(4)(5)를 그대로 스프레드시트에 옮기면 쓸 수 없는 치형이 나옵니다. 논문 수식을 옮길 때는 반드시 스케일 검산(r_p-r_rp+-a 와 비교)을 하세요.</t>
  </si>
  <si>
    <t>초기틈새는 0~180도만 유효</t>
  </si>
  <si>
    <t>식(20)에는 sin(phi) 가 들어갑니다. 180도를 넘으면 sin 이 음수가 되어 값이 부풀려집니다(0~360도 전체로 계산하면 최대 0.0204mm, 0~180도만 계산하면 0.0112mm). 논문 B Fig.11 이 0~180도만 그리는 이유입니다. 핀의 절반만 맞물림에 참여하므로 반주기만 물리적으로 의미가 있습니다. 이 파일은 K열에서 180도 초과 구간을 공백 처리했습니다. 0~180도 최대값 0.0112mm 는 표준-수정 곡선의 기하학적 법선간격 0.0112mm 와 0.1% 오차로 일치합니다(교차검증).</t>
  </si>
  <si>
    <t>7. 이 파일이 하지 못하는 것</t>
  </si>
  <si>
    <t>전달오차 / 백래시</t>
  </si>
  <si>
    <t>논문 B 식(15)의 비선형 연립방정식을 수치로 풀어야 하므로 Excel 로는 불가능합니다. MATLAB/Python 의 fsolve 등이 필요합니다.</t>
  </si>
  <si>
    <t>접촉력 / 접촉응력</t>
  </si>
  <si>
    <t>delta_max 와 F_max 가 서로를 필요로 하는 순환 의존이라 반복 계산이 필요합니다. Excel 반복계산 옵션으로 가능하지만 수렴 제어가 어려워 넣지 않았습니다.</t>
  </si>
  <si>
    <t>강도 / 수명 / 효율</t>
  </si>
  <si>
    <t>별도 해석(FEM, 윤활 모델)이 필요합니다.</t>
  </si>
  <si>
    <t>1단 유성기어</t>
  </si>
  <si>
    <t>이 파일은 RV 감속기의 2단(사이클로이드-핀)만 다룹니다.</t>
  </si>
  <si>
    <t>8. 설계 시 주의</t>
  </si>
  <si>
    <t>K1 권장 범위</t>
  </si>
  <si>
    <t>0.5 ~ 0.9.  1에 가까우면 이빨이 뾰족해 곡률이 급변하고 응력이 집중됩니다. 너무 작으면 이빨이 얕아 감속 효율이 떨어집니다.</t>
  </si>
  <si>
    <t>K1 = 1 근처는 계산이 깨진다</t>
  </si>
  <si>
    <t>K1 이 1이 되면 sqrt(1-K1^2) = 0 이므로 경험식(18)(19)의 분모가 0이 되고, 부동소수 오차로 1-K1^2 가 미세한 음수가 되면 SQRT 가 #NUM! 을 냅니다. 이 파일은 MAX(0, 1-K1^2) 와 K1&gt;=1 검사로 방어했으나, 그런 설계는 애초에 제작 불가이므로 K1 을 0.9 이하로 낮추세요. 예: r_p=120, a=2.0, z_p=60 이면 K1 = 2*60/120 = 1.0 -&gt; 불가.</t>
  </si>
  <si>
    <t>수정계수 부호</t>
  </si>
  <si>
    <t>d_rp &lt; 0 (음), d_rrp &gt; 0 (양) 이어야 틈이 측면·끝·뿌리에 골고루 분배됩니다. 같은 부호면 한쪽에 몰리거나 상쇄됩니다.</t>
  </si>
  <si>
    <t>수정량 크기</t>
  </si>
  <si>
    <t>|d_rrp| &lt; 0.2 mm (논문 B 제약). 너무 크면 측면 틈이 커져 전달정확도가 나빠집니다.</t>
  </si>
  <si>
    <t>phi 스텝</t>
  </si>
  <si>
    <t>개념 확인 1도, 논문 재현 0.2도, CAD 스플라인 0.05~0.1도. 이 파일은 1800행까지 준비되어 있어 0.2도까지 계산됩니다.</t>
  </si>
  <si>
    <t>논문 A Fig.5·6 주의</t>
  </si>
  <si>
    <t>논문의 그래프 축 스케일이 본문 파라미터와 맞지 않습니다. 본문 값으로 계산하면 반경 37.64~41.64mm 인데 그래프는 +-30mm 입니다. 그래프 숫자를 정답으로 삼지 말고 r_p-r_rp+-a 로 검산하세요.</t>
  </si>
  <si>
    <t>성능 계산 결과  (파이썬 solver 출력 - 수식이 아닙니다)</t>
  </si>
  <si>
    <t>계산 시각 2026-08-11 05:08:00.  1.설계입력 을 바꾼 뒤 성능계산.bat 을 다시 실행하면 이 시트가 갱신됩니다.</t>
  </si>
  <si>
    <t>입력 요약</t>
  </si>
  <si>
    <t>핀 중심원 반경 r_p</t>
  </si>
  <si>
    <t>1.설계입력 C6</t>
  </si>
  <si>
    <t>핀 반경 r_rp</t>
  </si>
  <si>
    <t>1.설계입력 C7</t>
  </si>
  <si>
    <t>편심량 a</t>
  </si>
  <si>
    <t>1.설계입력 C8</t>
  </si>
  <si>
    <t>이빨 수 z_c</t>
  </si>
  <si>
    <t>감속비와 동일</t>
  </si>
  <si>
    <t>핀 수 z_p</t>
  </si>
  <si>
    <t>z_c + 1</t>
  </si>
  <si>
    <t>기어 폭 b_c</t>
  </si>
  <si>
    <t>접촉 길이</t>
  </si>
  <si>
    <t>1.설계입력 C42</t>
  </si>
  <si>
    <t>핀위치 수정 d_rp</t>
  </si>
  <si>
    <t>1.설계입력 C33</t>
  </si>
  <si>
    <t>핀반경 수정 d_rrp</t>
  </si>
  <si>
    <t>1.설계입력 C34</t>
  </si>
  <si>
    <t>K1 (수정 후)</t>
  </si>
  <si>
    <t>a*z_p/(r_p+d_rp).  논문 B 명시대로 갱신한 값</t>
  </si>
  <si>
    <t>접촉력  (논문 B 식20~32)</t>
  </si>
  <si>
    <t>최대 접촉력 F_max</t>
  </si>
  <si>
    <t>N</t>
  </si>
  <si>
    <t>가장 큰 힘을 받는 이빨의 접촉력</t>
  </si>
  <si>
    <t>최대 변형 delta_max</t>
  </si>
  <si>
    <t>um</t>
  </si>
  <si>
    <t>헤르츠 접촉 변형. 초기 틈새와 같은 자릿수여야 정상</t>
  </si>
  <si>
    <t>동시 접촉 이빨 수</t>
  </si>
  <si>
    <t>핀 2~9 번</t>
  </si>
  <si>
    <t>맞물림 각 범위</t>
  </si>
  <si>
    <t>18.0 ~ 81.0 deg (논문 B Fig.11 대응)</t>
  </si>
  <si>
    <t>최대 초기 틈새</t>
  </si>
  <si>
    <t>논문 B 식(20)</t>
  </si>
  <si>
    <t>식(27) 잔차</t>
  </si>
  <si>
    <t>%</t>
  </si>
  <si>
    <t>0 에 가까우면 변형-힘 두 식이 일관됨</t>
  </si>
  <si>
    <t>백래시 / 전달오차  (논문 B 식15·16)</t>
  </si>
  <si>
    <t>진입각 beta</t>
  </si>
  <si>
    <t>arcmin</t>
  </si>
  <si>
    <t>틈새를 극복하고 접촉하기까지 도는 각</t>
  </si>
  <si>
    <t>백래시 (2*beta)</t>
  </si>
  <si>
    <t>논문 B 3.5절 정의</t>
  </si>
  <si>
    <t>전달오차 평균</t>
  </si>
  <si>
    <t>무부하, 한 주기 평균</t>
  </si>
  <si>
    <t>전달오차 최소</t>
  </si>
  <si>
    <t>절댓값이 작을수록 정밀</t>
  </si>
  <si>
    <t>전달오차 최대</t>
  </si>
  <si>
    <t>전달오차 변동폭</t>
  </si>
  <si>
    <t>이 변동이 진동·소음의 가진 성분</t>
  </si>
  <si>
    <t>표준치형 TE 검증</t>
  </si>
  <si>
    <t>공액 치형이므로 0 이어야 정상. 0.05 미만이면 solver 정상</t>
  </si>
  <si>
    <t>백래시 (1m 팔 끝단)</t>
  </si>
  <si>
    <t>길이 1m 로봇 팔 끝에서의 변위. 1 arcmin = 0.29 mm</t>
  </si>
  <si>
    <t>핀별 접촉력</t>
  </si>
  <si>
    <t>핀 번호</t>
  </si>
  <si>
    <t>각도 deg</t>
  </si>
  <si>
    <t>접촉력 N</t>
  </si>
  <si>
    <t>초기틈새 um</t>
  </si>
  <si>
    <t>변형 um</t>
  </si>
  <si>
    <t>전달오차 곡선</t>
  </si>
  <si>
    <t>크랭크각 deg</t>
  </si>
  <si>
    <t>TE arcmin</t>
  </si>
  <si>
    <t>초기 틈새 분포 (0~180deg)</t>
  </si>
  <si>
    <t>결과를 읽을 때 반드시 알아야 할 것</t>
  </si>
  <si>
    <t>틈새 um</t>
  </si>
  <si>
    <t>검증된 것</t>
  </si>
  <si>
    <t>표준(공액) 치형을 넣으면 전달오차가 0.0001 arcmin 미만으로 나옵니다. 틈새가 0인 치형은 전달오차가 0이어야 하므로, 이것이 solver 가 옳게 동작한다는 증거입니다. C32 셀에서 매번 확인하세요.</t>
  </si>
  <si>
    <t>절대값은 논문과 다릅니다</t>
  </si>
  <si>
    <t>논문 B 의 F_max=1131 N 은 이 solver 로 약 583 N 입니다(약 1/2). 원인은 논문 자체의 모순입니다: 논문의 F_max 와 delta_max=0.0051mm 는 식(27)로는 맞지만(1079 N 필요) 식(25) 토크균형으로는 맞지 않습니다(463 N). 논문 값을 재현하려면 Tc ~ 1.34*T 가 필요한데 논문에 근거가 없습니다. 백래시·전달오차도 같은 이유로 약 2배 차이가 납니다.</t>
  </si>
  <si>
    <t>케이스 비교는 신뢰할 수 있습니다</t>
  </si>
  <si>
    <t>Case a/Case b 의 백래시 비율은 solver 1.2375, 논문 Table3 1.1979 로 3% 차이입니다. 접촉 이빨 수가 늘면 최대 접촉력이 준다는 관계도 재현됩니다. 즉 수정계수를 바꿔가며 상대 비교하는 용도로는 유효하고, 절대 수치를 카탈로그 스펙과 직접 비교하면 안 됩니다.</t>
  </si>
  <si>
    <t>이 solver 가 무시한 것</t>
  </si>
  <si>
    <t>핀의 굽힘 변형 f_max (논문도 무시), 접촉을 F ~ delta 로 선형 가정 (실제 헤르츠는 F ~ delta^1.5), 1단 유성기어, 출력 핀-홀 커플링의 틈새, 베어링 유격, 제조·조립 오차. 실제 감속기의 총 백래시는 여기서 계산한 값보다 큽니다.</t>
  </si>
  <si>
    <t>부하 상태 전달오차</t>
  </si>
  <si>
    <t>여기 값은 무부하입니다. 논문 B 는 하중이 걸리면 개선 폭이 19.1% 에서 4.25% 로 줄어든다고 보고합니다. 탄성변형이 치형 차이를 가리기 때문입니다. 실제 운전 조건 평가에는 FEM 이 필요합니다.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</si>
</sst>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"/>
    <numFmt numFmtId="177" formatCode="0.0000"/>
    <numFmt numFmtId="178" formatCode="0.0"/>
    <numFmt numFmtId="179" formatCode="0.00000"/>
    <numFmt numFmtId="180" formatCode="0.000"/>
  </numFmts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9"/>
      <color rgb="FF595959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Consolas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1" fontId="0" fillId="4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7" fontId="0" fillId="5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/>
    </xf>
    <xf numFmtId="177" fontId="0" fillId="4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9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0" xfId="0" applyNumberForma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78" fontId="0" fillId="5" borderId="1" xfId="0" applyNumberFormat="1" applyFill="1" applyBorder="1" applyAlignment="1">
      <alignment horizontal="center" vertical="center"/>
    </xf>
    <xf numFmtId="11" fontId="0" fillId="5" borderId="1" xfId="0" applyNumberFormat="1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178" fontId="0" fillId="0" borderId="0" xfId="0" applyNumberFormat="1"/>
    <xf numFmtId="2" fontId="0" fillId="0" borderId="0" xfId="0" applyNumberFormat="1"/>
    <xf numFmtId="180" fontId="0" fillId="0" borderId="0" xfId="0" applyNumberFormat="1"/>
    <xf numFmtId="177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 applyAlignment="1">
      <alignment horizontal="left"/>
    </xf>
    <xf numFmtId="0" fontId="3" fillId="3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9" fontId="0" fillId="0" borderId="0" xfId="0" applyNumberFormat="1" applyAlignment="1">
      <alignment horizontal="center"/>
    </xf>
  </cellXfs>
  <cellStyles count="1">
    <cellStyle name="표준" xfId="0" builtinId="0"/>
  </cellStyles>
  <dxfs count="8"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65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치형 전체 윤곽 </a:t>
            </a:r>
            <a:r>
              <a:rPr lang="en-US" altLang="ko-KR"/>
              <a:t>(</a:t>
            </a:r>
            <a:r>
              <a:rPr lang="ko-KR" altLang="en-US"/>
              <a:t>표준 </a:t>
            </a:r>
            <a:r>
              <a:rPr lang="en-US"/>
              <a:t>vs </a:t>
            </a:r>
            <a:r>
              <a:rPr lang="ko-KR" altLang="en-US"/>
              <a:t>수정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표준 치형</c:v>
          </c:tx>
          <c:spPr>
            <a:ln w="16000">
              <a:prstDash val="solid"/>
            </a:ln>
          </c:spPr>
          <c:marker>
            <c:symbol val="none"/>
          </c:marker>
          <c:xVal>
            <c:numRef>
              <c:f>'2.치형좌표'!$D$6:$D$1805</c:f>
              <c:numCache>
                <c:formatCode>0.00000</c:formatCode>
                <c:ptCount val="1800"/>
                <c:pt idx="0">
                  <c:v>76.5</c:v>
                </c:pt>
                <c:pt idx="1">
                  <c:v>76.747059189340447</c:v>
                </c:pt>
                <c:pt idx="2">
                  <c:v>77.21218675523923</c:v>
                </c:pt>
                <c:pt idx="3">
                  <c:v>77.601719681764521</c:v>
                </c:pt>
                <c:pt idx="4">
                  <c:v>77.870571500357343</c:v>
                </c:pt>
                <c:pt idx="5">
                  <c:v>78.053302287591009</c:v>
                </c:pt>
                <c:pt idx="6">
                  <c:v>78.184736915744026</c:v>
                </c:pt>
                <c:pt idx="7">
                  <c:v>78.288226243566555</c:v>
                </c:pt>
                <c:pt idx="8">
                  <c:v>78.377944544383567</c:v>
                </c:pt>
                <c:pt idx="9">
                  <c:v>78.462037041801608</c:v>
                </c:pt>
                <c:pt idx="10">
                  <c:v>78.544807463491168</c:v>
                </c:pt>
                <c:pt idx="11">
                  <c:v>78.628093611634</c:v>
                </c:pt>
                <c:pt idx="12">
                  <c:v>78.712131923963369</c:v>
                </c:pt>
                <c:pt idx="13">
                  <c:v>78.796118539857289</c:v>
                </c:pt>
                <c:pt idx="14">
                  <c:v>78.878589923874586</c:v>
                </c:pt>
                <c:pt idx="15">
                  <c:v>78.957693581671521</c:v>
                </c:pt>
                <c:pt idx="16">
                  <c:v>79.031389254713602</c:v>
                </c:pt>
                <c:pt idx="17">
                  <c:v>79.097603914357236</c:v>
                </c:pt>
                <c:pt idx="18">
                  <c:v>79.154354145452189</c:v>
                </c:pt>
                <c:pt idx="19">
                  <c:v>79.199843885732122</c:v>
                </c:pt>
                <c:pt idx="20">
                  <c:v>79.232542193880619</c:v>
                </c:pt>
                <c:pt idx="21">
                  <c:v>79.251243773967673</c:v>
                </c:pt>
                <c:pt idx="22">
                  <c:v>79.255113834051571</c:v>
                </c:pt>
                <c:pt idx="23">
                  <c:v>79.243718183067969</c:v>
                </c:pt>
                <c:pt idx="24">
                  <c:v>79.217039082333045</c:v>
                </c:pt>
                <c:pt idx="25">
                  <c:v>79.175477146967808</c:v>
                </c:pt>
                <c:pt idx="26">
                  <c:v>79.119839457998651</c:v>
                </c:pt>
                <c:pt idx="27">
                  <c:v>79.051313936691287</c:v>
                </c:pt>
                <c:pt idx="28">
                  <c:v>78.971429893461845</c:v>
                </c:pt>
                <c:pt idx="29">
                  <c:v>78.882004433097563</c:v>
                </c:pt>
                <c:pt idx="30">
                  <c:v>78.785073994943787</c:v>
                </c:pt>
                <c:pt idx="31">
                  <c:v>78.682809610271988</c:v>
                </c:pt>
                <c:pt idx="32">
                  <c:v>78.577413274708874</c:v>
                </c:pt>
                <c:pt idx="33">
                  <c:v>78.470990832638577</c:v>
                </c:pt>
                <c:pt idx="34">
                  <c:v>78.365393377220272</c:v>
                </c:pt>
                <c:pt idx="35">
                  <c:v>78.262013346622467</c:v>
                </c:pt>
                <c:pt idx="36">
                  <c:v>78.161511329291145</c:v>
                </c:pt>
                <c:pt idx="37">
                  <c:v>78.063431482114922</c:v>
                </c:pt>
                <c:pt idx="38">
                  <c:v>77.965630637319407</c:v>
                </c:pt>
                <c:pt idx="39">
                  <c:v>77.863386250031255</c:v>
                </c:pt>
                <c:pt idx="40">
                  <c:v>77.747941753836614</c:v>
                </c:pt>
                <c:pt idx="41">
                  <c:v>77.604082644760865</c:v>
                </c:pt>
                <c:pt idx="42">
                  <c:v>77.406236910848719</c:v>
                </c:pt>
                <c:pt idx="43">
                  <c:v>77.113616836472232</c:v>
                </c:pt>
                <c:pt idx="44">
                  <c:v>76.673185722980222</c:v>
                </c:pt>
                <c:pt idx="45">
                  <c:v>76.07732618929532</c:v>
                </c:pt>
                <c:pt idx="46">
                  <c:v>75.554089409008753</c:v>
                </c:pt>
                <c:pt idx="47">
                  <c:v>75.493219171437801</c:v>
                </c:pt>
                <c:pt idx="48">
                  <c:v>75.783006689451781</c:v>
                </c:pt>
                <c:pt idx="49">
                  <c:v>76.095623942013404</c:v>
                </c:pt>
                <c:pt idx="50">
                  <c:v>76.327091268045777</c:v>
                </c:pt>
                <c:pt idx="51">
                  <c:v>76.487104842606598</c:v>
                </c:pt>
                <c:pt idx="52">
                  <c:v>76.601469245275865</c:v>
                </c:pt>
                <c:pt idx="53">
                  <c:v>76.68988191833094</c:v>
                </c:pt>
                <c:pt idx="54">
                  <c:v>76.764759775018291</c:v>
                </c:pt>
                <c:pt idx="55">
                  <c:v>76.83325722852183</c:v>
                </c:pt>
                <c:pt idx="56">
                  <c:v>76.899054082304175</c:v>
                </c:pt>
                <c:pt idx="57">
                  <c:v>76.963574957053851</c:v>
                </c:pt>
                <c:pt idx="58">
                  <c:v>77.026786648818643</c:v>
                </c:pt>
                <c:pt idx="59">
                  <c:v>77.087727184134167</c:v>
                </c:pt>
                <c:pt idx="60">
                  <c:v>77.144869145373249</c:v>
                </c:pt>
                <c:pt idx="61">
                  <c:v>77.196379330629526</c:v>
                </c:pt>
                <c:pt idx="62">
                  <c:v>77.240311386769136</c:v>
                </c:pt>
                <c:pt idx="63">
                  <c:v>77.274752999883873</c:v>
                </c:pt>
                <c:pt idx="64">
                  <c:v>77.297940419748073</c:v>
                </c:pt>
                <c:pt idx="65">
                  <c:v>77.30834792534931</c:v>
                </c:pt>
                <c:pt idx="66">
                  <c:v>77.304756784591106</c:v>
                </c:pt>
                <c:pt idx="67">
                  <c:v>77.286306450535207</c:v>
                </c:pt>
                <c:pt idx="68">
                  <c:v>77.252529666518598</c:v>
                </c:pt>
                <c:pt idx="69">
                  <c:v>77.203372528264723</c:v>
                </c:pt>
                <c:pt idx="70">
                  <c:v>77.139200194531071</c:v>
                </c:pt>
                <c:pt idx="71">
                  <c:v>77.060788736250416</c:v>
                </c:pt>
                <c:pt idx="72">
                  <c:v>76.969303490886887</c:v>
                </c:pt>
                <c:pt idx="73">
                  <c:v>76.866264185082926</c:v>
                </c:pt>
                <c:pt idx="74">
                  <c:v>76.753496951023479</c:v>
                </c:pt>
                <c:pt idx="75">
                  <c:v>76.633073130586411</c:v>
                </c:pt>
                <c:pt idx="76">
                  <c:v>76.507234357068</c:v>
                </c:pt>
                <c:pt idx="77">
                  <c:v>76.378302708426773</c:v>
                </c:pt>
                <c:pt idx="78">
                  <c:v>76.248573546752212</c:v>
                </c:pt>
                <c:pt idx="79">
                  <c:v>76.120186670006106</c:v>
                </c:pt>
                <c:pt idx="80">
                  <c:v>75.994968028969168</c:v>
                </c:pt>
                <c:pt idx="81">
                  <c:v>75.874228458495523</c:v>
                </c:pt>
                <c:pt idx="82">
                  <c:v>75.758495680321843</c:v>
                </c:pt>
                <c:pt idx="83">
                  <c:v>75.647137503630432</c:v>
                </c:pt>
                <c:pt idx="84">
                  <c:v>75.537800370366924</c:v>
                </c:pt>
                <c:pt idx="85">
                  <c:v>75.425523957468144</c:v>
                </c:pt>
                <c:pt idx="86">
                  <c:v>75.301273338020167</c:v>
                </c:pt>
                <c:pt idx="87">
                  <c:v>75.149418369344204</c:v>
                </c:pt>
                <c:pt idx="88">
                  <c:v>74.943409492642985</c:v>
                </c:pt>
                <c:pt idx="89">
                  <c:v>74.63918939528071</c:v>
                </c:pt>
                <c:pt idx="90">
                  <c:v>74.171317680514733</c:v>
                </c:pt>
                <c:pt idx="91">
                  <c:v>73.488997398308911</c:v>
                </c:pt>
                <c:pt idx="92">
                  <c:v>72.737761292013275</c:v>
                </c:pt>
                <c:pt idx="93">
                  <c:v>72.358322137633593</c:v>
                </c:pt>
                <c:pt idx="94">
                  <c:v>72.431434951892413</c:v>
                </c:pt>
                <c:pt idx="95">
                  <c:v>72.639387893692472</c:v>
                </c:pt>
                <c:pt idx="96">
                  <c:v>72.818620347856452</c:v>
                </c:pt>
                <c:pt idx="97">
                  <c:v>72.947758820186337</c:v>
                </c:pt>
                <c:pt idx="98">
                  <c:v>73.04024851698685</c:v>
                </c:pt>
                <c:pt idx="99">
                  <c:v>73.110531774908097</c:v>
                </c:pt>
                <c:pt idx="100">
                  <c:v>73.168466100337668</c:v>
                </c:pt>
                <c:pt idx="101">
                  <c:v>73.2197933001557</c:v>
                </c:pt>
                <c:pt idx="102">
                  <c:v>73.267342546025375</c:v>
                </c:pt>
                <c:pt idx="103">
                  <c:v>73.312006031958987</c:v>
                </c:pt>
                <c:pt idx="104">
                  <c:v>73.35342419278048</c:v>
                </c:pt>
                <c:pt idx="105">
                  <c:v>73.390457867929229</c:v>
                </c:pt>
                <c:pt idx="106">
                  <c:v>73.421519546675682</c:v>
                </c:pt>
                <c:pt idx="107">
                  <c:v>73.444812609835452</c:v>
                </c:pt>
                <c:pt idx="108">
                  <c:v>73.458509128151235</c:v>
                </c:pt>
                <c:pt idx="109">
                  <c:v>73.460884845029184</c:v>
                </c:pt>
                <c:pt idx="110">
                  <c:v>73.450422641028183</c:v>
                </c:pt>
                <c:pt idx="111">
                  <c:v>73.425891352448048</c:v>
                </c:pt>
                <c:pt idx="112">
                  <c:v>73.386404159583776</c:v>
                </c:pt>
                <c:pt idx="113">
                  <c:v>73.331459172466154</c:v>
                </c:pt>
                <c:pt idx="114">
                  <c:v>73.260963902584038</c:v>
                </c:pt>
                <c:pt idx="115">
                  <c:v>73.175244764026274</c:v>
                </c:pt>
                <c:pt idx="116">
                  <c:v>73.075042439731106</c:v>
                </c:pt>
                <c:pt idx="117">
                  <c:v>72.961493777090567</c:v>
                </c:pt>
                <c:pt idx="118">
                  <c:v>72.836100772252436</c:v>
                </c:pt>
                <c:pt idx="119">
                  <c:v>72.70068710985737</c:v>
                </c:pt>
                <c:pt idx="120">
                  <c:v>72.557342594600996</c:v>
                </c:pt>
                <c:pt idx="121">
                  <c:v>72.408355586678837</c:v>
                </c:pt>
                <c:pt idx="122">
                  <c:v>72.256133159792185</c:v>
                </c:pt>
                <c:pt idx="123">
                  <c:v>72.10310802501948</c:v>
                </c:pt>
                <c:pt idx="124">
                  <c:v>71.951630123107478</c:v>
                </c:pt>
                <c:pt idx="125">
                  <c:v>71.803838868537568</c:v>
                </c:pt>
                <c:pt idx="126">
                  <c:v>71.661508775909013</c:v>
                </c:pt>
                <c:pt idx="127">
                  <c:v>71.525855595687702</c:v>
                </c:pt>
                <c:pt idx="128">
                  <c:v>71.397280211441583</c:v>
                </c:pt>
                <c:pt idx="129">
                  <c:v>71.275009672138793</c:v>
                </c:pt>
                <c:pt idx="130">
                  <c:v>71.156561419475324</c:v>
                </c:pt>
                <c:pt idx="131">
                  <c:v>71.036893019615263</c:v>
                </c:pt>
                <c:pt idx="132">
                  <c:v>70.90697570744436</c:v>
                </c:pt>
                <c:pt idx="133">
                  <c:v>70.751292732296761</c:v>
                </c:pt>
                <c:pt idx="134">
                  <c:v>70.543364577907212</c:v>
                </c:pt>
                <c:pt idx="135">
                  <c:v>70.238152338385831</c:v>
                </c:pt>
                <c:pt idx="136">
                  <c:v>69.763253161879945</c:v>
                </c:pt>
                <c:pt idx="137">
                  <c:v>69.035681518816531</c:v>
                </c:pt>
                <c:pt idx="138">
                  <c:v>68.11506183805507</c:v>
                </c:pt>
                <c:pt idx="139">
                  <c:v>67.429966582584655</c:v>
                </c:pt>
                <c:pt idx="140">
                  <c:v>67.252650205945017</c:v>
                </c:pt>
                <c:pt idx="141">
                  <c:v>67.327701053062654</c:v>
                </c:pt>
                <c:pt idx="142">
                  <c:v>67.438954005226648</c:v>
                </c:pt>
                <c:pt idx="143">
                  <c:v>67.528643889034697</c:v>
                </c:pt>
                <c:pt idx="144">
                  <c:v>67.594371788828042</c:v>
                </c:pt>
                <c:pt idx="145">
                  <c:v>67.643588085717496</c:v>
                </c:pt>
                <c:pt idx="146">
                  <c:v>67.682717110835341</c:v>
                </c:pt>
                <c:pt idx="147">
                  <c:v>67.715630639739743</c:v>
                </c:pt>
                <c:pt idx="148">
                  <c:v>67.744062686243282</c:v>
                </c:pt>
                <c:pt idx="149">
                  <c:v>67.768244492406865</c:v>
                </c:pt>
                <c:pt idx="150">
                  <c:v>67.787428066977014</c:v>
                </c:pt>
                <c:pt idx="151">
                  <c:v>67.800274240784731</c:v>
                </c:pt>
                <c:pt idx="152">
                  <c:v>67.805135837810596</c:v>
                </c:pt>
                <c:pt idx="153">
                  <c:v>67.800266508240611</c:v>
                </c:pt>
                <c:pt idx="154">
                  <c:v>67.783977110203423</c:v>
                </c:pt>
                <c:pt idx="155">
                  <c:v>67.754753956310751</c:v>
                </c:pt>
                <c:pt idx="156">
                  <c:v>67.711348005337499</c:v>
                </c:pt>
                <c:pt idx="157">
                  <c:v>67.652840720239737</c:v>
                </c:pt>
                <c:pt idx="158">
                  <c:v>67.578690228067984</c:v>
                </c:pt>
                <c:pt idx="159">
                  <c:v>67.488760149656869</c:v>
                </c:pt>
                <c:pt idx="160">
                  <c:v>67.383332713836552</c:v>
                </c:pt>
                <c:pt idx="161">
                  <c:v>67.263107337257807</c:v>
                </c:pt>
                <c:pt idx="162">
                  <c:v>67.129185610988543</c:v>
                </c:pt>
                <c:pt idx="163">
                  <c:v>66.983043505159287</c:v>
                </c:pt>
                <c:pt idx="164">
                  <c:v>66.82649152362238</c:v>
                </c:pt>
                <c:pt idx="165">
                  <c:v>66.661623464393131</c:v>
                </c:pt>
                <c:pt idx="166">
                  <c:v>66.490754323795102</c:v>
                </c:pt>
                <c:pt idx="167">
                  <c:v>66.316347671591402</c:v>
                </c:pt>
                <c:pt idx="168">
                  <c:v>66.14093245199696</c:v>
                </c:pt>
                <c:pt idx="169">
                  <c:v>65.967008526906852</c:v>
                </c:pt>
                <c:pt idx="170">
                  <c:v>65.79693920263675</c:v>
                </c:pt>
                <c:pt idx="171">
                  <c:v>65.632827177978584</c:v>
                </c:pt>
                <c:pt idx="172">
                  <c:v>65.476367299362835</c:v>
                </c:pt>
                <c:pt idx="173">
                  <c:v>65.32866425042792</c:v>
                </c:pt>
                <c:pt idx="174">
                  <c:v>65.18999401619125</c:v>
                </c:pt>
                <c:pt idx="175">
                  <c:v>65.05947106975259</c:v>
                </c:pt>
                <c:pt idx="176">
                  <c:v>64.934551500477383</c:v>
                </c:pt>
                <c:pt idx="177">
                  <c:v>64.810240763873907</c:v>
                </c:pt>
                <c:pt idx="178">
                  <c:v>64.677752178533794</c:v>
                </c:pt>
                <c:pt idx="179">
                  <c:v>64.522116535779944</c:v>
                </c:pt>
                <c:pt idx="180">
                  <c:v>64.317777690349146</c:v>
                </c:pt>
                <c:pt idx="181">
                  <c:v>64.020587943629408</c:v>
                </c:pt>
                <c:pt idx="182">
                  <c:v>63.55581723476854</c:v>
                </c:pt>
                <c:pt idx="183">
                  <c:v>62.819318385539354</c:v>
                </c:pt>
                <c:pt idx="184">
                  <c:v>61.792106825303328</c:v>
                </c:pt>
                <c:pt idx="185">
                  <c:v>60.837410946690952</c:v>
                </c:pt>
                <c:pt idx="186">
                  <c:v>60.38808877808075</c:v>
                </c:pt>
                <c:pt idx="187">
                  <c:v>60.303217373352311</c:v>
                </c:pt>
                <c:pt idx="188">
                  <c:v>60.330343876323653</c:v>
                </c:pt>
                <c:pt idx="189">
                  <c:v>60.37178955225567</c:v>
                </c:pt>
                <c:pt idx="190">
                  <c:v>60.40588286057632</c:v>
                </c:pt>
                <c:pt idx="191">
                  <c:v>60.431263045062401</c:v>
                </c:pt>
                <c:pt idx="192">
                  <c:v>60.449995596145193</c:v>
                </c:pt>
                <c:pt idx="193">
                  <c:v>60.46359880843216</c:v>
                </c:pt>
                <c:pt idx="194">
                  <c:v>60.472454431123467</c:v>
                </c:pt>
                <c:pt idx="195">
                  <c:v>60.475997896762131</c:v>
                </c:pt>
                <c:pt idx="196">
                  <c:v>60.473026988348813</c:v>
                </c:pt>
                <c:pt idx="197">
                  <c:v>60.461976748615555</c:v>
                </c:pt>
                <c:pt idx="198">
                  <c:v>60.441137681092577</c:v>
                </c:pt>
                <c:pt idx="199">
                  <c:v>60.408823755657387</c:v>
                </c:pt>
                <c:pt idx="200">
                  <c:v>60.363500618306816</c:v>
                </c:pt>
                <c:pt idx="201">
                  <c:v>60.303882544086562</c:v>
                </c:pt>
                <c:pt idx="202">
                  <c:v>60.229004199982832</c:v>
                </c:pt>
                <c:pt idx="203">
                  <c:v>60.138271338477736</c:v>
                </c:pt>
                <c:pt idx="204">
                  <c:v>60.031493214930101</c:v>
                </c:pt>
                <c:pt idx="205">
                  <c:v>59.908898678175923</c:v>
                </c:pt>
                <c:pt idx="206">
                  <c:v>59.771137375847729</c:v>
                </c:pt>
                <c:pt idx="207">
                  <c:v>59.619267227805949</c:v>
                </c:pt>
                <c:pt idx="208">
                  <c:v>59.454729168948674</c:v>
                </c:pt>
                <c:pt idx="209">
                  <c:v>59.279310086231789</c:v>
                </c:pt>
                <c:pt idx="210">
                  <c:v>59.095094828391808</c:v>
                </c:pt>
                <c:pt idx="211">
                  <c:v>58.904408112250806</c:v>
                </c:pt>
                <c:pt idx="212">
                  <c:v>58.70974704876911</c:v>
                </c:pt>
                <c:pt idx="213">
                  <c:v>58.513704820619651</c:v>
                </c:pt>
                <c:pt idx="214">
                  <c:v>58.318885699761459</c:v>
                </c:pt>
                <c:pt idx="215">
                  <c:v>58.127811004626111</c:v>
                </c:pt>
                <c:pt idx="216">
                  <c:v>57.942814608409975</c:v>
                </c:pt>
                <c:pt idx="217">
                  <c:v>57.765924957878596</c:v>
                </c:pt>
                <c:pt idx="218">
                  <c:v>57.598727772510728</c:v>
                </c:pt>
                <c:pt idx="219">
                  <c:v>57.442198790285907</c:v>
                </c:pt>
                <c:pt idx="220">
                  <c:v>57.296487431901568</c:v>
                </c:pt>
                <c:pt idx="221">
                  <c:v>57.160616751332228</c:v>
                </c:pt>
                <c:pt idx="222">
                  <c:v>57.032035739049796</c:v>
                </c:pt>
                <c:pt idx="223">
                  <c:v>56.905902628271427</c:v>
                </c:pt>
                <c:pt idx="224">
                  <c:v>56.77386150634554</c:v>
                </c:pt>
                <c:pt idx="225">
                  <c:v>56.62183356091105</c:v>
                </c:pt>
                <c:pt idx="226">
                  <c:v>56.425853610960026</c:v>
                </c:pt>
                <c:pt idx="227">
                  <c:v>56.144135089264054</c:v>
                </c:pt>
                <c:pt idx="228">
                  <c:v>55.70338307512943</c:v>
                </c:pt>
                <c:pt idx="229">
                  <c:v>54.988377658551386</c:v>
                </c:pt>
                <c:pt idx="230">
                  <c:v>53.915894027048864</c:v>
                </c:pt>
                <c:pt idx="231">
                  <c:v>52.747458723441142</c:v>
                </c:pt>
                <c:pt idx="232">
                  <c:v>52.020997718780556</c:v>
                </c:pt>
                <c:pt idx="233">
                  <c:v>51.752585927449644</c:v>
                </c:pt>
                <c:pt idx="234">
                  <c:v>51.679706329609395</c:v>
                </c:pt>
                <c:pt idx="235">
                  <c:v>51.66414532629058</c:v>
                </c:pt>
                <c:pt idx="236">
                  <c:v>51.661866200534369</c:v>
                </c:pt>
                <c:pt idx="237">
                  <c:v>51.660870722565029</c:v>
                </c:pt>
                <c:pt idx="238">
                  <c:v>51.657915535992572</c:v>
                </c:pt>
                <c:pt idx="239">
                  <c:v>51.651668845994145</c:v>
                </c:pt>
                <c:pt idx="240">
                  <c:v>51.640897267999463</c:v>
                </c:pt>
                <c:pt idx="241">
                  <c:v>51.624103028395751</c:v>
                </c:pt>
                <c:pt idx="242">
                  <c:v>51.599562252543187</c:v>
                </c:pt>
                <c:pt idx="243">
                  <c:v>51.565456560219111</c:v>
                </c:pt>
                <c:pt idx="244">
                  <c:v>51.520008896061341</c:v>
                </c:pt>
                <c:pt idx="245">
                  <c:v>51.461600105961296</c:v>
                </c:pt>
                <c:pt idx="246">
                  <c:v>51.3888622064092</c:v>
                </c:pt>
                <c:pt idx="247">
                  <c:v>51.300749566139984</c:v>
                </c:pt>
                <c:pt idx="248">
                  <c:v>51.196590216756263</c:v>
                </c:pt>
                <c:pt idx="249">
                  <c:v>51.076119340864182</c:v>
                </c:pt>
                <c:pt idx="250">
                  <c:v>50.939496612522824</c:v>
                </c:pt>
                <c:pt idx="251">
                  <c:v>50.787308753131185</c:v>
                </c:pt>
                <c:pt idx="252">
                  <c:v>50.620558464435867</c:v>
                </c:pt>
                <c:pt idx="253">
                  <c:v>50.440640793010722</c:v>
                </c:pt>
                <c:pt idx="254">
                  <c:v>50.249307936734603</c:v>
                </c:pt>
                <c:pt idx="255">
                  <c:v>50.048623492881852</c:v>
                </c:pt>
                <c:pt idx="256">
                  <c:v>49.84090714141044</c:v>
                </c:pt>
                <c:pt idx="257">
                  <c:v>49.628670728901049</c:v>
                </c:pt>
                <c:pt idx="258">
                  <c:v>49.414546639060504</c:v>
                </c:pt>
                <c:pt idx="259">
                  <c:v>49.201209168018188</c:v>
                </c:pt>
                <c:pt idx="260">
                  <c:v>48.991289314623501</c:v>
                </c:pt>
                <c:pt idx="261">
                  <c:v>48.787282866357103</c:v>
                </c:pt>
                <c:pt idx="262">
                  <c:v>48.591450775761388</c:v>
                </c:pt>
                <c:pt idx="263">
                  <c:v>48.405709347372436</c:v>
                </c:pt>
                <c:pt idx="264">
                  <c:v>48.231505271959151</c:v>
                </c:pt>
                <c:pt idx="265">
                  <c:v>48.069666274089059</c:v>
                </c:pt>
                <c:pt idx="266">
                  <c:v>47.9202105810528</c:v>
                </c:pt>
                <c:pt idx="267">
                  <c:v>47.782084587806047</c:v>
                </c:pt>
                <c:pt idx="268">
                  <c:v>47.652771811419456</c:v>
                </c:pt>
                <c:pt idx="269">
                  <c:v>47.527664292393041</c:v>
                </c:pt>
                <c:pt idx="270">
                  <c:v>47.398980893928808</c:v>
                </c:pt>
                <c:pt idx="271">
                  <c:v>47.253790541738901</c:v>
                </c:pt>
                <c:pt idx="272">
                  <c:v>47.070214209871672</c:v>
                </c:pt>
                <c:pt idx="273">
                  <c:v>46.809920987914417</c:v>
                </c:pt>
                <c:pt idx="274">
                  <c:v>46.403949439561856</c:v>
                </c:pt>
                <c:pt idx="275">
                  <c:v>45.73458825706571</c:v>
                </c:pt>
                <c:pt idx="276">
                  <c:v>44.672241055487575</c:v>
                </c:pt>
                <c:pt idx="277">
                  <c:v>43.359967435377136</c:v>
                </c:pt>
                <c:pt idx="278">
                  <c:v>42.370838906707846</c:v>
                </c:pt>
                <c:pt idx="279">
                  <c:v>41.901279015242544</c:v>
                </c:pt>
                <c:pt idx="280">
                  <c:v>41.713650300886201</c:v>
                </c:pt>
                <c:pt idx="281">
                  <c:v>41.632678454531167</c:v>
                </c:pt>
                <c:pt idx="282">
                  <c:v>41.589571131902126</c:v>
                </c:pt>
                <c:pt idx="283">
                  <c:v>41.559960485590146</c:v>
                </c:pt>
                <c:pt idx="284">
                  <c:v>41.534356365974894</c:v>
                </c:pt>
                <c:pt idx="285">
                  <c:v>41.508083582039006</c:v>
                </c:pt>
                <c:pt idx="286">
                  <c:v>41.478033484755294</c:v>
                </c:pt>
                <c:pt idx="287">
                  <c:v>41.441639826529645</c:v>
                </c:pt>
                <c:pt idx="288">
                  <c:v>41.396590612541374</c:v>
                </c:pt>
                <c:pt idx="289">
                  <c:v>41.340785966666125</c:v>
                </c:pt>
                <c:pt idx="290">
                  <c:v>41.272374175114294</c:v>
                </c:pt>
                <c:pt idx="291">
                  <c:v>41.18980634162326</c:v>
                </c:pt>
                <c:pt idx="292">
                  <c:v>41.091888119394788</c:v>
                </c:pt>
                <c:pt idx="293">
                  <c:v>40.977820844806054</c:v>
                </c:pt>
                <c:pt idx="294">
                  <c:v>40.847229586474697</c:v>
                </c:pt>
                <c:pt idx="295">
                  <c:v>40.700177605440977</c:v>
                </c:pt>
                <c:pt idx="296">
                  <c:v>40.537167501244397</c:v>
                </c:pt>
                <c:pt idx="297">
                  <c:v>40.359129648553498</c:v>
                </c:pt>
                <c:pt idx="298">
                  <c:v>40.167398695667075</c:v>
                </c:pt>
                <c:pt idx="299">
                  <c:v>39.963679004930341</c:v>
                </c:pt>
                <c:pt idx="300">
                  <c:v>39.749999999999666</c:v>
                </c:pt>
                <c:pt idx="301">
                  <c:v>39.528662451413496</c:v>
                </c:pt>
                <c:pt idx="302">
                  <c:v>39.302176773309498</c:v>
                </c:pt>
                <c:pt idx="303">
                  <c:v>39.073194407004969</c:v>
                </c:pt>
                <c:pt idx="304">
                  <c:v>38.844433312212367</c:v>
                </c:pt>
                <c:pt idx="305">
                  <c:v>38.61859844609301</c:v>
                </c:pt>
                <c:pt idx="306">
                  <c:v>38.398297841985041</c:v>
                </c:pt>
                <c:pt idx="307">
                  <c:v>38.185954435802842</c:v>
                </c:pt>
                <c:pt idx="308">
                  <c:v>37.983713015023248</c:v>
                </c:pt>
                <c:pt idx="309">
                  <c:v>37.793340384012858</c:v>
                </c:pt>
                <c:pt idx="310">
                  <c:v>37.616114690524775</c:v>
                </c:pt>
                <c:pt idx="311">
                  <c:v>37.452696168746336</c:v>
                </c:pt>
                <c:pt idx="312">
                  <c:v>37.302965022178689</c:v>
                </c:pt>
                <c:pt idx="313">
                  <c:v>37.165800182138746</c:v>
                </c:pt>
                <c:pt idx="314">
                  <c:v>37.038749789847294</c:v>
                </c:pt>
                <c:pt idx="315">
                  <c:v>36.917498666158487</c:v>
                </c:pt>
                <c:pt idx="316">
                  <c:v>36.794943249642706</c:v>
                </c:pt>
                <c:pt idx="317">
                  <c:v>36.659479398021311</c:v>
                </c:pt>
                <c:pt idx="318">
                  <c:v>36.49165355388628</c:v>
                </c:pt>
                <c:pt idx="319">
                  <c:v>36.257346593263179</c:v>
                </c:pt>
                <c:pt idx="320">
                  <c:v>35.894023562672018</c:v>
                </c:pt>
                <c:pt idx="321">
                  <c:v>35.288305603067712</c:v>
                </c:pt>
                <c:pt idx="322">
                  <c:v>34.282622525017871</c:v>
                </c:pt>
                <c:pt idx="323">
                  <c:v>32.903220188623607</c:v>
                </c:pt>
                <c:pt idx="324">
                  <c:v>31.686778039567507</c:v>
                </c:pt>
                <c:pt idx="325">
                  <c:v>31.007353998606899</c:v>
                </c:pt>
                <c:pt idx="326">
                  <c:v>30.692452242020106</c:v>
                </c:pt>
                <c:pt idx="327">
                  <c:v>30.538425793999199</c:v>
                </c:pt>
                <c:pt idx="328">
                  <c:v>30.450492475503722</c:v>
                </c:pt>
                <c:pt idx="329">
                  <c:v>30.390407859557008</c:v>
                </c:pt>
                <c:pt idx="330">
                  <c:v>30.341555418780562</c:v>
                </c:pt>
                <c:pt idx="331">
                  <c:v>30.295446907976615</c:v>
                </c:pt>
                <c:pt idx="332">
                  <c:v>30.246851275666447</c:v>
                </c:pt>
                <c:pt idx="333">
                  <c:v>30.192006211549341</c:v>
                </c:pt>
                <c:pt idx="334">
                  <c:v>30.127949200277051</c:v>
                </c:pt>
                <c:pt idx="335">
                  <c:v>30.052272081865457</c:v>
                </c:pt>
                <c:pt idx="336">
                  <c:v>29.963040461864839</c:v>
                </c:pt>
                <c:pt idx="337">
                  <c:v>29.858776402366324</c:v>
                </c:pt>
                <c:pt idx="338">
                  <c:v>29.738462399231786</c:v>
                </c:pt>
                <c:pt idx="339">
                  <c:v>29.601548525084567</c:v>
                </c:pt>
                <c:pt idx="340">
                  <c:v>29.447954708519049</c:v>
                </c:pt>
                <c:pt idx="341">
                  <c:v>29.278064619225528</c:v>
                </c:pt>
                <c:pt idx="342">
                  <c:v>29.092709755860675</c:v>
                </c:pt>
                <c:pt idx="343">
                  <c:v>28.893143411984315</c:v>
                </c:pt>
                <c:pt idx="344">
                  <c:v>28.681004790124181</c:v>
                </c:pt>
                <c:pt idx="345">
                  <c:v>28.458273892955066</c:v>
                </c:pt>
                <c:pt idx="346">
                  <c:v>28.227218053809992</c:v>
                </c:pt>
                <c:pt idx="347">
                  <c:v>27.990331124045348</c:v>
                </c:pt>
                <c:pt idx="348">
                  <c:v>27.750266430215163</c:v>
                </c:pt>
                <c:pt idx="349">
                  <c:v>27.509764651941158</c:v>
                </c:pt>
                <c:pt idx="350">
                  <c:v>27.271577743794101</c:v>
                </c:pt>
                <c:pt idx="351">
                  <c:v>27.038389913452605</c:v>
                </c:pt>
                <c:pt idx="352">
                  <c:v>26.81273644241055</c:v>
                </c:pt>
                <c:pt idx="353">
                  <c:v>26.596920741100277</c:v>
                </c:pt>
                <c:pt idx="354">
                  <c:v>26.392929375275521</c:v>
                </c:pt>
                <c:pt idx="355">
                  <c:v>26.202343721482642</c:v>
                </c:pt>
                <c:pt idx="356">
                  <c:v>26.026245108246737</c:v>
                </c:pt>
                <c:pt idx="357">
                  <c:v>25.865107214319877</c:v>
                </c:pt>
                <c:pt idx="358">
                  <c:v>25.718664030674478</c:v>
                </c:pt>
                <c:pt idx="359">
                  <c:v>25.585731634130653</c:v>
                </c:pt>
                <c:pt idx="360">
                  <c:v>25.463942709782213</c:v>
                </c:pt>
                <c:pt idx="361">
                  <c:v>25.349313987074957</c:v>
                </c:pt>
                <c:pt idx="362">
                  <c:v>25.235485196301301</c:v>
                </c:pt>
                <c:pt idx="363">
                  <c:v>25.11228858906458</c:v>
                </c:pt>
                <c:pt idx="364">
                  <c:v>24.962897922471711</c:v>
                </c:pt>
                <c:pt idx="365">
                  <c:v>24.757865801788846</c:v>
                </c:pt>
                <c:pt idx="366">
                  <c:v>24.442459604399335</c:v>
                </c:pt>
                <c:pt idx="367">
                  <c:v>23.912678848360041</c:v>
                </c:pt>
                <c:pt idx="368">
                  <c:v>22.999781571123169</c:v>
                </c:pt>
                <c:pt idx="369">
                  <c:v>21.62926104393534</c:v>
                </c:pt>
                <c:pt idx="370">
                  <c:v>20.240554557159125</c:v>
                </c:pt>
                <c:pt idx="371">
                  <c:v>19.354321054055941</c:v>
                </c:pt>
                <c:pt idx="372">
                  <c:v>18.903134258282787</c:v>
                </c:pt>
                <c:pt idx="373">
                  <c:v>18.669653941598835</c:v>
                </c:pt>
                <c:pt idx="374">
                  <c:v>18.533561021450694</c:v>
                </c:pt>
                <c:pt idx="375">
                  <c:v>18.441615857353121</c:v>
                </c:pt>
                <c:pt idx="376">
                  <c:v>18.369311432842707</c:v>
                </c:pt>
                <c:pt idx="377">
                  <c:v>18.303924896836424</c:v>
                </c:pt>
                <c:pt idx="378">
                  <c:v>18.237880687600644</c:v>
                </c:pt>
                <c:pt idx="379">
                  <c:v>18.166106937195103</c:v>
                </c:pt>
                <c:pt idx="380">
                  <c:v>18.084935831305099</c:v>
                </c:pt>
                <c:pt idx="381">
                  <c:v>17.991627431947727</c:v>
                </c:pt>
                <c:pt idx="382">
                  <c:v>17.884156859447682</c:v>
                </c:pt>
                <c:pt idx="383">
                  <c:v>17.761115810734331</c:v>
                </c:pt>
                <c:pt idx="384">
                  <c:v>17.621663174404837</c:v>
                </c:pt>
                <c:pt idx="385">
                  <c:v>17.465494716986594</c:v>
                </c:pt>
                <c:pt idx="386">
                  <c:v>17.292817475684849</c:v>
                </c:pt>
                <c:pt idx="387">
                  <c:v>17.104321854385063</c:v>
                </c:pt>
                <c:pt idx="388">
                  <c:v>16.901148078576899</c:v>
                </c:pt>
                <c:pt idx="389">
                  <c:v>16.684845592218895</c:v>
                </c:pt>
                <c:pt idx="390">
                  <c:v>16.457325058268761</c:v>
                </c:pt>
                <c:pt idx="391">
                  <c:v>16.220803265343189</c:v>
                </c:pt>
                <c:pt idx="392">
                  <c:v>15.977741642573196</c:v>
                </c:pt>
                <c:pt idx="393">
                  <c:v>15.730779339123938</c:v>
                </c:pt>
                <c:pt idx="394">
                  <c:v>15.482661980244888</c:v>
                </c:pt>
                <c:pt idx="395">
                  <c:v>15.236167288143152</c:v>
                </c:pt>
                <c:pt idx="396">
                  <c:v>14.99402875788013</c:v>
                </c:pt>
                <c:pt idx="397">
                  <c:v>14.758858498422589</c:v>
                </c:pt>
                <c:pt idx="398">
                  <c:v>14.533070166570514</c:v>
                </c:pt>
                <c:pt idx="399">
                  <c:v>14.318802597701461</c:v>
                </c:pt>
                <c:pt idx="400">
                  <c:v>14.117844201525269</c:v>
                </c:pt>
                <c:pt idx="401">
                  <c:v>13.931557315368764</c:v>
                </c:pt>
                <c:pt idx="402">
                  <c:v>13.760800255018534</c:v>
                </c:pt>
                <c:pt idx="403">
                  <c:v>13.605842322675862</c:v>
                </c:pt>
                <c:pt idx="404">
                  <c:v>13.46626263512394</c:v>
                </c:pt>
                <c:pt idx="405">
                  <c:v>13.340815509752037</c:v>
                </c:pt>
                <c:pt idx="406">
                  <c:v>13.227229438067587</c:v>
                </c:pt>
                <c:pt idx="407">
                  <c:v>13.121874832671223</c:v>
                </c:pt>
                <c:pt idx="408">
                  <c:v>13.019167897242031</c:v>
                </c:pt>
                <c:pt idx="409">
                  <c:v>12.910426023100714</c:v>
                </c:pt>
                <c:pt idx="410">
                  <c:v>12.781533913052051</c:v>
                </c:pt>
                <c:pt idx="411">
                  <c:v>12.607923843606113</c:v>
                </c:pt>
                <c:pt idx="412">
                  <c:v>12.343426965519752</c:v>
                </c:pt>
                <c:pt idx="413">
                  <c:v>11.896817673466552</c:v>
                </c:pt>
                <c:pt idx="414">
                  <c:v>11.102121821821633</c:v>
                </c:pt>
                <c:pt idx="415">
                  <c:v>9.809140514871137</c:v>
                </c:pt>
                <c:pt idx="416">
                  <c:v>8.3190719467386227</c:v>
                </c:pt>
                <c:pt idx="417">
                  <c:v>7.2433241886264206</c:v>
                </c:pt>
                <c:pt idx="418">
                  <c:v>6.6518265216176671</c:v>
                </c:pt>
                <c:pt idx="419">
                  <c:v>6.3343052306612169</c:v>
                </c:pt>
                <c:pt idx="420">
                  <c:v>6.147620449113588</c:v>
                </c:pt>
                <c:pt idx="421">
                  <c:v>6.0230029303080483</c:v>
                </c:pt>
                <c:pt idx="422">
                  <c:v>5.9274750676950685</c:v>
                </c:pt>
                <c:pt idx="423">
                  <c:v>5.8437346491700648</c:v>
                </c:pt>
                <c:pt idx="424">
                  <c:v>5.7616783235630731</c:v>
                </c:pt>
                <c:pt idx="425">
                  <c:v>5.6748324949741775</c:v>
                </c:pt>
                <c:pt idx="426">
                  <c:v>5.5787808771825453</c:v>
                </c:pt>
                <c:pt idx="427">
                  <c:v>5.4704338163175859</c:v>
                </c:pt>
                <c:pt idx="428">
                  <c:v>5.347669680317682</c:v>
                </c:pt>
                <c:pt idx="429">
                  <c:v>5.2091472591295425</c:v>
                </c:pt>
                <c:pt idx="430">
                  <c:v>5.0541982695926713</c:v>
                </c:pt>
                <c:pt idx="431">
                  <c:v>4.8827567467171935</c:v>
                </c:pt>
                <c:pt idx="432">
                  <c:v>4.6953039181540639</c:v>
                </c:pt>
                <c:pt idx="433">
                  <c:v>4.4928176871899863</c:v>
                </c:pt>
                <c:pt idx="434">
                  <c:v>4.2767212026664279</c:v>
                </c:pt>
                <c:pt idx="435">
                  <c:v>4.0488278588615652</c:v>
                </c:pt>
                <c:pt idx="436">
                  <c:v>3.8112816800658047</c:v>
                </c:pt>
                <c:pt idx="437">
                  <c:v>3.5664929946576089</c:v>
                </c:pt>
                <c:pt idx="438">
                  <c:v>3.3170698850037468</c:v>
                </c:pt>
                <c:pt idx="439">
                  <c:v>3.0657462617778375</c:v>
                </c:pt>
                <c:pt idx="440">
                  <c:v>2.8153076315577374</c:v>
                </c:pt>
                <c:pt idx="441">
                  <c:v>2.5685157441729385</c:v>
                </c:pt>
                <c:pt idx="442">
                  <c:v>2.328033339059155</c:v>
                </c:pt>
                <c:pt idx="443">
                  <c:v>2.0963501613612756</c:v>
                </c:pt>
                <c:pt idx="444">
                  <c:v>1.8757112795885056</c:v>
                </c:pt>
                <c:pt idx="445">
                  <c:v>1.6680484824879172</c:v>
                </c:pt>
                <c:pt idx="446">
                  <c:v>1.474915113943986</c:v>
                </c:pt>
                <c:pt idx="447">
                  <c:v>1.2974240274520117</c:v>
                </c:pt>
                <c:pt idx="448">
                  <c:v>1.1361872283900625</c:v>
                </c:pt>
                <c:pt idx="449">
                  <c:v>0.99125387872056558</c:v>
                </c:pt>
                <c:pt idx="450">
                  <c:v>0.86203997753642225</c:v>
                </c:pt>
                <c:pt idx="451">
                  <c:v>0.74723677937185262</c:v>
                </c:pt>
                <c:pt idx="452">
                  <c:v>0.64467280433303276</c:v>
                </c:pt>
                <c:pt idx="453">
                  <c:v>0.55107922133879605</c:v>
                </c:pt>
                <c:pt idx="454">
                  <c:v>0.46165412468960709</c:v>
                </c:pt>
                <c:pt idx="455">
                  <c:v>0.36919731441676484</c:v>
                </c:pt>
                <c:pt idx="456">
                  <c:v>0.2622891366468989</c:v>
                </c:pt>
                <c:pt idx="457">
                  <c:v>0.12124129898502611</c:v>
                </c:pt>
                <c:pt idx="458">
                  <c:v>-9.1297542581586955E-2</c:v>
                </c:pt>
                <c:pt idx="459">
                  <c:v>-0.45181814803151132</c:v>
                </c:pt>
                <c:pt idx="460">
                  <c:v>-1.1129895028802821</c:v>
                </c:pt>
                <c:pt idx="461">
                  <c:v>-2.2720987586009014</c:v>
                </c:pt>
                <c:pt idx="462">
                  <c:v>-3.7829448168511757</c:v>
                </c:pt>
                <c:pt idx="463">
                  <c:v>-5.0151234092017871</c:v>
                </c:pt>
                <c:pt idx="464">
                  <c:v>-5.7443838055432721</c:v>
                </c:pt>
                <c:pt idx="465">
                  <c:v>-6.1480736505363485</c:v>
                </c:pt>
                <c:pt idx="466">
                  <c:v>-6.3866139652700458</c:v>
                </c:pt>
                <c:pt idx="467">
                  <c:v>-6.5440277251684389</c:v>
                </c:pt>
                <c:pt idx="468">
                  <c:v>-6.6620791284838523</c:v>
                </c:pt>
                <c:pt idx="469">
                  <c:v>-6.762884807114049</c:v>
                </c:pt>
                <c:pt idx="470">
                  <c:v>-6.8592048808929018</c:v>
                </c:pt>
                <c:pt idx="471">
                  <c:v>-6.9589775558429405</c:v>
                </c:pt>
                <c:pt idx="472">
                  <c:v>-7.0673948135514184</c:v>
                </c:pt>
                <c:pt idx="473">
                  <c:v>-7.187905934349228</c:v>
                </c:pt>
                <c:pt idx="474">
                  <c:v>-7.3227325645429442</c:v>
                </c:pt>
                <c:pt idx="475">
                  <c:v>-7.4731516491280905</c:v>
                </c:pt>
                <c:pt idx="476">
                  <c:v>-7.6396646601072309</c:v>
                </c:pt>
                <c:pt idx="477">
                  <c:v>-7.8221105542199947</c:v>
                </c:pt>
                <c:pt idx="478">
                  <c:v>-8.0197514700677992</c:v>
                </c:pt>
                <c:pt idx="479">
                  <c:v>-8.2313462363806611</c:v>
                </c:pt>
                <c:pt idx="480">
                  <c:v>-8.455219585584123</c:v>
                </c:pt>
                <c:pt idx="481">
                  <c:v>-8.6893310939510364</c:v>
                </c:pt>
                <c:pt idx="482">
                  <c:v>-8.9313456858480382</c:v>
                </c:pt>
                <c:pt idx="483">
                  <c:v>-9.178706258453639</c:v>
                </c:pt>
                <c:pt idx="484">
                  <c:v>-9.4287082078150171</c:v>
                </c:pt>
                <c:pt idx="485">
                  <c:v>-9.6785751603070018</c:v>
                </c:pt>
                <c:pt idx="486">
                  <c:v>-9.9255349248423244</c:v>
                </c:pt>
                <c:pt idx="487">
                  <c:v>-10.166894520598651</c:v>
                </c:pt>
                <c:pt idx="488">
                  <c:v>-10.400113070717133</c:v>
                </c:pt>
                <c:pt idx="489">
                  <c:v>-10.622871369645051</c:v>
                </c:pt>
                <c:pt idx="490">
                  <c:v>-10.833137028530196</c:v>
                </c:pt>
                <c:pt idx="491">
                  <c:v>-11.029224290368617</c:v>
                </c:pt>
                <c:pt idx="492">
                  <c:v>-11.209847913965227</c:v>
                </c:pt>
                <c:pt idx="493">
                  <c:v>-11.374171014576854</c:v>
                </c:pt>
                <c:pt idx="494">
                  <c:v>-11.521847541395278</c:v>
                </c:pt>
                <c:pt idx="495">
                  <c:v>-11.653061411644138</c:v>
                </c:pt>
                <c:pt idx="496">
                  <c:v>-11.768566706959426</c:v>
                </c:pt>
                <c:pt idx="497">
                  <c:v>-11.869737825139875</c:v>
                </c:pt>
                <c:pt idx="498">
                  <c:v>-11.958647390601731</c:v>
                </c:pt>
                <c:pt idx="499">
                  <c:v>-12.038208398747869</c:v>
                </c:pt>
                <c:pt idx="500">
                  <c:v>-12.112458394565213</c:v>
                </c:pt>
                <c:pt idx="501">
                  <c:v>-12.187160224701344</c:v>
                </c:pt>
                <c:pt idx="502">
                  <c:v>-12.271133448179789</c:v>
                </c:pt>
                <c:pt idx="503">
                  <c:v>-12.379353538764375</c:v>
                </c:pt>
                <c:pt idx="504">
                  <c:v>-12.540504791142547</c:v>
                </c:pt>
                <c:pt idx="505">
                  <c:v>-12.815569878896442</c:v>
                </c:pt>
                <c:pt idx="506">
                  <c:v>-13.336781885414757</c:v>
                </c:pt>
                <c:pt idx="507">
                  <c:v>-14.320899500226444</c:v>
                </c:pt>
                <c:pt idx="508">
                  <c:v>-15.769922259910571</c:v>
                </c:pt>
                <c:pt idx="509">
                  <c:v>-17.109578023370197</c:v>
                </c:pt>
                <c:pt idx="510">
                  <c:v>-17.965897938146579</c:v>
                </c:pt>
                <c:pt idx="511">
                  <c:v>-18.454709446429753</c:v>
                </c:pt>
                <c:pt idx="512">
                  <c:v>-18.7449058010885</c:v>
                </c:pt>
                <c:pt idx="513">
                  <c:v>-18.934429210628537</c:v>
                </c:pt>
                <c:pt idx="514">
                  <c:v>-19.073791368395064</c:v>
                </c:pt>
                <c:pt idx="515">
                  <c:v>-19.190011804881582</c:v>
                </c:pt>
                <c:pt idx="516">
                  <c:v>-19.298565113122798</c:v>
                </c:pt>
                <c:pt idx="517">
                  <c:v>-19.408879130698178</c:v>
                </c:pt>
                <c:pt idx="518">
                  <c:v>-19.526928189912287</c:v>
                </c:pt>
                <c:pt idx="519">
                  <c:v>-19.656520459429117</c:v>
                </c:pt>
                <c:pt idx="520">
                  <c:v>-19.799976280203435</c:v>
                </c:pt>
                <c:pt idx="521">
                  <c:v>-19.958510415781408</c:v>
                </c:pt>
                <c:pt idx="522">
                  <c:v>-20.132465235004002</c:v>
                </c:pt>
                <c:pt idx="523">
                  <c:v>-20.321467129689726</c:v>
                </c:pt>
                <c:pt idx="524">
                  <c:v>-20.524543165963166</c:v>
                </c:pt>
                <c:pt idx="525">
                  <c:v>-20.740217464023061</c:v>
                </c:pt>
                <c:pt idx="526">
                  <c:v>-20.966597712764784</c:v>
                </c:pt>
                <c:pt idx="527">
                  <c:v>-21.201457297288439</c:v>
                </c:pt>
                <c:pt idx="528">
                  <c:v>-21.44231573561331</c:v>
                </c:pt>
                <c:pt idx="529">
                  <c:v>-21.686518494651811</c:v>
                </c:pt>
                <c:pt idx="530">
                  <c:v>-21.931316278411902</c:v>
                </c:pt>
                <c:pt idx="531">
                  <c:v>-22.173943286097977</c:v>
                </c:pt>
                <c:pt idx="532">
                  <c:v>-22.41169357868311</c:v>
                </c:pt>
                <c:pt idx="533">
                  <c:v>-22.641994488258042</c:v>
                </c:pt>
                <c:pt idx="534">
                  <c:v>-22.862475908778407</c:v>
                </c:pt>
                <c:pt idx="535">
                  <c:v>-23.071034293778816</c:v>
                </c:pt>
                <c:pt idx="536">
                  <c:v>-23.265890243415729</c:v>
                </c:pt>
                <c:pt idx="537">
                  <c:v>-23.445638687932696</c:v>
                </c:pt>
                <c:pt idx="538">
                  <c:v>-23.609290878289595</c:v>
                </c:pt>
                <c:pt idx="539">
                  <c:v>-23.756307708993592</c:v>
                </c:pt>
                <c:pt idx="540">
                  <c:v>-23.88662439426734</c:v>
                </c:pt>
                <c:pt idx="541">
                  <c:v>-24.000667348787655</c:v>
                </c:pt>
                <c:pt idx="542">
                  <c:v>-24.099365615231868</c:v>
                </c:pt>
                <c:pt idx="543">
                  <c:v>-24.184162052017918</c:v>
                </c:pt>
                <c:pt idx="544">
                  <c:v>-24.257035383884148</c:v>
                </c:pt>
                <c:pt idx="545">
                  <c:v>-24.320557014590012</c:v>
                </c:pt>
                <c:pt idx="546">
                  <c:v>-24.378035889054541</c:v>
                </c:pt>
                <c:pt idx="547">
                  <c:v>-24.433876063761065</c:v>
                </c:pt>
                <c:pt idx="548">
                  <c:v>-24.494455165013658</c:v>
                </c:pt>
                <c:pt idx="549">
                  <c:v>-24.570330124476918</c:v>
                </c:pt>
                <c:pt idx="550">
                  <c:v>-24.681976958172747</c:v>
                </c:pt>
                <c:pt idx="551">
                  <c:v>-24.875029417836242</c:v>
                </c:pt>
                <c:pt idx="552">
                  <c:v>-25.257222501539399</c:v>
                </c:pt>
                <c:pt idx="553">
                  <c:v>-26.041273374645318</c:v>
                </c:pt>
                <c:pt idx="554">
                  <c:v>-27.351839930292275</c:v>
                </c:pt>
                <c:pt idx="555">
                  <c:v>-28.735982410391141</c:v>
                </c:pt>
                <c:pt idx="556">
                  <c:v>-29.6991133756399</c:v>
                </c:pt>
                <c:pt idx="557">
                  <c:v>-30.268066560790452</c:v>
                </c:pt>
                <c:pt idx="558">
                  <c:v>-30.607939697927883</c:v>
                </c:pt>
                <c:pt idx="559">
                  <c:v>-30.827945836199184</c:v>
                </c:pt>
                <c:pt idx="560">
                  <c:v>-30.986849847625113</c:v>
                </c:pt>
                <c:pt idx="561">
                  <c:v>-31.116475693504004</c:v>
                </c:pt>
                <c:pt idx="562">
                  <c:v>-31.23498066126654</c:v>
                </c:pt>
                <c:pt idx="563">
                  <c:v>-31.353260368633393</c:v>
                </c:pt>
                <c:pt idx="564">
                  <c:v>-31.478052802175387</c:v>
                </c:pt>
                <c:pt idx="565">
                  <c:v>-31.613510932344767</c:v>
                </c:pt>
                <c:pt idx="566">
                  <c:v>-31.762046257759874</c:v>
                </c:pt>
                <c:pt idx="567">
                  <c:v>-31.92481160499009</c:v>
                </c:pt>
                <c:pt idx="568">
                  <c:v>-32.101998802655274</c:v>
                </c:pt>
                <c:pt idx="569">
                  <c:v>-32.293038569476622</c:v>
                </c:pt>
                <c:pt idx="570">
                  <c:v>-32.496747743409266</c:v>
                </c:pt>
                <c:pt idx="571">
                  <c:v>-32.711447867344738</c:v>
                </c:pt>
                <c:pt idx="572">
                  <c:v>-32.935068118599368</c:v>
                </c:pt>
                <c:pt idx="573">
                  <c:v>-33.165239568543825</c:v>
                </c:pt>
                <c:pt idx="574">
                  <c:v>-33.399384369983963</c:v>
                </c:pt>
                <c:pt idx="575">
                  <c:v>-33.634801493980348</c:v>
                </c:pt>
                <c:pt idx="576">
                  <c:v>-33.868749457133084</c:v>
                </c:pt>
                <c:pt idx="577">
                  <c:v>-34.09852576590211</c:v>
                </c:pt>
                <c:pt idx="578">
                  <c:v>-34.321542375117545</c:v>
                </c:pt>
                <c:pt idx="579">
                  <c:v>-34.535396210409573</c:v>
                </c:pt>
                <c:pt idx="580">
                  <c:v>-34.737933678239926</c:v>
                </c:pt>
                <c:pt idx="581">
                  <c:v>-34.92730804565231</c:v>
                </c:pt>
                <c:pt idx="582">
                  <c:v>-35.10202859179094</c:v>
                </c:pt>
                <c:pt idx="583">
                  <c:v>-35.261000500856326</c:v>
                </c:pt>
                <c:pt idx="584">
                  <c:v>-35.403554575712718</c:v>
                </c:pt>
                <c:pt idx="585">
                  <c:v>-35.529466008051294</c:v>
                </c:pt>
                <c:pt idx="586">
                  <c:v>-35.63896167069263</c:v>
                </c:pt>
                <c:pt idx="587">
                  <c:v>-35.732715771009772</c:v>
                </c:pt>
                <c:pt idx="588">
                  <c:v>-35.811834395572511</c:v>
                </c:pt>
                <c:pt idx="589">
                  <c:v>-35.877830905291823</c:v>
                </c:pt>
                <c:pt idx="590">
                  <c:v>-35.932597336151943</c:v>
                </c:pt>
                <c:pt idx="591">
                  <c:v>-35.978384513334646</c:v>
                </c:pt>
                <c:pt idx="592">
                  <c:v>-36.017822279594171</c:v>
                </c:pt>
                <c:pt idx="593">
                  <c:v>-36.054059685924798</c:v>
                </c:pt>
                <c:pt idx="594">
                  <c:v>-36.091236951698342</c:v>
                </c:pt>
                <c:pt idx="595">
                  <c:v>-36.135879471886064</c:v>
                </c:pt>
                <c:pt idx="596">
                  <c:v>-36.200936383617552</c:v>
                </c:pt>
                <c:pt idx="597">
                  <c:v>-36.317545513350439</c:v>
                </c:pt>
                <c:pt idx="598">
                  <c:v>-36.567432105149372</c:v>
                </c:pt>
                <c:pt idx="599">
                  <c:v>-37.1415052567408</c:v>
                </c:pt>
                <c:pt idx="600">
                  <c:v>-38.250000000007738</c:v>
                </c:pt>
                <c:pt idx="601">
                  <c:v>-39.605553932611869</c:v>
                </c:pt>
                <c:pt idx="602">
                  <c:v>-40.644754650096743</c:v>
                </c:pt>
                <c:pt idx="603">
                  <c:v>-41.284174168417877</c:v>
                </c:pt>
                <c:pt idx="604">
                  <c:v>-41.669635116742064</c:v>
                </c:pt>
                <c:pt idx="605">
                  <c:v>-41.917422815706445</c:v>
                </c:pt>
                <c:pt idx="606">
                  <c:v>-42.093499964046835</c:v>
                </c:pt>
                <c:pt idx="607">
                  <c:v>-42.234166557642709</c:v>
                </c:pt>
                <c:pt idx="608">
                  <c:v>-42.360122264790334</c:v>
                </c:pt>
                <c:pt idx="609">
                  <c:v>-42.483652528467942</c:v>
                </c:pt>
                <c:pt idx="610">
                  <c:v>-42.612210127340305</c:v>
                </c:pt>
                <c:pt idx="611">
                  <c:v>-42.750262706343378</c:v>
                </c:pt>
                <c:pt idx="612">
                  <c:v>-42.90029752839218</c:v>
                </c:pt>
                <c:pt idx="613">
                  <c:v>-43.063402768849009</c:v>
                </c:pt>
                <c:pt idx="614">
                  <c:v>-43.239628253183611</c:v>
                </c:pt>
                <c:pt idx="615">
                  <c:v>-43.42822757362206</c:v>
                </c:pt>
                <c:pt idx="616">
                  <c:v>-43.627834679002881</c:v>
                </c:pt>
                <c:pt idx="617">
                  <c:v>-43.836603413502999</c:v>
                </c:pt>
                <c:pt idx="618">
                  <c:v>-44.052325553663515</c:v>
                </c:pt>
                <c:pt idx="619">
                  <c:v>-44.272535840082185</c:v>
                </c:pt>
                <c:pt idx="620">
                  <c:v>-44.494608515643115</c:v>
                </c:pt>
                <c:pt idx="621">
                  <c:v>-44.715847563560651</c:v>
                </c:pt>
                <c:pt idx="622">
                  <c:v>-44.933571458936534</c:v>
                </c:pt>
                <c:pt idx="623">
                  <c:v>-45.145192417168381</c:v>
                </c:pt>
                <c:pt idx="624">
                  <c:v>-45.348289625202462</c:v>
                </c:pt>
                <c:pt idx="625">
                  <c:v>-45.540675652989869</c:v>
                </c:pt>
                <c:pt idx="626">
                  <c:v>-45.720455088017061</c:v>
                </c:pt>
                <c:pt idx="627">
                  <c:v>-45.8860743681497</c:v>
                </c:pt>
                <c:pt idx="628">
                  <c:v>-46.036361774864595</c:v>
                </c:pt>
                <c:pt idx="629">
                  <c:v>-46.170556565754801</c:v>
                </c:pt>
                <c:pt idx="630">
                  <c:v>-46.288326251536311</c:v>
                </c:pt>
                <c:pt idx="631">
                  <c:v>-46.389771040797008</c:v>
                </c:pt>
                <c:pt idx="632">
                  <c:v>-46.475414472055064</c:v>
                </c:pt>
                <c:pt idx="633">
                  <c:v>-46.546179227649773</c:v>
                </c:pt>
                <c:pt idx="634">
                  <c:v>-46.60334711946156</c:v>
                </c:pt>
                <c:pt idx="635">
                  <c:v>-46.648502414278717</c:v>
                </c:pt>
                <c:pt idx="636">
                  <c:v>-46.683458527116635</c:v>
                </c:pt>
                <c:pt idx="637">
                  <c:v>-46.710171113482332</c:v>
                </c:pt>
                <c:pt idx="638">
                  <c:v>-46.730649976053598</c:v>
                </c:pt>
                <c:pt idx="639">
                  <c:v>-46.746910556527993</c:v>
                </c:pt>
                <c:pt idx="640">
                  <c:v>-46.761091906212314</c:v>
                </c:pt>
                <c:pt idx="641">
                  <c:v>-46.776136808562747</c:v>
                </c:pt>
                <c:pt idx="642">
                  <c:v>-46.798297212922414</c:v>
                </c:pt>
                <c:pt idx="643">
                  <c:v>-46.845550275684452</c:v>
                </c:pt>
                <c:pt idx="644">
                  <c:v>-46.974072347345405</c:v>
                </c:pt>
                <c:pt idx="645">
                  <c:v>-47.341343778913874</c:v>
                </c:pt>
                <c:pt idx="646">
                  <c:v>-48.202249478730941</c:v>
                </c:pt>
                <c:pt idx="647">
                  <c:v>-49.451945796805397</c:v>
                </c:pt>
                <c:pt idx="648">
                  <c:v>-50.525784187920415</c:v>
                </c:pt>
                <c:pt idx="649">
                  <c:v>-51.220594524181699</c:v>
                </c:pt>
                <c:pt idx="650">
                  <c:v>-51.645114309875709</c:v>
                </c:pt>
                <c:pt idx="651">
                  <c:v>-51.916774718131407</c:v>
                </c:pt>
                <c:pt idx="652">
                  <c:v>-52.10701408026349</c:v>
                </c:pt>
                <c:pt idx="653">
                  <c:v>-52.256005854570944</c:v>
                </c:pt>
                <c:pt idx="654">
                  <c:v>-52.386723885964741</c:v>
                </c:pt>
                <c:pt idx="655">
                  <c:v>-52.512700213932838</c:v>
                </c:pt>
                <c:pt idx="656">
                  <c:v>-52.642018698421083</c:v>
                </c:pt>
                <c:pt idx="657">
                  <c:v>-52.779412905037105</c:v>
                </c:pt>
                <c:pt idx="658">
                  <c:v>-52.927421033588068</c:v>
                </c:pt>
                <c:pt idx="659">
                  <c:v>-53.087059835347929</c:v>
                </c:pt>
                <c:pt idx="660">
                  <c:v>-53.258244751107434</c:v>
                </c:pt>
                <c:pt idx="661">
                  <c:v>-53.4400716216376</c:v>
                </c:pt>
                <c:pt idx="662">
                  <c:v>-53.631020508481292</c:v>
                </c:pt>
                <c:pt idx="663">
                  <c:v>-53.829114311953049</c:v>
                </c:pt>
                <c:pt idx="664">
                  <c:v>-54.032050176334266</c:v>
                </c:pt>
                <c:pt idx="665">
                  <c:v>-54.237313631572491</c:v>
                </c:pt>
                <c:pt idx="666">
                  <c:v>-54.442280875814724</c:v>
                </c:pt>
                <c:pt idx="667">
                  <c:v>-54.644311962279218</c:v>
                </c:pt>
                <c:pt idx="668">
                  <c:v>-54.840836087837538</c:v>
                </c:pt>
                <c:pt idx="669">
                  <c:v>-55.029429242168753</c:v>
                </c:pt>
                <c:pt idx="670">
                  <c:v>-55.207883916121169</c:v>
                </c:pt>
                <c:pt idx="671">
                  <c:v>-55.374270241600492</c:v>
                </c:pt>
                <c:pt idx="672">
                  <c:v>-55.5269877552754</c:v>
                </c:pt>
                <c:pt idx="673">
                  <c:v>-55.664806887796196</c:v>
                </c:pt>
                <c:pt idx="674">
                  <c:v>-55.786899238260297</c:v>
                </c:pt>
                <c:pt idx="675">
                  <c:v>-55.89285566656482</c:v>
                </c:pt>
                <c:pt idx="676">
                  <c:v>-55.982691191106177</c:v>
                </c:pt>
                <c:pt idx="677">
                  <c:v>-56.056835578738259</c:v>
                </c:pt>
                <c:pt idx="678">
                  <c:v>-56.116108311749279</c:v>
                </c:pt>
                <c:pt idx="679">
                  <c:v>-56.161676254225632</c:v>
                </c:pt>
                <c:pt idx="680">
                  <c:v>-56.194991748766519</c:v>
                </c:pt>
                <c:pt idx="681">
                  <c:v>-56.217707999067088</c:v>
                </c:pt>
                <c:pt idx="682">
                  <c:v>-56.231567490410171</c:v>
                </c:pt>
                <c:pt idx="683">
                  <c:v>-56.238258372932798</c:v>
                </c:pt>
                <c:pt idx="684">
                  <c:v>-56.239235257244623</c:v>
                </c:pt>
                <c:pt idx="685">
                  <c:v>-56.235512152587027</c:v>
                </c:pt>
                <c:pt idx="686">
                  <c:v>-56.227481969625629</c:v>
                </c:pt>
                <c:pt idx="687">
                  <c:v>-56.214989158716314</c:v>
                </c:pt>
                <c:pt idx="688">
                  <c:v>-56.198503691555445</c:v>
                </c:pt>
                <c:pt idx="689">
                  <c:v>-56.184479948852548</c:v>
                </c:pt>
                <c:pt idx="690">
                  <c:v>-56.205419742371184</c:v>
                </c:pt>
                <c:pt idx="691">
                  <c:v>-56.379419374944725</c:v>
                </c:pt>
                <c:pt idx="692">
                  <c:v>-56.967839032112352</c:v>
                </c:pt>
                <c:pt idx="693">
                  <c:v>-58.037422637416768</c:v>
                </c:pt>
                <c:pt idx="694">
                  <c:v>-59.09465306648395</c:v>
                </c:pt>
                <c:pt idx="695">
                  <c:v>-59.823818014799599</c:v>
                </c:pt>
                <c:pt idx="696">
                  <c:v>-60.278115556716003</c:v>
                </c:pt>
                <c:pt idx="697">
                  <c:v>-60.568405281423288</c:v>
                </c:pt>
                <c:pt idx="698">
                  <c:v>-60.769115068808034</c:v>
                </c:pt>
                <c:pt idx="699">
                  <c:v>-60.923371550207548</c:v>
                </c:pt>
                <c:pt idx="700">
                  <c:v>-61.056007705773162</c:v>
                </c:pt>
                <c:pt idx="701">
                  <c:v>-61.181584901408549</c:v>
                </c:pt>
                <c:pt idx="702">
                  <c:v>-61.308695155424388</c:v>
                </c:pt>
                <c:pt idx="703">
                  <c:v>-61.442268206819932</c:v>
                </c:pt>
                <c:pt idx="704">
                  <c:v>-61.584857485821949</c:v>
                </c:pt>
                <c:pt idx="705">
                  <c:v>-61.737396456286071</c:v>
                </c:pt>
                <c:pt idx="706">
                  <c:v>-61.899672005281467</c:v>
                </c:pt>
                <c:pt idx="707">
                  <c:v>-62.070641595259751</c:v>
                </c:pt>
                <c:pt idx="708">
                  <c:v>-62.248661214187209</c:v>
                </c:pt>
                <c:pt idx="709">
                  <c:v>-62.431660554661839</c:v>
                </c:pt>
                <c:pt idx="710">
                  <c:v>-62.617285612499295</c:v>
                </c:pt>
                <c:pt idx="711">
                  <c:v>-62.803019982804344</c:v>
                </c:pt>
                <c:pt idx="712">
                  <c:v>-62.986291088867993</c:v>
                </c:pt>
                <c:pt idx="713">
                  <c:v>-63.164564651868879</c:v>
                </c:pt>
                <c:pt idx="714">
                  <c:v>-63.335428977743078</c:v>
                </c:pt>
                <c:pt idx="715">
                  <c:v>-63.496669603720619</c:v>
                </c:pt>
                <c:pt idx="716">
                  <c:v>-63.646334231917407</c:v>
                </c:pt>
                <c:pt idx="717">
                  <c:v>-63.78278751863818</c:v>
                </c:pt>
                <c:pt idx="718">
                  <c:v>-63.904755086405629</c:v>
                </c:pt>
                <c:pt idx="719">
                  <c:v>-64.011356015907452</c:v>
                </c:pt>
                <c:pt idx="720">
                  <c:v>-64.102123009017959</c:v>
                </c:pt>
                <c:pt idx="721">
                  <c:v>-64.177009350299116</c:v>
                </c:pt>
                <c:pt idx="722">
                  <c:v>-64.236381689725263</c:v>
                </c:pt>
                <c:pt idx="723">
                  <c:v>-64.280997470800273</c:v>
                </c:pt>
                <c:pt idx="724">
                  <c:v>-64.311965463000959</c:v>
                </c:pt>
                <c:pt idx="725">
                  <c:v>-64.330687219410066</c:v>
                </c:pt>
                <c:pt idx="726">
                  <c:v>-64.338776211366607</c:v>
                </c:pt>
                <c:pt idx="727">
                  <c:v>-64.337949661338911</c:v>
                </c:pt>
                <c:pt idx="728">
                  <c:v>-64.32988539789055</c:v>
                </c:pt>
                <c:pt idx="729">
                  <c:v>-64.316032116296199</c:v>
                </c:pt>
                <c:pt idx="730">
                  <c:v>-64.297356538582747</c:v>
                </c:pt>
                <c:pt idx="731">
                  <c:v>-64.274008212501499</c:v>
                </c:pt>
                <c:pt idx="732">
                  <c:v>-64.244896578960848</c:v>
                </c:pt>
                <c:pt idx="733">
                  <c:v>-64.20726500712874</c:v>
                </c:pt>
                <c:pt idx="734">
                  <c:v>-64.156750612637765</c:v>
                </c:pt>
                <c:pt idx="735">
                  <c:v>-64.090078687850479</c:v>
                </c:pt>
                <c:pt idx="736">
                  <c:v>-64.018869356338499</c:v>
                </c:pt>
                <c:pt idx="737">
                  <c:v>-64.020558109618278</c:v>
                </c:pt>
                <c:pt idx="738">
                  <c:v>-64.332117021209712</c:v>
                </c:pt>
                <c:pt idx="739">
                  <c:v>-65.157867823989719</c:v>
                </c:pt>
                <c:pt idx="740">
                  <c:v>-66.139660703068657</c:v>
                </c:pt>
                <c:pt idx="741">
                  <c:v>-66.875882905033421</c:v>
                </c:pt>
                <c:pt idx="742">
                  <c:v>-67.347656462646341</c:v>
                </c:pt>
                <c:pt idx="743">
                  <c:v>-67.649885188020534</c:v>
                </c:pt>
                <c:pt idx="744">
                  <c:v>-67.856660925475509</c:v>
                </c:pt>
                <c:pt idx="745">
                  <c:v>-68.012785400134703</c:v>
                </c:pt>
                <c:pt idx="746">
                  <c:v>-68.144371235525355</c:v>
                </c:pt>
                <c:pt idx="747">
                  <c:v>-68.266709861078951</c:v>
                </c:pt>
                <c:pt idx="748">
                  <c:v>-68.388735490576707</c:v>
                </c:pt>
                <c:pt idx="749">
                  <c:v>-68.515481271779137</c:v>
                </c:pt>
                <c:pt idx="750">
                  <c:v>-68.64946804451391</c:v>
                </c:pt>
                <c:pt idx="751">
                  <c:v>-68.791528119505813</c:v>
                </c:pt>
                <c:pt idx="752">
                  <c:v>-68.941323066201235</c:v>
                </c:pt>
                <c:pt idx="753">
                  <c:v>-69.097690535693246</c:v>
                </c:pt>
                <c:pt idx="754">
                  <c:v>-69.258892224148056</c:v>
                </c:pt>
                <c:pt idx="755">
                  <c:v>-69.422802438799366</c:v>
                </c:pt>
                <c:pt idx="756">
                  <c:v>-69.587059284926724</c:v>
                </c:pt>
                <c:pt idx="757">
                  <c:v>-69.749190881601749</c:v>
                </c:pt>
                <c:pt idx="758">
                  <c:v>-69.906723567127898</c:v>
                </c:pt>
                <c:pt idx="759">
                  <c:v>-70.057275893830564</c:v>
                </c:pt>
                <c:pt idx="760">
                  <c:v>-70.198640345395063</c:v>
                </c:pt>
                <c:pt idx="761">
                  <c:v>-70.328853599036407</c:v>
                </c:pt>
                <c:pt idx="762">
                  <c:v>-70.446255495993043</c:v>
                </c:pt>
                <c:pt idx="763">
                  <c:v>-70.549536499817663</c:v>
                </c:pt>
                <c:pt idx="764">
                  <c:v>-70.637773203688894</c:v>
                </c:pt>
                <c:pt idx="765">
                  <c:v>-70.710451323255398</c:v>
                </c:pt>
                <c:pt idx="766">
                  <c:v>-70.767475526462192</c:v>
                </c:pt>
                <c:pt idx="767">
                  <c:v>-70.80916535878201</c:v>
                </c:pt>
                <c:pt idx="768">
                  <c:v>-70.836236370151624</c:v>
                </c:pt>
                <c:pt idx="769">
                  <c:v>-70.849765273624612</c:v>
                </c:pt>
                <c:pt idx="770">
                  <c:v>-70.851137472229937</c:v>
                </c:pt>
                <c:pt idx="771">
                  <c:v>-70.841974437108576</c:v>
                </c:pt>
                <c:pt idx="772">
                  <c:v>-70.824036979680955</c:v>
                </c:pt>
                <c:pt idx="773">
                  <c:v>-70.799098066745884</c:v>
                </c:pt>
                <c:pt idx="774">
                  <c:v>-70.768774893374143</c:v>
                </c:pt>
                <c:pt idx="775">
                  <c:v>-70.734303564727085</c:v>
                </c:pt>
                <c:pt idx="776">
                  <c:v>-70.69622982404077</c:v>
                </c:pt>
                <c:pt idx="777">
                  <c:v>-70.653975413044307</c:v>
                </c:pt>
                <c:pt idx="778">
                  <c:v>-70.605227246229219</c:v>
                </c:pt>
                <c:pt idx="779">
                  <c:v>-70.545119466088423</c:v>
                </c:pt>
                <c:pt idx="780">
                  <c:v>-70.465398139463346</c:v>
                </c:pt>
                <c:pt idx="781">
                  <c:v>-70.354893174291561</c:v>
                </c:pt>
                <c:pt idx="782">
                  <c:v>-70.207643756387782</c:v>
                </c:pt>
                <c:pt idx="783">
                  <c:v>-70.062642574168507</c:v>
                </c:pt>
                <c:pt idx="784">
                  <c:v>-70.111178772045676</c:v>
                </c:pt>
                <c:pt idx="785">
                  <c:v>-70.646551461565338</c:v>
                </c:pt>
                <c:pt idx="786">
                  <c:v>-71.49021059990406</c:v>
                </c:pt>
                <c:pt idx="787">
                  <c:v>-72.200035046819508</c:v>
                </c:pt>
                <c:pt idx="788">
                  <c:v>-72.673770841843719</c:v>
                </c:pt>
                <c:pt idx="789">
                  <c:v>-72.979713395861921</c:v>
                </c:pt>
                <c:pt idx="790">
                  <c:v>-73.187416773628456</c:v>
                </c:pt>
                <c:pt idx="791">
                  <c:v>-73.341689068163177</c:v>
                </c:pt>
                <c:pt idx="792">
                  <c:v>-73.469163493387271</c:v>
                </c:pt>
                <c:pt idx="793">
                  <c:v>-73.585473641103434</c:v>
                </c:pt>
                <c:pt idx="794">
                  <c:v>-73.699683869191134</c:v>
                </c:pt>
                <c:pt idx="795">
                  <c:v>-73.816813406514228</c:v>
                </c:pt>
                <c:pt idx="796">
                  <c:v>-73.939289623472845</c:v>
                </c:pt>
                <c:pt idx="797">
                  <c:v>-74.067819071291524</c:v>
                </c:pt>
                <c:pt idx="798">
                  <c:v>-74.20193793611125</c:v>
                </c:pt>
                <c:pt idx="799">
                  <c:v>-74.340381071026272</c:v>
                </c:pt>
                <c:pt idx="800">
                  <c:v>-74.481344819832273</c:v>
                </c:pt>
                <c:pt idx="801">
                  <c:v>-74.622685141788253</c:v>
                </c:pt>
                <c:pt idx="802">
                  <c:v>-74.76207436655362</c:v>
                </c:pt>
                <c:pt idx="803">
                  <c:v>-74.897129836900632</c:v>
                </c:pt>
                <c:pt idx="804">
                  <c:v>-75.025521972810552</c:v>
                </c:pt>
                <c:pt idx="805">
                  <c:v>-75.145065966319464</c:v>
                </c:pt>
                <c:pt idx="806">
                  <c:v>-75.253799356093054</c:v>
                </c:pt>
                <c:pt idx="807">
                  <c:v>-75.350046566930374</c:v>
                </c:pt>
                <c:pt idx="808">
                  <c:v>-75.432470811522364</c:v>
                </c:pt>
                <c:pt idx="809">
                  <c:v>-75.500113351575507</c:v>
                </c:pt>
                <c:pt idx="810">
                  <c:v>-75.552419886661127</c:v>
                </c:pt>
                <c:pt idx="811">
                  <c:v>-75.589253704470309</c:v>
                </c:pt>
                <c:pt idx="812">
                  <c:v>-75.610895127346609</c:v>
                </c:pt>
                <c:pt idx="813">
                  <c:v>-75.618026675005339</c:v>
                </c:pt>
                <c:pt idx="814">
                  <c:v>-75.611703175446905</c:v>
                </c:pt>
                <c:pt idx="815">
                  <c:v>-75.593305721613305</c:v>
                </c:pt>
                <c:pt idx="816">
                  <c:v>-75.564477782815402</c:v>
                </c:pt>
                <c:pt idx="817">
                  <c:v>-75.527040768613489</c:v>
                </c:pt>
                <c:pt idx="818">
                  <c:v>-75.482884631958953</c:v>
                </c:pt>
                <c:pt idx="819">
                  <c:v>-75.433826222234146</c:v>
                </c:pt>
                <c:pt idx="820">
                  <c:v>-75.381423263207154</c:v>
                </c:pt>
                <c:pt idx="821">
                  <c:v>-75.326723688527792</c:v>
                </c:pt>
                <c:pt idx="822">
                  <c:v>-75.269916426650894</c:v>
                </c:pt>
                <c:pt idx="823">
                  <c:v>-75.209827525108338</c:v>
                </c:pt>
                <c:pt idx="824">
                  <c:v>-75.143172939188773</c:v>
                </c:pt>
                <c:pt idx="825">
                  <c:v>-75.063449418264838</c:v>
                </c:pt>
                <c:pt idx="826">
                  <c:v>-74.959414632411622</c:v>
                </c:pt>
                <c:pt idx="827">
                  <c:v>-74.813789030864271</c:v>
                </c:pt>
                <c:pt idx="828">
                  <c:v>-74.606517333414388</c:v>
                </c:pt>
                <c:pt idx="829">
                  <c:v>-74.342698712610584</c:v>
                </c:pt>
                <c:pt idx="830">
                  <c:v>-74.156448584211844</c:v>
                </c:pt>
                <c:pt idx="831">
                  <c:v>-74.376719767378631</c:v>
                </c:pt>
                <c:pt idx="832">
                  <c:v>-75.020779289903729</c:v>
                </c:pt>
                <c:pt idx="833">
                  <c:v>-75.665264775808922</c:v>
                </c:pt>
                <c:pt idx="834">
                  <c:v>-76.122165934008009</c:v>
                </c:pt>
                <c:pt idx="835">
                  <c:v>-76.422011128078907</c:v>
                </c:pt>
                <c:pt idx="836">
                  <c:v>-76.624764123005704</c:v>
                </c:pt>
                <c:pt idx="837">
                  <c:v>-76.773159311629328</c:v>
                </c:pt>
                <c:pt idx="838">
                  <c:v>-76.893400732293628</c:v>
                </c:pt>
                <c:pt idx="839">
                  <c:v>-77.000982833068861</c:v>
                </c:pt>
                <c:pt idx="840">
                  <c:v>-77.104839977781452</c:v>
                </c:pt>
                <c:pt idx="841">
                  <c:v>-77.209834662526191</c:v>
                </c:pt>
                <c:pt idx="842">
                  <c:v>-77.31822628321747</c:v>
                </c:pt>
                <c:pt idx="843">
                  <c:v>-77.430563774538783</c:v>
                </c:pt>
                <c:pt idx="844">
                  <c:v>-77.546254004307912</c:v>
                </c:pt>
                <c:pt idx="845">
                  <c:v>-77.663943827443774</c:v>
                </c:pt>
                <c:pt idx="846">
                  <c:v>-77.781791581684615</c:v>
                </c:pt>
                <c:pt idx="847">
                  <c:v>-77.897670307240219</c:v>
                </c:pt>
                <c:pt idx="848">
                  <c:v>-78.009326659166831</c:v>
                </c:pt>
                <c:pt idx="849">
                  <c:v>-78.114509254316872</c:v>
                </c:pt>
                <c:pt idx="850">
                  <c:v>-78.21107435631707</c:v>
                </c:pt>
                <c:pt idx="851">
                  <c:v>-78.297073405072567</c:v>
                </c:pt>
                <c:pt idx="852">
                  <c:v>-78.370824894651378</c:v>
                </c:pt>
                <c:pt idx="853">
                  <c:v>-78.430971917056468</c:v>
                </c:pt>
                <c:pt idx="854">
                  <c:v>-78.476525990545042</c:v>
                </c:pt>
                <c:pt idx="855">
                  <c:v>-78.506897385837476</c:v>
                </c:pt>
                <c:pt idx="856">
                  <c:v>-78.521911931535243</c:v>
                </c:pt>
                <c:pt idx="857">
                  <c:v>-78.521814140886079</c:v>
                </c:pt>
                <c:pt idx="858">
                  <c:v>-78.50725639492191</c:v>
                </c:pt>
                <c:pt idx="859">
                  <c:v>-78.479273787244509</c:v>
                </c:pt>
                <c:pt idx="860">
                  <c:v>-78.439244023143388</c:v>
                </c:pt>
                <c:pt idx="861">
                  <c:v>-78.388831391442523</c:v>
                </c:pt>
                <c:pt idx="862">
                  <c:v>-78.329913174994019</c:v>
                </c:pt>
                <c:pt idx="863">
                  <c:v>-78.264485749739606</c:v>
                </c:pt>
                <c:pt idx="864">
                  <c:v>-78.194545733824839</c:v>
                </c:pt>
                <c:pt idx="865">
                  <c:v>-78.121938355955336</c:v>
                </c:pt>
                <c:pt idx="866">
                  <c:v>-78.048159781330625</c:v>
                </c:pt>
                <c:pt idx="867">
                  <c:v>-77.974090799356134</c:v>
                </c:pt>
                <c:pt idx="868">
                  <c:v>-77.899623087086624</c:v>
                </c:pt>
                <c:pt idx="869">
                  <c:v>-77.82311120037042</c:v>
                </c:pt>
                <c:pt idx="870">
                  <c:v>-77.740536312710219</c:v>
                </c:pt>
                <c:pt idx="871">
                  <c:v>-77.644198401296919</c:v>
                </c:pt>
                <c:pt idx="872">
                  <c:v>-77.520706685376751</c:v>
                </c:pt>
                <c:pt idx="873">
                  <c:v>-77.348346781915609</c:v>
                </c:pt>
                <c:pt idx="874">
                  <c:v>-77.096401681585078</c:v>
                </c:pt>
                <c:pt idx="875">
                  <c:v>-76.741942255677301</c:v>
                </c:pt>
                <c:pt idx="876">
                  <c:v>-76.35901909506056</c:v>
                </c:pt>
                <c:pt idx="877">
                  <c:v>-76.263187624003791</c:v>
                </c:pt>
                <c:pt idx="878">
                  <c:v>-76.653461431725006</c:v>
                </c:pt>
                <c:pt idx="879">
                  <c:v>-77.189584618308473</c:v>
                </c:pt>
                <c:pt idx="880">
                  <c:v>-77.607673863556698</c:v>
                </c:pt>
                <c:pt idx="881">
                  <c:v>-77.890025047793245</c:v>
                </c:pt>
                <c:pt idx="882">
                  <c:v>-78.081224685787603</c:v>
                </c:pt>
                <c:pt idx="883">
                  <c:v>-78.219439883610875</c:v>
                </c:pt>
                <c:pt idx="884">
                  <c:v>-78.329299615617117</c:v>
                </c:pt>
                <c:pt idx="885">
                  <c:v>-78.425582248197074</c:v>
                </c:pt>
                <c:pt idx="886">
                  <c:v>-78.51678327460219</c:v>
                </c:pt>
                <c:pt idx="887">
                  <c:v>-78.607440008667993</c:v>
                </c:pt>
                <c:pt idx="888">
                  <c:v>-78.699555634719687</c:v>
                </c:pt>
                <c:pt idx="889">
                  <c:v>-78.793482135412091</c:v>
                </c:pt>
                <c:pt idx="890">
                  <c:v>-78.888488865638735</c:v>
                </c:pt>
                <c:pt idx="891">
                  <c:v>-78.98314672563582</c:v>
                </c:pt>
                <c:pt idx="892">
                  <c:v>-79.075601134417809</c:v>
                </c:pt>
                <c:pt idx="893">
                  <c:v>-79.163775280608746</c:v>
                </c:pt>
                <c:pt idx="894">
                  <c:v>-79.245527428459695</c:v>
                </c:pt>
                <c:pt idx="895">
                  <c:v>-79.31877605153403</c:v>
                </c:pt>
                <c:pt idx="896">
                  <c:v>-79.381600813456927</c:v>
                </c:pt>
                <c:pt idx="897">
                  <c:v>-79.432324055558738</c:v>
                </c:pt>
                <c:pt idx="898">
                  <c:v>-79.469575468976984</c:v>
                </c:pt>
                <c:pt idx="899">
                  <c:v>-79.492341456344377</c:v>
                </c:pt>
                <c:pt idx="900">
                  <c:v>-79.5</c:v>
                </c:pt>
                <c:pt idx="901">
                  <c:v>-79.492341456344647</c:v>
                </c:pt>
                <c:pt idx="902">
                  <c:v>-79.469575468977482</c:v>
                </c:pt>
                <c:pt idx="903">
                  <c:v>-79.432324055559477</c:v>
                </c:pt>
                <c:pt idx="904">
                  <c:v>-79.381600813457879</c:v>
                </c:pt>
                <c:pt idx="905">
                  <c:v>-79.318776051535181</c:v>
                </c:pt>
                <c:pt idx="906">
                  <c:v>-79.245527428460974</c:v>
                </c:pt>
                <c:pt idx="907">
                  <c:v>-79.163775280610167</c:v>
                </c:pt>
                <c:pt idx="908">
                  <c:v>-79.075601134419315</c:v>
                </c:pt>
                <c:pt idx="909">
                  <c:v>-78.983146725637383</c:v>
                </c:pt>
                <c:pt idx="910">
                  <c:v>-78.888488865640312</c:v>
                </c:pt>
                <c:pt idx="911">
                  <c:v>-78.793482135413655</c:v>
                </c:pt>
                <c:pt idx="912">
                  <c:v>-78.699555634721236</c:v>
                </c:pt>
                <c:pt idx="913">
                  <c:v>-78.607440008669499</c:v>
                </c:pt>
                <c:pt idx="914">
                  <c:v>-78.516783274603682</c:v>
                </c:pt>
                <c:pt idx="915">
                  <c:v>-78.425582248198623</c:v>
                </c:pt>
                <c:pt idx="916">
                  <c:v>-78.32929961561878</c:v>
                </c:pt>
                <c:pt idx="917">
                  <c:v>-78.219439883612907</c:v>
                </c:pt>
                <c:pt idx="918">
                  <c:v>-78.081224685790318</c:v>
                </c:pt>
                <c:pt idx="919">
                  <c:v>-77.890025047797124</c:v>
                </c:pt>
                <c:pt idx="920">
                  <c:v>-77.607673863562482</c:v>
                </c:pt>
                <c:pt idx="921">
                  <c:v>-77.189584618316829</c:v>
                </c:pt>
                <c:pt idx="922">
                  <c:v>-76.653461431734016</c:v>
                </c:pt>
                <c:pt idx="923">
                  <c:v>-76.263187624006619</c:v>
                </c:pt>
                <c:pt idx="924">
                  <c:v>-76.359019095055345</c:v>
                </c:pt>
                <c:pt idx="925">
                  <c:v>-76.741942255670551</c:v>
                </c:pt>
                <c:pt idx="926">
                  <c:v>-77.096401681580005</c:v>
                </c:pt>
                <c:pt idx="927">
                  <c:v>-77.348346781912113</c:v>
                </c:pt>
                <c:pt idx="928">
                  <c:v>-77.520706685374321</c:v>
                </c:pt>
                <c:pt idx="929">
                  <c:v>-77.6441984012951</c:v>
                </c:pt>
                <c:pt idx="930">
                  <c:v>-77.740536312708727</c:v>
                </c:pt>
                <c:pt idx="931">
                  <c:v>-77.823111200369084</c:v>
                </c:pt>
                <c:pt idx="932">
                  <c:v>-77.899623087085388</c:v>
                </c:pt>
                <c:pt idx="933">
                  <c:v>-77.974090799354897</c:v>
                </c:pt>
                <c:pt idx="934">
                  <c:v>-78.048159781329375</c:v>
                </c:pt>
                <c:pt idx="935">
                  <c:v>-78.121938355954086</c:v>
                </c:pt>
                <c:pt idx="936">
                  <c:v>-78.194545733823631</c:v>
                </c:pt>
                <c:pt idx="937">
                  <c:v>-78.264485749738469</c:v>
                </c:pt>
                <c:pt idx="938">
                  <c:v>-78.329913174992981</c:v>
                </c:pt>
                <c:pt idx="939">
                  <c:v>-78.388831391441585</c:v>
                </c:pt>
                <c:pt idx="940">
                  <c:v>-78.439244023142635</c:v>
                </c:pt>
                <c:pt idx="941">
                  <c:v>-78.479273787243926</c:v>
                </c:pt>
                <c:pt idx="942">
                  <c:v>-78.507256394921555</c:v>
                </c:pt>
                <c:pt idx="943">
                  <c:v>-78.521814140885937</c:v>
                </c:pt>
                <c:pt idx="944">
                  <c:v>-78.521911931535371</c:v>
                </c:pt>
                <c:pt idx="945">
                  <c:v>-78.506897385837874</c:v>
                </c:pt>
                <c:pt idx="946">
                  <c:v>-78.476525990545696</c:v>
                </c:pt>
                <c:pt idx="947">
                  <c:v>-78.430971917057363</c:v>
                </c:pt>
                <c:pt idx="948">
                  <c:v>-78.3708248946525</c:v>
                </c:pt>
                <c:pt idx="949">
                  <c:v>-78.297073405073917</c:v>
                </c:pt>
                <c:pt idx="950">
                  <c:v>-78.211074356318605</c:v>
                </c:pt>
                <c:pt idx="951">
                  <c:v>-78.114509254318563</c:v>
                </c:pt>
                <c:pt idx="952">
                  <c:v>-78.009326659168664</c:v>
                </c:pt>
                <c:pt idx="953">
                  <c:v>-77.897670307242151</c:v>
                </c:pt>
                <c:pt idx="954">
                  <c:v>-77.781791581686562</c:v>
                </c:pt>
                <c:pt idx="955">
                  <c:v>-77.663943827445749</c:v>
                </c:pt>
                <c:pt idx="956">
                  <c:v>-77.546254004309844</c:v>
                </c:pt>
                <c:pt idx="957">
                  <c:v>-77.430563774540687</c:v>
                </c:pt>
                <c:pt idx="958">
                  <c:v>-77.318226283219289</c:v>
                </c:pt>
                <c:pt idx="959">
                  <c:v>-77.209834662527939</c:v>
                </c:pt>
                <c:pt idx="960">
                  <c:v>-77.104839977783172</c:v>
                </c:pt>
                <c:pt idx="961">
                  <c:v>-77.00098283307058</c:v>
                </c:pt>
                <c:pt idx="962">
                  <c:v>-76.89340073229549</c:v>
                </c:pt>
                <c:pt idx="963">
                  <c:v>-76.773159311631503</c:v>
                </c:pt>
                <c:pt idx="964">
                  <c:v>-76.624764123008561</c:v>
                </c:pt>
                <c:pt idx="965">
                  <c:v>-76.422011128082971</c:v>
                </c:pt>
                <c:pt idx="966">
                  <c:v>-76.122165934014234</c:v>
                </c:pt>
                <c:pt idx="967">
                  <c:v>-75.665264775818329</c:v>
                </c:pt>
                <c:pt idx="968">
                  <c:v>-75.020779289915623</c:v>
                </c:pt>
                <c:pt idx="969">
                  <c:v>-74.376719767386945</c:v>
                </c:pt>
                <c:pt idx="970">
                  <c:v>-74.156448584211176</c:v>
                </c:pt>
                <c:pt idx="971">
                  <c:v>-74.342698712606108</c:v>
                </c:pt>
                <c:pt idx="972">
                  <c:v>-74.606517333410295</c:v>
                </c:pt>
                <c:pt idx="973">
                  <c:v>-74.813789030861344</c:v>
                </c:pt>
                <c:pt idx="974">
                  <c:v>-74.959414632409604</c:v>
                </c:pt>
                <c:pt idx="975">
                  <c:v>-75.063449418263346</c:v>
                </c:pt>
                <c:pt idx="976">
                  <c:v>-75.143172939187579</c:v>
                </c:pt>
                <c:pt idx="977">
                  <c:v>-75.209827525107286</c:v>
                </c:pt>
                <c:pt idx="978">
                  <c:v>-75.269916426649914</c:v>
                </c:pt>
                <c:pt idx="979">
                  <c:v>-75.326723688526869</c:v>
                </c:pt>
                <c:pt idx="980">
                  <c:v>-75.381423263206273</c:v>
                </c:pt>
                <c:pt idx="981">
                  <c:v>-75.433826222233307</c:v>
                </c:pt>
                <c:pt idx="982">
                  <c:v>-75.482884631958171</c:v>
                </c:pt>
                <c:pt idx="983">
                  <c:v>-75.527040768612807</c:v>
                </c:pt>
                <c:pt idx="984">
                  <c:v>-75.564477782814834</c:v>
                </c:pt>
                <c:pt idx="985">
                  <c:v>-75.593305721612907</c:v>
                </c:pt>
                <c:pt idx="986">
                  <c:v>-75.611703175446706</c:v>
                </c:pt>
                <c:pt idx="987">
                  <c:v>-75.618026675005353</c:v>
                </c:pt>
                <c:pt idx="988">
                  <c:v>-75.610895127346851</c:v>
                </c:pt>
                <c:pt idx="989">
                  <c:v>-75.589253704470792</c:v>
                </c:pt>
                <c:pt idx="990">
                  <c:v>-75.55241988666188</c:v>
                </c:pt>
                <c:pt idx="991">
                  <c:v>-75.500113351576516</c:v>
                </c:pt>
                <c:pt idx="992">
                  <c:v>-75.432470811523643</c:v>
                </c:pt>
                <c:pt idx="993">
                  <c:v>-75.35004656693188</c:v>
                </c:pt>
                <c:pt idx="994">
                  <c:v>-75.253799356094802</c:v>
                </c:pt>
                <c:pt idx="995">
                  <c:v>-75.145065966321397</c:v>
                </c:pt>
                <c:pt idx="996">
                  <c:v>-75.025521972812669</c:v>
                </c:pt>
                <c:pt idx="997">
                  <c:v>-74.897129836902863</c:v>
                </c:pt>
                <c:pt idx="998">
                  <c:v>-74.76207436655595</c:v>
                </c:pt>
                <c:pt idx="999">
                  <c:v>-74.622685141790654</c:v>
                </c:pt>
                <c:pt idx="1000">
                  <c:v>-74.481344819834675</c:v>
                </c:pt>
                <c:pt idx="1001">
                  <c:v>-74.340381071028659</c:v>
                </c:pt>
                <c:pt idx="1002">
                  <c:v>-74.201937936113524</c:v>
                </c:pt>
                <c:pt idx="1003">
                  <c:v>-74.067819071293727</c:v>
                </c:pt>
                <c:pt idx="1004">
                  <c:v>-73.939289623474934</c:v>
                </c:pt>
                <c:pt idx="1005">
                  <c:v>-73.816813406516246</c:v>
                </c:pt>
                <c:pt idx="1006">
                  <c:v>-73.699683869193052</c:v>
                </c:pt>
                <c:pt idx="1007">
                  <c:v>-73.585473641105352</c:v>
                </c:pt>
                <c:pt idx="1008">
                  <c:v>-73.469163493389303</c:v>
                </c:pt>
                <c:pt idx="1009">
                  <c:v>-73.341689068165479</c:v>
                </c:pt>
                <c:pt idx="1010">
                  <c:v>-73.187416773631384</c:v>
                </c:pt>
                <c:pt idx="1011">
                  <c:v>-72.979713395866071</c:v>
                </c:pt>
                <c:pt idx="1012">
                  <c:v>-72.673770841850043</c:v>
                </c:pt>
                <c:pt idx="1013">
                  <c:v>-72.200035046829413</c:v>
                </c:pt>
                <c:pt idx="1014">
                  <c:v>-71.49021059991793</c:v>
                </c:pt>
                <c:pt idx="1015">
                  <c:v>-70.646551461578454</c:v>
                </c:pt>
                <c:pt idx="1016">
                  <c:v>-70.111178772050039</c:v>
                </c:pt>
                <c:pt idx="1017">
                  <c:v>-70.062642574166816</c:v>
                </c:pt>
                <c:pt idx="1018">
                  <c:v>-70.207643756385082</c:v>
                </c:pt>
                <c:pt idx="1019">
                  <c:v>-70.354893174289373</c:v>
                </c:pt>
                <c:pt idx="1020">
                  <c:v>-70.46539813946174</c:v>
                </c:pt>
                <c:pt idx="1021">
                  <c:v>-70.545119466087272</c:v>
                </c:pt>
                <c:pt idx="1022">
                  <c:v>-70.60522724622831</c:v>
                </c:pt>
                <c:pt idx="1023">
                  <c:v>-70.65397541304354</c:v>
                </c:pt>
                <c:pt idx="1024">
                  <c:v>-70.696229824040074</c:v>
                </c:pt>
                <c:pt idx="1025">
                  <c:v>-70.73430356472646</c:v>
                </c:pt>
                <c:pt idx="1026">
                  <c:v>-70.768774893373603</c:v>
                </c:pt>
                <c:pt idx="1027">
                  <c:v>-70.799098066745401</c:v>
                </c:pt>
                <c:pt idx="1028">
                  <c:v>-70.824036979680585</c:v>
                </c:pt>
                <c:pt idx="1029">
                  <c:v>-70.841974437108348</c:v>
                </c:pt>
                <c:pt idx="1030">
                  <c:v>-70.85113747222988</c:v>
                </c:pt>
                <c:pt idx="1031">
                  <c:v>-70.849765273624698</c:v>
                </c:pt>
                <c:pt idx="1032">
                  <c:v>-70.83623637015198</c:v>
                </c:pt>
                <c:pt idx="1033">
                  <c:v>-70.809165358782579</c:v>
                </c:pt>
                <c:pt idx="1034">
                  <c:v>-70.767475526463016</c:v>
                </c:pt>
                <c:pt idx="1035">
                  <c:v>-70.710451323256493</c:v>
                </c:pt>
                <c:pt idx="1036">
                  <c:v>-70.637773203690244</c:v>
                </c:pt>
                <c:pt idx="1037">
                  <c:v>-70.549536499819283</c:v>
                </c:pt>
                <c:pt idx="1038">
                  <c:v>-70.446255495994905</c:v>
                </c:pt>
                <c:pt idx="1039">
                  <c:v>-70.328853599038496</c:v>
                </c:pt>
                <c:pt idx="1040">
                  <c:v>-70.198640345397365</c:v>
                </c:pt>
                <c:pt idx="1041">
                  <c:v>-70.057275893833051</c:v>
                </c:pt>
                <c:pt idx="1042">
                  <c:v>-69.906723567130499</c:v>
                </c:pt>
                <c:pt idx="1043">
                  <c:v>-69.749190881604434</c:v>
                </c:pt>
                <c:pt idx="1044">
                  <c:v>-69.587059284929467</c:v>
                </c:pt>
                <c:pt idx="1045">
                  <c:v>-69.422802438802151</c:v>
                </c:pt>
                <c:pt idx="1046">
                  <c:v>-69.258892224150785</c:v>
                </c:pt>
                <c:pt idx="1047">
                  <c:v>-69.097690535695932</c:v>
                </c:pt>
                <c:pt idx="1048">
                  <c:v>-68.941323066203779</c:v>
                </c:pt>
                <c:pt idx="1049">
                  <c:v>-68.791528119508257</c:v>
                </c:pt>
                <c:pt idx="1050">
                  <c:v>-68.649468044516212</c:v>
                </c:pt>
                <c:pt idx="1051">
                  <c:v>-68.515481271781297</c:v>
                </c:pt>
                <c:pt idx="1052">
                  <c:v>-68.38873549057881</c:v>
                </c:pt>
                <c:pt idx="1053">
                  <c:v>-68.266709861080955</c:v>
                </c:pt>
                <c:pt idx="1054">
                  <c:v>-68.144371235527444</c:v>
                </c:pt>
                <c:pt idx="1055">
                  <c:v>-68.012785400137048</c:v>
                </c:pt>
                <c:pt idx="1056">
                  <c:v>-67.856660925478437</c:v>
                </c:pt>
                <c:pt idx="1057">
                  <c:v>-67.649885188024641</c:v>
                </c:pt>
                <c:pt idx="1058">
                  <c:v>-67.347656462652594</c:v>
                </c:pt>
                <c:pt idx="1059">
                  <c:v>-66.875882905043284</c:v>
                </c:pt>
                <c:pt idx="1060">
                  <c:v>-66.139660703083578</c:v>
                </c:pt>
                <c:pt idx="1061">
                  <c:v>-65.157867824006672</c:v>
                </c:pt>
                <c:pt idx="1062">
                  <c:v>-64.332117021219346</c:v>
                </c:pt>
                <c:pt idx="1063">
                  <c:v>-64.020558109619984</c:v>
                </c:pt>
                <c:pt idx="1064">
                  <c:v>-64.018869356337518</c:v>
                </c:pt>
                <c:pt idx="1065">
                  <c:v>-64.090078687849228</c:v>
                </c:pt>
                <c:pt idx="1066">
                  <c:v>-64.156750612636785</c:v>
                </c:pt>
                <c:pt idx="1067">
                  <c:v>-64.207265007127987</c:v>
                </c:pt>
                <c:pt idx="1068">
                  <c:v>-64.244896578960294</c:v>
                </c:pt>
                <c:pt idx="1069">
                  <c:v>-64.274008212501073</c:v>
                </c:pt>
                <c:pt idx="1070">
                  <c:v>-64.297356538582378</c:v>
                </c:pt>
                <c:pt idx="1071">
                  <c:v>-64.316032116295915</c:v>
                </c:pt>
                <c:pt idx="1072">
                  <c:v>-64.329885397890379</c:v>
                </c:pt>
                <c:pt idx="1073">
                  <c:v>-64.337949661338868</c:v>
                </c:pt>
                <c:pt idx="1074">
                  <c:v>-64.338776211366664</c:v>
                </c:pt>
                <c:pt idx="1075">
                  <c:v>-64.330687219410308</c:v>
                </c:pt>
                <c:pt idx="1076">
                  <c:v>-64.311965463001371</c:v>
                </c:pt>
                <c:pt idx="1077">
                  <c:v>-64.280997470800912</c:v>
                </c:pt>
                <c:pt idx="1078">
                  <c:v>-64.236381689726144</c:v>
                </c:pt>
                <c:pt idx="1079">
                  <c:v>-64.177009350300239</c:v>
                </c:pt>
                <c:pt idx="1080">
                  <c:v>-64.102123009019351</c:v>
                </c:pt>
                <c:pt idx="1081">
                  <c:v>-64.011356015909101</c:v>
                </c:pt>
                <c:pt idx="1082">
                  <c:v>-63.904755086407533</c:v>
                </c:pt>
                <c:pt idx="1083">
                  <c:v>-63.782787518640347</c:v>
                </c:pt>
                <c:pt idx="1084">
                  <c:v>-63.646334231919795</c:v>
                </c:pt>
                <c:pt idx="1085">
                  <c:v>-63.496669603723234</c:v>
                </c:pt>
                <c:pt idx="1086">
                  <c:v>-63.335428977745885</c:v>
                </c:pt>
                <c:pt idx="1087">
                  <c:v>-63.164564651871814</c:v>
                </c:pt>
                <c:pt idx="1088">
                  <c:v>-62.986291088871035</c:v>
                </c:pt>
                <c:pt idx="1089">
                  <c:v>-62.803019982807427</c:v>
                </c:pt>
                <c:pt idx="1090">
                  <c:v>-62.617285612502421</c:v>
                </c:pt>
                <c:pt idx="1091">
                  <c:v>-62.431660554664958</c:v>
                </c:pt>
                <c:pt idx="1092">
                  <c:v>-62.248661214190228</c:v>
                </c:pt>
                <c:pt idx="1093">
                  <c:v>-62.070641595262678</c:v>
                </c:pt>
                <c:pt idx="1094">
                  <c:v>-61.89967200528428</c:v>
                </c:pt>
                <c:pt idx="1095">
                  <c:v>-61.7373964562887</c:v>
                </c:pt>
                <c:pt idx="1096">
                  <c:v>-61.584857485824408</c:v>
                </c:pt>
                <c:pt idx="1097">
                  <c:v>-61.442268206822249</c:v>
                </c:pt>
                <c:pt idx="1098">
                  <c:v>-61.308695155426584</c:v>
                </c:pt>
                <c:pt idx="1099">
                  <c:v>-61.181584901410638</c:v>
                </c:pt>
                <c:pt idx="1100">
                  <c:v>-61.056007705775293</c:v>
                </c:pt>
                <c:pt idx="1101">
                  <c:v>-60.923371550209907</c:v>
                </c:pt>
                <c:pt idx="1102">
                  <c:v>-60.769115068810912</c:v>
                </c:pt>
                <c:pt idx="1103">
                  <c:v>-60.568405281427253</c:v>
                </c:pt>
                <c:pt idx="1104">
                  <c:v>-60.278115556721986</c:v>
                </c:pt>
                <c:pt idx="1105">
                  <c:v>-59.823818014809149</c:v>
                </c:pt>
                <c:pt idx="1106">
                  <c:v>-59.09465306649895</c:v>
                </c:pt>
                <c:pt idx="1107">
                  <c:v>-58.037422637436286</c:v>
                </c:pt>
                <c:pt idx="1108">
                  <c:v>-56.967839032127017</c:v>
                </c:pt>
                <c:pt idx="1109">
                  <c:v>-56.379419374950231</c:v>
                </c:pt>
                <c:pt idx="1110">
                  <c:v>-56.205419742372278</c:v>
                </c:pt>
                <c:pt idx="1111">
                  <c:v>-56.18447994885242</c:v>
                </c:pt>
                <c:pt idx="1112">
                  <c:v>-56.198503691555125</c:v>
                </c:pt>
                <c:pt idx="1113">
                  <c:v>-56.214989158716051</c:v>
                </c:pt>
                <c:pt idx="1114">
                  <c:v>-56.22748196962543</c:v>
                </c:pt>
                <c:pt idx="1115">
                  <c:v>-56.235512152586892</c:v>
                </c:pt>
                <c:pt idx="1116">
                  <c:v>-56.23923525724458</c:v>
                </c:pt>
                <c:pt idx="1117">
                  <c:v>-56.238258372932833</c:v>
                </c:pt>
                <c:pt idx="1118">
                  <c:v>-56.231567490410306</c:v>
                </c:pt>
                <c:pt idx="1119">
                  <c:v>-56.217707999067393</c:v>
                </c:pt>
                <c:pt idx="1120">
                  <c:v>-56.194991748766981</c:v>
                </c:pt>
                <c:pt idx="1121">
                  <c:v>-56.161676254226286</c:v>
                </c:pt>
                <c:pt idx="1122">
                  <c:v>-56.116108311750146</c:v>
                </c:pt>
                <c:pt idx="1123">
                  <c:v>-56.056835578739367</c:v>
                </c:pt>
                <c:pt idx="1124">
                  <c:v>-55.982691191107534</c:v>
                </c:pt>
                <c:pt idx="1125">
                  <c:v>-55.892855666566462</c:v>
                </c:pt>
                <c:pt idx="1126">
                  <c:v>-55.786899238262208</c:v>
                </c:pt>
                <c:pt idx="1127">
                  <c:v>-55.664806887798363</c:v>
                </c:pt>
                <c:pt idx="1128">
                  <c:v>-55.52698775527783</c:v>
                </c:pt>
                <c:pt idx="1129">
                  <c:v>-55.374270241603185</c:v>
                </c:pt>
                <c:pt idx="1130">
                  <c:v>-55.20788391612404</c:v>
                </c:pt>
                <c:pt idx="1131">
                  <c:v>-55.029429242171865</c:v>
                </c:pt>
                <c:pt idx="1132">
                  <c:v>-54.84083608784082</c:v>
                </c:pt>
                <c:pt idx="1133">
                  <c:v>-54.644311962282572</c:v>
                </c:pt>
                <c:pt idx="1134">
                  <c:v>-54.442280875818163</c:v>
                </c:pt>
                <c:pt idx="1135">
                  <c:v>-54.237313631575951</c:v>
                </c:pt>
                <c:pt idx="1136">
                  <c:v>-54.032050176337727</c:v>
                </c:pt>
                <c:pt idx="1137">
                  <c:v>-53.829114311956445</c:v>
                </c:pt>
                <c:pt idx="1138">
                  <c:v>-53.631020508484575</c:v>
                </c:pt>
                <c:pt idx="1139">
                  <c:v>-53.440071621640762</c:v>
                </c:pt>
                <c:pt idx="1140">
                  <c:v>-53.258244751110396</c:v>
                </c:pt>
                <c:pt idx="1141">
                  <c:v>-53.087059835350694</c:v>
                </c:pt>
                <c:pt idx="1142">
                  <c:v>-52.927421033590676</c:v>
                </c:pt>
                <c:pt idx="1143">
                  <c:v>-52.779412905039486</c:v>
                </c:pt>
                <c:pt idx="1144">
                  <c:v>-52.642018698423314</c:v>
                </c:pt>
                <c:pt idx="1145">
                  <c:v>-52.512700213934934</c:v>
                </c:pt>
                <c:pt idx="1146">
                  <c:v>-52.386723885966873</c:v>
                </c:pt>
                <c:pt idx="1147">
                  <c:v>-52.256005854573267</c:v>
                </c:pt>
                <c:pt idx="1148">
                  <c:v>-52.107014080266282</c:v>
                </c:pt>
                <c:pt idx="1149">
                  <c:v>-51.916774718135159</c:v>
                </c:pt>
                <c:pt idx="1150">
                  <c:v>-51.645114309881308</c:v>
                </c:pt>
                <c:pt idx="1151">
                  <c:v>-51.220594524190787</c:v>
                </c:pt>
                <c:pt idx="1152">
                  <c:v>-50.525784187935159</c:v>
                </c:pt>
                <c:pt idx="1153">
                  <c:v>-49.451945796826337</c:v>
                </c:pt>
                <c:pt idx="1154">
                  <c:v>-48.202249478750176</c:v>
                </c:pt>
                <c:pt idx="1155">
                  <c:v>-47.341343778923509</c:v>
                </c:pt>
                <c:pt idx="1156">
                  <c:v>-46.974072347348901</c:v>
                </c:pt>
                <c:pt idx="1157">
                  <c:v>-46.845550275685682</c:v>
                </c:pt>
                <c:pt idx="1158">
                  <c:v>-46.798297212922911</c:v>
                </c:pt>
                <c:pt idx="1159">
                  <c:v>-46.776136808563017</c:v>
                </c:pt>
                <c:pt idx="1160">
                  <c:v>-46.761091906212556</c:v>
                </c:pt>
                <c:pt idx="1161">
                  <c:v>-46.746910556528242</c:v>
                </c:pt>
                <c:pt idx="1162">
                  <c:v>-46.730649976053876</c:v>
                </c:pt>
                <c:pt idx="1163">
                  <c:v>-46.710171113482708</c:v>
                </c:pt>
                <c:pt idx="1164">
                  <c:v>-46.683458527117146</c:v>
                </c:pt>
                <c:pt idx="1165">
                  <c:v>-46.648502414279392</c:v>
                </c:pt>
                <c:pt idx="1166">
                  <c:v>-46.60334711946242</c:v>
                </c:pt>
                <c:pt idx="1167">
                  <c:v>-46.546179227650889</c:v>
                </c:pt>
                <c:pt idx="1168">
                  <c:v>-46.475414472056407</c:v>
                </c:pt>
                <c:pt idx="1169">
                  <c:v>-46.389771040798635</c:v>
                </c:pt>
                <c:pt idx="1170">
                  <c:v>-46.288326251538216</c:v>
                </c:pt>
                <c:pt idx="1171">
                  <c:v>-46.170556565757011</c:v>
                </c:pt>
                <c:pt idx="1172">
                  <c:v>-46.036361774867117</c:v>
                </c:pt>
                <c:pt idx="1173">
                  <c:v>-45.886074368152499</c:v>
                </c:pt>
                <c:pt idx="1174">
                  <c:v>-45.720455088020138</c:v>
                </c:pt>
                <c:pt idx="1175">
                  <c:v>-45.54067565299323</c:v>
                </c:pt>
                <c:pt idx="1176">
                  <c:v>-45.348289625206007</c:v>
                </c:pt>
                <c:pt idx="1177">
                  <c:v>-45.145192417172147</c:v>
                </c:pt>
                <c:pt idx="1178">
                  <c:v>-44.933571458940406</c:v>
                </c:pt>
                <c:pt idx="1179">
                  <c:v>-44.71584756356463</c:v>
                </c:pt>
                <c:pt idx="1180">
                  <c:v>-44.494608515647194</c:v>
                </c:pt>
                <c:pt idx="1181">
                  <c:v>-44.272535840086235</c:v>
                </c:pt>
                <c:pt idx="1182">
                  <c:v>-44.052325553667522</c:v>
                </c:pt>
                <c:pt idx="1183">
                  <c:v>-43.836603413506978</c:v>
                </c:pt>
                <c:pt idx="1184">
                  <c:v>-43.627834679006668</c:v>
                </c:pt>
                <c:pt idx="1185">
                  <c:v>-43.428227573625705</c:v>
                </c:pt>
                <c:pt idx="1186">
                  <c:v>-43.239628253187021</c:v>
                </c:pt>
                <c:pt idx="1187">
                  <c:v>-43.063402768852185</c:v>
                </c:pt>
                <c:pt idx="1188">
                  <c:v>-42.900297528395164</c:v>
                </c:pt>
                <c:pt idx="1189">
                  <c:v>-42.750262706346092</c:v>
                </c:pt>
                <c:pt idx="1190">
                  <c:v>-42.612210127342827</c:v>
                </c:pt>
                <c:pt idx="1191">
                  <c:v>-42.483652528470344</c:v>
                </c:pt>
                <c:pt idx="1192">
                  <c:v>-42.360122264792693</c:v>
                </c:pt>
                <c:pt idx="1193">
                  <c:v>-42.234166557645239</c:v>
                </c:pt>
                <c:pt idx="1194">
                  <c:v>-42.093499964049791</c:v>
                </c:pt>
                <c:pt idx="1195">
                  <c:v>-41.917422815710403</c:v>
                </c:pt>
                <c:pt idx="1196">
                  <c:v>-41.669635116747926</c:v>
                </c:pt>
                <c:pt idx="1197">
                  <c:v>-41.284174168427434</c:v>
                </c:pt>
                <c:pt idx="1198">
                  <c:v>-40.644754650112816</c:v>
                </c:pt>
                <c:pt idx="1199">
                  <c:v>-39.605553932636404</c:v>
                </c:pt>
                <c:pt idx="1200">
                  <c:v>-38.250000000034333</c:v>
                </c:pt>
                <c:pt idx="1201">
                  <c:v>-37.141505256757114</c:v>
                </c:pt>
                <c:pt idx="1202">
                  <c:v>-36.567432105156584</c:v>
                </c:pt>
                <c:pt idx="1203">
                  <c:v>-36.317545513353679</c:v>
                </c:pt>
                <c:pt idx="1204">
                  <c:v>-36.200936383619165</c:v>
                </c:pt>
                <c:pt idx="1205">
                  <c:v>-36.135879471887108</c:v>
                </c:pt>
                <c:pt idx="1206">
                  <c:v>-36.091236951699109</c:v>
                </c:pt>
                <c:pt idx="1207">
                  <c:v>-36.054059685925544</c:v>
                </c:pt>
                <c:pt idx="1208">
                  <c:v>-36.017822279594917</c:v>
                </c:pt>
                <c:pt idx="1209">
                  <c:v>-35.97838451333552</c:v>
                </c:pt>
                <c:pt idx="1210">
                  <c:v>-35.932597336152938</c:v>
                </c:pt>
                <c:pt idx="1211">
                  <c:v>-35.877830905293045</c:v>
                </c:pt>
                <c:pt idx="1212">
                  <c:v>-35.811834395573982</c:v>
                </c:pt>
                <c:pt idx="1213">
                  <c:v>-35.732715771011563</c:v>
                </c:pt>
                <c:pt idx="1214">
                  <c:v>-35.638961670694712</c:v>
                </c:pt>
                <c:pt idx="1215">
                  <c:v>-35.529466008053724</c:v>
                </c:pt>
                <c:pt idx="1216">
                  <c:v>-35.403554575715482</c:v>
                </c:pt>
                <c:pt idx="1217">
                  <c:v>-35.261000500859467</c:v>
                </c:pt>
                <c:pt idx="1218">
                  <c:v>-35.102028591794458</c:v>
                </c:pt>
                <c:pt idx="1219">
                  <c:v>-34.927308045656105</c:v>
                </c:pt>
                <c:pt idx="1220">
                  <c:v>-34.73793367824409</c:v>
                </c:pt>
                <c:pt idx="1221">
                  <c:v>-34.535396210413943</c:v>
                </c:pt>
                <c:pt idx="1222">
                  <c:v>-34.321542375122192</c:v>
                </c:pt>
                <c:pt idx="1223">
                  <c:v>-34.098525765906928</c:v>
                </c:pt>
                <c:pt idx="1224">
                  <c:v>-33.868749457138058</c:v>
                </c:pt>
                <c:pt idx="1225">
                  <c:v>-33.634801493985385</c:v>
                </c:pt>
                <c:pt idx="1226">
                  <c:v>-33.399384369989043</c:v>
                </c:pt>
                <c:pt idx="1227">
                  <c:v>-33.165239568548806</c:v>
                </c:pt>
                <c:pt idx="1228">
                  <c:v>-32.935068118604306</c:v>
                </c:pt>
                <c:pt idx="1229">
                  <c:v>-32.711447867349513</c:v>
                </c:pt>
                <c:pt idx="1230">
                  <c:v>-32.49674774341387</c:v>
                </c:pt>
                <c:pt idx="1231">
                  <c:v>-32.293038569480935</c:v>
                </c:pt>
                <c:pt idx="1232">
                  <c:v>-32.101998802659324</c:v>
                </c:pt>
                <c:pt idx="1233">
                  <c:v>-31.924811604993824</c:v>
                </c:pt>
                <c:pt idx="1234">
                  <c:v>-31.762046257763323</c:v>
                </c:pt>
                <c:pt idx="1235">
                  <c:v>-31.613510932347896</c:v>
                </c:pt>
                <c:pt idx="1236">
                  <c:v>-31.478052802178279</c:v>
                </c:pt>
                <c:pt idx="1237">
                  <c:v>-31.353260368636093</c:v>
                </c:pt>
                <c:pt idx="1238">
                  <c:v>-31.234980661269155</c:v>
                </c:pt>
                <c:pt idx="1239">
                  <c:v>-31.116475693506747</c:v>
                </c:pt>
                <c:pt idx="1240">
                  <c:v>-30.986849847628271</c:v>
                </c:pt>
                <c:pt idx="1241">
                  <c:v>-30.827945836203323</c:v>
                </c:pt>
                <c:pt idx="1242">
                  <c:v>-30.607939697933919</c:v>
                </c:pt>
                <c:pt idx="1243">
                  <c:v>-30.268066560800307</c:v>
                </c:pt>
                <c:pt idx="1244">
                  <c:v>-29.699113375656733</c:v>
                </c:pt>
                <c:pt idx="1245">
                  <c:v>-28.735982410418728</c:v>
                </c:pt>
                <c:pt idx="1246">
                  <c:v>-27.351839930326154</c:v>
                </c:pt>
                <c:pt idx="1247">
                  <c:v>-26.041273374669892</c:v>
                </c:pt>
                <c:pt idx="1248">
                  <c:v>-25.25722250155194</c:v>
                </c:pt>
                <c:pt idx="1249">
                  <c:v>-24.875029417842271</c:v>
                </c:pt>
                <c:pt idx="1250">
                  <c:v>-24.681976958176012</c:v>
                </c:pt>
                <c:pt idx="1251">
                  <c:v>-24.570330124478993</c:v>
                </c:pt>
                <c:pt idx="1252">
                  <c:v>-24.494455165015196</c:v>
                </c:pt>
                <c:pt idx="1253">
                  <c:v>-24.433876063762394</c:v>
                </c:pt>
                <c:pt idx="1254">
                  <c:v>-24.378035889055852</c:v>
                </c:pt>
                <c:pt idx="1255">
                  <c:v>-24.320557014591415</c:v>
                </c:pt>
                <c:pt idx="1256">
                  <c:v>-24.257035383885757</c:v>
                </c:pt>
                <c:pt idx="1257">
                  <c:v>-24.184162052019762</c:v>
                </c:pt>
                <c:pt idx="1258">
                  <c:v>-24.099365615234042</c:v>
                </c:pt>
                <c:pt idx="1259">
                  <c:v>-24.000667348790188</c:v>
                </c:pt>
                <c:pt idx="1260">
                  <c:v>-23.886624394270246</c:v>
                </c:pt>
                <c:pt idx="1261">
                  <c:v>-23.756307708996911</c:v>
                </c:pt>
                <c:pt idx="1262">
                  <c:v>-23.609290878293308</c:v>
                </c:pt>
                <c:pt idx="1263">
                  <c:v>-23.445638687936832</c:v>
                </c:pt>
                <c:pt idx="1264">
                  <c:v>-23.265890243420266</c:v>
                </c:pt>
                <c:pt idx="1265">
                  <c:v>-23.07103429378369</c:v>
                </c:pt>
                <c:pt idx="1266">
                  <c:v>-22.862475908783644</c:v>
                </c:pt>
                <c:pt idx="1267">
                  <c:v>-22.64199448826356</c:v>
                </c:pt>
                <c:pt idx="1268">
                  <c:v>-22.411693578688826</c:v>
                </c:pt>
                <c:pt idx="1269">
                  <c:v>-22.173943286103889</c:v>
                </c:pt>
                <c:pt idx="1270">
                  <c:v>-21.931316278417881</c:v>
                </c:pt>
                <c:pt idx="1271">
                  <c:v>-21.68651849465785</c:v>
                </c:pt>
                <c:pt idx="1272">
                  <c:v>-21.442315735619335</c:v>
                </c:pt>
                <c:pt idx="1273">
                  <c:v>-21.201457297294336</c:v>
                </c:pt>
                <c:pt idx="1274">
                  <c:v>-20.966597712770522</c:v>
                </c:pt>
                <c:pt idx="1275">
                  <c:v>-20.740217464028603</c:v>
                </c:pt>
                <c:pt idx="1276">
                  <c:v>-20.52454316596841</c:v>
                </c:pt>
                <c:pt idx="1277">
                  <c:v>-20.321467129694671</c:v>
                </c:pt>
                <c:pt idx="1278">
                  <c:v>-20.132465235008553</c:v>
                </c:pt>
                <c:pt idx="1279">
                  <c:v>-19.958510415785604</c:v>
                </c:pt>
                <c:pt idx="1280">
                  <c:v>-19.799976280207282</c:v>
                </c:pt>
                <c:pt idx="1281">
                  <c:v>-19.656520459432535</c:v>
                </c:pt>
                <c:pt idx="1282">
                  <c:v>-19.526928189915402</c:v>
                </c:pt>
                <c:pt idx="1283">
                  <c:v>-19.40887913070106</c:v>
                </c:pt>
                <c:pt idx="1284">
                  <c:v>-19.29856511312553</c:v>
                </c:pt>
                <c:pt idx="1285">
                  <c:v>-19.190011804884406</c:v>
                </c:pt>
                <c:pt idx="1286">
                  <c:v>-19.073791368398254</c:v>
                </c:pt>
                <c:pt idx="1287">
                  <c:v>-18.934429210632612</c:v>
                </c:pt>
                <c:pt idx="1288">
                  <c:v>-18.744905801094372</c:v>
                </c:pt>
                <c:pt idx="1289">
                  <c:v>-18.454709446439214</c:v>
                </c:pt>
                <c:pt idx="1290">
                  <c:v>-17.965897938163128</c:v>
                </c:pt>
                <c:pt idx="1291">
                  <c:v>-17.109578023398782</c:v>
                </c:pt>
                <c:pt idx="1292">
                  <c:v>-15.76992225995005</c:v>
                </c:pt>
                <c:pt idx="1293">
                  <c:v>-14.320899500259536</c:v>
                </c:pt>
                <c:pt idx="1294">
                  <c:v>-13.336781885433433</c:v>
                </c:pt>
                <c:pt idx="1295">
                  <c:v>-12.815569878906103</c:v>
                </c:pt>
                <c:pt idx="1296">
                  <c:v>-12.540504791147914</c:v>
                </c:pt>
                <c:pt idx="1297">
                  <c:v>-12.379353538767759</c:v>
                </c:pt>
                <c:pt idx="1298">
                  <c:v>-12.271133448182251</c:v>
                </c:pt>
                <c:pt idx="1299">
                  <c:v>-12.187160224703403</c:v>
                </c:pt>
                <c:pt idx="1300">
                  <c:v>-12.112458394567165</c:v>
                </c:pt>
                <c:pt idx="1301">
                  <c:v>-12.038208398749902</c:v>
                </c:pt>
                <c:pt idx="1302">
                  <c:v>-11.958647390603982</c:v>
                </c:pt>
                <c:pt idx="1303">
                  <c:v>-11.869737825142407</c:v>
                </c:pt>
                <c:pt idx="1304">
                  <c:v>-11.768566706962346</c:v>
                </c:pt>
                <c:pt idx="1305">
                  <c:v>-11.653061411647483</c:v>
                </c:pt>
                <c:pt idx="1306">
                  <c:v>-11.521847541399049</c:v>
                </c:pt>
                <c:pt idx="1307">
                  <c:v>-11.374171014581096</c:v>
                </c:pt>
                <c:pt idx="1308">
                  <c:v>-11.20984791396992</c:v>
                </c:pt>
                <c:pt idx="1309">
                  <c:v>-11.029224290373778</c:v>
                </c:pt>
                <c:pt idx="1310">
                  <c:v>-10.833137028535788</c:v>
                </c:pt>
                <c:pt idx="1311">
                  <c:v>-10.622871369650984</c:v>
                </c:pt>
                <c:pt idx="1312">
                  <c:v>-10.400113070723442</c:v>
                </c:pt>
                <c:pt idx="1313">
                  <c:v>-10.166894520605208</c:v>
                </c:pt>
                <c:pt idx="1314">
                  <c:v>-9.9255349248491029</c:v>
                </c:pt>
                <c:pt idx="1315">
                  <c:v>-9.6785751603139172</c:v>
                </c:pt>
                <c:pt idx="1316">
                  <c:v>-9.4287082078219626</c:v>
                </c:pt>
                <c:pt idx="1317">
                  <c:v>-9.1787062584606129</c:v>
                </c:pt>
                <c:pt idx="1318">
                  <c:v>-8.9313456858548559</c:v>
                </c:pt>
                <c:pt idx="1319">
                  <c:v>-8.6893310939576711</c:v>
                </c:pt>
                <c:pt idx="1320">
                  <c:v>-8.4552195855905214</c:v>
                </c:pt>
                <c:pt idx="1321">
                  <c:v>-8.2313462363868002</c:v>
                </c:pt>
                <c:pt idx="1322">
                  <c:v>-8.0197514700735546</c:v>
                </c:pt>
                <c:pt idx="1323">
                  <c:v>-7.8221105542253504</c:v>
                </c:pt>
                <c:pt idx="1324">
                  <c:v>-7.6396646601121754</c:v>
                </c:pt>
                <c:pt idx="1325">
                  <c:v>-7.4731516491325829</c:v>
                </c:pt>
                <c:pt idx="1326">
                  <c:v>-7.3227325645470023</c:v>
                </c:pt>
                <c:pt idx="1327">
                  <c:v>-7.1879059343528375</c:v>
                </c:pt>
                <c:pt idx="1328">
                  <c:v>-7.0673948135546656</c:v>
                </c:pt>
                <c:pt idx="1329">
                  <c:v>-6.9589775558458999</c:v>
                </c:pt>
                <c:pt idx="1330">
                  <c:v>-6.8592048808956712</c:v>
                </c:pt>
                <c:pt idx="1331">
                  <c:v>-6.7628848071168335</c:v>
                </c:pt>
                <c:pt idx="1332">
                  <c:v>-6.6620791284869263</c:v>
                </c:pt>
                <c:pt idx="1333">
                  <c:v>-6.5440277251722634</c:v>
                </c:pt>
                <c:pt idx="1334">
                  <c:v>-6.3866139652755018</c:v>
                </c:pt>
                <c:pt idx="1335">
                  <c:v>-6.1480736505451299</c:v>
                </c:pt>
                <c:pt idx="1336">
                  <c:v>-5.7443838055587761</c:v>
                </c:pt>
                <c:pt idx="1337">
                  <c:v>-5.0151234092298598</c:v>
                </c:pt>
                <c:pt idx="1338">
                  <c:v>-3.7829448168943052</c:v>
                </c:pt>
                <c:pt idx="1339">
                  <c:v>-2.2720987586426098</c:v>
                </c:pt>
                <c:pt idx="1340">
                  <c:v>-1.1129895029062431</c:v>
                </c:pt>
                <c:pt idx="1341">
                  <c:v>-0.45181814804560266</c:v>
                </c:pt>
                <c:pt idx="1342">
                  <c:v>-9.1297542589525715E-2</c:v>
                </c:pt>
                <c:pt idx="1343">
                  <c:v>0.12124129898003422</c:v>
                </c:pt>
                <c:pt idx="1344">
                  <c:v>0.26228913664334463</c:v>
                </c:pt>
                <c:pt idx="1345">
                  <c:v>0.36919731441386583</c:v>
                </c:pt>
                <c:pt idx="1346">
                  <c:v>0.46165412468694145</c:v>
                </c:pt>
                <c:pt idx="1347">
                  <c:v>0.551079221336086</c:v>
                </c:pt>
                <c:pt idx="1348">
                  <c:v>0.64467280433009733</c:v>
                </c:pt>
                <c:pt idx="1349">
                  <c:v>0.74723677936859167</c:v>
                </c:pt>
                <c:pt idx="1350">
                  <c:v>0.86203997753273676</c:v>
                </c:pt>
                <c:pt idx="1351">
                  <c:v>0.99125387871643511</c:v>
                </c:pt>
                <c:pt idx="1352">
                  <c:v>1.1361872283854235</c:v>
                </c:pt>
                <c:pt idx="1353">
                  <c:v>1.297424027446842</c:v>
                </c:pt>
                <c:pt idx="1354">
                  <c:v>1.4749151139383294</c:v>
                </c:pt>
                <c:pt idx="1355">
                  <c:v>1.6680484824817698</c:v>
                </c:pt>
                <c:pt idx="1356">
                  <c:v>1.8757112795819091</c:v>
                </c:pt>
                <c:pt idx="1357">
                  <c:v>2.0963501613543101</c:v>
                </c:pt>
                <c:pt idx="1358">
                  <c:v>2.3280333390518542</c:v>
                </c:pt>
                <c:pt idx="1359">
                  <c:v>2.5685157441654081</c:v>
                </c:pt>
                <c:pt idx="1360">
                  <c:v>2.8153076315500241</c:v>
                </c:pt>
                <c:pt idx="1361">
                  <c:v>3.0657462617700033</c:v>
                </c:pt>
                <c:pt idx="1362">
                  <c:v>3.3170698849959459</c:v>
                </c:pt>
                <c:pt idx="1363">
                  <c:v>3.5664929946498809</c:v>
                </c:pt>
                <c:pt idx="1364">
                  <c:v>3.8112816800582134</c:v>
                </c:pt>
                <c:pt idx="1365">
                  <c:v>4.0488278588543212</c:v>
                </c:pt>
                <c:pt idx="1366">
                  <c:v>4.2767212026595161</c:v>
                </c:pt>
                <c:pt idx="1367">
                  <c:v>4.4928176871834147</c:v>
                </c:pt>
                <c:pt idx="1368">
                  <c:v>4.6953039181479799</c:v>
                </c:pt>
                <c:pt idx="1369">
                  <c:v>4.882756746711542</c:v>
                </c:pt>
                <c:pt idx="1370">
                  <c:v>5.0541982695875172</c:v>
                </c:pt>
                <c:pt idx="1371">
                  <c:v>5.2091472591249159</c:v>
                </c:pt>
                <c:pt idx="1372">
                  <c:v>5.3476696803135528</c:v>
                </c:pt>
                <c:pt idx="1373">
                  <c:v>5.4704338163139443</c:v>
                </c:pt>
                <c:pt idx="1374">
                  <c:v>5.5787808771793026</c:v>
                </c:pt>
                <c:pt idx="1375">
                  <c:v>5.6748324949712803</c:v>
                </c:pt>
                <c:pt idx="1376">
                  <c:v>5.7616783235603997</c:v>
                </c:pt>
                <c:pt idx="1377">
                  <c:v>5.8437346491674695</c:v>
                </c:pt>
                <c:pt idx="1378">
                  <c:v>5.9274750676922441</c:v>
                </c:pt>
                <c:pt idx="1379">
                  <c:v>6.0230029303046413</c:v>
                </c:pt>
                <c:pt idx="1380">
                  <c:v>6.14762044910879</c:v>
                </c:pt>
                <c:pt idx="1381">
                  <c:v>6.3343052306535919</c:v>
                </c:pt>
                <c:pt idx="1382">
                  <c:v>6.6518265216039758</c:v>
                </c:pt>
                <c:pt idx="1383">
                  <c:v>7.2433241886005009</c:v>
                </c:pt>
                <c:pt idx="1384">
                  <c:v>8.3190719466945104</c:v>
                </c:pt>
                <c:pt idx="1385">
                  <c:v>9.8091405148221629</c:v>
                </c:pt>
                <c:pt idx="1386">
                  <c:v>11.10212182178781</c:v>
                </c:pt>
                <c:pt idx="1387">
                  <c:v>11.896817673447337</c:v>
                </c:pt>
                <c:pt idx="1388">
                  <c:v>12.343426965508753</c:v>
                </c:pt>
                <c:pt idx="1389">
                  <c:v>12.607923843599242</c:v>
                </c:pt>
                <c:pt idx="1390">
                  <c:v>12.781533913047225</c:v>
                </c:pt>
                <c:pt idx="1391">
                  <c:v>12.910426023096889</c:v>
                </c:pt>
                <c:pt idx="1392">
                  <c:v>13.019167897238583</c:v>
                </c:pt>
                <c:pt idx="1393">
                  <c:v>13.12187483266781</c:v>
                </c:pt>
                <c:pt idx="1394">
                  <c:v>13.227229438063949</c:v>
                </c:pt>
                <c:pt idx="1395">
                  <c:v>13.340815509748062</c:v>
                </c:pt>
                <c:pt idx="1396">
                  <c:v>13.466262635119508</c:v>
                </c:pt>
                <c:pt idx="1397">
                  <c:v>13.605842322670938</c:v>
                </c:pt>
                <c:pt idx="1398">
                  <c:v>13.760800255013082</c:v>
                </c:pt>
                <c:pt idx="1399">
                  <c:v>13.931557315362713</c:v>
                </c:pt>
                <c:pt idx="1400">
                  <c:v>14.117844201518752</c:v>
                </c:pt>
                <c:pt idx="1401">
                  <c:v>14.318802597694406</c:v>
                </c:pt>
                <c:pt idx="1402">
                  <c:v>14.533070166563048</c:v>
                </c:pt>
                <c:pt idx="1403">
                  <c:v>14.75885849841473</c:v>
                </c:pt>
                <c:pt idx="1404">
                  <c:v>14.994028757871984</c:v>
                </c:pt>
                <c:pt idx="1405">
                  <c:v>15.236167288134792</c:v>
                </c:pt>
                <c:pt idx="1406">
                  <c:v>15.482661980236438</c:v>
                </c:pt>
                <c:pt idx="1407">
                  <c:v>15.730779339115399</c:v>
                </c:pt>
                <c:pt idx="1408">
                  <c:v>15.977741642564798</c:v>
                </c:pt>
                <c:pt idx="1409">
                  <c:v>16.220803265334887</c:v>
                </c:pt>
                <c:pt idx="1410">
                  <c:v>16.457325058260725</c:v>
                </c:pt>
                <c:pt idx="1411">
                  <c:v>16.684845592211197</c:v>
                </c:pt>
                <c:pt idx="1412">
                  <c:v>16.901148078569673</c:v>
                </c:pt>
                <c:pt idx="1413">
                  <c:v>17.104321854378291</c:v>
                </c:pt>
                <c:pt idx="1414">
                  <c:v>17.292817475678607</c:v>
                </c:pt>
                <c:pt idx="1415">
                  <c:v>17.465494716980892</c:v>
                </c:pt>
                <c:pt idx="1416">
                  <c:v>17.621663174399682</c:v>
                </c:pt>
                <c:pt idx="1417">
                  <c:v>17.761115810729773</c:v>
                </c:pt>
                <c:pt idx="1418">
                  <c:v>17.884156859443664</c:v>
                </c:pt>
                <c:pt idx="1419">
                  <c:v>17.991627431944234</c:v>
                </c:pt>
                <c:pt idx="1420">
                  <c:v>18.084935831302051</c:v>
                </c:pt>
                <c:pt idx="1421">
                  <c:v>18.166106937192424</c:v>
                </c:pt>
                <c:pt idx="1422">
                  <c:v>18.237880687598238</c:v>
                </c:pt>
                <c:pt idx="1423">
                  <c:v>18.303924896834136</c:v>
                </c:pt>
                <c:pt idx="1424">
                  <c:v>18.369311432840313</c:v>
                </c:pt>
                <c:pt idx="1425">
                  <c:v>18.441615857350296</c:v>
                </c:pt>
                <c:pt idx="1426">
                  <c:v>18.53356102144684</c:v>
                </c:pt>
                <c:pt idx="1427">
                  <c:v>18.669653941592689</c:v>
                </c:pt>
                <c:pt idx="1428">
                  <c:v>18.903134258271596</c:v>
                </c:pt>
                <c:pt idx="1429">
                  <c:v>19.354321054033541</c:v>
                </c:pt>
                <c:pt idx="1430">
                  <c:v>20.240554557117118</c:v>
                </c:pt>
                <c:pt idx="1431">
                  <c:v>21.629261043881478</c:v>
                </c:pt>
                <c:pt idx="1432">
                  <c:v>22.99978157108162</c:v>
                </c:pt>
                <c:pt idx="1433">
                  <c:v>23.912678848335183</c:v>
                </c:pt>
                <c:pt idx="1434">
                  <c:v>24.442459604384897</c:v>
                </c:pt>
                <c:pt idx="1435">
                  <c:v>24.75786580177985</c:v>
                </c:pt>
                <c:pt idx="1436">
                  <c:v>24.962897922465512</c:v>
                </c:pt>
                <c:pt idx="1437">
                  <c:v>25.112288589059752</c:v>
                </c:pt>
                <c:pt idx="1438">
                  <c:v>25.23548519629707</c:v>
                </c:pt>
                <c:pt idx="1439">
                  <c:v>25.349313987070833</c:v>
                </c:pt>
                <c:pt idx="1440">
                  <c:v>25.463942709777907</c:v>
                </c:pt>
                <c:pt idx="1441">
                  <c:v>25.585731634126002</c:v>
                </c:pt>
                <c:pt idx="1442">
                  <c:v>25.718664030669355</c:v>
                </c:pt>
                <c:pt idx="1443">
                  <c:v>25.865107214314232</c:v>
                </c:pt>
                <c:pt idx="1444">
                  <c:v>26.026245108240531</c:v>
                </c:pt>
                <c:pt idx="1445">
                  <c:v>26.202343721475849</c:v>
                </c:pt>
                <c:pt idx="1446">
                  <c:v>26.392929375268228</c:v>
                </c:pt>
                <c:pt idx="1447">
                  <c:v>26.596920741092489</c:v>
                </c:pt>
                <c:pt idx="1448">
                  <c:v>26.812736442402311</c:v>
                </c:pt>
                <c:pt idx="1449">
                  <c:v>27.03838991344406</c:v>
                </c:pt>
                <c:pt idx="1450">
                  <c:v>27.271577743785272</c:v>
                </c:pt>
                <c:pt idx="1451">
                  <c:v>27.509764651932223</c:v>
                </c:pt>
                <c:pt idx="1452">
                  <c:v>27.75026643020616</c:v>
                </c:pt>
                <c:pt idx="1453">
                  <c:v>27.990331124036373</c:v>
                </c:pt>
                <c:pt idx="1454">
                  <c:v>28.227218053801174</c:v>
                </c:pt>
                <c:pt idx="1455">
                  <c:v>28.458273892946501</c:v>
                </c:pt>
                <c:pt idx="1456">
                  <c:v>28.681004790115942</c:v>
                </c:pt>
                <c:pt idx="1457">
                  <c:v>28.893143411976528</c:v>
                </c:pt>
                <c:pt idx="1458">
                  <c:v>29.092709755853353</c:v>
                </c:pt>
                <c:pt idx="1459">
                  <c:v>29.278064619218782</c:v>
                </c:pt>
                <c:pt idx="1460">
                  <c:v>29.447954708512928</c:v>
                </c:pt>
                <c:pt idx="1461">
                  <c:v>29.601548525079053</c:v>
                </c:pt>
                <c:pt idx="1462">
                  <c:v>29.738462399226886</c:v>
                </c:pt>
                <c:pt idx="1463">
                  <c:v>29.85877640236205</c:v>
                </c:pt>
                <c:pt idx="1464">
                  <c:v>29.963040461861144</c:v>
                </c:pt>
                <c:pt idx="1465">
                  <c:v>30.052272081862331</c:v>
                </c:pt>
                <c:pt idx="1466">
                  <c:v>30.12794920027439</c:v>
                </c:pt>
                <c:pt idx="1467">
                  <c:v>30.19200621154706</c:v>
                </c:pt>
                <c:pt idx="1468">
                  <c:v>30.246851275664479</c:v>
                </c:pt>
                <c:pt idx="1469">
                  <c:v>30.295446907974817</c:v>
                </c:pt>
                <c:pt idx="1470">
                  <c:v>30.341555418778778</c:v>
                </c:pt>
                <c:pt idx="1471">
                  <c:v>30.39040785955498</c:v>
                </c:pt>
                <c:pt idx="1472">
                  <c:v>30.450492475501012</c:v>
                </c:pt>
                <c:pt idx="1473">
                  <c:v>30.538425793994847</c:v>
                </c:pt>
                <c:pt idx="1474">
                  <c:v>30.692452242011885</c:v>
                </c:pt>
                <c:pt idx="1475">
                  <c:v>31.007353998589259</c:v>
                </c:pt>
                <c:pt idx="1476">
                  <c:v>31.686778039530441</c:v>
                </c:pt>
                <c:pt idx="1477">
                  <c:v>32.90322018856827</c:v>
                </c:pt>
                <c:pt idx="1478">
                  <c:v>34.282622524969398</c:v>
                </c:pt>
                <c:pt idx="1479">
                  <c:v>35.288305603037024</c:v>
                </c:pt>
                <c:pt idx="1480">
                  <c:v>35.894023562653913</c:v>
                </c:pt>
                <c:pt idx="1481">
                  <c:v>36.257346593251931</c:v>
                </c:pt>
                <c:pt idx="1482">
                  <c:v>36.491653553878628</c:v>
                </c:pt>
                <c:pt idx="1483">
                  <c:v>36.659479398015471</c:v>
                </c:pt>
                <c:pt idx="1484">
                  <c:v>36.794943249637676</c:v>
                </c:pt>
                <c:pt idx="1485">
                  <c:v>36.917498666153691</c:v>
                </c:pt>
                <c:pt idx="1486">
                  <c:v>37.038749789842413</c:v>
                </c:pt>
                <c:pt idx="1487">
                  <c:v>37.165800182133502</c:v>
                </c:pt>
                <c:pt idx="1488">
                  <c:v>37.302965022172948</c:v>
                </c:pt>
                <c:pt idx="1489">
                  <c:v>37.452696168740083</c:v>
                </c:pt>
                <c:pt idx="1490">
                  <c:v>37.616114690517932</c:v>
                </c:pt>
                <c:pt idx="1491">
                  <c:v>37.793340384005447</c:v>
                </c:pt>
                <c:pt idx="1492">
                  <c:v>37.983713015015347</c:v>
                </c:pt>
                <c:pt idx="1493">
                  <c:v>38.18595443579445</c:v>
                </c:pt>
                <c:pt idx="1494">
                  <c:v>38.398297841976252</c:v>
                </c:pt>
                <c:pt idx="1495">
                  <c:v>38.618598446083965</c:v>
                </c:pt>
                <c:pt idx="1496">
                  <c:v>38.844433312203115</c:v>
                </c:pt>
                <c:pt idx="1497">
                  <c:v>39.073194406995661</c:v>
                </c:pt>
                <c:pt idx="1498">
                  <c:v>39.302176773300197</c:v>
                </c:pt>
                <c:pt idx="1499">
                  <c:v>39.52866245140433</c:v>
                </c:pt>
                <c:pt idx="1500">
                  <c:v>39.749999999990756</c:v>
                </c:pt>
                <c:pt idx="1501">
                  <c:v>39.963679004921772</c:v>
                </c:pt>
                <c:pt idx="1502">
                  <c:v>40.16739869565896</c:v>
                </c:pt>
                <c:pt idx="1503">
                  <c:v>40.359129648545881</c:v>
                </c:pt>
                <c:pt idx="1504">
                  <c:v>40.537167501237356</c:v>
                </c:pt>
                <c:pt idx="1505">
                  <c:v>40.700177605434575</c:v>
                </c:pt>
                <c:pt idx="1506">
                  <c:v>40.847229586468949</c:v>
                </c:pt>
                <c:pt idx="1507">
                  <c:v>40.977820844801009</c:v>
                </c:pt>
                <c:pt idx="1508">
                  <c:v>41.09188811939044</c:v>
                </c:pt>
                <c:pt idx="1509">
                  <c:v>41.18980634161953</c:v>
                </c:pt>
                <c:pt idx="1510">
                  <c:v>41.272374175111175</c:v>
                </c:pt>
                <c:pt idx="1511">
                  <c:v>41.34078596666356</c:v>
                </c:pt>
                <c:pt idx="1512">
                  <c:v>41.396590612539299</c:v>
                </c:pt>
                <c:pt idx="1513">
                  <c:v>41.441639826527961</c:v>
                </c:pt>
                <c:pt idx="1514">
                  <c:v>41.478033484753936</c:v>
                </c:pt>
                <c:pt idx="1515">
                  <c:v>41.50808358203787</c:v>
                </c:pt>
                <c:pt idx="1516">
                  <c:v>41.534356365973842</c:v>
                </c:pt>
                <c:pt idx="1517">
                  <c:v>41.559960485589052</c:v>
                </c:pt>
                <c:pt idx="1518">
                  <c:v>41.589571131900705</c:v>
                </c:pt>
                <c:pt idx="1519">
                  <c:v>41.632678454528822</c:v>
                </c:pt>
                <c:pt idx="1520">
                  <c:v>41.713650300881305</c:v>
                </c:pt>
                <c:pt idx="1521">
                  <c:v>41.901279015230443</c:v>
                </c:pt>
                <c:pt idx="1522">
                  <c:v>42.370838906678109</c:v>
                </c:pt>
                <c:pt idx="1523">
                  <c:v>43.359967435324329</c:v>
                </c:pt>
                <c:pt idx="1524">
                  <c:v>44.672241055433965</c:v>
                </c:pt>
                <c:pt idx="1525">
                  <c:v>45.734588257029451</c:v>
                </c:pt>
                <c:pt idx="1526">
                  <c:v>46.403949439540007</c:v>
                </c:pt>
                <c:pt idx="1527">
                  <c:v>46.80992098790081</c:v>
                </c:pt>
                <c:pt idx="1528">
                  <c:v>47.070214209862527</c:v>
                </c:pt>
                <c:pt idx="1529">
                  <c:v>47.253790541732059</c:v>
                </c:pt>
                <c:pt idx="1530">
                  <c:v>47.398980893923046</c:v>
                </c:pt>
                <c:pt idx="1531">
                  <c:v>47.527664292387648</c:v>
                </c:pt>
                <c:pt idx="1532">
                  <c:v>47.652771811414013</c:v>
                </c:pt>
                <c:pt idx="1533">
                  <c:v>47.782084587800298</c:v>
                </c:pt>
                <c:pt idx="1534">
                  <c:v>47.920210581046568</c:v>
                </c:pt>
                <c:pt idx="1535">
                  <c:v>48.06966627408233</c:v>
                </c:pt>
                <c:pt idx="1536">
                  <c:v>48.23150527195186</c:v>
                </c:pt>
                <c:pt idx="1537">
                  <c:v>48.405709347364578</c:v>
                </c:pt>
                <c:pt idx="1538">
                  <c:v>48.591450775753067</c:v>
                </c:pt>
                <c:pt idx="1539">
                  <c:v>48.787282866348349</c:v>
                </c:pt>
                <c:pt idx="1540">
                  <c:v>48.991289314614455</c:v>
                </c:pt>
                <c:pt idx="1541">
                  <c:v>49.20120916800888</c:v>
                </c:pt>
                <c:pt idx="1542">
                  <c:v>49.414546639051082</c:v>
                </c:pt>
                <c:pt idx="1543">
                  <c:v>49.62867072889167</c:v>
                </c:pt>
                <c:pt idx="1544">
                  <c:v>49.840907141401154</c:v>
                </c:pt>
                <c:pt idx="1545">
                  <c:v>50.048623492872814</c:v>
                </c:pt>
                <c:pt idx="1546">
                  <c:v>50.24930793672592</c:v>
                </c:pt>
                <c:pt idx="1547">
                  <c:v>50.440640793002487</c:v>
                </c:pt>
                <c:pt idx="1548">
                  <c:v>50.620558464428193</c:v>
                </c:pt>
                <c:pt idx="1549">
                  <c:v>50.787308753124087</c:v>
                </c:pt>
                <c:pt idx="1550">
                  <c:v>50.939496612516386</c:v>
                </c:pt>
                <c:pt idx="1551">
                  <c:v>51.076119340858462</c:v>
                </c:pt>
                <c:pt idx="1552">
                  <c:v>51.196590216751261</c:v>
                </c:pt>
                <c:pt idx="1553">
                  <c:v>51.300749566135686</c:v>
                </c:pt>
                <c:pt idx="1554">
                  <c:v>51.388862206405641</c:v>
                </c:pt>
                <c:pt idx="1555">
                  <c:v>51.461600105958361</c:v>
                </c:pt>
                <c:pt idx="1556">
                  <c:v>51.520008896059032</c:v>
                </c:pt>
                <c:pt idx="1557">
                  <c:v>51.565456560217328</c:v>
                </c:pt>
                <c:pt idx="1558">
                  <c:v>51.599562252541901</c:v>
                </c:pt>
                <c:pt idx="1559">
                  <c:v>51.624103028394821</c:v>
                </c:pt>
                <c:pt idx="1560">
                  <c:v>51.640897267998866</c:v>
                </c:pt>
                <c:pt idx="1561">
                  <c:v>51.651668845993747</c:v>
                </c:pt>
                <c:pt idx="1562">
                  <c:v>51.657915535992402</c:v>
                </c:pt>
                <c:pt idx="1563">
                  <c:v>51.66087072256493</c:v>
                </c:pt>
                <c:pt idx="1564">
                  <c:v>51.661866200534362</c:v>
                </c:pt>
                <c:pt idx="1565">
                  <c:v>51.664145326290317</c:v>
                </c:pt>
                <c:pt idx="1566">
                  <c:v>51.67970632960796</c:v>
                </c:pt>
                <c:pt idx="1567">
                  <c:v>51.752585927443484</c:v>
                </c:pt>
                <c:pt idx="1568">
                  <c:v>52.020997718759951</c:v>
                </c:pt>
                <c:pt idx="1569">
                  <c:v>52.747458723394999</c:v>
                </c:pt>
                <c:pt idx="1570">
                  <c:v>53.915894026993357</c:v>
                </c:pt>
                <c:pt idx="1571">
                  <c:v>54.98837765851038</c:v>
                </c:pt>
                <c:pt idx="1572">
                  <c:v>55.70338307510395</c:v>
                </c:pt>
                <c:pt idx="1573">
                  <c:v>56.144135089248152</c:v>
                </c:pt>
                <c:pt idx="1574">
                  <c:v>56.42585361094946</c:v>
                </c:pt>
                <c:pt idx="1575">
                  <c:v>56.621833560903269</c:v>
                </c:pt>
                <c:pt idx="1576">
                  <c:v>56.773861506339109</c:v>
                </c:pt>
                <c:pt idx="1577">
                  <c:v>56.905902628265537</c:v>
                </c:pt>
                <c:pt idx="1578">
                  <c:v>57.032035739043941</c:v>
                </c:pt>
                <c:pt idx="1579">
                  <c:v>57.160616751326131</c:v>
                </c:pt>
                <c:pt idx="1580">
                  <c:v>57.296487431895009</c:v>
                </c:pt>
                <c:pt idx="1581">
                  <c:v>57.442198790278901</c:v>
                </c:pt>
                <c:pt idx="1582">
                  <c:v>57.598727772503146</c:v>
                </c:pt>
                <c:pt idx="1583">
                  <c:v>57.76592495787056</c:v>
                </c:pt>
                <c:pt idx="1584">
                  <c:v>57.942814608401463</c:v>
                </c:pt>
                <c:pt idx="1585">
                  <c:v>58.127811004617286</c:v>
                </c:pt>
                <c:pt idx="1586">
                  <c:v>58.318885699752371</c:v>
                </c:pt>
                <c:pt idx="1587">
                  <c:v>58.513704820610471</c:v>
                </c:pt>
                <c:pt idx="1588">
                  <c:v>58.709747048759844</c:v>
                </c:pt>
                <c:pt idx="1589">
                  <c:v>58.904408112241732</c:v>
                </c:pt>
                <c:pt idx="1590">
                  <c:v>59.095094828382891</c:v>
                </c:pt>
                <c:pt idx="1591">
                  <c:v>59.279310086223248</c:v>
                </c:pt>
                <c:pt idx="1592">
                  <c:v>59.454729168940595</c:v>
                </c:pt>
                <c:pt idx="1593">
                  <c:v>59.619267227798431</c:v>
                </c:pt>
                <c:pt idx="1594">
                  <c:v>59.771137375840837</c:v>
                </c:pt>
                <c:pt idx="1595">
                  <c:v>59.908898678169727</c:v>
                </c:pt>
                <c:pt idx="1596">
                  <c:v>60.031493214924616</c:v>
                </c:pt>
                <c:pt idx="1597">
                  <c:v>60.138271338473025</c:v>
                </c:pt>
                <c:pt idx="1598">
                  <c:v>60.229004199978874</c:v>
                </c:pt>
                <c:pt idx="1599">
                  <c:v>60.303882544083336</c:v>
                </c:pt>
                <c:pt idx="1600">
                  <c:v>60.363500618304307</c:v>
                </c:pt>
                <c:pt idx="1601">
                  <c:v>60.408823755655504</c:v>
                </c:pt>
                <c:pt idx="1602">
                  <c:v>60.441137681091313</c:v>
                </c:pt>
                <c:pt idx="1603">
                  <c:v>60.461976748614795</c:v>
                </c:pt>
                <c:pt idx="1604">
                  <c:v>60.473026988348479</c:v>
                </c:pt>
                <c:pt idx="1605">
                  <c:v>60.475997896762145</c:v>
                </c:pt>
                <c:pt idx="1606">
                  <c:v>60.472454431123765</c:v>
                </c:pt>
                <c:pt idx="1607">
                  <c:v>60.463598808432693</c:v>
                </c:pt>
                <c:pt idx="1608">
                  <c:v>60.449995596145968</c:v>
                </c:pt>
                <c:pt idx="1609">
                  <c:v>60.431263045063439</c:v>
                </c:pt>
                <c:pt idx="1610">
                  <c:v>60.405882860577734</c:v>
                </c:pt>
                <c:pt idx="1611">
                  <c:v>60.371789552257553</c:v>
                </c:pt>
                <c:pt idx="1612">
                  <c:v>60.330343876325657</c:v>
                </c:pt>
                <c:pt idx="1613">
                  <c:v>60.30321737335224</c:v>
                </c:pt>
                <c:pt idx="1614">
                  <c:v>60.38808877807034</c:v>
                </c:pt>
                <c:pt idx="1615">
                  <c:v>60.837410946655496</c:v>
                </c:pt>
                <c:pt idx="1616">
                  <c:v>61.792106825249753</c:v>
                </c:pt>
                <c:pt idx="1617">
                  <c:v>62.819318385495173</c:v>
                </c:pt>
                <c:pt idx="1618">
                  <c:v>63.555817234739926</c:v>
                </c:pt>
                <c:pt idx="1619">
                  <c:v>64.020587943611403</c:v>
                </c:pt>
                <c:pt idx="1620">
                  <c:v>64.317777690337252</c:v>
                </c:pt>
                <c:pt idx="1621">
                  <c:v>64.522116535771332</c:v>
                </c:pt>
                <c:pt idx="1622">
                  <c:v>64.677752178526816</c:v>
                </c:pt>
                <c:pt idx="1623">
                  <c:v>64.810240763867654</c:v>
                </c:pt>
                <c:pt idx="1624">
                  <c:v>64.934551500471272</c:v>
                </c:pt>
                <c:pt idx="1625">
                  <c:v>65.05947106974628</c:v>
                </c:pt>
                <c:pt idx="1626">
                  <c:v>65.189994016184556</c:v>
                </c:pt>
                <c:pt idx="1627">
                  <c:v>65.328664250420786</c:v>
                </c:pt>
                <c:pt idx="1628">
                  <c:v>65.476367299355232</c:v>
                </c:pt>
                <c:pt idx="1629">
                  <c:v>65.632827177970555</c:v>
                </c:pt>
                <c:pt idx="1630">
                  <c:v>65.796939202628408</c:v>
                </c:pt>
                <c:pt idx="1631">
                  <c:v>65.967008526898198</c:v>
                </c:pt>
                <c:pt idx="1632">
                  <c:v>66.140932451988192</c:v>
                </c:pt>
                <c:pt idx="1633">
                  <c:v>66.316347671582591</c:v>
                </c:pt>
                <c:pt idx="1634">
                  <c:v>66.490754323786376</c:v>
                </c:pt>
                <c:pt idx="1635">
                  <c:v>66.661623464384647</c:v>
                </c:pt>
                <c:pt idx="1636">
                  <c:v>66.826491523614237</c:v>
                </c:pt>
                <c:pt idx="1637">
                  <c:v>66.983043505151613</c:v>
                </c:pt>
                <c:pt idx="1638">
                  <c:v>67.129185610981438</c:v>
                </c:pt>
                <c:pt idx="1639">
                  <c:v>67.263107337251327</c:v>
                </c:pt>
                <c:pt idx="1640">
                  <c:v>67.383332713830811</c:v>
                </c:pt>
                <c:pt idx="1641">
                  <c:v>67.488760149651895</c:v>
                </c:pt>
                <c:pt idx="1642">
                  <c:v>67.578690228063806</c:v>
                </c:pt>
                <c:pt idx="1643">
                  <c:v>67.652840720236355</c:v>
                </c:pt>
                <c:pt idx="1644">
                  <c:v>67.711348005334912</c:v>
                </c:pt>
                <c:pt idx="1645">
                  <c:v>67.754753956308903</c:v>
                </c:pt>
                <c:pt idx="1646">
                  <c:v>67.783977110202272</c:v>
                </c:pt>
                <c:pt idx="1647">
                  <c:v>67.800266508240085</c:v>
                </c:pt>
                <c:pt idx="1648">
                  <c:v>67.805135837810596</c:v>
                </c:pt>
                <c:pt idx="1649">
                  <c:v>67.8002742407852</c:v>
                </c:pt>
                <c:pt idx="1650">
                  <c:v>67.787428066977853</c:v>
                </c:pt>
                <c:pt idx="1651">
                  <c:v>67.768244492407987</c:v>
                </c:pt>
                <c:pt idx="1652">
                  <c:v>67.744062686244632</c:v>
                </c:pt>
                <c:pt idx="1653">
                  <c:v>67.71563063974132</c:v>
                </c:pt>
                <c:pt idx="1654">
                  <c:v>67.68271711083716</c:v>
                </c:pt>
                <c:pt idx="1655">
                  <c:v>67.643588085719713</c:v>
                </c:pt>
                <c:pt idx="1656">
                  <c:v>67.594371788830941</c:v>
                </c:pt>
                <c:pt idx="1657">
                  <c:v>67.528643889038662</c:v>
                </c:pt>
                <c:pt idx="1658">
                  <c:v>67.438954005231949</c:v>
                </c:pt>
                <c:pt idx="1659">
                  <c:v>67.327701053068452</c:v>
                </c:pt>
                <c:pt idx="1660">
                  <c:v>67.252650205945159</c:v>
                </c:pt>
                <c:pt idx="1661">
                  <c:v>67.429966582563097</c:v>
                </c:pt>
                <c:pt idx="1662">
                  <c:v>68.115061838008472</c:v>
                </c:pt>
                <c:pt idx="1663">
                  <c:v>69.035681518771753</c:v>
                </c:pt>
                <c:pt idx="1664">
                  <c:v>69.76325316184932</c:v>
                </c:pt>
                <c:pt idx="1665">
                  <c:v>70.238152338366277</c:v>
                </c:pt>
                <c:pt idx="1666">
                  <c:v>70.543364577894351</c:v>
                </c:pt>
                <c:pt idx="1667">
                  <c:v>70.751292732287567</c:v>
                </c:pt>
                <c:pt idx="1668">
                  <c:v>70.90697570743707</c:v>
                </c:pt>
                <c:pt idx="1669">
                  <c:v>71.036893019608812</c:v>
                </c:pt>
                <c:pt idx="1670">
                  <c:v>71.156561419469142</c:v>
                </c:pt>
                <c:pt idx="1671">
                  <c:v>71.275009672132526</c:v>
                </c:pt>
                <c:pt idx="1672">
                  <c:v>71.397280211434989</c:v>
                </c:pt>
                <c:pt idx="1673">
                  <c:v>71.525855595680767</c:v>
                </c:pt>
                <c:pt idx="1674">
                  <c:v>71.661508775901694</c:v>
                </c:pt>
                <c:pt idx="1675">
                  <c:v>71.803838868529937</c:v>
                </c:pt>
                <c:pt idx="1676">
                  <c:v>71.951630123099591</c:v>
                </c:pt>
                <c:pt idx="1677">
                  <c:v>72.103108025011409</c:v>
                </c:pt>
                <c:pt idx="1678">
                  <c:v>72.256133159784127</c:v>
                </c:pt>
                <c:pt idx="1679">
                  <c:v>72.408355586670837</c:v>
                </c:pt>
                <c:pt idx="1680">
                  <c:v>72.557342594593237</c:v>
                </c:pt>
                <c:pt idx="1681">
                  <c:v>72.700687109849966</c:v>
                </c:pt>
                <c:pt idx="1682">
                  <c:v>72.836100772245516</c:v>
                </c:pt>
                <c:pt idx="1683">
                  <c:v>72.9614937770842</c:v>
                </c:pt>
                <c:pt idx="1684">
                  <c:v>73.075042439725394</c:v>
                </c:pt>
                <c:pt idx="1685">
                  <c:v>73.175244764021301</c:v>
                </c:pt>
                <c:pt idx="1686">
                  <c:v>73.260963902579888</c:v>
                </c:pt>
                <c:pt idx="1687">
                  <c:v>73.331459172462814</c:v>
                </c:pt>
                <c:pt idx="1688">
                  <c:v>73.386404159581247</c:v>
                </c:pt>
                <c:pt idx="1689">
                  <c:v>73.425891352446342</c:v>
                </c:pt>
                <c:pt idx="1690">
                  <c:v>73.450422641027259</c:v>
                </c:pt>
                <c:pt idx="1691">
                  <c:v>73.460884845028986</c:v>
                </c:pt>
                <c:pt idx="1692">
                  <c:v>73.45850912815169</c:v>
                </c:pt>
                <c:pt idx="1693">
                  <c:v>73.444812609836475</c:v>
                </c:pt>
                <c:pt idx="1694">
                  <c:v>73.42151954667716</c:v>
                </c:pt>
                <c:pt idx="1695">
                  <c:v>73.390457867931076</c:v>
                </c:pt>
                <c:pt idx="1696">
                  <c:v>73.353424192782612</c:v>
                </c:pt>
                <c:pt idx="1697">
                  <c:v>73.312006031961317</c:v>
                </c:pt>
                <c:pt idx="1698">
                  <c:v>73.267342546027862</c:v>
                </c:pt>
                <c:pt idx="1699">
                  <c:v>73.219793300158358</c:v>
                </c:pt>
                <c:pt idx="1700">
                  <c:v>73.168466100340581</c:v>
                </c:pt>
                <c:pt idx="1701">
                  <c:v>73.110531774911493</c:v>
                </c:pt>
                <c:pt idx="1702">
                  <c:v>73.040248516991156</c:v>
                </c:pt>
                <c:pt idx="1703">
                  <c:v>72.947758820192178</c:v>
                </c:pt>
                <c:pt idx="1704">
                  <c:v>72.818620347864737</c:v>
                </c:pt>
                <c:pt idx="1705">
                  <c:v>72.639387893703514</c:v>
                </c:pt>
                <c:pt idx="1706">
                  <c:v>72.43143495190256</c:v>
                </c:pt>
                <c:pt idx="1707">
                  <c:v>72.358322137627795</c:v>
                </c:pt>
                <c:pt idx="1708">
                  <c:v>72.737761291978529</c:v>
                </c:pt>
                <c:pt idx="1709">
                  <c:v>73.488997398266918</c:v>
                </c:pt>
                <c:pt idx="1710">
                  <c:v>74.171317680483568</c:v>
                </c:pt>
                <c:pt idx="1711">
                  <c:v>74.639189395260331</c:v>
                </c:pt>
                <c:pt idx="1712">
                  <c:v>74.94340949262957</c:v>
                </c:pt>
                <c:pt idx="1713">
                  <c:v>75.149418369334768</c:v>
                </c:pt>
                <c:pt idx="1714">
                  <c:v>75.301273338012805</c:v>
                </c:pt>
                <c:pt idx="1715">
                  <c:v>75.425523957461763</c:v>
                </c:pt>
                <c:pt idx="1716">
                  <c:v>75.537800370360941</c:v>
                </c:pt>
                <c:pt idx="1717">
                  <c:v>75.647137503624421</c:v>
                </c:pt>
                <c:pt idx="1718">
                  <c:v>75.758495680315605</c:v>
                </c:pt>
                <c:pt idx="1719">
                  <c:v>75.874228458489014</c:v>
                </c:pt>
                <c:pt idx="1720">
                  <c:v>75.994968028962376</c:v>
                </c:pt>
                <c:pt idx="1721">
                  <c:v>76.1201866699991</c:v>
                </c:pt>
                <c:pt idx="1722">
                  <c:v>76.248573546745078</c:v>
                </c:pt>
                <c:pt idx="1723">
                  <c:v>76.378302708419611</c:v>
                </c:pt>
                <c:pt idx="1724">
                  <c:v>76.507234357060966</c:v>
                </c:pt>
                <c:pt idx="1725">
                  <c:v>76.633073130579589</c:v>
                </c:pt>
                <c:pt idx="1726">
                  <c:v>76.75349695101697</c:v>
                </c:pt>
                <c:pt idx="1727">
                  <c:v>76.866264185076915</c:v>
                </c:pt>
                <c:pt idx="1728">
                  <c:v>76.969303490881472</c:v>
                </c:pt>
                <c:pt idx="1729">
                  <c:v>77.060788736245684</c:v>
                </c:pt>
                <c:pt idx="1730">
                  <c:v>77.139200194527092</c:v>
                </c:pt>
                <c:pt idx="1731">
                  <c:v>77.203372528261553</c:v>
                </c:pt>
                <c:pt idx="1732">
                  <c:v>77.25252966651631</c:v>
                </c:pt>
                <c:pt idx="1733">
                  <c:v>77.286306450533758</c:v>
                </c:pt>
                <c:pt idx="1734">
                  <c:v>77.304756784590495</c:v>
                </c:pt>
                <c:pt idx="1735">
                  <c:v>77.308347925349523</c:v>
                </c:pt>
                <c:pt idx="1736">
                  <c:v>77.297940419749025</c:v>
                </c:pt>
                <c:pt idx="1737">
                  <c:v>77.274752999885521</c:v>
                </c:pt>
                <c:pt idx="1738">
                  <c:v>77.240311386771353</c:v>
                </c:pt>
                <c:pt idx="1739">
                  <c:v>77.196379330632226</c:v>
                </c:pt>
                <c:pt idx="1740">
                  <c:v>77.144869145376333</c:v>
                </c:pt>
                <c:pt idx="1741">
                  <c:v>77.087727184137506</c:v>
                </c:pt>
                <c:pt idx="1742">
                  <c:v>77.026786648822181</c:v>
                </c:pt>
                <c:pt idx="1743">
                  <c:v>76.96357495705746</c:v>
                </c:pt>
                <c:pt idx="1744">
                  <c:v>76.899054082307799</c:v>
                </c:pt>
                <c:pt idx="1745">
                  <c:v>76.833257228525611</c:v>
                </c:pt>
                <c:pt idx="1746">
                  <c:v>76.764759775022256</c:v>
                </c:pt>
                <c:pt idx="1747">
                  <c:v>76.689881918335473</c:v>
                </c:pt>
                <c:pt idx="1748">
                  <c:v>76.601469245281422</c:v>
                </c:pt>
                <c:pt idx="1749">
                  <c:v>76.487104842614144</c:v>
                </c:pt>
                <c:pt idx="1750">
                  <c:v>76.327091268056577</c:v>
                </c:pt>
                <c:pt idx="1751">
                  <c:v>76.095623942028993</c:v>
                </c:pt>
                <c:pt idx="1752">
                  <c:v>75.783006689470852</c:v>
                </c:pt>
                <c:pt idx="1753">
                  <c:v>75.493219171448018</c:v>
                </c:pt>
                <c:pt idx="1754">
                  <c:v>75.554089408989853</c:v>
                </c:pt>
                <c:pt idx="1755">
                  <c:v>76.077326189259622</c:v>
                </c:pt>
                <c:pt idx="1756">
                  <c:v>76.673185722950251</c:v>
                </c:pt>
                <c:pt idx="1757">
                  <c:v>77.113616836451854</c:v>
                </c:pt>
                <c:pt idx="1758">
                  <c:v>77.406236910835219</c:v>
                </c:pt>
                <c:pt idx="1759">
                  <c:v>77.604082644751415</c:v>
                </c:pt>
                <c:pt idx="1760">
                  <c:v>77.747941753829409</c:v>
                </c:pt>
                <c:pt idx="1761">
                  <c:v>77.863386250025115</c:v>
                </c:pt>
                <c:pt idx="1762">
                  <c:v>77.965630637313751</c:v>
                </c:pt>
                <c:pt idx="1763">
                  <c:v>78.063431482109337</c:v>
                </c:pt>
                <c:pt idx="1764">
                  <c:v>78.16151132928546</c:v>
                </c:pt>
                <c:pt idx="1765">
                  <c:v>78.262013346616598</c:v>
                </c:pt>
                <c:pt idx="1766">
                  <c:v>78.365393377214261</c:v>
                </c:pt>
                <c:pt idx="1767">
                  <c:v>78.470990832632452</c:v>
                </c:pt>
                <c:pt idx="1768">
                  <c:v>78.577413274702764</c:v>
                </c:pt>
                <c:pt idx="1769">
                  <c:v>78.682809610265934</c:v>
                </c:pt>
                <c:pt idx="1770">
                  <c:v>78.785073994938045</c:v>
                </c:pt>
                <c:pt idx="1771">
                  <c:v>78.882004433092149</c:v>
                </c:pt>
                <c:pt idx="1772">
                  <c:v>78.971429893456929</c:v>
                </c:pt>
                <c:pt idx="1773">
                  <c:v>79.051313936686967</c:v>
                </c:pt>
                <c:pt idx="1774">
                  <c:v>79.119839457995056</c:v>
                </c:pt>
                <c:pt idx="1775">
                  <c:v>79.17547714696498</c:v>
                </c:pt>
                <c:pt idx="1776">
                  <c:v>79.217039082331084</c:v>
                </c:pt>
                <c:pt idx="1777">
                  <c:v>79.243718183066875</c:v>
                </c:pt>
                <c:pt idx="1778">
                  <c:v>79.255113834051329</c:v>
                </c:pt>
                <c:pt idx="1779">
                  <c:v>79.251243773968341</c:v>
                </c:pt>
                <c:pt idx="1780">
                  <c:v>79.232542193882125</c:v>
                </c:pt>
                <c:pt idx="1781">
                  <c:v>79.199843885734438</c:v>
                </c:pt>
                <c:pt idx="1782">
                  <c:v>79.154354145455187</c:v>
                </c:pt>
                <c:pt idx="1783">
                  <c:v>79.09760391436086</c:v>
                </c:pt>
                <c:pt idx="1784">
                  <c:v>79.031389254717695</c:v>
                </c:pt>
                <c:pt idx="1785">
                  <c:v>78.957693581676054</c:v>
                </c:pt>
                <c:pt idx="1786">
                  <c:v>78.878589923879318</c:v>
                </c:pt>
                <c:pt idx="1787">
                  <c:v>78.796118539862206</c:v>
                </c:pt>
                <c:pt idx="1788">
                  <c:v>78.712131923968315</c:v>
                </c:pt>
                <c:pt idx="1789">
                  <c:v>78.628093611638931</c:v>
                </c:pt>
                <c:pt idx="1790">
                  <c:v>78.544807463496028</c:v>
                </c:pt>
                <c:pt idx="1791">
                  <c:v>78.462037041806482</c:v>
                </c:pt>
                <c:pt idx="1792">
                  <c:v>78.377944544388612</c:v>
                </c:pt>
                <c:pt idx="1793">
                  <c:v>78.288226243572126</c:v>
                </c:pt>
                <c:pt idx="1794">
                  <c:v>78.184736915750776</c:v>
                </c:pt>
                <c:pt idx="1795">
                  <c:v>78.05330228759999</c:v>
                </c:pt>
                <c:pt idx="1796">
                  <c:v>77.870571500370275</c:v>
                </c:pt>
                <c:pt idx="1797">
                  <c:v>77.601719681783791</c:v>
                </c:pt>
                <c:pt idx="1798">
                  <c:v>77.212186755265904</c:v>
                </c:pt>
                <c:pt idx="1799">
                  <c:v>76.747059189365856</c:v>
                </c:pt>
              </c:numCache>
            </c:numRef>
          </c:xVal>
          <c:yVal>
            <c:numRef>
              <c:f>'2.치형좌표'!$E$6:$E$1805</c:f>
              <c:numCache>
                <c:formatCode>0.00000</c:formatCode>
                <c:ptCount val="1800"/>
                <c:pt idx="0">
                  <c:v>0</c:v>
                </c:pt>
                <c:pt idx="1">
                  <c:v>-1.4226191663090237</c:v>
                </c:pt>
                <c:pt idx="2">
                  <c:v>-2.3540432688967785</c:v>
                </c:pt>
                <c:pt idx="3">
                  <c:v>-2.8674843909669923</c:v>
                </c:pt>
                <c:pt idx="4">
                  <c:v>-3.1573546856856565</c:v>
                </c:pt>
                <c:pt idx="5">
                  <c:v>-3.3379756058856671</c:v>
                </c:pt>
                <c:pt idx="6">
                  <c:v>-3.4654081659259415</c:v>
                </c:pt>
                <c:pt idx="7">
                  <c:v>-3.5680863660066713</c:v>
                </c:pt>
                <c:pt idx="8">
                  <c:v>-3.6617286037340566</c:v>
                </c:pt>
                <c:pt idx="9">
                  <c:v>-3.7558182396875708</c:v>
                </c:pt>
                <c:pt idx="10">
                  <c:v>-3.856476243074777</c:v>
                </c:pt>
                <c:pt idx="11">
                  <c:v>-3.9678003503241639</c:v>
                </c:pt>
                <c:pt idx="12">
                  <c:v>-4.0925260978738791</c:v>
                </c:pt>
                <c:pt idx="13">
                  <c:v>-4.232374111547057</c:v>
                </c:pt>
                <c:pt idx="14">
                  <c:v>-4.3882468974214639</c:v>
                </c:pt>
                <c:pt idx="15">
                  <c:v>-4.5603521161466638</c:v>
                </c:pt>
                <c:pt idx="16">
                  <c:v>-4.7482903315251797</c:v>
                </c:pt>
                <c:pt idx="17">
                  <c:v>-4.9511266500796545</c:v>
                </c:pt>
                <c:pt idx="18">
                  <c:v>-5.16745636026398</c:v>
                </c:pt>
                <c:pt idx="19">
                  <c:v>-5.3954697827522704</c:v>
                </c:pt>
                <c:pt idx="20">
                  <c:v>-5.6330188437702136</c:v>
                </c:pt>
                <c:pt idx="21">
                  <c:v>-5.8776863292135584</c:v>
                </c:pt>
                <c:pt idx="22">
                  <c:v>-6.1268578481909648</c:v>
                </c:pt>
                <c:pt idx="23">
                  <c:v>-6.3777959647566256</c:v>
                </c:pt>
                <c:pt idx="24">
                  <c:v>-6.6277156062080023</c:v>
                </c:pt>
                <c:pt idx="25">
                  <c:v>-6.8738596506420366</c:v>
                </c:pt>
                <c:pt idx="26">
                  <c:v>-7.113573495760952</c:v>
                </c:pt>
                <c:pt idx="27">
                  <c:v>-7.3443773958693841</c:v>
                </c:pt>
                <c:pt idx="28">
                  <c:v>-7.5640354191772712</c:v>
                </c:pt>
                <c:pt idx="29">
                  <c:v>-7.7706200300797157</c:v>
                </c:pt>
                <c:pt idx="30">
                  <c:v>-7.9625715642172592</c:v>
                </c:pt>
                <c:pt idx="31">
                  <c:v>-8.1387522870112399</c:v>
                </c:pt>
                <c:pt idx="32">
                  <c:v>-8.2984954059026386</c:v>
                </c:pt>
                <c:pt idx="33">
                  <c:v>-8.4416505328633438</c:v>
                </c:pt>
                <c:pt idx="34">
                  <c:v>-8.56862904762799</c:v>
                </c:pt>
                <c:pt idx="35">
                  <c:v>-8.6804563793585849</c:v>
                </c:pt>
                <c:pt idx="36">
                  <c:v>-8.7788450884325897</c:v>
                </c:pt>
                <c:pt idx="37">
                  <c:v>-8.8663165524598764</c:v>
                </c:pt>
                <c:pt idx="38">
                  <c:v>-8.9464288501660167</c:v>
                </c:pt>
                <c:pt idx="39">
                  <c:v>-9.024235775718136</c:v>
                </c:pt>
                <c:pt idx="40">
                  <c:v>-9.1072628987880204</c:v>
                </c:pt>
                <c:pt idx="41">
                  <c:v>-9.2076923509821551</c:v>
                </c:pt>
                <c:pt idx="42">
                  <c:v>-9.3475072695590793</c:v>
                </c:pt>
                <c:pt idx="43">
                  <c:v>-9.5710146852817317</c:v>
                </c:pt>
                <c:pt idx="44">
                  <c:v>-9.9737022125553949</c:v>
                </c:pt>
                <c:pt idx="45">
                  <c:v>-10.741810394488429</c:v>
                </c:pt>
                <c:pt idx="46">
                  <c:v>-12.037989565505375</c:v>
                </c:pt>
                <c:pt idx="47">
                  <c:v>-13.516158024843092</c:v>
                </c:pt>
                <c:pt idx="48">
                  <c:v>-14.588810891665277</c:v>
                </c:pt>
                <c:pt idx="49">
                  <c:v>-15.210619106100301</c:v>
                </c:pt>
                <c:pt idx="50">
                  <c:v>-15.567174608201848</c:v>
                </c:pt>
                <c:pt idx="51">
                  <c:v>-15.788477147525121</c:v>
                </c:pt>
                <c:pt idx="52">
                  <c:v>-15.942118322733545</c:v>
                </c:pt>
                <c:pt idx="53">
                  <c:v>-16.063114124152509</c:v>
                </c:pt>
                <c:pt idx="54">
                  <c:v>-16.170823554664089</c:v>
                </c:pt>
                <c:pt idx="55">
                  <c:v>-16.276741465172822</c:v>
                </c:pt>
                <c:pt idx="56">
                  <c:v>-16.388077757590708</c:v>
                </c:pt>
                <c:pt idx="57">
                  <c:v>-16.50947577753529</c:v>
                </c:pt>
                <c:pt idx="58">
                  <c:v>-16.643885556001184</c:v>
                </c:pt>
                <c:pt idx="59">
                  <c:v>-16.793036531870467</c:v>
                </c:pt>
                <c:pt idx="60">
                  <c:v>-16.957712919556926</c:v>
                </c:pt>
                <c:pt idx="61">
                  <c:v>-17.137929085526146</c:v>
                </c:pt>
                <c:pt idx="62">
                  <c:v>-17.333053683529201</c:v>
                </c:pt>
                <c:pt idx="63">
                  <c:v>-17.541907830444465</c:v>
                </c:pt>
                <c:pt idx="64">
                  <c:v>-17.762850719201531</c:v>
                </c:pt>
                <c:pt idx="65">
                  <c:v>-17.99385976531422</c:v>
                </c:pt>
                <c:pt idx="66">
                  <c:v>-18.232608898674304</c:v>
                </c:pt>
                <c:pt idx="67">
                  <c:v>-18.476546608318042</c:v>
                </c:pt>
                <c:pt idx="68">
                  <c:v>-18.722974157249158</c:v>
                </c:pt>
                <c:pt idx="69">
                  <c:v>-18.969123661093587</c:v>
                </c:pt>
                <c:pt idx="70">
                  <c:v>-19.212235283338419</c:v>
                </c:pt>
                <c:pt idx="71">
                  <c:v>-19.449632539494335</c:v>
                </c:pt>
                <c:pt idx="72">
                  <c:v>-19.67879456579228</c:v>
                </c:pt>
                <c:pt idx="73">
                  <c:v>-19.897424163256122</c:v>
                </c:pt>
                <c:pt idx="74">
                  <c:v>-20.10351045900909</c:v>
                </c:pt>
                <c:pt idx="75">
                  <c:v>-20.295385128963346</c:v>
                </c:pt>
                <c:pt idx="76">
                  <c:v>-20.471771307282257</c:v>
                </c:pt>
                <c:pt idx="77">
                  <c:v>-20.631824593648975</c:v>
                </c:pt>
                <c:pt idx="78">
                  <c:v>-20.775166016782656</c:v>
                </c:pt>
                <c:pt idx="79">
                  <c:v>-20.901907542342776</c:v>
                </c:pt>
                <c:pt idx="80">
                  <c:v>-21.012671977935813</c:v>
                </c:pt>
                <c:pt idx="81">
                  <c:v>-21.108611467902684</c:v>
                </c:pt>
                <c:pt idx="82">
                  <c:v>-21.19143338065086</c:v>
                </c:pt>
                <c:pt idx="83">
                  <c:v>-21.263452019591252</c:v>
                </c:pt>
                <c:pt idx="84">
                  <c:v>-21.327705851754192</c:v>
                </c:pt>
                <c:pt idx="85">
                  <c:v>-21.388229598012401</c:v>
                </c:pt>
                <c:pt idx="86">
                  <c:v>-21.450693270008873</c:v>
                </c:pt>
                <c:pt idx="87">
                  <c:v>-21.523941321568895</c:v>
                </c:pt>
                <c:pt idx="88">
                  <c:v>-21.623844824181706</c:v>
                </c:pt>
                <c:pt idx="89">
                  <c:v>-21.783293156037541</c:v>
                </c:pt>
                <c:pt idx="90">
                  <c:v>-22.07759820735312</c:v>
                </c:pt>
                <c:pt idx="91">
                  <c:v>-22.672453475367526</c:v>
                </c:pt>
                <c:pt idx="92">
                  <c:v>-23.785628338484468</c:v>
                </c:pt>
                <c:pt idx="93">
                  <c:v>-25.239746401292102</c:v>
                </c:pt>
                <c:pt idx="94">
                  <c:v>-26.41831924393443</c:v>
                </c:pt>
                <c:pt idx="95">
                  <c:v>-27.140224715396176</c:v>
                </c:pt>
                <c:pt idx="96">
                  <c:v>-27.561322425973202</c:v>
                </c:pt>
                <c:pt idx="97">
                  <c:v>-27.821961995616785</c:v>
                </c:pt>
                <c:pt idx="98">
                  <c:v>-28.000322743823133</c:v>
                </c:pt>
                <c:pt idx="99">
                  <c:v>-28.137864728063423</c:v>
                </c:pt>
                <c:pt idx="100">
                  <c:v>-28.257571369921571</c:v>
                </c:pt>
                <c:pt idx="101">
                  <c:v>-28.372941652698227</c:v>
                </c:pt>
                <c:pt idx="102">
                  <c:v>-28.49226336154122</c:v>
                </c:pt>
                <c:pt idx="103">
                  <c:v>-28.620713760273869</c:v>
                </c:pt>
                <c:pt idx="104">
                  <c:v>-28.761448891204946</c:v>
                </c:pt>
                <c:pt idx="105">
                  <c:v>-28.916204320207441</c:v>
                </c:pt>
                <c:pt idx="106">
                  <c:v>-29.085650515412457</c:v>
                </c:pt>
                <c:pt idx="107">
                  <c:v>-29.269620936721296</c:v>
                </c:pt>
                <c:pt idx="108">
                  <c:v>-29.467272598002324</c:v>
                </c:pt>
                <c:pt idx="109">
                  <c:v>-29.677210414192416</c:v>
                </c:pt>
                <c:pt idx="110">
                  <c:v>-29.897592124710336</c:v>
                </c:pt>
                <c:pt idx="111">
                  <c:v>-30.126222848162435</c:v>
                </c:pt>
                <c:pt idx="112">
                  <c:v>-30.360644034433232</c:v>
                </c:pt>
                <c:pt idx="113">
                  <c:v>-30.598219116712144</c:v>
                </c:pt>
                <c:pt idx="114">
                  <c:v>-30.836216708831973</c:v>
                </c:pt>
                <c:pt idx="115">
                  <c:v>-31.071891314177915</c:v>
                </c:pt>
                <c:pt idx="116">
                  <c:v>-31.302560979838354</c:v>
                </c:pt>
                <c:pt idx="117">
                  <c:v>-31.52568101442013</c:v>
                </c:pt>
                <c:pt idx="118">
                  <c:v>-31.738912715683824</c:v>
                </c:pt>
                <c:pt idx="119">
                  <c:v>-31.940185980807122</c:v>
                </c:pt>
                <c:pt idx="120">
                  <c:v>-32.127754671089043</c:v>
                </c:pt>
                <c:pt idx="121">
                  <c:v>-32.300243658813336</c:v>
                </c:pt>
                <c:pt idx="122">
                  <c:v>-32.456686590253263</c:v>
                </c:pt>
                <c:pt idx="123">
                  <c:v>-32.596553559434639</c:v>
                </c:pt>
                <c:pt idx="124">
                  <c:v>-32.719768124146491</c:v>
                </c:pt>
                <c:pt idx="125">
                  <c:v>-32.826713466961344</c:v>
                </c:pt>
                <c:pt idx="126">
                  <c:v>-32.918228147621392</c:v>
                </c:pt>
                <c:pt idx="127">
                  <c:v>-32.995593129976669</c:v>
                </c:pt>
                <c:pt idx="128">
                  <c:v>-33.06051435333687</c:v>
                </c:pt>
                <c:pt idx="129">
                  <c:v>-33.115110890401979</c:v>
                </c:pt>
                <c:pt idx="130">
                  <c:v>-33.161932321322006</c:v>
                </c:pt>
                <c:pt idx="131">
                  <c:v>-33.204062579498462</c:v>
                </c:pt>
                <c:pt idx="132">
                  <c:v>-33.245455155730227</c:v>
                </c:pt>
                <c:pt idx="133">
                  <c:v>-33.291885567085359</c:v>
                </c:pt>
                <c:pt idx="134">
                  <c:v>-33.353603944479659</c:v>
                </c:pt>
                <c:pt idx="135">
                  <c:v>-33.452832205680643</c:v>
                </c:pt>
                <c:pt idx="136">
                  <c:v>-33.64478991963972</c:v>
                </c:pt>
                <c:pt idx="137">
                  <c:v>-34.066803607938255</c:v>
                </c:pt>
                <c:pt idx="138">
                  <c:v>-34.958080871398032</c:v>
                </c:pt>
                <c:pt idx="139">
                  <c:v>-36.307115698101128</c:v>
                </c:pt>
                <c:pt idx="140">
                  <c:v>-37.543166121935343</c:v>
                </c:pt>
                <c:pt idx="141">
                  <c:v>-38.349951668124788</c:v>
                </c:pt>
                <c:pt idx="142">
                  <c:v>-38.830476927213802</c:v>
                </c:pt>
                <c:pt idx="143">
                  <c:v>-39.127678120557043</c:v>
                </c:pt>
                <c:pt idx="144">
                  <c:v>-39.328494155281192</c:v>
                </c:pt>
                <c:pt idx="145">
                  <c:v>-39.480356127966743</c:v>
                </c:pt>
                <c:pt idx="146">
                  <c:v>-39.609707209750511</c:v>
                </c:pt>
                <c:pt idx="147">
                  <c:v>-39.7319690517689</c:v>
                </c:pt>
                <c:pt idx="148">
                  <c:v>-39.856456862143638</c:v>
                </c:pt>
                <c:pt idx="149">
                  <c:v>-39.988848911637341</c:v>
                </c:pt>
                <c:pt idx="150">
                  <c:v>-40.13248786830777</c:v>
                </c:pt>
                <c:pt idx="151">
                  <c:v>-40.289107971477193</c:v>
                </c:pt>
                <c:pt idx="152">
                  <c:v>-40.459269432721307</c:v>
                </c:pt>
                <c:pt idx="153">
                  <c:v>-40.642638342666743</c:v>
                </c:pt>
                <c:pt idx="154">
                  <c:v>-40.838182707454877</c:v>
                </c:pt>
                <c:pt idx="155">
                  <c:v>-41.04432191632511</c:v>
                </c:pt>
                <c:pt idx="156">
                  <c:v>-41.259049822459723</c:v>
                </c:pt>
                <c:pt idx="157">
                  <c:v>-41.480042461229409</c:v>
                </c:pt>
                <c:pt idx="158">
                  <c:v>-41.704756344634703</c:v>
                </c:pt>
                <c:pt idx="159">
                  <c:v>-41.93052035231144</c:v>
                </c:pt>
                <c:pt idx="160">
                  <c:v>-42.154622519091483</c:v>
                </c:pt>
                <c:pt idx="161">
                  <c:v>-42.374391986706428</c:v>
                </c:pt>
                <c:pt idx="162">
                  <c:v>-42.587275765040921</c:v>
                </c:pt>
                <c:pt idx="163">
                  <c:v>-42.790909579902006</c:v>
                </c:pt>
                <c:pt idx="164">
                  <c:v>-42.983181878049436</c:v>
                </c:pt>
                <c:pt idx="165">
                  <c:v>-43.162289960218054</c:v>
                </c:pt>
                <c:pt idx="166">
                  <c:v>-43.326787182682047</c:v>
                </c:pt>
                <c:pt idx="167">
                  <c:v>-43.475620182104961</c:v>
                </c:pt>
                <c:pt idx="168">
                  <c:v>-43.608155117760717</c:v>
                </c:pt>
                <c:pt idx="169">
                  <c:v>-43.72419197485393</c:v>
                </c:pt>
                <c:pt idx="170">
                  <c:v>-43.823966023470497</c:v>
                </c:pt>
                <c:pt idx="171">
                  <c:v>-43.908135583496325</c:v>
                </c:pt>
                <c:pt idx="172">
                  <c:v>-43.977755344783638</c:v>
                </c:pt>
                <c:pt idx="173">
                  <c:v>-44.034234763653622</c:v>
                </c:pt>
                <c:pt idx="174">
                  <c:v>-44.079281876101035</c:v>
                </c:pt>
                <c:pt idx="175">
                  <c:v>-44.114835272615402</c:v>
                </c:pt>
                <c:pt idx="176">
                  <c:v>-44.142993850694864</c:v>
                </c:pt>
                <c:pt idx="177">
                  <c:v>-44.165973496809528</c:v>
                </c:pt>
                <c:pt idx="178">
                  <c:v>-44.186176282753792</c:v>
                </c:pt>
                <c:pt idx="179">
                  <c:v>-44.206626076903845</c:v>
                </c:pt>
                <c:pt idx="180">
                  <c:v>-44.232546905544879</c:v>
                </c:pt>
                <c:pt idx="181">
                  <c:v>-44.276529343036401</c:v>
                </c:pt>
                <c:pt idx="182">
                  <c:v>-44.3748358547791</c:v>
                </c:pt>
                <c:pt idx="183">
                  <c:v>-44.632620720465262</c:v>
                </c:pt>
                <c:pt idx="184">
                  <c:v>-45.281726365102614</c:v>
                </c:pt>
                <c:pt idx="185">
                  <c:v>-46.451115420436743</c:v>
                </c:pt>
                <c:pt idx="186">
                  <c:v>-47.684705356685171</c:v>
                </c:pt>
                <c:pt idx="187">
                  <c:v>-48.553340556059219</c:v>
                </c:pt>
                <c:pt idx="188">
                  <c:v>-49.084702039829992</c:v>
                </c:pt>
                <c:pt idx="189">
                  <c:v>-49.414045399511565</c:v>
                </c:pt>
                <c:pt idx="190">
                  <c:v>-49.634196820905132</c:v>
                </c:pt>
                <c:pt idx="191">
                  <c:v>-49.797681866116172</c:v>
                </c:pt>
                <c:pt idx="192">
                  <c:v>-49.934061410141737</c:v>
                </c:pt>
                <c:pt idx="193">
                  <c:v>-50.060510982052833</c:v>
                </c:pt>
                <c:pt idx="194">
                  <c:v>-50.187276797769435</c:v>
                </c:pt>
                <c:pt idx="195">
                  <c:v>-50.320480516736218</c:v>
                </c:pt>
                <c:pt idx="196">
                  <c:v>-50.463619125169181</c:v>
                </c:pt>
                <c:pt idx="197">
                  <c:v>-50.618412006647645</c:v>
                </c:pt>
                <c:pt idx="198">
                  <c:v>-50.785310573305871</c:v>
                </c:pt>
                <c:pt idx="199">
                  <c:v>-50.963827389275785</c:v>
                </c:pt>
                <c:pt idx="200">
                  <c:v>-51.1527656314639</c:v>
                </c:pt>
                <c:pt idx="201">
                  <c:v>-51.350391888520804</c:v>
                </c:pt>
                <c:pt idx="202">
                  <c:v>-51.554575733526399</c:v>
                </c:pt>
                <c:pt idx="203">
                  <c:v>-51.762908999861466</c:v>
                </c:pt>
                <c:pt idx="204">
                  <c:v>-51.9728118466941</c:v>
                </c:pt>
                <c:pt idx="205">
                  <c:v>-52.18162934915501</c:v>
                </c:pt>
                <c:pt idx="206">
                  <c:v>-52.386720377849429</c:v>
                </c:pt>
                <c:pt idx="207">
                  <c:v>-52.585539354874513</c:v>
                </c:pt>
                <c:pt idx="208">
                  <c:v>-52.775710767053553</c:v>
                </c:pt>
                <c:pt idx="209">
                  <c:v>-52.955095899097778</c:v>
                </c:pt>
                <c:pt idx="210">
                  <c:v>-53.121851012024592</c:v>
                </c:pt>
                <c:pt idx="211">
                  <c:v>-53.274476068174224</c:v>
                </c:pt>
                <c:pt idx="212">
                  <c:v>-53.411853048222625</c:v>
                </c:pt>
                <c:pt idx="213">
                  <c:v>-53.533272883338213</c:v>
                </c:pt>
                <c:pt idx="214">
                  <c:v>-53.63845000686436</c:v>
                </c:pt>
                <c:pt idx="215">
                  <c:v>-53.727523483689559</c:v>
                </c:pt>
                <c:pt idx="216">
                  <c:v>-53.801043566393709</c:v>
                </c:pt>
                <c:pt idx="217">
                  <c:v>-53.859942313290581</c:v>
                </c:pt>
                <c:pt idx="218">
                  <c:v>-53.905486538502679</c:v>
                </c:pt>
                <c:pt idx="219">
                  <c:v>-53.939210816404874</c:v>
                </c:pt>
                <c:pt idx="220">
                  <c:v>-53.962827583390911</c:v>
                </c:pt>
                <c:pt idx="221">
                  <c:v>-53.978110929061216</c:v>
                </c:pt>
                <c:pt idx="222">
                  <c:v>-53.986751835242018</c:v>
                </c:pt>
                <c:pt idx="223">
                  <c:v>-53.990190133741784</c:v>
                </c:pt>
                <c:pt idx="224">
                  <c:v>-53.989458024782984</c:v>
                </c:pt>
                <c:pt idx="225">
                  <c:v>-53.985174607471464</c:v>
                </c:pt>
                <c:pt idx="226">
                  <c:v>-53.97819466109641</c:v>
                </c:pt>
                <c:pt idx="227">
                  <c:v>-53.972690964924432</c:v>
                </c:pt>
                <c:pt idx="228">
                  <c:v>-53.987822518294379</c:v>
                </c:pt>
                <c:pt idx="229">
                  <c:v>-54.095999584550967</c:v>
                </c:pt>
                <c:pt idx="230">
                  <c:v>-54.50013517436647</c:v>
                </c:pt>
                <c:pt idx="231">
                  <c:v>-55.429078865230316</c:v>
                </c:pt>
                <c:pt idx="232">
                  <c:v>-56.592197199236196</c:v>
                </c:pt>
                <c:pt idx="233">
                  <c:v>-57.491352556766287</c:v>
                </c:pt>
                <c:pt idx="234">
                  <c:v>-58.061013625555233</c:v>
                </c:pt>
                <c:pt idx="235">
                  <c:v>-58.41622918203354</c:v>
                </c:pt>
                <c:pt idx="236">
                  <c:v>-58.651664028301951</c:v>
                </c:pt>
                <c:pt idx="237">
                  <c:v>-58.823590771971858</c:v>
                </c:pt>
                <c:pt idx="238">
                  <c:v>-58.964139782911431</c:v>
                </c:pt>
                <c:pt idx="239">
                  <c:v>-59.091971420748678</c:v>
                </c:pt>
                <c:pt idx="240">
                  <c:v>-59.218114295117658</c:v>
                </c:pt>
                <c:pt idx="241">
                  <c:v>-59.349047872875424</c:v>
                </c:pt>
                <c:pt idx="242">
                  <c:v>-59.488376359188081</c:v>
                </c:pt>
                <c:pt idx="243">
                  <c:v>-59.637783451541218</c:v>
                </c:pt>
                <c:pt idx="244">
                  <c:v>-59.797610243276409</c:v>
                </c:pt>
                <c:pt idx="245">
                  <c:v>-59.96722907610048</c:v>
                </c:pt>
                <c:pt idx="246">
                  <c:v>-60.145303187255855</c:v>
                </c:pt>
                <c:pt idx="247">
                  <c:v>-60.329980270620034</c:v>
                </c:pt>
                <c:pt idx="248">
                  <c:v>-60.519046348708414</c:v>
                </c:pt>
                <c:pt idx="249">
                  <c:v>-60.710054640582072</c:v>
                </c:pt>
                <c:pt idx="250">
                  <c:v>-60.900437584835579</c:v>
                </c:pt>
                <c:pt idx="251">
                  <c:v>-61.087606434320747</c:v>
                </c:pt>
                <c:pt idx="252">
                  <c:v>-61.26904064310925</c:v>
                </c:pt>
                <c:pt idx="253">
                  <c:v>-61.442367958291506</c:v>
                </c:pt>
                <c:pt idx="254">
                  <c:v>-61.605435347549864</c:v>
                </c:pt>
                <c:pt idx="255">
                  <c:v>-61.756370431725799</c:v>
                </c:pt>
                <c:pt idx="256">
                  <c:v>-61.893632827163522</c:v>
                </c:pt>
                <c:pt idx="257">
                  <c:v>-62.016054658142302</c:v>
                </c:pt>
                <c:pt idx="258">
                  <c:v>-62.122869421949204</c:v>
                </c:pt>
                <c:pt idx="259">
                  <c:v>-62.213728336133244</c:v>
                </c:pt>
                <c:pt idx="260">
                  <c:v>-62.288703229840067</c:v>
                </c:pt>
                <c:pt idx="261">
                  <c:v>-62.348274914696901</c:v>
                </c:pt>
                <c:pt idx="262">
                  <c:v>-62.393305728664821</c:v>
                </c:pt>
                <c:pt idx="263">
                  <c:v>-62.424994509178745</c:v>
                </c:pt>
                <c:pt idx="264">
                  <c:v>-62.444811504981438</c:v>
                </c:pt>
                <c:pt idx="265">
                  <c:v>-62.454409515650887</c:v>
                </c:pt>
                <c:pt idx="266">
                  <c:v>-62.455505640417286</c:v>
                </c:pt>
                <c:pt idx="267">
                  <c:v>-62.449725226437231</c:v>
                </c:pt>
                <c:pt idx="268">
                  <c:v>-62.438396085244214</c:v>
                </c:pt>
                <c:pt idx="269">
                  <c:v>-62.422278628248073</c:v>
                </c:pt>
                <c:pt idx="270">
                  <c:v>-62.401224755753717</c:v>
                </c:pt>
                <c:pt idx="271">
                  <c:v>-62.373809006498846</c:v>
                </c:pt>
                <c:pt idx="272">
                  <c:v>-62.337200900260498</c:v>
                </c:pt>
                <c:pt idx="273">
                  <c:v>-62.288457188703575</c:v>
                </c:pt>
                <c:pt idx="274">
                  <c:v>-62.231923828433665</c:v>
                </c:pt>
                <c:pt idx="275">
                  <c:v>-62.209085197402644</c:v>
                </c:pt>
                <c:pt idx="276">
                  <c:v>-62.380270060485444</c:v>
                </c:pt>
                <c:pt idx="277">
                  <c:v>-63.027254937088301</c:v>
                </c:pt>
                <c:pt idx="278">
                  <c:v>-64.048977935273214</c:v>
                </c:pt>
                <c:pt idx="279">
                  <c:v>-64.939140197196579</c:v>
                </c:pt>
                <c:pt idx="280">
                  <c:v>-65.530235562515116</c:v>
                </c:pt>
                <c:pt idx="281">
                  <c:v>-65.903015744253835</c:v>
                </c:pt>
                <c:pt idx="282">
                  <c:v>-66.148682093507091</c:v>
                </c:pt>
                <c:pt idx="283">
                  <c:v>-66.325374971464498</c:v>
                </c:pt>
                <c:pt idx="284">
                  <c:v>-66.467012608510345</c:v>
                </c:pt>
                <c:pt idx="285">
                  <c:v>-66.593358815064661</c:v>
                </c:pt>
                <c:pt idx="286">
                  <c:v>-66.71601812111129</c:v>
                </c:pt>
                <c:pt idx="287">
                  <c:v>-66.841711389118174</c:v>
                </c:pt>
                <c:pt idx="288">
                  <c:v>-66.974086527936137</c:v>
                </c:pt>
                <c:pt idx="289">
                  <c:v>-67.114762336171879</c:v>
                </c:pt>
                <c:pt idx="290">
                  <c:v>-67.263964224982431</c:v>
                </c:pt>
                <c:pt idx="291">
                  <c:v>-67.42093626777536</c:v>
                </c:pt>
                <c:pt idx="292">
                  <c:v>-67.584226535333599</c:v>
                </c:pt>
                <c:pt idx="293">
                  <c:v>-67.751898041100915</c:v>
                </c:pt>
                <c:pt idx="294">
                  <c:v>-67.921694188389367</c:v>
                </c:pt>
                <c:pt idx="295">
                  <c:v>-68.091174913723478</c:v>
                </c:pt>
                <c:pt idx="296">
                  <c:v>-68.257832627677786</c:v>
                </c:pt>
                <c:pt idx="297">
                  <c:v>-68.419192984817997</c:v>
                </c:pt>
                <c:pt idx="298">
                  <c:v>-68.572903129208228</c:v>
                </c:pt>
                <c:pt idx="299">
                  <c:v>-68.716808645363997</c:v>
                </c:pt>
                <c:pt idx="300">
                  <c:v>-68.849019600863073</c:v>
                </c:pt>
                <c:pt idx="301">
                  <c:v>-68.967965569638849</c:v>
                </c:pt>
                <c:pt idx="302">
                  <c:v>-69.072439238990015</c:v>
                </c:pt>
                <c:pt idx="303">
                  <c:v>-69.161628042686289</c:v>
                </c:pt>
                <c:pt idx="304">
                  <c:v>-69.23513316738169</c:v>
                </c:pt>
                <c:pt idx="305">
                  <c:v>-69.292975201712267</c:v>
                </c:pt>
                <c:pt idx="306">
                  <c:v>-69.335585590297228</c:v>
                </c:pt>
                <c:pt idx="307">
                  <c:v>-69.363782863880061</c:v>
                </c:pt>
                <c:pt idx="308">
                  <c:v>-69.378732268530683</c:v>
                </c:pt>
                <c:pt idx="309">
                  <c:v>-69.381886802694794</c:v>
                </c:pt>
                <c:pt idx="310">
                  <c:v>-69.374906622636971</c:v>
                </c:pt>
                <c:pt idx="311">
                  <c:v>-69.359552027633953</c:v>
                </c:pt>
                <c:pt idx="312">
                  <c:v>-69.337542364493231</c:v>
                </c:pt>
                <c:pt idx="313">
                  <c:v>-69.310368558818595</c:v>
                </c:pt>
                <c:pt idx="314">
                  <c:v>-69.279039757375202</c:v>
                </c:pt>
                <c:pt idx="315">
                  <c:v>-69.243734251985785</c:v>
                </c:pt>
                <c:pt idx="316">
                  <c:v>-69.203314047025216</c:v>
                </c:pt>
                <c:pt idx="317">
                  <c:v>-69.1546690465306</c:v>
                </c:pt>
                <c:pt idx="318">
                  <c:v>-69.09196617948048</c:v>
                </c:pt>
                <c:pt idx="319">
                  <c:v>-69.006465041339666</c:v>
                </c:pt>
                <c:pt idx="320">
                  <c:v>-68.890198626404995</c:v>
                </c:pt>
                <c:pt idx="321">
                  <c:v>-68.757142176857755</c:v>
                </c:pt>
                <c:pt idx="322">
                  <c:v>-68.718711840503971</c:v>
                </c:pt>
                <c:pt idx="323">
                  <c:v>-69.064460774848698</c:v>
                </c:pt>
                <c:pt idx="324">
                  <c:v>-69.877430628279939</c:v>
                </c:pt>
                <c:pt idx="325">
                  <c:v>-70.711857860943951</c:v>
                </c:pt>
                <c:pt idx="326">
                  <c:v>-71.302960964807525</c:v>
                </c:pt>
                <c:pt idx="327">
                  <c:v>-71.682809319028962</c:v>
                </c:pt>
                <c:pt idx="328">
                  <c:v>-71.932601717455043</c:v>
                </c:pt>
                <c:pt idx="329">
                  <c:v>-72.109887537504633</c:v>
                </c:pt>
                <c:pt idx="330">
                  <c:v>-72.249333945512831</c:v>
                </c:pt>
                <c:pt idx="331">
                  <c:v>-72.371303973875357</c:v>
                </c:pt>
                <c:pt idx="332">
                  <c:v>-72.487708992054721</c:v>
                </c:pt>
                <c:pt idx="333">
                  <c:v>-72.605361712035929</c:v>
                </c:pt>
                <c:pt idx="334">
                  <c:v>-72.727872538100613</c:v>
                </c:pt>
                <c:pt idx="335">
                  <c:v>-72.856756902627041</c:v>
                </c:pt>
                <c:pt idx="336">
                  <c:v>-72.99211458077086</c:v>
                </c:pt>
                <c:pt idx="337">
                  <c:v>-73.1330712376202</c:v>
                </c:pt>
                <c:pt idx="338">
                  <c:v>-73.278083642883303</c:v>
                </c:pt>
                <c:pt idx="339">
                  <c:v>-73.425163801231449</c:v>
                </c:pt>
                <c:pt idx="340">
                  <c:v>-73.572052725537574</c:v>
                </c:pt>
                <c:pt idx="341">
                  <c:v>-73.716361204482624</c:v>
                </c:pt>
                <c:pt idx="342">
                  <c:v>-73.855687416892351</c:v>
                </c:pt>
                <c:pt idx="343">
                  <c:v>-73.987716936353024</c:v>
                </c:pt>
                <c:pt idx="344">
                  <c:v>-74.110308145704806</c:v>
                </c:pt>
                <c:pt idx="345">
                  <c:v>-74.221564585141579</c:v>
                </c:pt>
                <c:pt idx="346">
                  <c:v>-74.319894869574398</c:v>
                </c:pt>
                <c:pt idx="347">
                  <c:v>-74.404060289058918</c:v>
                </c:pt>
                <c:pt idx="348">
                  <c:v>-74.473209905511666</c:v>
                </c:pt>
                <c:pt idx="349">
                  <c:v>-74.526902787215917</c:v>
                </c:pt>
                <c:pt idx="350">
                  <c:v>-74.565116914854016</c:v>
                </c:pt>
                <c:pt idx="351">
                  <c:v>-74.588244196205167</c:v>
                </c:pt>
                <c:pt idx="352">
                  <c:v>-74.597070889207004</c:v>
                </c:pt>
                <c:pt idx="353">
                  <c:v>-74.592742492770725</c:v>
                </c:pt>
                <c:pt idx="354">
                  <c:v>-74.57671173595628</c:v>
                </c:pt>
                <c:pt idx="355">
                  <c:v>-74.550667549208583</c:v>
                </c:pt>
                <c:pt idx="356">
                  <c:v>-74.516441628827465</c:v>
                </c:pt>
                <c:pt idx="357">
                  <c:v>-74.475887064663155</c:v>
                </c:pt>
                <c:pt idx="358">
                  <c:v>-74.430719914452879</c:v>
                </c:pt>
                <c:pt idx="359">
                  <c:v>-74.382308606613464</c:v>
                </c:pt>
                <c:pt idx="360">
                  <c:v>-74.331386055868606</c:v>
                </c:pt>
                <c:pt idx="361">
                  <c:v>-74.277643078866348</c:v>
                </c:pt>
                <c:pt idx="362">
                  <c:v>-74.219137052175924</c:v>
                </c:pt>
                <c:pt idx="363">
                  <c:v>-74.15142181335078</c:v>
                </c:pt>
                <c:pt idx="364">
                  <c:v>-74.066320550726076</c:v>
                </c:pt>
                <c:pt idx="365">
                  <c:v>-73.950576908395078</c:v>
                </c:pt>
                <c:pt idx="366">
                  <c:v>-73.786445354338198</c:v>
                </c:pt>
                <c:pt idx="367">
                  <c:v>-73.56473040309082</c:v>
                </c:pt>
                <c:pt idx="368">
                  <c:v>-73.347604154293919</c:v>
                </c:pt>
                <c:pt idx="369">
                  <c:v>-73.3951786721872</c:v>
                </c:pt>
                <c:pt idx="370">
                  <c:v>-73.942601482359478</c:v>
                </c:pt>
                <c:pt idx="371">
                  <c:v>-74.669331757475717</c:v>
                </c:pt>
                <c:pt idx="372">
                  <c:v>-75.234456078946877</c:v>
                </c:pt>
                <c:pt idx="373">
                  <c:v>-75.608592743271132</c:v>
                </c:pt>
                <c:pt idx="374">
                  <c:v>-75.855319987862117</c:v>
                </c:pt>
                <c:pt idx="375">
                  <c:v>-76.02853357633947</c:v>
                </c:pt>
                <c:pt idx="376">
                  <c:v>-76.162335347826556</c:v>
                </c:pt>
                <c:pt idx="377">
                  <c:v>-76.277052368237946</c:v>
                </c:pt>
                <c:pt idx="378">
                  <c:v>-76.384567697180486</c:v>
                </c:pt>
                <c:pt idx="379">
                  <c:v>-76.491601667170983</c:v>
                </c:pt>
                <c:pt idx="380">
                  <c:v>-76.601627455338388</c:v>
                </c:pt>
                <c:pt idx="381">
                  <c:v>-76.71600880982615</c:v>
                </c:pt>
                <c:pt idx="382">
                  <c:v>-76.834704745910273</c:v>
                </c:pt>
                <c:pt idx="383">
                  <c:v>-76.956729643274087</c:v>
                </c:pt>
                <c:pt idx="384">
                  <c:v>-77.080471200852358</c:v>
                </c:pt>
                <c:pt idx="385">
                  <c:v>-77.203922738232023</c:v>
                </c:pt>
                <c:pt idx="386">
                  <c:v>-77.324861539826983</c:v>
                </c:pt>
                <c:pt idx="387">
                  <c:v>-77.440991285870055</c:v>
                </c:pt>
                <c:pt idx="388">
                  <c:v>-77.55005891810417</c:v>
                </c:pt>
                <c:pt idx="389">
                  <c:v>-77.649951854182788</c:v>
                </c:pt>
                <c:pt idx="390">
                  <c:v>-77.738778866450261</c:v>
                </c:pt>
                <c:pt idx="391">
                  <c:v>-77.814936403040932</c:v>
                </c:pt>
                <c:pt idx="392">
                  <c:v>-77.877161218960168</c:v>
                </c:pt>
                <c:pt idx="393">
                  <c:v>-77.92456965173038</c:v>
                </c:pt>
                <c:pt idx="394">
                  <c:v>-77.95668356949848</c:v>
                </c:pt>
                <c:pt idx="395">
                  <c:v>-77.973442842625857</c:v>
                </c:pt>
                <c:pt idx="396">
                  <c:v>-77.975204074589669</c:v>
                </c:pt>
                <c:pt idx="397">
                  <c:v>-77.962725218733993</c:v>
                </c:pt>
                <c:pt idx="398">
                  <c:v>-77.937135548587889</c:v>
                </c:pt>
                <c:pt idx="399">
                  <c:v>-77.899890174272201</c:v>
                </c:pt>
                <c:pt idx="400">
                  <c:v>-77.852707812543173</c:v>
                </c:pt>
                <c:pt idx="401">
                  <c:v>-77.797489679773889</c:v>
                </c:pt>
                <c:pt idx="402">
                  <c:v>-77.736215952111777</c:v>
                </c:pt>
                <c:pt idx="403">
                  <c:v>-77.670813830648754</c:v>
                </c:pt>
                <c:pt idx="404">
                  <c:v>-77.602987178236418</c:v>
                </c:pt>
                <c:pt idx="405">
                  <c:v>-77.533990756178184</c:v>
                </c:pt>
                <c:pt idx="406">
                  <c:v>-77.464320165434259</c:v>
                </c:pt>
                <c:pt idx="407">
                  <c:v>-77.39326806335896</c:v>
                </c:pt>
                <c:pt idx="408">
                  <c:v>-77.318262549989811</c:v>
                </c:pt>
                <c:pt idx="409">
                  <c:v>-77.233849912861601</c:v>
                </c:pt>
                <c:pt idx="410">
                  <c:v>-77.130127505738301</c:v>
                </c:pt>
                <c:pt idx="411">
                  <c:v>-76.990526123936647</c:v>
                </c:pt>
                <c:pt idx="412">
                  <c:v>-76.789961435861457</c:v>
                </c:pt>
                <c:pt idx="413">
                  <c:v>-76.500788453286773</c:v>
                </c:pt>
                <c:pt idx="414">
                  <c:v>-76.139971646149391</c:v>
                </c:pt>
                <c:pt idx="415">
                  <c:v>-75.912301090526157</c:v>
                </c:pt>
                <c:pt idx="416">
                  <c:v>-76.154397446627257</c:v>
                </c:pt>
                <c:pt idx="417">
                  <c:v>-76.719435930534402</c:v>
                </c:pt>
                <c:pt idx="418">
                  <c:v>-77.228370210981311</c:v>
                </c:pt>
                <c:pt idx="419">
                  <c:v>-77.581720195917924</c:v>
                </c:pt>
                <c:pt idx="420">
                  <c:v>-77.817102847575413</c:v>
                </c:pt>
                <c:pt idx="421">
                  <c:v>-77.981105064377786</c:v>
                </c:pt>
                <c:pt idx="422">
                  <c:v>-78.105664587661835</c:v>
                </c:pt>
                <c:pt idx="423">
                  <c:v>-78.210301675305658</c:v>
                </c:pt>
                <c:pt idx="424">
                  <c:v>-78.306468108110067</c:v>
                </c:pt>
                <c:pt idx="425">
                  <c:v>-78.400572339492498</c:v>
                </c:pt>
                <c:pt idx="426">
                  <c:v>-78.495831828627971</c:v>
                </c:pt>
                <c:pt idx="427">
                  <c:v>-78.593400218001975</c:v>
                </c:pt>
                <c:pt idx="428">
                  <c:v>-78.693075101161043</c:v>
                </c:pt>
                <c:pt idx="429">
                  <c:v>-78.793763450071637</c:v>
                </c:pt>
                <c:pt idx="430">
                  <c:v>-78.893803852479238</c:v>
                </c:pt>
                <c:pt idx="431">
                  <c:v>-78.991201183393272</c:v>
                </c:pt>
                <c:pt idx="432">
                  <c:v>-79.083805292300582</c:v>
                </c:pt>
                <c:pt idx="433">
                  <c:v>-79.169451860851879</c:v>
                </c:pt>
                <c:pt idx="434">
                  <c:v>-79.246075952537808</c:v>
                </c:pt>
                <c:pt idx="435">
                  <c:v>-79.311804357786485</c:v>
                </c:pt>
                <c:pt idx="436">
                  <c:v>-79.365030244267288</c:v>
                </c:pt>
                <c:pt idx="437">
                  <c:v>-79.404472088217304</c:v>
                </c:pt>
                <c:pt idx="438">
                  <c:v>-79.429217956997377</c:v>
                </c:pt>
                <c:pt idx="439">
                  <c:v>-79.438755684897941</c:v>
                </c:pt>
                <c:pt idx="440">
                  <c:v>-79.432989181387185</c:v>
                </c:pt>
                <c:pt idx="441">
                  <c:v>-79.412240935673353</c:v>
                </c:pt>
                <c:pt idx="442">
                  <c:v>-79.377240664303287</c:v>
                </c:pt>
                <c:pt idx="443">
                  <c:v>-79.329099932524457</c:v>
                </c:pt>
                <c:pt idx="444">
                  <c:v>-79.269272408340711</c:v>
                </c:pt>
                <c:pt idx="445">
                  <c:v>-79.199499111491647</c:v>
                </c:pt>
                <c:pt idx="446">
                  <c:v>-79.121737500706246</c:v>
                </c:pt>
                <c:pt idx="447">
                  <c:v>-79.03807235082472</c:v>
                </c:pt>
                <c:pt idx="448">
                  <c:v>-78.950604858958997</c:v>
                </c:pt>
                <c:pt idx="449">
                  <c:v>-78.861313861809563</c:v>
                </c:pt>
                <c:pt idx="450">
                  <c:v>-78.771878697365949</c:v>
                </c:pt>
                <c:pt idx="451">
                  <c:v>-78.683445756117578</c:v>
                </c:pt>
                <c:pt idx="452">
                  <c:v>-78.5963076729237</c:v>
                </c:pt>
                <c:pt idx="453">
                  <c:v>-78.509440893182671</c:v>
                </c:pt>
                <c:pt idx="454">
                  <c:v>-78.41980602001405</c:v>
                </c:pt>
                <c:pt idx="455">
                  <c:v>-78.321243749344745</c:v>
                </c:pt>
                <c:pt idx="456">
                  <c:v>-78.202690199615418</c:v>
                </c:pt>
                <c:pt idx="457">
                  <c:v>-78.04536015129473</c:v>
                </c:pt>
                <c:pt idx="458">
                  <c:v>-77.819085836782534</c:v>
                </c:pt>
                <c:pt idx="459">
                  <c:v>-77.48247532441755</c:v>
                </c:pt>
                <c:pt idx="460">
                  <c:v>-77.014086611143014</c:v>
                </c:pt>
                <c:pt idx="461">
                  <c:v>-76.549621885903477</c:v>
                </c:pt>
                <c:pt idx="462">
                  <c:v>-76.468414367803348</c:v>
                </c:pt>
                <c:pt idx="463">
                  <c:v>-76.820055766837669</c:v>
                </c:pt>
                <c:pt idx="464">
                  <c:v>-77.239144448654287</c:v>
                </c:pt>
                <c:pt idx="465">
                  <c:v>-77.55444034276475</c:v>
                </c:pt>
                <c:pt idx="466">
                  <c:v>-77.769147765135429</c:v>
                </c:pt>
                <c:pt idx="467">
                  <c:v>-77.918359640301446</c:v>
                </c:pt>
                <c:pt idx="468">
                  <c:v>-78.029969846038369</c:v>
                </c:pt>
                <c:pt idx="469">
                  <c:v>-78.121785250653815</c:v>
                </c:pt>
                <c:pt idx="470">
                  <c:v>-78.204355995874607</c:v>
                </c:pt>
                <c:pt idx="471">
                  <c:v>-78.283524476255053</c:v>
                </c:pt>
                <c:pt idx="472">
                  <c:v>-78.362115600893105</c:v>
                </c:pt>
                <c:pt idx="473">
                  <c:v>-78.441004538271514</c:v>
                </c:pt>
                <c:pt idx="474">
                  <c:v>-78.519801147269675</c:v>
                </c:pt>
                <c:pt idx="475">
                  <c:v>-78.597305282878978</c:v>
                </c:pt>
                <c:pt idx="476">
                  <c:v>-78.671823592386261</c:v>
                </c:pt>
                <c:pt idx="477">
                  <c:v>-78.741400021198061</c:v>
                </c:pt>
                <c:pt idx="478">
                  <c:v>-78.803990190738034</c:v>
                </c:pt>
                <c:pt idx="479">
                  <c:v>-78.857597213727601</c:v>
                </c:pt>
                <c:pt idx="480">
                  <c:v>-78.900379253559848</c:v>
                </c:pt>
                <c:pt idx="481">
                  <c:v>-78.930734900124008</c:v>
                </c:pt>
                <c:pt idx="482">
                  <c:v>-78.947369939215932</c:v>
                </c:pt>
                <c:pt idx="483">
                  <c:v>-78.949347616230725</c:v>
                </c:pt>
                <c:pt idx="484">
                  <c:v>-78.936123625352195</c:v>
                </c:pt>
                <c:pt idx="485">
                  <c:v>-78.907566550879778</c:v>
                </c:pt>
                <c:pt idx="486">
                  <c:v>-78.863964199788313</c:v>
                </c:pt>
                <c:pt idx="487">
                  <c:v>-78.806016098292886</c:v>
                </c:pt>
                <c:pt idx="488">
                  <c:v>-78.734812311807858</c:v>
                </c:pt>
                <c:pt idx="489">
                  <c:v>-78.651798630816984</c:v>
                </c:pt>
                <c:pt idx="490">
                  <c:v>-78.558727988188892</c:v>
                </c:pt>
                <c:pt idx="491">
                  <c:v>-78.457597667374344</c:v>
                </c:pt>
                <c:pt idx="492">
                  <c:v>-78.35057132811076</c:v>
                </c:pt>
                <c:pt idx="493">
                  <c:v>-78.239883964665367</c:v>
                </c:pt>
                <c:pt idx="494">
                  <c:v>-78.127726369582646</c:v>
                </c:pt>
                <c:pt idx="495">
                  <c:v>-78.016103069101518</c:v>
                </c:pt>
                <c:pt idx="496">
                  <c:v>-77.90665325112596</c:v>
                </c:pt>
                <c:pt idx="497">
                  <c:v>-77.800416506210993</c:v>
                </c:pt>
                <c:pt idx="498">
                  <c:v>-77.697511593404585</c:v>
                </c:pt>
                <c:pt idx="499">
                  <c:v>-77.596671884129179</c:v>
                </c:pt>
                <c:pt idx="500">
                  <c:v>-77.494536083793264</c:v>
                </c:pt>
                <c:pt idx="501">
                  <c:v>-77.384510165291033</c:v>
                </c:pt>
                <c:pt idx="502">
                  <c:v>-77.254872086350233</c:v>
                </c:pt>
                <c:pt idx="503">
                  <c:v>-77.085593285229265</c:v>
                </c:pt>
                <c:pt idx="504">
                  <c:v>-76.843436302763479</c:v>
                </c:pt>
                <c:pt idx="505">
                  <c:v>-76.477667588985639</c:v>
                </c:pt>
                <c:pt idx="506">
                  <c:v>-75.936622322863428</c:v>
                </c:pt>
                <c:pt idx="507">
                  <c:v>-75.284018347052069</c:v>
                </c:pt>
                <c:pt idx="508">
                  <c:v>-74.885563262533552</c:v>
                </c:pt>
                <c:pt idx="509">
                  <c:v>-74.97956538326892</c:v>
                </c:pt>
                <c:pt idx="510">
                  <c:v>-75.273044447169482</c:v>
                </c:pt>
                <c:pt idx="511">
                  <c:v>-75.531080712210922</c:v>
                </c:pt>
                <c:pt idx="512">
                  <c:v>-75.714818878940207</c:v>
                </c:pt>
                <c:pt idx="513">
                  <c:v>-75.843276048261956</c:v>
                </c:pt>
                <c:pt idx="514">
                  <c:v>-75.938162283046097</c:v>
                </c:pt>
                <c:pt idx="515">
                  <c:v>-76.014534639925699</c:v>
                </c:pt>
                <c:pt idx="516">
                  <c:v>-76.081506992612717</c:v>
                </c:pt>
                <c:pt idx="517">
                  <c:v>-76.144068811514416</c:v>
                </c:pt>
                <c:pt idx="518">
                  <c:v>-76.204498501978065</c:v>
                </c:pt>
                <c:pt idx="519">
                  <c:v>-76.263315071552924</c:v>
                </c:pt>
                <c:pt idx="520">
                  <c:v>-76.319908861841682</c:v>
                </c:pt>
                <c:pt idx="521">
                  <c:v>-76.372969168210489</c:v>
                </c:pt>
                <c:pt idx="522">
                  <c:v>-76.420784702205097</c:v>
                </c:pt>
                <c:pt idx="523">
                  <c:v>-76.461462740260046</c:v>
                </c:pt>
                <c:pt idx="524">
                  <c:v>-76.493094180151743</c:v>
                </c:pt>
                <c:pt idx="525">
                  <c:v>-76.513880665640258</c:v>
                </c:pt>
                <c:pt idx="526">
                  <c:v>-76.522233418382342</c:v>
                </c:pt>
                <c:pt idx="527">
                  <c:v>-76.516849559915755</c:v>
                </c:pt>
                <c:pt idx="528">
                  <c:v>-76.49676941759833</c:v>
                </c:pt>
                <c:pt idx="529">
                  <c:v>-76.46141695100556</c:v>
                </c:pt>
                <c:pt idx="530">
                  <c:v>-76.410624637746352</c:v>
                </c:pt>
                <c:pt idx="531">
                  <c:v>-76.344643697857336</c:v>
                </c:pt>
                <c:pt idx="532">
                  <c:v>-76.264140276440273</c:v>
                </c:pt>
                <c:pt idx="533">
                  <c:v>-76.170178054991155</c:v>
                </c:pt>
                <c:pt idx="534">
                  <c:v>-76.064187658169971</c:v>
                </c:pt>
                <c:pt idx="535">
                  <c:v>-75.947923110615037</c:v>
                </c:pt>
                <c:pt idx="536">
                  <c:v>-75.823405423317965</c:v>
                </c:pt>
                <c:pt idx="537">
                  <c:v>-75.692853084288785</c:v>
                </c:pt>
                <c:pt idx="538">
                  <c:v>-75.558598698926446</c:v>
                </c:pt>
                <c:pt idx="539">
                  <c:v>-75.422990123267553</c:v>
                </c:pt>
                <c:pt idx="540">
                  <c:v>-75.288272911297355</c:v>
                </c:pt>
                <c:pt idx="541">
                  <c:v>-75.156448327399033</c:v>
                </c:pt>
                <c:pt idx="542">
                  <c:v>-75.029096787760949</c:v>
                </c:pt>
                <c:pt idx="543">
                  <c:v>-74.907148967643536</c:v>
                </c:pt>
                <c:pt idx="544">
                  <c:v>-74.79057324106364</c:v>
                </c:pt>
                <c:pt idx="545">
                  <c:v>-74.677923347990131</c:v>
                </c:pt>
                <c:pt idx="546">
                  <c:v>-74.565643857907119</c:v>
                </c:pt>
                <c:pt idx="547">
                  <c:v>-74.446943016579112</c:v>
                </c:pt>
                <c:pt idx="548">
                  <c:v>-74.309877494987305</c:v>
                </c:pt>
                <c:pt idx="549">
                  <c:v>-74.134014429382589</c:v>
                </c:pt>
                <c:pt idx="550">
                  <c:v>-73.884787339200457</c:v>
                </c:pt>
                <c:pt idx="551">
                  <c:v>-73.506053003658693</c:v>
                </c:pt>
                <c:pt idx="552">
                  <c:v>-72.924414414060365</c:v>
                </c:pt>
                <c:pt idx="553">
                  <c:v>-72.137124628348886</c:v>
                </c:pt>
                <c:pt idx="554">
                  <c:v>-71.450755570752676</c:v>
                </c:pt>
                <c:pt idx="555">
                  <c:v>-71.255802329169299</c:v>
                </c:pt>
                <c:pt idx="556">
                  <c:v>-71.387777731461867</c:v>
                </c:pt>
                <c:pt idx="557">
                  <c:v>-71.567858500726061</c:v>
                </c:pt>
                <c:pt idx="558">
                  <c:v>-71.70952121093184</c:v>
                </c:pt>
                <c:pt idx="559">
                  <c:v>-71.810953183241494</c:v>
                </c:pt>
                <c:pt idx="560">
                  <c:v>-71.885324100169726</c:v>
                </c:pt>
                <c:pt idx="561">
                  <c:v>-71.943788405066385</c:v>
                </c:pt>
                <c:pt idx="562">
                  <c:v>-71.993431179076197</c:v>
                </c:pt>
                <c:pt idx="563">
                  <c:v>-72.038073046327597</c:v>
                </c:pt>
                <c:pt idx="564">
                  <c:v>-72.079276953567842</c:v>
                </c:pt>
                <c:pt idx="565">
                  <c:v>-72.117119899171342</c:v>
                </c:pt>
                <c:pt idx="566">
                  <c:v>-72.150735966047719</c:v>
                </c:pt>
                <c:pt idx="567">
                  <c:v>-72.178696787632603</c:v>
                </c:pt>
                <c:pt idx="568">
                  <c:v>-72.199283762517865</c:v>
                </c:pt>
                <c:pt idx="569">
                  <c:v>-72.210688107135539</c:v>
                </c:pt>
                <c:pt idx="570">
                  <c:v>-72.211161300766662</c:v>
                </c:pt>
                <c:pt idx="571">
                  <c:v>-72.199129755538948</c:v>
                </c:pt>
                <c:pt idx="572">
                  <c:v>-72.17328217050823</c:v>
                </c:pt>
                <c:pt idx="573">
                  <c:v>-72.132634769647936</c:v>
                </c:pt>
                <c:pt idx="574">
                  <c:v>-72.076577661853349</c:v>
                </c:pt>
                <c:pt idx="575">
                  <c:v>-72.004904391348987</c:v>
                </c:pt>
                <c:pt idx="576">
                  <c:v>-71.917826060988617</c:v>
                </c:pt>
                <c:pt idx="577">
                  <c:v>-71.815971019249432</c:v>
                </c:pt>
                <c:pt idx="578">
                  <c:v>-71.700370884210955</c:v>
                </c:pt>
                <c:pt idx="579">
                  <c:v>-71.57243355437538</c:v>
                </c:pt>
                <c:pt idx="580">
                  <c:v>-71.433903768207358</c:v>
                </c:pt>
                <c:pt idx="581">
                  <c:v>-71.28681167218096</c:v>
                </c:pt>
                <c:pt idx="582">
                  <c:v>-71.133409690242814</c:v>
                </c:pt>
                <c:pt idx="583">
                  <c:v>-70.976097693351775</c:v>
                </c:pt>
                <c:pt idx="584">
                  <c:v>-70.8173359567202</c:v>
                </c:pt>
                <c:pt idx="585">
                  <c:v>-70.659544524027538</c:v>
                </c:pt>
                <c:pt idx="586">
                  <c:v>-70.504986137480515</c:v>
                </c:pt>
                <c:pt idx="587">
                  <c:v>-70.355627430899091</c:v>
                </c:pt>
                <c:pt idx="588">
                  <c:v>-70.21296888112056</c:v>
                </c:pt>
                <c:pt idx="589">
                  <c:v>-70.077826693977286</c:v>
                </c:pt>
                <c:pt idx="590">
                  <c:v>-69.950036720277609</c:v>
                </c:pt>
                <c:pt idx="591">
                  <c:v>-69.828026430718921</c:v>
                </c:pt>
                <c:pt idx="592">
                  <c:v>-69.708155373710468</c:v>
                </c:pt>
                <c:pt idx="593">
                  <c:v>-69.583635927154802</c:v>
                </c:pt>
                <c:pt idx="594">
                  <c:v>-69.442672440199416</c:v>
                </c:pt>
                <c:pt idx="595">
                  <c:v>-69.265130433261518</c:v>
                </c:pt>
                <c:pt idx="596">
                  <c:v>-69.01657046936306</c:v>
                </c:pt>
                <c:pt idx="597">
                  <c:v>-68.638802817247736</c:v>
                </c:pt>
                <c:pt idx="598">
                  <c:v>-68.044736846229725</c:v>
                </c:pt>
                <c:pt idx="599">
                  <c:v>-67.176212506865582</c:v>
                </c:pt>
                <c:pt idx="600">
                  <c:v>-66.250943389505096</c:v>
                </c:pt>
                <c:pt idx="601">
                  <c:v>-65.753593340560911</c:v>
                </c:pt>
                <c:pt idx="602">
                  <c:v>-65.690693577337441</c:v>
                </c:pt>
                <c:pt idx="603">
                  <c:v>-65.771318426283983</c:v>
                </c:pt>
                <c:pt idx="604">
                  <c:v>-65.859215783679616</c:v>
                </c:pt>
                <c:pt idx="605">
                  <c:v>-65.927154827377379</c:v>
                </c:pt>
                <c:pt idx="606">
                  <c:v>-65.977264274274617</c:v>
                </c:pt>
                <c:pt idx="607">
                  <c:v>-66.015549561149072</c:v>
                </c:pt>
                <c:pt idx="608">
                  <c:v>-66.046426769977273</c:v>
                </c:pt>
                <c:pt idx="609">
                  <c:v>-66.072208191032175</c:v>
                </c:pt>
                <c:pt idx="610">
                  <c:v>-66.093560477203653</c:v>
                </c:pt>
                <c:pt idx="611">
                  <c:v>-66.110026343653956</c:v>
                </c:pt>
                <c:pt idx="612">
                  <c:v>-66.120442783247469</c:v>
                </c:pt>
                <c:pt idx="613">
                  <c:v>-66.123253319352855</c:v>
                </c:pt>
                <c:pt idx="614">
                  <c:v>-66.116739240059829</c:v>
                </c:pt>
                <c:pt idx="615">
                  <c:v>-66.099192407881588</c:v>
                </c:pt>
                <c:pt idx="616">
                  <c:v>-66.06904562519567</c:v>
                </c:pt>
                <c:pt idx="617">
                  <c:v>-66.024971043272686</c:v>
                </c:pt>
                <c:pt idx="618">
                  <c:v>-65.965953329979286</c:v>
                </c:pt>
                <c:pt idx="619">
                  <c:v>-65.891341889429029</c:v>
                </c:pt>
                <c:pt idx="620">
                  <c:v>-65.800884924437341</c:v>
                </c:pt>
                <c:pt idx="621">
                  <c:v>-65.694747225161876</c:v>
                </c:pt>
                <c:pt idx="622">
                  <c:v>-65.573513036019875</c:v>
                </c:pt>
                <c:pt idx="623">
                  <c:v>-65.438175054492547</c:v>
                </c:pt>
                <c:pt idx="624">
                  <c:v>-65.290110454780191</c:v>
                </c:pt>
                <c:pt idx="625">
                  <c:v>-65.131044740706386</c:v>
                </c:pt>
                <c:pt idx="626">
                  <c:v>-64.963004166091707</c:v>
                </c:pt>
                <c:pt idx="627">
                  <c:v>-64.788257373777697</c:v>
                </c:pt>
                <c:pt idx="628">
                  <c:v>-64.609246751330033</c:v>
                </c:pt>
                <c:pt idx="629">
                  <c:v>-64.428509725458213</c:v>
                </c:pt>
                <c:pt idx="630">
                  <c:v>-64.248589736548354</c:v>
                </c:pt>
                <c:pt idx="631">
                  <c:v>-64.071935820123187</c:v>
                </c:pt>
                <c:pt idx="632">
                  <c:v>-63.900788356614086</c:v>
                </c:pt>
                <c:pt idx="633">
                  <c:v>-63.737046254768131</c:v>
                </c:pt>
                <c:pt idx="634">
                  <c:v>-63.582106918418603</c:v>
                </c:pt>
                <c:pt idx="635">
                  <c:v>-63.436663519811688</c:v>
                </c:pt>
                <c:pt idx="636">
                  <c:v>-63.300431865134207</c:v>
                </c:pt>
                <c:pt idx="637">
                  <c:v>-63.171756493866717</c:v>
                </c:pt>
                <c:pt idx="638">
                  <c:v>-63.047002328909144</c:v>
                </c:pt>
                <c:pt idx="639">
                  <c:v>-62.919552629347116</c:v>
                </c:pt>
                <c:pt idx="640">
                  <c:v>-62.778061201380389</c:v>
                </c:pt>
                <c:pt idx="641">
                  <c:v>-62.603260832257639</c:v>
                </c:pt>
                <c:pt idx="642">
                  <c:v>-62.362013941370336</c:v>
                </c:pt>
                <c:pt idx="643">
                  <c:v>-61.996843815440684</c:v>
                </c:pt>
                <c:pt idx="644">
                  <c:v>-61.414075518901093</c:v>
                </c:pt>
                <c:pt idx="645">
                  <c:v>-60.51399193467428</c:v>
                </c:pt>
                <c:pt idx="646">
                  <c:v>-59.412766005243348</c:v>
                </c:pt>
                <c:pt idx="647">
                  <c:v>-58.620966603506936</c:v>
                </c:pt>
                <c:pt idx="648">
                  <c:v>-58.335603522397939</c:v>
                </c:pt>
                <c:pt idx="649">
                  <c:v>-58.295433897560855</c:v>
                </c:pt>
                <c:pt idx="650">
                  <c:v>-58.317612731000295</c:v>
                </c:pt>
                <c:pt idx="651">
                  <c:v>-58.345537281858661</c:v>
                </c:pt>
                <c:pt idx="652">
                  <c:v>-58.367759172254637</c:v>
                </c:pt>
                <c:pt idx="653">
                  <c:v>-58.383828892427296</c:v>
                </c:pt>
                <c:pt idx="654">
                  <c:v>-58.394820303243655</c:v>
                </c:pt>
                <c:pt idx="655">
                  <c:v>-58.401181882817866</c:v>
                </c:pt>
                <c:pt idx="656">
                  <c:v>-58.402495483473494</c:v>
                </c:pt>
                <c:pt idx="657">
                  <c:v>-58.397673190108783</c:v>
                </c:pt>
                <c:pt idx="658">
                  <c:v>-58.385211231760302</c:v>
                </c:pt>
                <c:pt idx="659">
                  <c:v>-58.363411795529053</c:v>
                </c:pt>
                <c:pt idx="660">
                  <c:v>-58.330559991740884</c:v>
                </c:pt>
                <c:pt idx="661">
                  <c:v>-58.285061037741784</c:v>
                </c:pt>
                <c:pt idx="662">
                  <c:v>-58.225545015397564</c:v>
                </c:pt>
                <c:pt idx="663">
                  <c:v>-58.15094525384454</c:v>
                </c:pt>
                <c:pt idx="664">
                  <c:v>-58.060554704116548</c:v>
                </c:pt>
                <c:pt idx="665">
                  <c:v>-57.954063345300824</c:v>
                </c:pt>
                <c:pt idx="666">
                  <c:v>-57.831578759495542</c:v>
                </c:pt>
                <c:pt idx="667">
                  <c:v>-57.693631446672882</c:v>
                </c:pt>
                <c:pt idx="668">
                  <c:v>-57.54116611919077</c:v>
                </c:pt>
                <c:pt idx="669">
                  <c:v>-57.375520036763291</c:v>
                </c:pt>
                <c:pt idx="670">
                  <c:v>-57.198389354407325</c:v>
                </c:pt>
                <c:pt idx="671">
                  <c:v>-57.011784411510511</c:v>
                </c:pt>
                <c:pt idx="672">
                  <c:v>-56.817974851805268</c:v>
                </c:pt>
                <c:pt idx="673">
                  <c:v>-56.619425396658777</c:v>
                </c:pt>
                <c:pt idx="674">
                  <c:v>-56.41872295937231</c:v>
                </c:pt>
                <c:pt idx="675">
                  <c:v>-56.218495536675952</c:v>
                </c:pt>
                <c:pt idx="676">
                  <c:v>-56.021322872868502</c:v>
                </c:pt>
                <c:pt idx="677">
                  <c:v>-55.82963814661008</c:v>
                </c:pt>
                <c:pt idx="678">
                  <c:v>-55.645618685421447</c:v>
                </c:pt>
                <c:pt idx="679">
                  <c:v>-55.471061625866767</c:v>
                </c:pt>
                <c:pt idx="680">
                  <c:v>-55.307236883904949</c:v>
                </c:pt>
                <c:pt idx="681">
                  <c:v>-55.154703603649367</c:v>
                </c:pt>
                <c:pt idx="682">
                  <c:v>-55.013065121326385</c:v>
                </c:pt>
                <c:pt idx="683">
                  <c:v>-54.880616791922364</c:v>
                </c:pt>
                <c:pt idx="684">
                  <c:v>-54.753801140857746</c:v>
                </c:pt>
                <c:pt idx="685">
                  <c:v>-54.626305041912474</c:v>
                </c:pt>
                <c:pt idx="686">
                  <c:v>-54.487469013036282</c:v>
                </c:pt>
                <c:pt idx="687">
                  <c:v>-54.319334726691856</c:v>
                </c:pt>
                <c:pt idx="688">
                  <c:v>-54.090974054756792</c:v>
                </c:pt>
                <c:pt idx="689">
                  <c:v>-53.747787556170813</c:v>
                </c:pt>
                <c:pt idx="690">
                  <c:v>-53.19544623981254</c:v>
                </c:pt>
                <c:pt idx="691">
                  <c:v>-52.307111907896342</c:v>
                </c:pt>
                <c:pt idx="692">
                  <c:v>-51.099934924045243</c:v>
                </c:pt>
                <c:pt idx="693">
                  <c:v>-50.044271945759739</c:v>
                </c:pt>
                <c:pt idx="694">
                  <c:v>-49.518303078930636</c:v>
                </c:pt>
                <c:pt idx="695">
                  <c:v>-49.337442873591073</c:v>
                </c:pt>
                <c:pt idx="696">
                  <c:v>-49.282113876791449</c:v>
                </c:pt>
                <c:pt idx="697">
                  <c:v>-49.263631289613286</c:v>
                </c:pt>
                <c:pt idx="698">
                  <c:v>-49.25454934252771</c:v>
                </c:pt>
                <c:pt idx="699">
                  <c:v>-49.246645437228096</c:v>
                </c:pt>
                <c:pt idx="700">
                  <c:v>-49.236964713872119</c:v>
                </c:pt>
                <c:pt idx="701">
                  <c:v>-49.223730231431318</c:v>
                </c:pt>
                <c:pt idx="702">
                  <c:v>-49.205248231863735</c:v>
                </c:pt>
                <c:pt idx="703">
                  <c:v>-49.179702745937469</c:v>
                </c:pt>
                <c:pt idx="704">
                  <c:v>-49.145204359921351</c:v>
                </c:pt>
                <c:pt idx="705">
                  <c:v>-49.099898748894375</c:v>
                </c:pt>
                <c:pt idx="706">
                  <c:v>-49.042075854170463</c:v>
                </c:pt>
                <c:pt idx="707">
                  <c:v>-48.970263027944327</c:v>
                </c:pt>
                <c:pt idx="708">
                  <c:v>-48.883298730108621</c:v>
                </c:pt>
                <c:pt idx="709">
                  <c:v>-48.780387253182042</c:v>
                </c:pt>
                <c:pt idx="710">
                  <c:v>-48.661135863478613</c:v>
                </c:pt>
                <c:pt idx="711">
                  <c:v>-48.525575782654556</c:v>
                </c:pt>
                <c:pt idx="712">
                  <c:v>-48.374168277374515</c:v>
                </c:pt>
                <c:pt idx="713">
                  <c:v>-48.207796981580579</c:v>
                </c:pt>
                <c:pt idx="714">
                  <c:v>-48.027747490956109</c:v>
                </c:pt>
                <c:pt idx="715">
                  <c:v>-47.835675236701555</c:v>
                </c:pt>
                <c:pt idx="716">
                  <c:v>-47.633562645513464</c:v>
                </c:pt>
                <c:pt idx="717">
                  <c:v>-47.423666601810119</c:v>
                </c:pt>
                <c:pt idx="718">
                  <c:v>-47.208457223531582</c:v>
                </c:pt>
                <c:pt idx="719">
                  <c:v>-46.990548919316304</c:v>
                </c:pt>
                <c:pt idx="720">
                  <c:v>-46.772624582470186</c:v>
                </c:pt>
                <c:pt idx="721">
                  <c:v>-46.557353554913632</c:v>
                </c:pt>
                <c:pt idx="722">
                  <c:v>-46.347303600484139</c:v>
                </c:pt>
                <c:pt idx="723">
                  <c:v>-46.144846461762768</c:v>
                </c:pt>
                <c:pt idx="724">
                  <c:v>-45.952055468239124</c:v>
                </c:pt>
                <c:pt idx="725">
                  <c:v>-45.770591815917015</c:v>
                </c:pt>
                <c:pt idx="726">
                  <c:v>-45.601572999647708</c:v>
                </c:pt>
                <c:pt idx="727">
                  <c:v>-45.445411408294284</c:v>
                </c:pt>
                <c:pt idx="728">
                  <c:v>-45.30160124755573</c:v>
                </c:pt>
                <c:pt idx="729">
                  <c:v>-45.168413585852576</c:v>
                </c:pt>
                <c:pt idx="730">
                  <c:v>-45.042423674552133</c:v>
                </c:pt>
                <c:pt idx="731">
                  <c:v>-44.917722671154841</c:v>
                </c:pt>
                <c:pt idx="732">
                  <c:v>-44.784514690307567</c:v>
                </c:pt>
                <c:pt idx="733">
                  <c:v>-44.626474073215391</c:v>
                </c:pt>
                <c:pt idx="734">
                  <c:v>-44.415543820654797</c:v>
                </c:pt>
                <c:pt idx="735">
                  <c:v>-44.101608137082692</c:v>
                </c:pt>
                <c:pt idx="736">
                  <c:v>-43.594354529012477</c:v>
                </c:pt>
                <c:pt idx="737">
                  <c:v>-42.753252158896593</c:v>
                </c:pt>
                <c:pt idx="738">
                  <c:v>-41.510333496403113</c:v>
                </c:pt>
                <c:pt idx="739">
                  <c:v>-40.242506187802434</c:v>
                </c:pt>
                <c:pt idx="740">
                  <c:v>-39.470920489208993</c:v>
                </c:pt>
                <c:pt idx="741">
                  <c:v>-39.132523656293934</c:v>
                </c:pt>
                <c:pt idx="742">
                  <c:v>-38.988608909569585</c:v>
                </c:pt>
                <c:pt idx="743">
                  <c:v>-38.917682030738284</c:v>
                </c:pt>
                <c:pt idx="744">
                  <c:v>-38.874196044334639</c:v>
                </c:pt>
                <c:pt idx="745">
                  <c:v>-38.840887621378329</c:v>
                </c:pt>
                <c:pt idx="746">
                  <c:v>-38.810098810263831</c:v>
                </c:pt>
                <c:pt idx="747">
                  <c:v>-38.777471841414055</c:v>
                </c:pt>
                <c:pt idx="748">
                  <c:v>-38.739850810780325</c:v>
                </c:pt>
                <c:pt idx="749">
                  <c:v>-38.694596844480515</c:v>
                </c:pt>
                <c:pt idx="750">
                  <c:v>-38.639390829058435</c:v>
                </c:pt>
                <c:pt idx="751">
                  <c:v>-38.572205890332633</c:v>
                </c:pt>
                <c:pt idx="752">
                  <c:v>-38.491335426237939</c:v>
                </c:pt>
                <c:pt idx="753">
                  <c:v>-38.395434008158233</c:v>
                </c:pt>
                <c:pt idx="754">
                  <c:v>-38.283554793251596</c:v>
                </c:pt>
                <c:pt idx="755">
                  <c:v>-38.155177195166722</c:v>
                </c:pt>
                <c:pt idx="756">
                  <c:v>-38.010222585881181</c:v>
                </c:pt>
                <c:pt idx="757">
                  <c:v>-37.849057471295211</c:v>
                </c:pt>
                <c:pt idx="758">
                  <c:v>-37.672484319668712</c:v>
                </c:pt>
                <c:pt idx="759">
                  <c:v>-37.481720583361998</c:v>
                </c:pt>
                <c:pt idx="760">
                  <c:v>-37.278366662295731</c:v>
                </c:pt>
                <c:pt idx="761">
                  <c:v>-37.064363698191549</c:v>
                </c:pt>
                <c:pt idx="762">
                  <c:v>-36.84194219195647</c:v>
                </c:pt>
                <c:pt idx="763">
                  <c:v>-36.613562508315255</c:v>
                </c:pt>
                <c:pt idx="764">
                  <c:v>-36.381848366217774</c:v>
                </c:pt>
                <c:pt idx="765">
                  <c:v>-36.149514397568318</c:v>
                </c:pt>
                <c:pt idx="766">
                  <c:v>-35.919288769855619</c:v>
                </c:pt>
                <c:pt idx="767">
                  <c:v>-35.693831678746768</c:v>
                </c:pt>
                <c:pt idx="768">
                  <c:v>-35.475650174539716</c:v>
                </c:pt>
                <c:pt idx="769">
                  <c:v>-35.267009208539179</c:v>
                </c:pt>
                <c:pt idx="770">
                  <c:v>-35.069837829008549</c:v>
                </c:pt>
                <c:pt idx="771">
                  <c:v>-34.885627866575142</c:v>
                </c:pt>
                <c:pt idx="772">
                  <c:v>-34.715319756377234</c:v>
                </c:pt>
                <c:pt idx="773">
                  <c:v>-34.559165454348175</c:v>
                </c:pt>
                <c:pt idx="774">
                  <c:v>-34.416549952526779</c:v>
                </c:pt>
                <c:pt idx="775">
                  <c:v>-34.285737066876912</c:v>
                </c:pt>
                <c:pt idx="776">
                  <c:v>-34.163474257415047</c:v>
                </c:pt>
                <c:pt idx="777">
                  <c:v>-34.044328178495981</c:v>
                </c:pt>
                <c:pt idx="778">
                  <c:v>-33.919488304907858</c:v>
                </c:pt>
                <c:pt idx="779">
                  <c:v>-33.774478987473728</c:v>
                </c:pt>
                <c:pt idx="780">
                  <c:v>-33.584555942030271</c:v>
                </c:pt>
                <c:pt idx="781">
                  <c:v>-33.30519085288114</c:v>
                </c:pt>
                <c:pt idx="782">
                  <c:v>-32.853534356201791</c:v>
                </c:pt>
                <c:pt idx="783">
                  <c:v>-32.086815210069012</c:v>
                </c:pt>
                <c:pt idx="784">
                  <c:v>-30.872671081525588</c:v>
                </c:pt>
                <c:pt idx="785">
                  <c:v>-29.461185670091876</c:v>
                </c:pt>
                <c:pt idx="786">
                  <c:v>-28.455266289466717</c:v>
                </c:pt>
                <c:pt idx="787">
                  <c:v>-27.947447897229292</c:v>
                </c:pt>
                <c:pt idx="788">
                  <c:v>-27.705259396032542</c:v>
                </c:pt>
                <c:pt idx="789">
                  <c:v>-27.576480724425775</c:v>
                </c:pt>
                <c:pt idx="790">
                  <c:v>-27.49593068483367</c:v>
                </c:pt>
                <c:pt idx="791">
                  <c:v>-27.436168046745816</c:v>
                </c:pt>
                <c:pt idx="792">
                  <c:v>-27.384201139848415</c:v>
                </c:pt>
                <c:pt idx="793">
                  <c:v>-27.332757081306468</c:v>
                </c:pt>
                <c:pt idx="794">
                  <c:v>-27.277043367665183</c:v>
                </c:pt>
                <c:pt idx="795">
                  <c:v>-27.213510239442343</c:v>
                </c:pt>
                <c:pt idx="796">
                  <c:v>-27.139368053067649</c:v>
                </c:pt>
                <c:pt idx="797">
                  <c:v>-27.052401824001553</c:v>
                </c:pt>
                <c:pt idx="798">
                  <c:v>-26.9509053788064</c:v>
                </c:pt>
                <c:pt idx="799">
                  <c:v>-26.83366229049863</c:v>
                </c:pt>
                <c:pt idx="800">
                  <c:v>-26.69994218107983</c:v>
                </c:pt>
                <c:pt idx="801">
                  <c:v>-26.549498285751994</c:v>
                </c:pt>
                <c:pt idx="802">
                  <c:v>-26.382559815062105</c:v>
                </c:pt>
                <c:pt idx="803">
                  <c:v>-26.199816218873188</c:v>
                </c:pt>
                <c:pt idx="804">
                  <c:v>-26.00239222789623</c:v>
                </c:pt>
                <c:pt idx="805">
                  <c:v>-25.79181349347153</c:v>
                </c:pt>
                <c:pt idx="806">
                  <c:v>-25.56996319164972</c:v>
                </c:pt>
                <c:pt idx="807">
                  <c:v>-25.339030296856553</c:v>
                </c:pt>
                <c:pt idx="808">
                  <c:v>-25.101450451907283</c:v>
                </c:pt>
                <c:pt idx="809">
                  <c:v>-24.859840503943801</c:v>
                </c:pt>
                <c:pt idx="810">
                  <c:v>-24.616927854426287</c:v>
                </c:pt>
                <c:pt idx="811">
                  <c:v>-24.375475786009165</c:v>
                </c:pt>
                <c:pt idx="812">
                  <c:v>-24.13820586988205</c:v>
                </c:pt>
                <c:pt idx="813">
                  <c:v>-23.907718402532318</c:v>
                </c:pt>
                <c:pt idx="814">
                  <c:v>-23.686411532963085</c:v>
                </c:pt>
                <c:pt idx="815">
                  <c:v>-23.476399254542869</c:v>
                </c:pt>
                <c:pt idx="816">
                  <c:v>-23.279427634459008</c:v>
                </c:pt>
                <c:pt idx="817">
                  <c:v>-23.096787329983805</c:v>
                </c:pt>
                <c:pt idx="818">
                  <c:v>-22.929218207407882</c:v>
                </c:pt>
                <c:pt idx="819">
                  <c:v>-22.776797993421514</c:v>
                </c:pt>
                <c:pt idx="820">
                  <c:v>-22.638799871947679</c:v>
                </c:pt>
                <c:pt idx="821">
                  <c:v>-22.513490738109947</c:v>
                </c:pt>
                <c:pt idx="822">
                  <c:v>-22.397815861938625</c:v>
                </c:pt>
                <c:pt idx="823">
                  <c:v>-22.286862234496319</c:v>
                </c:pt>
                <c:pt idx="824">
                  <c:v>-22.172877323043746</c:v>
                </c:pt>
                <c:pt idx="825">
                  <c:v>-22.043358968868215</c:v>
                </c:pt>
                <c:pt idx="826">
                  <c:v>-21.877125326766006</c:v>
                </c:pt>
                <c:pt idx="827">
                  <c:v>-21.635901778347201</c:v>
                </c:pt>
                <c:pt idx="828">
                  <c:v>-21.246633560653496</c:v>
                </c:pt>
                <c:pt idx="829">
                  <c:v>-20.57333217292706</c:v>
                </c:pt>
                <c:pt idx="830">
                  <c:v>-19.442466307997634</c:v>
                </c:pt>
                <c:pt idx="831">
                  <c:v>-17.966099806963346</c:v>
                </c:pt>
                <c:pt idx="832">
                  <c:v>-16.75540695506302</c:v>
                </c:pt>
                <c:pt idx="833">
                  <c:v>-16.073377846327823</c:v>
                </c:pt>
                <c:pt idx="834">
                  <c:v>-15.725431728784889</c:v>
                </c:pt>
                <c:pt idx="835">
                  <c:v>-15.534347726362723</c:v>
                </c:pt>
                <c:pt idx="836">
                  <c:v>-15.414656522424981</c:v>
                </c:pt>
                <c:pt idx="837">
                  <c:v>-15.327831041379557</c:v>
                </c:pt>
                <c:pt idx="838">
                  <c:v>-15.254997269265068</c:v>
                </c:pt>
                <c:pt idx="839">
                  <c:v>-15.185671658118236</c:v>
                </c:pt>
                <c:pt idx="840">
                  <c:v>-15.113271760751541</c:v>
                </c:pt>
                <c:pt idx="841">
                  <c:v>-15.033260733738674</c:v>
                </c:pt>
                <c:pt idx="842">
                  <c:v>-14.942343555265522</c:v>
                </c:pt>
                <c:pt idx="843">
                  <c:v>-14.838103613122719</c:v>
                </c:pt>
                <c:pt idx="844">
                  <c:v>-14.718831385551942</c:v>
                </c:pt>
                <c:pt idx="845">
                  <c:v>-14.583438473109066</c:v>
                </c:pt>
                <c:pt idx="846">
                  <c:v>-14.431408548701462</c:v>
                </c:pt>
                <c:pt idx="847">
                  <c:v>-14.262762222151819</c:v>
                </c:pt>
                <c:pt idx="848">
                  <c:v>-14.078024540499783</c:v>
                </c:pt>
                <c:pt idx="849">
                  <c:v>-13.87818955562437</c:v>
                </c:pt>
                <c:pt idx="850">
                  <c:v>-13.664679330019752</c:v>
                </c:pt>
                <c:pt idx="851">
                  <c:v>-13.439296352896509</c:v>
                </c:pt>
                <c:pt idx="852">
                  <c:v>-13.204169262403809</c:v>
                </c:pt>
                <c:pt idx="853">
                  <c:v>-12.961692330768825</c:v>
                </c:pt>
                <c:pt idx="854">
                  <c:v>-12.714459522025919</c:v>
                </c:pt>
                <c:pt idx="855">
                  <c:v>-12.465194153417148</c:v>
                </c:pt>
                <c:pt idx="856">
                  <c:v>-12.21667531854261</c:v>
                </c:pt>
                <c:pt idx="857">
                  <c:v>-11.971662278212044</c:v>
                </c:pt>
                <c:pt idx="858">
                  <c:v>-11.7328179949444</c:v>
                </c:pt>
                <c:pt idx="859">
                  <c:v>-11.502632868350515</c:v>
                </c:pt>
                <c:pt idx="860">
                  <c:v>-11.28334949569857</c:v>
                </c:pt>
                <c:pt idx="861">
                  <c:v>-11.076888886535516</c:v>
                </c:pt>
                <c:pt idx="862">
                  <c:v>-10.884777914219352</c:v>
                </c:pt>
                <c:pt idx="863">
                  <c:v>-10.708076728442247</c:v>
                </c:pt>
                <c:pt idx="864">
                  <c:v>-10.547303075790127</c:v>
                </c:pt>
                <c:pt idx="865">
                  <c:v>-10.402347386976775</c:v>
                </c:pt>
                <c:pt idx="866">
                  <c:v>-10.272366897683856</c:v>
                </c:pt>
                <c:pt idx="867">
                  <c:v>-10.15563648559916</c:v>
                </c:pt>
                <c:pt idx="868">
                  <c:v>-10.049312906810929</c:v>
                </c:pt>
                <c:pt idx="869">
                  <c:v>-9.9490253456276552</c:v>
                </c:pt>
                <c:pt idx="870">
                  <c:v>-9.8481091897595459</c:v>
                </c:pt>
                <c:pt idx="871">
                  <c:v>-9.7360785310062568</c:v>
                </c:pt>
                <c:pt idx="872">
                  <c:v>-9.5954008171951806</c:v>
                </c:pt>
                <c:pt idx="873">
                  <c:v>-9.3943521303264461</c:v>
                </c:pt>
                <c:pt idx="874">
                  <c:v>-9.0710371363758053</c:v>
                </c:pt>
                <c:pt idx="875">
                  <c:v>-8.5027726635452403</c:v>
                </c:pt>
                <c:pt idx="876">
                  <c:v>-7.4971605678021449</c:v>
                </c:pt>
                <c:pt idx="877">
                  <c:v>-6.0372058377713067</c:v>
                </c:pt>
                <c:pt idx="878">
                  <c:v>-4.6697339052398981</c:v>
                </c:pt>
                <c:pt idx="879">
                  <c:v>-3.8180019796668376</c:v>
                </c:pt>
                <c:pt idx="880">
                  <c:v>-3.3599630638931197</c:v>
                </c:pt>
                <c:pt idx="881">
                  <c:v>-3.1034492970878285</c:v>
                </c:pt>
                <c:pt idx="882">
                  <c:v>-2.943284085974768</c:v>
                </c:pt>
                <c:pt idx="883">
                  <c:v>-2.8292940750671547</c:v>
                </c:pt>
                <c:pt idx="884">
                  <c:v>-2.7363014385157833</c:v>
                </c:pt>
                <c:pt idx="885">
                  <c:v>-2.6503754369220047</c:v>
                </c:pt>
                <c:pt idx="886">
                  <c:v>-2.5630216362648288</c:v>
                </c:pt>
                <c:pt idx="887">
                  <c:v>-2.4686571697014204</c:v>
                </c:pt>
                <c:pt idx="888">
                  <c:v>-2.3634558365582001</c:v>
                </c:pt>
                <c:pt idx="889">
                  <c:v>-2.244789691463299</c:v>
                </c:pt>
                <c:pt idx="890">
                  <c:v>-2.1109423976558768</c:v>
                </c:pt>
                <c:pt idx="891">
                  <c:v>-1.9609505349209042</c:v>
                </c:pt>
                <c:pt idx="892">
                  <c:v>-1.7945057331986825</c:v>
                </c:pt>
                <c:pt idx="893">
                  <c:v>-1.6118848227809035</c:v>
                </c:pt>
                <c:pt idx="894">
                  <c:v>-1.4138914019096798</c:v>
                </c:pt>
                <c:pt idx="895">
                  <c:v>-1.2018002879907581</c:v>
                </c:pt>
                <c:pt idx="896">
                  <c:v>-0.97730053970593833</c:v>
                </c:pt>
                <c:pt idx="897">
                  <c:v>-0.74243505787037101</c:v>
                </c:pt>
                <c:pt idx="898">
                  <c:v>-0.49953610978390717</c:v>
                </c:pt>
                <c:pt idx="899">
                  <c:v>-0.25115692427696945</c:v>
                </c:pt>
                <c:pt idx="900">
                  <c:v>-2.1147844760094348E-12</c:v>
                </c:pt>
                <c:pt idx="901">
                  <c:v>0.25115692427276293</c:v>
                </c:pt>
                <c:pt idx="902">
                  <c:v>0.49953610977979213</c:v>
                </c:pt>
                <c:pt idx="903">
                  <c:v>0.74243505786634556</c:v>
                </c:pt>
                <c:pt idx="904">
                  <c:v>0.97730053970206832</c:v>
                </c:pt>
                <c:pt idx="905">
                  <c:v>1.2018002879870806</c:v>
                </c:pt>
                <c:pt idx="906">
                  <c:v>1.4138914019062512</c:v>
                </c:pt>
                <c:pt idx="907">
                  <c:v>1.6118848227777212</c:v>
                </c:pt>
                <c:pt idx="908">
                  <c:v>1.7945057331957639</c:v>
                </c:pt>
                <c:pt idx="909">
                  <c:v>1.9609505349182588</c:v>
                </c:pt>
                <c:pt idx="910">
                  <c:v>2.1109423976535027</c:v>
                </c:pt>
                <c:pt idx="911">
                  <c:v>2.2447896914611882</c:v>
                </c:pt>
                <c:pt idx="912">
                  <c:v>2.3634558365563292</c:v>
                </c:pt>
                <c:pt idx="913">
                  <c:v>2.4686571696997528</c:v>
                </c:pt>
                <c:pt idx="914">
                  <c:v>2.5630216362633123</c:v>
                </c:pt>
                <c:pt idx="915">
                  <c:v>2.6503754369205659</c:v>
                </c:pt>
                <c:pt idx="916">
                  <c:v>2.7363014385143041</c:v>
                </c:pt>
                <c:pt idx="917">
                  <c:v>2.8292940750654743</c:v>
                </c:pt>
                <c:pt idx="918">
                  <c:v>2.9432840859725697</c:v>
                </c:pt>
                <c:pt idx="919">
                  <c:v>3.1034492970845333</c:v>
                </c:pt>
                <c:pt idx="920">
                  <c:v>3.3599630638875349</c:v>
                </c:pt>
                <c:pt idx="921">
                  <c:v>3.8180019796564295</c:v>
                </c:pt>
                <c:pt idx="922">
                  <c:v>4.6697339052210758</c:v>
                </c:pt>
                <c:pt idx="923">
                  <c:v>6.0372058377454678</c:v>
                </c:pt>
                <c:pt idx="924">
                  <c:v>7.4971605677807327</c:v>
                </c:pt>
                <c:pt idx="925">
                  <c:v>8.5027726635325145</c:v>
                </c:pt>
                <c:pt idx="926">
                  <c:v>9.0710371363687834</c:v>
                </c:pt>
                <c:pt idx="927">
                  <c:v>9.3943521303222823</c:v>
                </c:pt>
                <c:pt idx="928">
                  <c:v>9.5954008171924325</c:v>
                </c:pt>
                <c:pt idx="929">
                  <c:v>9.7360785310042051</c:v>
                </c:pt>
                <c:pt idx="930">
                  <c:v>9.8481091897577997</c:v>
                </c:pt>
                <c:pt idx="931">
                  <c:v>9.9490253456259943</c:v>
                </c:pt>
                <c:pt idx="932">
                  <c:v>10.049312906809215</c:v>
                </c:pt>
                <c:pt idx="933">
                  <c:v>10.155636485597316</c:v>
                </c:pt>
                <c:pt idx="934">
                  <c:v>10.272366897681795</c:v>
                </c:pt>
                <c:pt idx="935">
                  <c:v>10.402347386974473</c:v>
                </c:pt>
                <c:pt idx="936">
                  <c:v>10.547303075787564</c:v>
                </c:pt>
                <c:pt idx="937">
                  <c:v>10.708076728439419</c:v>
                </c:pt>
                <c:pt idx="938">
                  <c:v>10.884777914216258</c:v>
                </c:pt>
                <c:pt idx="939">
                  <c:v>11.076888886532171</c:v>
                </c:pt>
                <c:pt idx="940">
                  <c:v>11.283349495694996</c:v>
                </c:pt>
                <c:pt idx="941">
                  <c:v>11.50263286834676</c:v>
                </c:pt>
                <c:pt idx="942">
                  <c:v>11.732817994940429</c:v>
                </c:pt>
                <c:pt idx="943">
                  <c:v>11.971662278207925</c:v>
                </c:pt>
                <c:pt idx="944">
                  <c:v>12.216675318538458</c:v>
                </c:pt>
                <c:pt idx="945">
                  <c:v>12.465194153412934</c:v>
                </c:pt>
                <c:pt idx="946">
                  <c:v>12.714459522021741</c:v>
                </c:pt>
                <c:pt idx="947">
                  <c:v>12.961692330764679</c:v>
                </c:pt>
                <c:pt idx="948">
                  <c:v>13.204169262399766</c:v>
                </c:pt>
                <c:pt idx="949">
                  <c:v>13.439296352892633</c:v>
                </c:pt>
                <c:pt idx="950">
                  <c:v>13.664679330016035</c:v>
                </c:pt>
                <c:pt idx="951">
                  <c:v>13.878189555620896</c:v>
                </c:pt>
                <c:pt idx="952">
                  <c:v>14.078024540496548</c:v>
                </c:pt>
                <c:pt idx="953">
                  <c:v>14.262762222148829</c:v>
                </c:pt>
                <c:pt idx="954">
                  <c:v>14.43140854869878</c:v>
                </c:pt>
                <c:pt idx="955">
                  <c:v>14.583438473106645</c:v>
                </c:pt>
                <c:pt idx="956">
                  <c:v>14.71883138554983</c:v>
                </c:pt>
                <c:pt idx="957">
                  <c:v>14.838103613120852</c:v>
                </c:pt>
                <c:pt idx="958">
                  <c:v>14.9423435552639</c:v>
                </c:pt>
                <c:pt idx="959">
                  <c:v>15.033260733737244</c:v>
                </c:pt>
                <c:pt idx="960">
                  <c:v>15.113271760750266</c:v>
                </c:pt>
                <c:pt idx="961">
                  <c:v>15.185671658117062</c:v>
                </c:pt>
                <c:pt idx="962">
                  <c:v>15.254997269263889</c:v>
                </c:pt>
                <c:pt idx="963">
                  <c:v>15.327831041378243</c:v>
                </c:pt>
                <c:pt idx="964">
                  <c:v>15.414656522423305</c:v>
                </c:pt>
                <c:pt idx="965">
                  <c:v>15.534347726360263</c:v>
                </c:pt>
                <c:pt idx="966">
                  <c:v>15.725431728780656</c:v>
                </c:pt>
                <c:pt idx="967">
                  <c:v>16.07337784631974</c:v>
                </c:pt>
                <c:pt idx="968">
                  <c:v>16.755406955047349</c:v>
                </c:pt>
                <c:pt idx="969">
                  <c:v>17.966099806938782</c:v>
                </c:pt>
                <c:pt idx="970">
                  <c:v>19.44246630797447</c:v>
                </c:pt>
                <c:pt idx="971">
                  <c:v>20.573332172912259</c:v>
                </c:pt>
                <c:pt idx="972">
                  <c:v>21.246633560644987</c:v>
                </c:pt>
                <c:pt idx="973">
                  <c:v>21.635901778342156</c:v>
                </c:pt>
                <c:pt idx="974">
                  <c:v>21.877125326762698</c:v>
                </c:pt>
                <c:pt idx="975">
                  <c:v>22.043358968865792</c:v>
                </c:pt>
                <c:pt idx="976">
                  <c:v>22.172877323041728</c:v>
                </c:pt>
                <c:pt idx="977">
                  <c:v>22.28686223449446</c:v>
                </c:pt>
                <c:pt idx="978">
                  <c:v>22.397815861936735</c:v>
                </c:pt>
                <c:pt idx="979">
                  <c:v>22.513490738107958</c:v>
                </c:pt>
                <c:pt idx="980">
                  <c:v>22.638799871945476</c:v>
                </c:pt>
                <c:pt idx="981">
                  <c:v>22.776797993419105</c:v>
                </c:pt>
                <c:pt idx="982">
                  <c:v>22.929218207405203</c:v>
                </c:pt>
                <c:pt idx="983">
                  <c:v>23.096787329980863</c:v>
                </c:pt>
                <c:pt idx="984">
                  <c:v>23.279427634455843</c:v>
                </c:pt>
                <c:pt idx="985">
                  <c:v>23.476399254539452</c:v>
                </c:pt>
                <c:pt idx="986">
                  <c:v>23.686411532959436</c:v>
                </c:pt>
                <c:pt idx="987">
                  <c:v>23.907718402528548</c:v>
                </c:pt>
                <c:pt idx="988">
                  <c:v>24.138205869878121</c:v>
                </c:pt>
                <c:pt idx="989">
                  <c:v>24.375475786005115</c:v>
                </c:pt>
                <c:pt idx="990">
                  <c:v>24.616927854422194</c:v>
                </c:pt>
                <c:pt idx="991">
                  <c:v>24.859840503939679</c:v>
                </c:pt>
                <c:pt idx="992">
                  <c:v>25.101450451903233</c:v>
                </c:pt>
                <c:pt idx="993">
                  <c:v>25.339030296852567</c:v>
                </c:pt>
                <c:pt idx="994">
                  <c:v>25.569963191645872</c:v>
                </c:pt>
                <c:pt idx="995">
                  <c:v>25.791813493467881</c:v>
                </c:pt>
                <c:pt idx="996">
                  <c:v>26.002392227892766</c:v>
                </c:pt>
                <c:pt idx="997">
                  <c:v>26.199816218869973</c:v>
                </c:pt>
                <c:pt idx="998">
                  <c:v>26.382559815059157</c:v>
                </c:pt>
                <c:pt idx="999">
                  <c:v>26.549498285749308</c:v>
                </c:pt>
                <c:pt idx="1000">
                  <c:v>26.699942181077439</c:v>
                </c:pt>
                <c:pt idx="1001">
                  <c:v>26.833662290496513</c:v>
                </c:pt>
                <c:pt idx="1002">
                  <c:v>26.950905378804585</c:v>
                </c:pt>
                <c:pt idx="1003">
                  <c:v>27.052401823999972</c:v>
                </c:pt>
                <c:pt idx="1004">
                  <c:v>27.13936805306632</c:v>
                </c:pt>
                <c:pt idx="1005">
                  <c:v>27.213510239441199</c:v>
                </c:pt>
                <c:pt idx="1006">
                  <c:v>27.277043367664191</c:v>
                </c:pt>
                <c:pt idx="1007">
                  <c:v>27.332757081305591</c:v>
                </c:pt>
                <c:pt idx="1008">
                  <c:v>27.384201139847576</c:v>
                </c:pt>
                <c:pt idx="1009">
                  <c:v>27.436168046744903</c:v>
                </c:pt>
                <c:pt idx="1010">
                  <c:v>27.495930684832551</c:v>
                </c:pt>
                <c:pt idx="1011">
                  <c:v>27.57648072442414</c:v>
                </c:pt>
                <c:pt idx="1012">
                  <c:v>27.7052593960297</c:v>
                </c:pt>
                <c:pt idx="1013">
                  <c:v>27.947447897223551</c:v>
                </c:pt>
                <c:pt idx="1014">
                  <c:v>28.45526628945457</c:v>
                </c:pt>
                <c:pt idx="1015">
                  <c:v>29.461185670070119</c:v>
                </c:pt>
                <c:pt idx="1016">
                  <c:v>30.872671081501867</c:v>
                </c:pt>
                <c:pt idx="1017">
                  <c:v>32.086815210052485</c:v>
                </c:pt>
                <c:pt idx="1018">
                  <c:v>32.853534356191972</c:v>
                </c:pt>
                <c:pt idx="1019">
                  <c:v>33.305190852875299</c:v>
                </c:pt>
                <c:pt idx="1020">
                  <c:v>33.584555942026476</c:v>
                </c:pt>
                <c:pt idx="1021">
                  <c:v>33.774478987470999</c:v>
                </c:pt>
                <c:pt idx="1022">
                  <c:v>33.919488304905634</c:v>
                </c:pt>
                <c:pt idx="1023">
                  <c:v>34.044328178493963</c:v>
                </c:pt>
                <c:pt idx="1024">
                  <c:v>34.163474257413021</c:v>
                </c:pt>
                <c:pt idx="1025">
                  <c:v>34.285737066874823</c:v>
                </c:pt>
                <c:pt idx="1026">
                  <c:v>34.416549952524505</c:v>
                </c:pt>
                <c:pt idx="1027">
                  <c:v>34.559165454345688</c:v>
                </c:pt>
                <c:pt idx="1028">
                  <c:v>34.715319756374505</c:v>
                </c:pt>
                <c:pt idx="1029">
                  <c:v>34.88562786657215</c:v>
                </c:pt>
                <c:pt idx="1030">
                  <c:v>35.069837829005394</c:v>
                </c:pt>
                <c:pt idx="1031">
                  <c:v>35.267009208535754</c:v>
                </c:pt>
                <c:pt idx="1032">
                  <c:v>35.475650174536135</c:v>
                </c:pt>
                <c:pt idx="1033">
                  <c:v>35.693831678743038</c:v>
                </c:pt>
                <c:pt idx="1034">
                  <c:v>35.919288769851811</c:v>
                </c:pt>
                <c:pt idx="1035">
                  <c:v>36.149514397564431</c:v>
                </c:pt>
                <c:pt idx="1036">
                  <c:v>36.381848366213895</c:v>
                </c:pt>
                <c:pt idx="1037">
                  <c:v>36.61356250831134</c:v>
                </c:pt>
                <c:pt idx="1038">
                  <c:v>36.84194219195269</c:v>
                </c:pt>
                <c:pt idx="1039">
                  <c:v>37.064363698187833</c:v>
                </c:pt>
                <c:pt idx="1040">
                  <c:v>37.278366662292221</c:v>
                </c:pt>
                <c:pt idx="1041">
                  <c:v>37.481720583358666</c:v>
                </c:pt>
                <c:pt idx="1042">
                  <c:v>37.672484319665614</c:v>
                </c:pt>
                <c:pt idx="1043">
                  <c:v>37.849057471292362</c:v>
                </c:pt>
                <c:pt idx="1044">
                  <c:v>38.010222585878594</c:v>
                </c:pt>
                <c:pt idx="1045">
                  <c:v>38.155177195164406</c:v>
                </c:pt>
                <c:pt idx="1046">
                  <c:v>38.283554793249579</c:v>
                </c:pt>
                <c:pt idx="1047">
                  <c:v>38.395434008156478</c:v>
                </c:pt>
                <c:pt idx="1048">
                  <c:v>38.491335426236475</c:v>
                </c:pt>
                <c:pt idx="1049">
                  <c:v>38.572205890331404</c:v>
                </c:pt>
                <c:pt idx="1050">
                  <c:v>38.639390829057426</c:v>
                </c:pt>
                <c:pt idx="1051">
                  <c:v>38.694596844479676</c:v>
                </c:pt>
                <c:pt idx="1052">
                  <c:v>38.739850810779636</c:v>
                </c:pt>
                <c:pt idx="1053">
                  <c:v>38.77747184141348</c:v>
                </c:pt>
                <c:pt idx="1054">
                  <c:v>38.810098810263312</c:v>
                </c:pt>
                <c:pt idx="1055">
                  <c:v>38.840887621377817</c:v>
                </c:pt>
                <c:pt idx="1056">
                  <c:v>38.874196044334042</c:v>
                </c:pt>
                <c:pt idx="1057">
                  <c:v>38.917682030737396</c:v>
                </c:pt>
                <c:pt idx="1058">
                  <c:v>38.988608909567986</c:v>
                </c:pt>
                <c:pt idx="1059">
                  <c:v>39.132523656290417</c:v>
                </c:pt>
                <c:pt idx="1060">
                  <c:v>39.470920489200438</c:v>
                </c:pt>
                <c:pt idx="1061">
                  <c:v>40.242506187784493</c:v>
                </c:pt>
                <c:pt idx="1062">
                  <c:v>41.51033349638012</c:v>
                </c:pt>
                <c:pt idx="1063">
                  <c:v>42.753252158878965</c:v>
                </c:pt>
                <c:pt idx="1064">
                  <c:v>43.594354529001507</c:v>
                </c:pt>
                <c:pt idx="1065">
                  <c:v>44.101608137076113</c:v>
                </c:pt>
                <c:pt idx="1066">
                  <c:v>44.415543820650562</c:v>
                </c:pt>
                <c:pt idx="1067">
                  <c:v>44.626474073212378</c:v>
                </c:pt>
                <c:pt idx="1068">
                  <c:v>44.784514690305159</c:v>
                </c:pt>
                <c:pt idx="1069">
                  <c:v>44.91772267115271</c:v>
                </c:pt>
                <c:pt idx="1070">
                  <c:v>45.042423674550037</c:v>
                </c:pt>
                <c:pt idx="1071">
                  <c:v>45.168413585850374</c:v>
                </c:pt>
                <c:pt idx="1072">
                  <c:v>45.301601247553414</c:v>
                </c:pt>
                <c:pt idx="1073">
                  <c:v>45.445411408291804</c:v>
                </c:pt>
                <c:pt idx="1074">
                  <c:v>45.601572999645008</c:v>
                </c:pt>
                <c:pt idx="1075">
                  <c:v>45.770591815914067</c:v>
                </c:pt>
                <c:pt idx="1076">
                  <c:v>45.952055468236018</c:v>
                </c:pt>
                <c:pt idx="1077">
                  <c:v>46.144846461759478</c:v>
                </c:pt>
                <c:pt idx="1078">
                  <c:v>46.347303600480664</c:v>
                </c:pt>
                <c:pt idx="1079">
                  <c:v>46.55735355491008</c:v>
                </c:pt>
                <c:pt idx="1080">
                  <c:v>46.772624582466563</c:v>
                </c:pt>
                <c:pt idx="1081">
                  <c:v>46.990548919312687</c:v>
                </c:pt>
                <c:pt idx="1082">
                  <c:v>47.208457223527958</c:v>
                </c:pt>
                <c:pt idx="1083">
                  <c:v>47.423666601806538</c:v>
                </c:pt>
                <c:pt idx="1084">
                  <c:v>47.633562645510004</c:v>
                </c:pt>
                <c:pt idx="1085">
                  <c:v>47.835675236698236</c:v>
                </c:pt>
                <c:pt idx="1086">
                  <c:v>48.027747490952954</c:v>
                </c:pt>
                <c:pt idx="1087">
                  <c:v>48.207796981577673</c:v>
                </c:pt>
                <c:pt idx="1088">
                  <c:v>48.374168277371837</c:v>
                </c:pt>
                <c:pt idx="1089">
                  <c:v>48.525575782652155</c:v>
                </c:pt>
                <c:pt idx="1090">
                  <c:v>48.661135863476467</c:v>
                </c:pt>
                <c:pt idx="1091">
                  <c:v>48.780387253180173</c:v>
                </c:pt>
                <c:pt idx="1092">
                  <c:v>48.883298730107029</c:v>
                </c:pt>
                <c:pt idx="1093">
                  <c:v>48.970263027942977</c:v>
                </c:pt>
                <c:pt idx="1094">
                  <c:v>49.042075854169362</c:v>
                </c:pt>
                <c:pt idx="1095">
                  <c:v>49.099898748893501</c:v>
                </c:pt>
                <c:pt idx="1096">
                  <c:v>49.14520435992069</c:v>
                </c:pt>
                <c:pt idx="1097">
                  <c:v>49.179702745936964</c:v>
                </c:pt>
                <c:pt idx="1098">
                  <c:v>49.205248231863379</c:v>
                </c:pt>
                <c:pt idx="1099">
                  <c:v>49.223730231431063</c:v>
                </c:pt>
                <c:pt idx="1100">
                  <c:v>49.236964713871934</c:v>
                </c:pt>
                <c:pt idx="1101">
                  <c:v>49.246645437227954</c:v>
                </c:pt>
                <c:pt idx="1102">
                  <c:v>49.254549342527589</c:v>
                </c:pt>
                <c:pt idx="1103">
                  <c:v>49.263631289613095</c:v>
                </c:pt>
                <c:pt idx="1104">
                  <c:v>49.282113876790959</c:v>
                </c:pt>
                <c:pt idx="1105">
                  <c:v>49.337442873589488</c:v>
                </c:pt>
                <c:pt idx="1106">
                  <c:v>49.518303078925584</c:v>
                </c:pt>
                <c:pt idx="1107">
                  <c:v>50.044271945746395</c:v>
                </c:pt>
                <c:pt idx="1108">
                  <c:v>51.099934924024353</c:v>
                </c:pt>
                <c:pt idx="1109">
                  <c:v>52.307111907878244</c:v>
                </c:pt>
                <c:pt idx="1110">
                  <c:v>53.19544623980071</c:v>
                </c:pt>
                <c:pt idx="1111">
                  <c:v>53.747787556163608</c:v>
                </c:pt>
                <c:pt idx="1112">
                  <c:v>54.090974054752166</c:v>
                </c:pt>
                <c:pt idx="1113">
                  <c:v>54.319334726688624</c:v>
                </c:pt>
                <c:pt idx="1114">
                  <c:v>54.487469013033753</c:v>
                </c:pt>
                <c:pt idx="1115">
                  <c:v>54.626305041910264</c:v>
                </c:pt>
                <c:pt idx="1116">
                  <c:v>54.7538011408556</c:v>
                </c:pt>
                <c:pt idx="1117">
                  <c:v>54.880616791920154</c:v>
                </c:pt>
                <c:pt idx="1118">
                  <c:v>55.013065121324075</c:v>
                </c:pt>
                <c:pt idx="1119">
                  <c:v>55.154703603646915</c:v>
                </c:pt>
                <c:pt idx="1120">
                  <c:v>55.307236883902306</c:v>
                </c:pt>
                <c:pt idx="1121">
                  <c:v>55.471061625863904</c:v>
                </c:pt>
                <c:pt idx="1122">
                  <c:v>55.645618685418455</c:v>
                </c:pt>
                <c:pt idx="1123">
                  <c:v>55.829638146606918</c:v>
                </c:pt>
                <c:pt idx="1124">
                  <c:v>56.021322872865262</c:v>
                </c:pt>
                <c:pt idx="1125">
                  <c:v>56.218495536672613</c:v>
                </c:pt>
                <c:pt idx="1126">
                  <c:v>56.418722959368942</c:v>
                </c:pt>
                <c:pt idx="1127">
                  <c:v>56.619425396655444</c:v>
                </c:pt>
                <c:pt idx="1128">
                  <c:v>56.817974851801971</c:v>
                </c:pt>
                <c:pt idx="1129">
                  <c:v>57.0117844115073</c:v>
                </c:pt>
                <c:pt idx="1130">
                  <c:v>57.198389354404299</c:v>
                </c:pt>
                <c:pt idx="1131">
                  <c:v>57.375520036760392</c:v>
                </c:pt>
                <c:pt idx="1132">
                  <c:v>57.541166119188055</c:v>
                </c:pt>
                <c:pt idx="1133">
                  <c:v>57.693631446670437</c:v>
                </c:pt>
                <c:pt idx="1134">
                  <c:v>57.83157875949334</c:v>
                </c:pt>
                <c:pt idx="1135">
                  <c:v>57.954063345298898</c:v>
                </c:pt>
                <c:pt idx="1136">
                  <c:v>58.060554704114878</c:v>
                </c:pt>
                <c:pt idx="1137">
                  <c:v>58.150945253843147</c:v>
                </c:pt>
                <c:pt idx="1138">
                  <c:v>58.225545015396442</c:v>
                </c:pt>
                <c:pt idx="1139">
                  <c:v>58.285061037740896</c:v>
                </c:pt>
                <c:pt idx="1140">
                  <c:v>58.33055999174023</c:v>
                </c:pt>
                <c:pt idx="1141">
                  <c:v>58.363411795528606</c:v>
                </c:pt>
                <c:pt idx="1142">
                  <c:v>58.385211231760017</c:v>
                </c:pt>
                <c:pt idx="1143">
                  <c:v>58.397673190108634</c:v>
                </c:pt>
                <c:pt idx="1144">
                  <c:v>58.402495483473452</c:v>
                </c:pt>
                <c:pt idx="1145">
                  <c:v>58.401181882817923</c:v>
                </c:pt>
                <c:pt idx="1146">
                  <c:v>58.394820303243804</c:v>
                </c:pt>
                <c:pt idx="1147">
                  <c:v>58.383828892427509</c:v>
                </c:pt>
                <c:pt idx="1148">
                  <c:v>58.367759172254949</c:v>
                </c:pt>
                <c:pt idx="1149">
                  <c:v>58.345537281859094</c:v>
                </c:pt>
                <c:pt idx="1150">
                  <c:v>58.317612731000779</c:v>
                </c:pt>
                <c:pt idx="1151">
                  <c:v>58.295433897560983</c:v>
                </c:pt>
                <c:pt idx="1152">
                  <c:v>58.335603522395978</c:v>
                </c:pt>
                <c:pt idx="1153">
                  <c:v>58.62096660349836</c:v>
                </c:pt>
                <c:pt idx="1154">
                  <c:v>59.412766005225748</c:v>
                </c:pt>
                <c:pt idx="1155">
                  <c:v>60.51399193465658</c:v>
                </c:pt>
                <c:pt idx="1156">
                  <c:v>61.414075518888879</c:v>
                </c:pt>
                <c:pt idx="1157">
                  <c:v>61.996843815433046</c:v>
                </c:pt>
                <c:pt idx="1158">
                  <c:v>62.362013941365454</c:v>
                </c:pt>
                <c:pt idx="1159">
                  <c:v>62.603260832254279</c:v>
                </c:pt>
                <c:pt idx="1160">
                  <c:v>62.778061201377803</c:v>
                </c:pt>
                <c:pt idx="1161">
                  <c:v>62.919552629344899</c:v>
                </c:pt>
                <c:pt idx="1162">
                  <c:v>63.047002328907034</c:v>
                </c:pt>
                <c:pt idx="1163">
                  <c:v>63.171756493864578</c:v>
                </c:pt>
                <c:pt idx="1164">
                  <c:v>63.300431865131941</c:v>
                </c:pt>
                <c:pt idx="1165">
                  <c:v>63.436663519809272</c:v>
                </c:pt>
                <c:pt idx="1166">
                  <c:v>63.582106918416024</c:v>
                </c:pt>
                <c:pt idx="1167">
                  <c:v>63.737046254765353</c:v>
                </c:pt>
                <c:pt idx="1168">
                  <c:v>63.900788356611187</c:v>
                </c:pt>
                <c:pt idx="1169">
                  <c:v>64.071935820120146</c:v>
                </c:pt>
                <c:pt idx="1170">
                  <c:v>64.248589736545213</c:v>
                </c:pt>
                <c:pt idx="1171">
                  <c:v>64.428509725455044</c:v>
                </c:pt>
                <c:pt idx="1172">
                  <c:v>64.60924675132685</c:v>
                </c:pt>
                <c:pt idx="1173">
                  <c:v>64.78825737377457</c:v>
                </c:pt>
                <c:pt idx="1174">
                  <c:v>64.963004166088638</c:v>
                </c:pt>
                <c:pt idx="1175">
                  <c:v>65.13104474070343</c:v>
                </c:pt>
                <c:pt idx="1176">
                  <c:v>65.29011045477742</c:v>
                </c:pt>
                <c:pt idx="1177">
                  <c:v>65.43817505448996</c:v>
                </c:pt>
                <c:pt idx="1178">
                  <c:v>65.573513036017573</c:v>
                </c:pt>
                <c:pt idx="1179">
                  <c:v>65.694747225159801</c:v>
                </c:pt>
                <c:pt idx="1180">
                  <c:v>65.800884924435536</c:v>
                </c:pt>
                <c:pt idx="1181">
                  <c:v>65.891341889427537</c:v>
                </c:pt>
                <c:pt idx="1182">
                  <c:v>65.965953329978063</c:v>
                </c:pt>
                <c:pt idx="1183">
                  <c:v>66.024971043271734</c:v>
                </c:pt>
                <c:pt idx="1184">
                  <c:v>66.069045625194988</c:v>
                </c:pt>
                <c:pt idx="1185">
                  <c:v>66.099192407881162</c:v>
                </c:pt>
                <c:pt idx="1186">
                  <c:v>66.116739240059616</c:v>
                </c:pt>
                <c:pt idx="1187">
                  <c:v>66.123253319352813</c:v>
                </c:pt>
                <c:pt idx="1188">
                  <c:v>66.120442783247626</c:v>
                </c:pt>
                <c:pt idx="1189">
                  <c:v>66.110026343654226</c:v>
                </c:pt>
                <c:pt idx="1190">
                  <c:v>66.093560477204022</c:v>
                </c:pt>
                <c:pt idx="1191">
                  <c:v>66.07220819103263</c:v>
                </c:pt>
                <c:pt idx="1192">
                  <c:v>66.046426769977813</c:v>
                </c:pt>
                <c:pt idx="1193">
                  <c:v>66.015549561149754</c:v>
                </c:pt>
                <c:pt idx="1194">
                  <c:v>65.977264274275456</c:v>
                </c:pt>
                <c:pt idx="1195">
                  <c:v>65.927154827378516</c:v>
                </c:pt>
                <c:pt idx="1196">
                  <c:v>65.859215783681151</c:v>
                </c:pt>
                <c:pt idx="1197">
                  <c:v>65.771318426285845</c:v>
                </c:pt>
                <c:pt idx="1198">
                  <c:v>65.690693577338351</c:v>
                </c:pt>
                <c:pt idx="1199">
                  <c:v>65.753593340556435</c:v>
                </c:pt>
                <c:pt idx="1200">
                  <c:v>66.250943389489734</c:v>
                </c:pt>
                <c:pt idx="1201">
                  <c:v>67.176212506846383</c:v>
                </c:pt>
                <c:pt idx="1202">
                  <c:v>68.044736846215343</c:v>
                </c:pt>
                <c:pt idx="1203">
                  <c:v>68.638802817238442</c:v>
                </c:pt>
                <c:pt idx="1204">
                  <c:v>69.01657046935712</c:v>
                </c:pt>
                <c:pt idx="1205">
                  <c:v>69.265130433257426</c:v>
                </c:pt>
                <c:pt idx="1206">
                  <c:v>69.442672440196333</c:v>
                </c:pt>
                <c:pt idx="1207">
                  <c:v>69.583635927152201</c:v>
                </c:pt>
                <c:pt idx="1208">
                  <c:v>69.708155373708024</c:v>
                </c:pt>
                <c:pt idx="1209">
                  <c:v>69.828026430716506</c:v>
                </c:pt>
                <c:pt idx="1210">
                  <c:v>69.950036720275065</c:v>
                </c:pt>
                <c:pt idx="1211">
                  <c:v>70.077826693974671</c:v>
                </c:pt>
                <c:pt idx="1212">
                  <c:v>70.212968881117675</c:v>
                </c:pt>
                <c:pt idx="1213">
                  <c:v>70.355627430896106</c:v>
                </c:pt>
                <c:pt idx="1214">
                  <c:v>70.504986137477374</c:v>
                </c:pt>
                <c:pt idx="1215">
                  <c:v>70.659544524024312</c:v>
                </c:pt>
                <c:pt idx="1216">
                  <c:v>70.817335956716903</c:v>
                </c:pt>
                <c:pt idx="1217">
                  <c:v>70.976097693348493</c:v>
                </c:pt>
                <c:pt idx="1218">
                  <c:v>71.133409690239517</c:v>
                </c:pt>
                <c:pt idx="1219">
                  <c:v>71.286811672177834</c:v>
                </c:pt>
                <c:pt idx="1220">
                  <c:v>71.433903768204303</c:v>
                </c:pt>
                <c:pt idx="1221">
                  <c:v>71.57243355437258</c:v>
                </c:pt>
                <c:pt idx="1222">
                  <c:v>71.700370884208368</c:v>
                </c:pt>
                <c:pt idx="1223">
                  <c:v>71.815971019247115</c:v>
                </c:pt>
                <c:pt idx="1224">
                  <c:v>71.917826060986599</c:v>
                </c:pt>
                <c:pt idx="1225">
                  <c:v>72.004904391347281</c:v>
                </c:pt>
                <c:pt idx="1226">
                  <c:v>72.076577661851985</c:v>
                </c:pt>
                <c:pt idx="1227">
                  <c:v>72.132634769646884</c:v>
                </c:pt>
                <c:pt idx="1228">
                  <c:v>72.17328217050752</c:v>
                </c:pt>
                <c:pt idx="1229">
                  <c:v>72.19912975553855</c:v>
                </c:pt>
                <c:pt idx="1230">
                  <c:v>72.211161300766562</c:v>
                </c:pt>
                <c:pt idx="1231">
                  <c:v>72.210688107135681</c:v>
                </c:pt>
                <c:pt idx="1232">
                  <c:v>72.199283762518235</c:v>
                </c:pt>
                <c:pt idx="1233">
                  <c:v>72.178696787633129</c:v>
                </c:pt>
                <c:pt idx="1234">
                  <c:v>72.15073596604843</c:v>
                </c:pt>
                <c:pt idx="1235">
                  <c:v>72.117119899172124</c:v>
                </c:pt>
                <c:pt idx="1236">
                  <c:v>72.079276953568751</c:v>
                </c:pt>
                <c:pt idx="1237">
                  <c:v>72.038073046328535</c:v>
                </c:pt>
                <c:pt idx="1238">
                  <c:v>71.993431179077234</c:v>
                </c:pt>
                <c:pt idx="1239">
                  <c:v>71.943788405067565</c:v>
                </c:pt>
                <c:pt idx="1240">
                  <c:v>71.885324100171204</c:v>
                </c:pt>
                <c:pt idx="1241">
                  <c:v>71.810953183243441</c:v>
                </c:pt>
                <c:pt idx="1242">
                  <c:v>71.709521210934568</c:v>
                </c:pt>
                <c:pt idx="1243">
                  <c:v>71.567858500729827</c:v>
                </c:pt>
                <c:pt idx="1244">
                  <c:v>71.387777731466073</c:v>
                </c:pt>
                <c:pt idx="1245">
                  <c:v>71.255802329169967</c:v>
                </c:pt>
                <c:pt idx="1246">
                  <c:v>71.450755570741975</c:v>
                </c:pt>
                <c:pt idx="1247">
                  <c:v>72.1371246283299</c:v>
                </c:pt>
                <c:pt idx="1248">
                  <c:v>72.924414414044037</c:v>
                </c:pt>
                <c:pt idx="1249">
                  <c:v>73.506053003647921</c:v>
                </c:pt>
                <c:pt idx="1250">
                  <c:v>73.884787339193466</c:v>
                </c:pt>
                <c:pt idx="1251">
                  <c:v>74.134014429377856</c:v>
                </c:pt>
                <c:pt idx="1252">
                  <c:v>74.309877494983766</c:v>
                </c:pt>
                <c:pt idx="1253">
                  <c:v>74.446943016576185</c:v>
                </c:pt>
                <c:pt idx="1254">
                  <c:v>74.56564385790449</c:v>
                </c:pt>
                <c:pt idx="1255">
                  <c:v>74.677923347987516</c:v>
                </c:pt>
                <c:pt idx="1256">
                  <c:v>74.79057324106094</c:v>
                </c:pt>
                <c:pt idx="1257">
                  <c:v>74.907148967640723</c:v>
                </c:pt>
                <c:pt idx="1258">
                  <c:v>75.029096787758021</c:v>
                </c:pt>
                <c:pt idx="1259">
                  <c:v>75.156448327395935</c:v>
                </c:pt>
                <c:pt idx="1260">
                  <c:v>75.2882729112942</c:v>
                </c:pt>
                <c:pt idx="1261">
                  <c:v>75.422990123264299</c:v>
                </c:pt>
                <c:pt idx="1262">
                  <c:v>75.55859869892322</c:v>
                </c:pt>
                <c:pt idx="1263">
                  <c:v>75.692853084285616</c:v>
                </c:pt>
                <c:pt idx="1264">
                  <c:v>75.823405423314867</c:v>
                </c:pt>
                <c:pt idx="1265">
                  <c:v>75.947923110612123</c:v>
                </c:pt>
                <c:pt idx="1266">
                  <c:v>76.064187658167256</c:v>
                </c:pt>
                <c:pt idx="1267">
                  <c:v>76.17017805498871</c:v>
                </c:pt>
                <c:pt idx="1268">
                  <c:v>76.264140276438127</c:v>
                </c:pt>
                <c:pt idx="1269">
                  <c:v>76.344643697855531</c:v>
                </c:pt>
                <c:pt idx="1270">
                  <c:v>76.410624637744931</c:v>
                </c:pt>
                <c:pt idx="1271">
                  <c:v>76.46141695100448</c:v>
                </c:pt>
                <c:pt idx="1272">
                  <c:v>76.496769417597648</c:v>
                </c:pt>
                <c:pt idx="1273">
                  <c:v>76.516849559915471</c:v>
                </c:pt>
                <c:pt idx="1274">
                  <c:v>76.522233418382385</c:v>
                </c:pt>
                <c:pt idx="1275">
                  <c:v>76.513880665640627</c:v>
                </c:pt>
                <c:pt idx="1276">
                  <c:v>76.493094180152411</c:v>
                </c:pt>
                <c:pt idx="1277">
                  <c:v>76.46146274026097</c:v>
                </c:pt>
                <c:pt idx="1278">
                  <c:v>76.420784702206191</c:v>
                </c:pt>
                <c:pt idx="1279">
                  <c:v>76.372969168211753</c:v>
                </c:pt>
                <c:pt idx="1280">
                  <c:v>76.319908861843061</c:v>
                </c:pt>
                <c:pt idx="1281">
                  <c:v>76.263315071554374</c:v>
                </c:pt>
                <c:pt idx="1282">
                  <c:v>76.204498501979572</c:v>
                </c:pt>
                <c:pt idx="1283">
                  <c:v>76.144068811515965</c:v>
                </c:pt>
                <c:pt idx="1284">
                  <c:v>76.081506992614337</c:v>
                </c:pt>
                <c:pt idx="1285">
                  <c:v>76.014534639927504</c:v>
                </c:pt>
                <c:pt idx="1286">
                  <c:v>75.938162283048257</c:v>
                </c:pt>
                <c:pt idx="1287">
                  <c:v>75.843276048264741</c:v>
                </c:pt>
                <c:pt idx="1288">
                  <c:v>75.714818878944101</c:v>
                </c:pt>
                <c:pt idx="1289">
                  <c:v>75.531080712216536</c:v>
                </c:pt>
                <c:pt idx="1290">
                  <c:v>75.273044447177085</c:v>
                </c:pt>
                <c:pt idx="1291">
                  <c:v>74.979565383275528</c:v>
                </c:pt>
                <c:pt idx="1292">
                  <c:v>74.885563262530027</c:v>
                </c:pt>
                <c:pt idx="1293">
                  <c:v>75.284018347036181</c:v>
                </c:pt>
                <c:pt idx="1294">
                  <c:v>75.936622322847015</c:v>
                </c:pt>
                <c:pt idx="1295">
                  <c:v>76.477667588973873</c:v>
                </c:pt>
                <c:pt idx="1296">
                  <c:v>76.843436302755748</c:v>
                </c:pt>
                <c:pt idx="1297">
                  <c:v>77.085593285223993</c:v>
                </c:pt>
                <c:pt idx="1298">
                  <c:v>77.254872086346381</c:v>
                </c:pt>
                <c:pt idx="1299">
                  <c:v>77.384510165287921</c:v>
                </c:pt>
                <c:pt idx="1300">
                  <c:v>77.494536083790493</c:v>
                </c:pt>
                <c:pt idx="1301">
                  <c:v>77.596671884126479</c:v>
                </c:pt>
                <c:pt idx="1302">
                  <c:v>77.69751159340187</c:v>
                </c:pt>
                <c:pt idx="1303">
                  <c:v>77.80041650620818</c:v>
                </c:pt>
                <c:pt idx="1304">
                  <c:v>77.906653251123046</c:v>
                </c:pt>
                <c:pt idx="1305">
                  <c:v>78.016103069098506</c:v>
                </c:pt>
                <c:pt idx="1306">
                  <c:v>78.127726369579591</c:v>
                </c:pt>
                <c:pt idx="1307">
                  <c:v>78.239883964662326</c:v>
                </c:pt>
                <c:pt idx="1308">
                  <c:v>78.350571328107804</c:v>
                </c:pt>
                <c:pt idx="1309">
                  <c:v>78.457597667371488</c:v>
                </c:pt>
                <c:pt idx="1310">
                  <c:v>78.558727988186206</c:v>
                </c:pt>
                <c:pt idx="1311">
                  <c:v>78.651798630814568</c:v>
                </c:pt>
                <c:pt idx="1312">
                  <c:v>78.734812311805712</c:v>
                </c:pt>
                <c:pt idx="1313">
                  <c:v>78.806016098291124</c:v>
                </c:pt>
                <c:pt idx="1314">
                  <c:v>78.863964199786906</c:v>
                </c:pt>
                <c:pt idx="1315">
                  <c:v>78.907566550878784</c:v>
                </c:pt>
                <c:pt idx="1316">
                  <c:v>78.936123625351627</c:v>
                </c:pt>
                <c:pt idx="1317">
                  <c:v>78.949347616230554</c:v>
                </c:pt>
                <c:pt idx="1318">
                  <c:v>78.947369939216202</c:v>
                </c:pt>
                <c:pt idx="1319">
                  <c:v>78.930734900124676</c:v>
                </c:pt>
                <c:pt idx="1320">
                  <c:v>78.900379253560885</c:v>
                </c:pt>
                <c:pt idx="1321">
                  <c:v>78.857597213728965</c:v>
                </c:pt>
                <c:pt idx="1322">
                  <c:v>78.803990190739697</c:v>
                </c:pt>
                <c:pt idx="1323">
                  <c:v>78.741400021199937</c:v>
                </c:pt>
                <c:pt idx="1324">
                  <c:v>78.671823592388307</c:v>
                </c:pt>
                <c:pt idx="1325">
                  <c:v>78.597305282881138</c:v>
                </c:pt>
                <c:pt idx="1326">
                  <c:v>78.519801147271934</c:v>
                </c:pt>
                <c:pt idx="1327">
                  <c:v>78.441004538273745</c:v>
                </c:pt>
                <c:pt idx="1328">
                  <c:v>78.362115600895379</c:v>
                </c:pt>
                <c:pt idx="1329">
                  <c:v>78.283524476257313</c:v>
                </c:pt>
                <c:pt idx="1330">
                  <c:v>78.204355995876924</c:v>
                </c:pt>
                <c:pt idx="1331">
                  <c:v>78.121785250656288</c:v>
                </c:pt>
                <c:pt idx="1332">
                  <c:v>78.029969846041226</c:v>
                </c:pt>
                <c:pt idx="1333">
                  <c:v>77.918359640305113</c:v>
                </c:pt>
                <c:pt idx="1334">
                  <c:v>77.769147765140531</c:v>
                </c:pt>
                <c:pt idx="1335">
                  <c:v>77.554440342772324</c:v>
                </c:pt>
                <c:pt idx="1336">
                  <c:v>77.239144448665201</c:v>
                </c:pt>
                <c:pt idx="1337">
                  <c:v>76.820055766850473</c:v>
                </c:pt>
                <c:pt idx="1338">
                  <c:v>76.468414367808847</c:v>
                </c:pt>
                <c:pt idx="1339">
                  <c:v>76.549621885893515</c:v>
                </c:pt>
                <c:pt idx="1340">
                  <c:v>77.014086611127922</c:v>
                </c:pt>
                <c:pt idx="1341">
                  <c:v>77.482475324405584</c:v>
                </c:pt>
                <c:pt idx="1342">
                  <c:v>77.819085836774448</c:v>
                </c:pt>
                <c:pt idx="1343">
                  <c:v>78.045360151289216</c:v>
                </c:pt>
                <c:pt idx="1344">
                  <c:v>78.202690199611425</c:v>
                </c:pt>
                <c:pt idx="1345">
                  <c:v>78.321243749341562</c:v>
                </c:pt>
                <c:pt idx="1346">
                  <c:v>78.419806020011265</c:v>
                </c:pt>
                <c:pt idx="1347">
                  <c:v>78.509440893180042</c:v>
                </c:pt>
                <c:pt idx="1348">
                  <c:v>78.596307672921057</c:v>
                </c:pt>
                <c:pt idx="1349">
                  <c:v>78.683445756114921</c:v>
                </c:pt>
                <c:pt idx="1350">
                  <c:v>78.771878697363249</c:v>
                </c:pt>
                <c:pt idx="1351">
                  <c:v>78.861313861806863</c:v>
                </c:pt>
                <c:pt idx="1352">
                  <c:v>78.950604858956297</c:v>
                </c:pt>
                <c:pt idx="1353">
                  <c:v>79.038072350822091</c:v>
                </c:pt>
                <c:pt idx="1354">
                  <c:v>79.121737500703773</c:v>
                </c:pt>
                <c:pt idx="1355">
                  <c:v>79.199499111489359</c:v>
                </c:pt>
                <c:pt idx="1356">
                  <c:v>79.269272408338708</c:v>
                </c:pt>
                <c:pt idx="1357">
                  <c:v>79.329099932522794</c:v>
                </c:pt>
                <c:pt idx="1358">
                  <c:v>79.377240664301993</c:v>
                </c:pt>
                <c:pt idx="1359">
                  <c:v>79.4122409356725</c:v>
                </c:pt>
                <c:pt idx="1360">
                  <c:v>79.432989181386759</c:v>
                </c:pt>
                <c:pt idx="1361">
                  <c:v>79.438755684897984</c:v>
                </c:pt>
                <c:pt idx="1362">
                  <c:v>79.429217956997931</c:v>
                </c:pt>
                <c:pt idx="1363">
                  <c:v>79.404472088218299</c:v>
                </c:pt>
                <c:pt idx="1364">
                  <c:v>79.365030244268752</c:v>
                </c:pt>
                <c:pt idx="1365">
                  <c:v>79.311804357788347</c:v>
                </c:pt>
                <c:pt idx="1366">
                  <c:v>79.246075952540025</c:v>
                </c:pt>
                <c:pt idx="1367">
                  <c:v>79.169451860854437</c:v>
                </c:pt>
                <c:pt idx="1368">
                  <c:v>79.083805292303367</c:v>
                </c:pt>
                <c:pt idx="1369">
                  <c:v>78.991201183396285</c:v>
                </c:pt>
                <c:pt idx="1370">
                  <c:v>78.89380385248235</c:v>
                </c:pt>
                <c:pt idx="1371">
                  <c:v>78.793763450074849</c:v>
                </c:pt>
                <c:pt idx="1372">
                  <c:v>78.693075101164212</c:v>
                </c:pt>
                <c:pt idx="1373">
                  <c:v>78.593400218005115</c:v>
                </c:pt>
                <c:pt idx="1374">
                  <c:v>78.495831828631026</c:v>
                </c:pt>
                <c:pt idx="1375">
                  <c:v>78.400572339495511</c:v>
                </c:pt>
                <c:pt idx="1376">
                  <c:v>78.306468108113066</c:v>
                </c:pt>
                <c:pt idx="1377">
                  <c:v>78.210301675308855</c:v>
                </c:pt>
                <c:pt idx="1378">
                  <c:v>78.105664587665416</c:v>
                </c:pt>
                <c:pt idx="1379">
                  <c:v>77.981105064382319</c:v>
                </c:pt>
                <c:pt idx="1380">
                  <c:v>77.817102847581637</c:v>
                </c:pt>
                <c:pt idx="1381">
                  <c:v>77.581720195927176</c:v>
                </c:pt>
                <c:pt idx="1382">
                  <c:v>77.228370210995209</c:v>
                </c:pt>
                <c:pt idx="1383">
                  <c:v>76.71943593055309</c:v>
                </c:pt>
                <c:pt idx="1384">
                  <c:v>76.154397446642889</c:v>
                </c:pt>
                <c:pt idx="1385">
                  <c:v>75.912301090525204</c:v>
                </c:pt>
                <c:pt idx="1386">
                  <c:v>76.139971646137894</c:v>
                </c:pt>
                <c:pt idx="1387">
                  <c:v>76.500788453275717</c:v>
                </c:pt>
                <c:pt idx="1388">
                  <c:v>76.78996143585357</c:v>
                </c:pt>
                <c:pt idx="1389">
                  <c:v>76.99052612393119</c:v>
                </c:pt>
                <c:pt idx="1390">
                  <c:v>77.130127505734421</c:v>
                </c:pt>
                <c:pt idx="1391">
                  <c:v>77.233849912858531</c:v>
                </c:pt>
                <c:pt idx="1392">
                  <c:v>77.318262549987224</c:v>
                </c:pt>
                <c:pt idx="1393">
                  <c:v>77.39326806335653</c:v>
                </c:pt>
                <c:pt idx="1394">
                  <c:v>77.464320165431928</c:v>
                </c:pt>
                <c:pt idx="1395">
                  <c:v>77.533990756175854</c:v>
                </c:pt>
                <c:pt idx="1396">
                  <c:v>77.602987178234144</c:v>
                </c:pt>
                <c:pt idx="1397">
                  <c:v>77.67081383064648</c:v>
                </c:pt>
                <c:pt idx="1398">
                  <c:v>77.736215952109674</c:v>
                </c:pt>
                <c:pt idx="1399">
                  <c:v>77.7974896797719</c:v>
                </c:pt>
                <c:pt idx="1400">
                  <c:v>77.852707812541453</c:v>
                </c:pt>
                <c:pt idx="1401">
                  <c:v>77.899890174270737</c:v>
                </c:pt>
                <c:pt idx="1402">
                  <c:v>77.937135548586824</c:v>
                </c:pt>
                <c:pt idx="1403">
                  <c:v>77.962725218733326</c:v>
                </c:pt>
                <c:pt idx="1404">
                  <c:v>77.975204074589485</c:v>
                </c:pt>
                <c:pt idx="1405">
                  <c:v>77.97344284262617</c:v>
                </c:pt>
                <c:pt idx="1406">
                  <c:v>77.956683569499319</c:v>
                </c:pt>
                <c:pt idx="1407">
                  <c:v>77.924569651731758</c:v>
                </c:pt>
                <c:pt idx="1408">
                  <c:v>77.877161218962058</c:v>
                </c:pt>
                <c:pt idx="1409">
                  <c:v>77.814936403043333</c:v>
                </c:pt>
                <c:pt idx="1410">
                  <c:v>77.738778866453103</c:v>
                </c:pt>
                <c:pt idx="1411">
                  <c:v>77.649951854186071</c:v>
                </c:pt>
                <c:pt idx="1412">
                  <c:v>77.550058918107752</c:v>
                </c:pt>
                <c:pt idx="1413">
                  <c:v>77.440991285873949</c:v>
                </c:pt>
                <c:pt idx="1414">
                  <c:v>77.32486153983109</c:v>
                </c:pt>
                <c:pt idx="1415">
                  <c:v>77.203922738236272</c:v>
                </c:pt>
                <c:pt idx="1416">
                  <c:v>77.08047120085665</c:v>
                </c:pt>
                <c:pt idx="1417">
                  <c:v>76.956729643278351</c:v>
                </c:pt>
                <c:pt idx="1418">
                  <c:v>76.834704745914493</c:v>
                </c:pt>
                <c:pt idx="1419">
                  <c:v>76.7160088098302</c:v>
                </c:pt>
                <c:pt idx="1420">
                  <c:v>76.60162745534231</c:v>
                </c:pt>
                <c:pt idx="1421">
                  <c:v>76.491601667174791</c:v>
                </c:pt>
                <c:pt idx="1422">
                  <c:v>76.38456769718421</c:v>
                </c:pt>
                <c:pt idx="1423">
                  <c:v>76.277052368241797</c:v>
                </c:pt>
                <c:pt idx="1424">
                  <c:v>76.162335347830876</c:v>
                </c:pt>
                <c:pt idx="1425">
                  <c:v>76.028533576344742</c:v>
                </c:pt>
                <c:pt idx="1426">
                  <c:v>75.855319987869322</c:v>
                </c:pt>
                <c:pt idx="1427">
                  <c:v>75.608592743281804</c:v>
                </c:pt>
                <c:pt idx="1428">
                  <c:v>75.234456078963262</c:v>
                </c:pt>
                <c:pt idx="1429">
                  <c:v>74.66933175749962</c:v>
                </c:pt>
                <c:pt idx="1430">
                  <c:v>73.942601482385427</c:v>
                </c:pt>
                <c:pt idx="1431">
                  <c:v>73.395178672197986</c:v>
                </c:pt>
                <c:pt idx="1432">
                  <c:v>73.347604154288632</c:v>
                </c:pt>
                <c:pt idx="1433">
                  <c:v>73.564730403082095</c:v>
                </c:pt>
                <c:pt idx="1434">
                  <c:v>73.786445354331207</c:v>
                </c:pt>
                <c:pt idx="1435">
                  <c:v>73.950576908390133</c:v>
                </c:pt>
                <c:pt idx="1436">
                  <c:v>74.066320550722565</c:v>
                </c:pt>
                <c:pt idx="1437">
                  <c:v>74.151421813348065</c:v>
                </c:pt>
                <c:pt idx="1438">
                  <c:v>74.219137052173679</c:v>
                </c:pt>
                <c:pt idx="1439">
                  <c:v>74.277643078864315</c:v>
                </c:pt>
                <c:pt idx="1440">
                  <c:v>74.331386055866702</c:v>
                </c:pt>
                <c:pt idx="1441">
                  <c:v>74.382308606611645</c:v>
                </c:pt>
                <c:pt idx="1442">
                  <c:v>74.43071991445116</c:v>
                </c:pt>
                <c:pt idx="1443">
                  <c:v>74.475887064661563</c:v>
                </c:pt>
                <c:pt idx="1444">
                  <c:v>74.516441628826101</c:v>
                </c:pt>
                <c:pt idx="1445">
                  <c:v>74.550667549207461</c:v>
                </c:pt>
                <c:pt idx="1446">
                  <c:v>74.576711735955485</c:v>
                </c:pt>
                <c:pt idx="1447">
                  <c:v>74.592742492770341</c:v>
                </c:pt>
                <c:pt idx="1448">
                  <c:v>74.597070889207103</c:v>
                </c:pt>
                <c:pt idx="1449">
                  <c:v>74.588244196205736</c:v>
                </c:pt>
                <c:pt idx="1450">
                  <c:v>74.565116914855167</c:v>
                </c:pt>
                <c:pt idx="1451">
                  <c:v>74.526902787217622</c:v>
                </c:pt>
                <c:pt idx="1452">
                  <c:v>74.473209905513968</c:v>
                </c:pt>
                <c:pt idx="1453">
                  <c:v>74.404060289061817</c:v>
                </c:pt>
                <c:pt idx="1454">
                  <c:v>74.319894869577837</c:v>
                </c:pt>
                <c:pt idx="1455">
                  <c:v>74.221564585145529</c:v>
                </c:pt>
                <c:pt idx="1456">
                  <c:v>74.11030814570924</c:v>
                </c:pt>
                <c:pt idx="1457">
                  <c:v>73.987716936357842</c:v>
                </c:pt>
                <c:pt idx="1458">
                  <c:v>73.855687416897538</c:v>
                </c:pt>
                <c:pt idx="1459">
                  <c:v>73.716361204488024</c:v>
                </c:pt>
                <c:pt idx="1460">
                  <c:v>73.572052725543102</c:v>
                </c:pt>
                <c:pt idx="1461">
                  <c:v>73.425163801237048</c:v>
                </c:pt>
                <c:pt idx="1462">
                  <c:v>73.278083642888888</c:v>
                </c:pt>
                <c:pt idx="1463">
                  <c:v>73.133071237625657</c:v>
                </c:pt>
                <c:pt idx="1464">
                  <c:v>72.992114580776146</c:v>
                </c:pt>
                <c:pt idx="1465">
                  <c:v>72.856756902632085</c:v>
                </c:pt>
                <c:pt idx="1466">
                  <c:v>72.727872538105416</c:v>
                </c:pt>
                <c:pt idx="1467">
                  <c:v>72.605361712040533</c:v>
                </c:pt>
                <c:pt idx="1468">
                  <c:v>72.487708992059183</c:v>
                </c:pt>
                <c:pt idx="1469">
                  <c:v>72.371303973879876</c:v>
                </c:pt>
                <c:pt idx="1470">
                  <c:v>72.249333945517776</c:v>
                </c:pt>
                <c:pt idx="1471">
                  <c:v>72.109887537510573</c:v>
                </c:pt>
                <c:pt idx="1472">
                  <c:v>71.932601717463029</c:v>
                </c:pt>
                <c:pt idx="1473">
                  <c:v>71.682809319040757</c:v>
                </c:pt>
                <c:pt idx="1474">
                  <c:v>71.302960964825871</c:v>
                </c:pt>
                <c:pt idx="1475">
                  <c:v>70.711857860972003</c:v>
                </c:pt>
                <c:pt idx="1476">
                  <c:v>69.877430628315352</c:v>
                </c:pt>
                <c:pt idx="1477">
                  <c:v>69.064460774873069</c:v>
                </c:pt>
                <c:pt idx="1478">
                  <c:v>68.718711840507737</c:v>
                </c:pt>
                <c:pt idx="1479">
                  <c:v>68.75714217685308</c:v>
                </c:pt>
                <c:pt idx="1480">
                  <c:v>68.890198626399837</c:v>
                </c:pt>
                <c:pt idx="1481">
                  <c:v>69.006465041335716</c:v>
                </c:pt>
                <c:pt idx="1482">
                  <c:v>69.091966179477637</c:v>
                </c:pt>
                <c:pt idx="1483">
                  <c:v>69.154669046528454</c:v>
                </c:pt>
                <c:pt idx="1484">
                  <c:v>69.203314047023468</c:v>
                </c:pt>
                <c:pt idx="1485">
                  <c:v>69.243734251984293</c:v>
                </c:pt>
                <c:pt idx="1486">
                  <c:v>69.279039757373894</c:v>
                </c:pt>
                <c:pt idx="1487">
                  <c:v>69.310368558817444</c:v>
                </c:pt>
                <c:pt idx="1488">
                  <c:v>69.337542364492251</c:v>
                </c:pt>
                <c:pt idx="1489">
                  <c:v>69.359552027633214</c:v>
                </c:pt>
                <c:pt idx="1490">
                  <c:v>69.374906622636516</c:v>
                </c:pt>
                <c:pt idx="1491">
                  <c:v>69.381886802694694</c:v>
                </c:pt>
                <c:pt idx="1492">
                  <c:v>69.378732268531039</c:v>
                </c:pt>
                <c:pt idx="1493">
                  <c:v>69.363782863880942</c:v>
                </c:pt>
                <c:pt idx="1494">
                  <c:v>69.335585590298649</c:v>
                </c:pt>
                <c:pt idx="1495">
                  <c:v>69.292975201714299</c:v>
                </c:pt>
                <c:pt idx="1496">
                  <c:v>69.235133167384362</c:v>
                </c:pt>
                <c:pt idx="1497">
                  <c:v>69.161628042689586</c:v>
                </c:pt>
                <c:pt idx="1498">
                  <c:v>69.072439238993965</c:v>
                </c:pt>
                <c:pt idx="1499">
                  <c:v>68.967965569643425</c:v>
                </c:pt>
                <c:pt idx="1500">
                  <c:v>68.849019600868218</c:v>
                </c:pt>
                <c:pt idx="1501">
                  <c:v>68.716808645369682</c:v>
                </c:pt>
                <c:pt idx="1502">
                  <c:v>68.572903129214325</c:v>
                </c:pt>
                <c:pt idx="1503">
                  <c:v>68.419192984824491</c:v>
                </c:pt>
                <c:pt idx="1504">
                  <c:v>68.257832627684564</c:v>
                </c:pt>
                <c:pt idx="1505">
                  <c:v>68.091174913730413</c:v>
                </c:pt>
                <c:pt idx="1506">
                  <c:v>67.921694188396401</c:v>
                </c:pt>
                <c:pt idx="1507">
                  <c:v>67.751898041107879</c:v>
                </c:pt>
                <c:pt idx="1508">
                  <c:v>67.584226535340434</c:v>
                </c:pt>
                <c:pt idx="1509">
                  <c:v>67.420936267782011</c:v>
                </c:pt>
                <c:pt idx="1510">
                  <c:v>67.263964224988811</c:v>
                </c:pt>
                <c:pt idx="1511">
                  <c:v>67.11476233617789</c:v>
                </c:pt>
                <c:pt idx="1512">
                  <c:v>66.974086527941822</c:v>
                </c:pt>
                <c:pt idx="1513">
                  <c:v>66.841711389123546</c:v>
                </c:pt>
                <c:pt idx="1514">
                  <c:v>66.716018121116434</c:v>
                </c:pt>
                <c:pt idx="1515">
                  <c:v>66.593358815069791</c:v>
                </c:pt>
                <c:pt idx="1516">
                  <c:v>66.467012608515844</c:v>
                </c:pt>
                <c:pt idx="1517">
                  <c:v>66.325374971471021</c:v>
                </c:pt>
                <c:pt idx="1518">
                  <c:v>66.148682093515674</c:v>
                </c:pt>
                <c:pt idx="1519">
                  <c:v>65.903015744266341</c:v>
                </c:pt>
                <c:pt idx="1520">
                  <c:v>65.530235562534699</c:v>
                </c:pt>
                <c:pt idx="1521">
                  <c:v>64.939140197227573</c:v>
                </c:pt>
                <c:pt idx="1522">
                  <c:v>64.048977935316614</c:v>
                </c:pt>
                <c:pt idx="1523">
                  <c:v>63.027254937126997</c:v>
                </c:pt>
                <c:pt idx="1524">
                  <c:v>62.380270060501097</c:v>
                </c:pt>
                <c:pt idx="1525">
                  <c:v>62.209085197403986</c:v>
                </c:pt>
                <c:pt idx="1526">
                  <c:v>62.231923828431412</c:v>
                </c:pt>
                <c:pt idx="1527">
                  <c:v>62.288457188701223</c:v>
                </c:pt>
                <c:pt idx="1528">
                  <c:v>62.337200900258686</c:v>
                </c:pt>
                <c:pt idx="1529">
                  <c:v>62.373809006497488</c:v>
                </c:pt>
                <c:pt idx="1530">
                  <c:v>62.401224755752665</c:v>
                </c:pt>
                <c:pt idx="1531">
                  <c:v>62.422278628247277</c:v>
                </c:pt>
                <c:pt idx="1532">
                  <c:v>62.43839608524361</c:v>
                </c:pt>
                <c:pt idx="1533">
                  <c:v>62.449725226436833</c:v>
                </c:pt>
                <c:pt idx="1534">
                  <c:v>62.455505640417165</c:v>
                </c:pt>
                <c:pt idx="1535">
                  <c:v>62.454409515651093</c:v>
                </c:pt>
                <c:pt idx="1536">
                  <c:v>62.44481150498207</c:v>
                </c:pt>
                <c:pt idx="1537">
                  <c:v>62.424994509179847</c:v>
                </c:pt>
                <c:pt idx="1538">
                  <c:v>62.393305728666476</c:v>
                </c:pt>
                <c:pt idx="1539">
                  <c:v>62.348274914699182</c:v>
                </c:pt>
                <c:pt idx="1540">
                  <c:v>62.288703229842994</c:v>
                </c:pt>
                <c:pt idx="1541">
                  <c:v>62.213728336136882</c:v>
                </c:pt>
                <c:pt idx="1542">
                  <c:v>62.122869421953553</c:v>
                </c:pt>
                <c:pt idx="1543">
                  <c:v>62.016054658147326</c:v>
                </c:pt>
                <c:pt idx="1544">
                  <c:v>61.893632827169256</c:v>
                </c:pt>
                <c:pt idx="1545">
                  <c:v>61.756370431732179</c:v>
                </c:pt>
                <c:pt idx="1546">
                  <c:v>61.605435347556813</c:v>
                </c:pt>
                <c:pt idx="1547">
                  <c:v>61.442367958298973</c:v>
                </c:pt>
                <c:pt idx="1548">
                  <c:v>61.269040643117116</c:v>
                </c:pt>
                <c:pt idx="1549">
                  <c:v>61.087606434328961</c:v>
                </c:pt>
                <c:pt idx="1550">
                  <c:v>60.90043758484402</c:v>
                </c:pt>
                <c:pt idx="1551">
                  <c:v>60.71005464059057</c:v>
                </c:pt>
                <c:pt idx="1552">
                  <c:v>60.519046348716941</c:v>
                </c:pt>
                <c:pt idx="1553">
                  <c:v>60.329980270628432</c:v>
                </c:pt>
                <c:pt idx="1554">
                  <c:v>60.145303187263949</c:v>
                </c:pt>
                <c:pt idx="1555">
                  <c:v>59.967229076108225</c:v>
                </c:pt>
                <c:pt idx="1556">
                  <c:v>59.797610243283799</c:v>
                </c:pt>
                <c:pt idx="1557">
                  <c:v>59.637783451548117</c:v>
                </c:pt>
                <c:pt idx="1558">
                  <c:v>59.488376359194554</c:v>
                </c:pt>
                <c:pt idx="1559">
                  <c:v>59.349047872881471</c:v>
                </c:pt>
                <c:pt idx="1560">
                  <c:v>59.218114295123407</c:v>
                </c:pt>
                <c:pt idx="1561">
                  <c:v>59.091971420754334</c:v>
                </c:pt>
                <c:pt idx="1562">
                  <c:v>58.964139782917385</c:v>
                </c:pt>
                <c:pt idx="1563">
                  <c:v>58.823590771978743</c:v>
                </c:pt>
                <c:pt idx="1564">
                  <c:v>58.651664028310854</c:v>
                </c:pt>
                <c:pt idx="1565">
                  <c:v>58.416229182046408</c:v>
                </c:pt>
                <c:pt idx="1566">
                  <c:v>58.061013625575356</c:v>
                </c:pt>
                <c:pt idx="1567">
                  <c:v>57.49135255679893</c:v>
                </c:pt>
                <c:pt idx="1568">
                  <c:v>56.59219719928538</c:v>
                </c:pt>
                <c:pt idx="1569">
                  <c:v>55.429078865282804</c:v>
                </c:pt>
                <c:pt idx="1570">
                  <c:v>54.500135174396355</c:v>
                </c:pt>
                <c:pt idx="1571">
                  <c:v>54.095999584560523</c:v>
                </c:pt>
                <c:pt idx="1572">
                  <c:v>53.987822518296269</c:v>
                </c:pt>
                <c:pt idx="1573">
                  <c:v>53.972690964924411</c:v>
                </c:pt>
                <c:pt idx="1574">
                  <c:v>53.97819466109604</c:v>
                </c:pt>
                <c:pt idx="1575">
                  <c:v>53.985174607471208</c:v>
                </c:pt>
                <c:pt idx="1576">
                  <c:v>53.989458024782842</c:v>
                </c:pt>
                <c:pt idx="1577">
                  <c:v>53.990190133741862</c:v>
                </c:pt>
                <c:pt idx="1578">
                  <c:v>53.986751835242259</c:v>
                </c:pt>
                <c:pt idx="1579">
                  <c:v>53.978110929061771</c:v>
                </c:pt>
                <c:pt idx="1580">
                  <c:v>53.962827583391793</c:v>
                </c:pt>
                <c:pt idx="1581">
                  <c:v>53.939210816406217</c:v>
                </c:pt>
                <c:pt idx="1582">
                  <c:v>53.905486538504505</c:v>
                </c:pt>
                <c:pt idx="1583">
                  <c:v>53.859942313293026</c:v>
                </c:pt>
                <c:pt idx="1584">
                  <c:v>53.801043566396785</c:v>
                </c:pt>
                <c:pt idx="1585">
                  <c:v>53.727523483693382</c:v>
                </c:pt>
                <c:pt idx="1586">
                  <c:v>53.638450006868922</c:v>
                </c:pt>
                <c:pt idx="1587">
                  <c:v>53.533272883343528</c:v>
                </c:pt>
                <c:pt idx="1588">
                  <c:v>53.41185304822875</c:v>
                </c:pt>
                <c:pt idx="1589">
                  <c:v>53.274476068181059</c:v>
                </c:pt>
                <c:pt idx="1590">
                  <c:v>53.121851012032153</c:v>
                </c:pt>
                <c:pt idx="1591">
                  <c:v>52.955095899105991</c:v>
                </c:pt>
                <c:pt idx="1592">
                  <c:v>52.77571076706235</c:v>
                </c:pt>
                <c:pt idx="1593">
                  <c:v>52.585539354883757</c:v>
                </c:pt>
                <c:pt idx="1594">
                  <c:v>52.386720377859064</c:v>
                </c:pt>
                <c:pt idx="1595">
                  <c:v>52.181629349164872</c:v>
                </c:pt>
                <c:pt idx="1596">
                  <c:v>51.972811846704147</c:v>
                </c:pt>
                <c:pt idx="1597">
                  <c:v>51.762908999871456</c:v>
                </c:pt>
                <c:pt idx="1598">
                  <c:v>51.554575733536332</c:v>
                </c:pt>
                <c:pt idx="1599">
                  <c:v>51.35039188853046</c:v>
                </c:pt>
                <c:pt idx="1600">
                  <c:v>51.152765631473208</c:v>
                </c:pt>
                <c:pt idx="1601">
                  <c:v>50.963827389284646</c:v>
                </c:pt>
                <c:pt idx="1602">
                  <c:v>50.785310573314163</c:v>
                </c:pt>
                <c:pt idx="1603">
                  <c:v>50.618412006655348</c:v>
                </c:pt>
                <c:pt idx="1604">
                  <c:v>50.463619125176322</c:v>
                </c:pt>
                <c:pt idx="1605">
                  <c:v>50.320480516742869</c:v>
                </c:pt>
                <c:pt idx="1606">
                  <c:v>50.18727679777566</c:v>
                </c:pt>
                <c:pt idx="1607">
                  <c:v>50.060510982058894</c:v>
                </c:pt>
                <c:pt idx="1608">
                  <c:v>49.934061410147983</c:v>
                </c:pt>
                <c:pt idx="1609">
                  <c:v>49.797681866123256</c:v>
                </c:pt>
                <c:pt idx="1610">
                  <c:v>49.634196820914134</c:v>
                </c:pt>
                <c:pt idx="1611">
                  <c:v>49.41404539952439</c:v>
                </c:pt>
                <c:pt idx="1612">
                  <c:v>49.084702039849994</c:v>
                </c:pt>
                <c:pt idx="1613">
                  <c:v>48.553340556092166</c:v>
                </c:pt>
                <c:pt idx="1614">
                  <c:v>47.684705356737716</c:v>
                </c:pt>
                <c:pt idx="1615">
                  <c:v>46.451115420500976</c:v>
                </c:pt>
                <c:pt idx="1616">
                  <c:v>45.281726365148302</c:v>
                </c:pt>
                <c:pt idx="1617">
                  <c:v>44.63262072048515</c:v>
                </c:pt>
                <c:pt idx="1618">
                  <c:v>44.374835854786539</c:v>
                </c:pt>
                <c:pt idx="1619">
                  <c:v>44.276529343039464</c:v>
                </c:pt>
                <c:pt idx="1620">
                  <c:v>44.232546905546442</c:v>
                </c:pt>
                <c:pt idx="1621">
                  <c:v>44.206626076904946</c:v>
                </c:pt>
                <c:pt idx="1622">
                  <c:v>44.186176282754779</c:v>
                </c:pt>
                <c:pt idx="1623">
                  <c:v>44.165973496810587</c:v>
                </c:pt>
                <c:pt idx="1624">
                  <c:v>44.142993850696122</c:v>
                </c:pt>
                <c:pt idx="1625">
                  <c:v>44.114835272616979</c:v>
                </c:pt>
                <c:pt idx="1626">
                  <c:v>44.079281876103025</c:v>
                </c:pt>
                <c:pt idx="1627">
                  <c:v>44.034234763656137</c:v>
                </c:pt>
                <c:pt idx="1628">
                  <c:v>43.977755344786786</c:v>
                </c:pt>
                <c:pt idx="1629">
                  <c:v>43.908135583500162</c:v>
                </c:pt>
                <c:pt idx="1630">
                  <c:v>43.823966023475094</c:v>
                </c:pt>
                <c:pt idx="1631">
                  <c:v>43.72419197485933</c:v>
                </c:pt>
                <c:pt idx="1632">
                  <c:v>43.608155117766941</c:v>
                </c:pt>
                <c:pt idx="1633">
                  <c:v>43.475620182112046</c:v>
                </c:pt>
                <c:pt idx="1634">
                  <c:v>43.326787182689955</c:v>
                </c:pt>
                <c:pt idx="1635">
                  <c:v>43.162289960226715</c:v>
                </c:pt>
                <c:pt idx="1636">
                  <c:v>42.983181878058836</c:v>
                </c:pt>
                <c:pt idx="1637">
                  <c:v>42.790909579912054</c:v>
                </c:pt>
                <c:pt idx="1638">
                  <c:v>42.587275765051473</c:v>
                </c:pt>
                <c:pt idx="1639">
                  <c:v>42.374391986717434</c:v>
                </c:pt>
                <c:pt idx="1640">
                  <c:v>42.154622519102766</c:v>
                </c:pt>
                <c:pt idx="1641">
                  <c:v>41.930520352322894</c:v>
                </c:pt>
                <c:pt idx="1642">
                  <c:v>41.704756344646206</c:v>
                </c:pt>
                <c:pt idx="1643">
                  <c:v>41.480042461240771</c:v>
                </c:pt>
                <c:pt idx="1644">
                  <c:v>41.259049822470864</c:v>
                </c:pt>
                <c:pt idx="1645">
                  <c:v>41.044321916335903</c:v>
                </c:pt>
                <c:pt idx="1646">
                  <c:v>40.838182707465158</c:v>
                </c:pt>
                <c:pt idx="1647">
                  <c:v>40.642638342676463</c:v>
                </c:pt>
                <c:pt idx="1648">
                  <c:v>40.459269432730352</c:v>
                </c:pt>
                <c:pt idx="1649">
                  <c:v>40.289107971485535</c:v>
                </c:pt>
                <c:pt idx="1650">
                  <c:v>40.132487868315458</c:v>
                </c:pt>
                <c:pt idx="1651">
                  <c:v>39.988848911644396</c:v>
                </c:pt>
                <c:pt idx="1652">
                  <c:v>39.856456862150175</c:v>
                </c:pt>
                <c:pt idx="1653">
                  <c:v>39.731969051775167</c:v>
                </c:pt>
                <c:pt idx="1654">
                  <c:v>39.60970720975687</c:v>
                </c:pt>
                <c:pt idx="1655">
                  <c:v>39.480356127973813</c:v>
                </c:pt>
                <c:pt idx="1656">
                  <c:v>39.328494155289981</c:v>
                </c:pt>
                <c:pt idx="1657">
                  <c:v>39.12767812056935</c:v>
                </c:pt>
                <c:pt idx="1658">
                  <c:v>38.830476927232894</c:v>
                </c:pt>
                <c:pt idx="1659">
                  <c:v>38.349951668156663</c:v>
                </c:pt>
                <c:pt idx="1660">
                  <c:v>37.5431661219883</c:v>
                </c:pt>
                <c:pt idx="1661">
                  <c:v>36.307115698173483</c:v>
                </c:pt>
                <c:pt idx="1662">
                  <c:v>34.958080871459288</c:v>
                </c:pt>
                <c:pt idx="1663">
                  <c:v>34.066803607970193</c:v>
                </c:pt>
                <c:pt idx="1664">
                  <c:v>33.644789919653938</c:v>
                </c:pt>
                <c:pt idx="1665">
                  <c:v>33.452832205687514</c:v>
                </c:pt>
                <c:pt idx="1666">
                  <c:v>33.353603944483559</c:v>
                </c:pt>
                <c:pt idx="1667">
                  <c:v>33.291885567088066</c:v>
                </c:pt>
                <c:pt idx="1668">
                  <c:v>33.245455155732458</c:v>
                </c:pt>
                <c:pt idx="1669">
                  <c:v>33.204062579500608</c:v>
                </c:pt>
                <c:pt idx="1670">
                  <c:v>33.161932321324301</c:v>
                </c:pt>
                <c:pt idx="1671">
                  <c:v>33.115110890404615</c:v>
                </c:pt>
                <c:pt idx="1672">
                  <c:v>33.060514353339983</c:v>
                </c:pt>
                <c:pt idx="1673">
                  <c:v>32.995593129980378</c:v>
                </c:pt>
                <c:pt idx="1674">
                  <c:v>32.918228147625818</c:v>
                </c:pt>
                <c:pt idx="1675">
                  <c:v>32.826713466966552</c:v>
                </c:pt>
                <c:pt idx="1676">
                  <c:v>32.719768124152537</c:v>
                </c:pt>
                <c:pt idx="1677">
                  <c:v>32.596553559441581</c:v>
                </c:pt>
                <c:pt idx="1678">
                  <c:v>32.456686590261079</c:v>
                </c:pt>
                <c:pt idx="1679">
                  <c:v>32.300243658822041</c:v>
                </c:pt>
                <c:pt idx="1680">
                  <c:v>32.127754671098593</c:v>
                </c:pt>
                <c:pt idx="1681">
                  <c:v>31.940185980817432</c:v>
                </c:pt>
                <c:pt idx="1682">
                  <c:v>31.738912715694848</c:v>
                </c:pt>
                <c:pt idx="1683">
                  <c:v>31.525681014431754</c:v>
                </c:pt>
                <c:pt idx="1684">
                  <c:v>31.302560979850426</c:v>
                </c:pt>
                <c:pt idx="1685">
                  <c:v>31.071891314190356</c:v>
                </c:pt>
                <c:pt idx="1686">
                  <c:v>30.836216708844589</c:v>
                </c:pt>
                <c:pt idx="1687">
                  <c:v>30.598219116724849</c:v>
                </c:pt>
                <c:pt idx="1688">
                  <c:v>30.360644034445876</c:v>
                </c:pt>
                <c:pt idx="1689">
                  <c:v>30.12622284817482</c:v>
                </c:pt>
                <c:pt idx="1690">
                  <c:v>29.897592124722369</c:v>
                </c:pt>
                <c:pt idx="1691">
                  <c:v>29.677210414203937</c:v>
                </c:pt>
                <c:pt idx="1692">
                  <c:v>29.46727259801326</c:v>
                </c:pt>
                <c:pt idx="1693">
                  <c:v>29.269620936731563</c:v>
                </c:pt>
                <c:pt idx="1694">
                  <c:v>29.085650515421943</c:v>
                </c:pt>
                <c:pt idx="1695">
                  <c:v>28.916204320216163</c:v>
                </c:pt>
                <c:pt idx="1696">
                  <c:v>28.761448891212865</c:v>
                </c:pt>
                <c:pt idx="1697">
                  <c:v>28.62071376028106</c:v>
                </c:pt>
                <c:pt idx="1698">
                  <c:v>28.492263361547842</c:v>
                </c:pt>
                <c:pt idx="1699">
                  <c:v>28.372941652704483</c:v>
                </c:pt>
                <c:pt idx="1700">
                  <c:v>28.257571369927792</c:v>
                </c:pt>
                <c:pt idx="1701">
                  <c:v>28.137864728070198</c:v>
                </c:pt>
                <c:pt idx="1702">
                  <c:v>28.000322743831386</c:v>
                </c:pt>
                <c:pt idx="1703">
                  <c:v>27.821961995628147</c:v>
                </c:pt>
                <c:pt idx="1704">
                  <c:v>27.561322425990678</c:v>
                </c:pt>
                <c:pt idx="1705">
                  <c:v>27.140224715425553</c:v>
                </c:pt>
                <c:pt idx="1706">
                  <c:v>26.418319243985025</c:v>
                </c:pt>
                <c:pt idx="1707">
                  <c:v>25.239746401368063</c:v>
                </c:pt>
                <c:pt idx="1708">
                  <c:v>23.785628338559338</c:v>
                </c:pt>
                <c:pt idx="1709">
                  <c:v>22.672453475412482</c:v>
                </c:pt>
                <c:pt idx="1710">
                  <c:v>22.077598207375228</c:v>
                </c:pt>
                <c:pt idx="1711">
                  <c:v>21.783293156048906</c:v>
                </c:pt>
                <c:pt idx="1712">
                  <c:v>21.623844824188343</c:v>
                </c:pt>
                <c:pt idx="1713">
                  <c:v>21.523941321573421</c:v>
                </c:pt>
                <c:pt idx="1714">
                  <c:v>21.450693270012472</c:v>
                </c:pt>
                <c:pt idx="1715">
                  <c:v>21.388229598015695</c:v>
                </c:pt>
                <c:pt idx="1716">
                  <c:v>21.327705851757557</c:v>
                </c:pt>
                <c:pt idx="1717">
                  <c:v>21.263452019594951</c:v>
                </c:pt>
                <c:pt idx="1718">
                  <c:v>21.191433380655088</c:v>
                </c:pt>
                <c:pt idx="1719">
                  <c:v>21.108611467907568</c:v>
                </c:pt>
                <c:pt idx="1720">
                  <c:v>21.012671977941487</c:v>
                </c:pt>
                <c:pt idx="1721">
                  <c:v>20.901907542349292</c:v>
                </c:pt>
                <c:pt idx="1722">
                  <c:v>20.775166016790095</c:v>
                </c:pt>
                <c:pt idx="1723">
                  <c:v>20.63182459365736</c:v>
                </c:pt>
                <c:pt idx="1724">
                  <c:v>20.471771307291551</c:v>
                </c:pt>
                <c:pt idx="1725">
                  <c:v>20.295385128973546</c:v>
                </c:pt>
                <c:pt idx="1726">
                  <c:v>20.103510459020143</c:v>
                </c:pt>
                <c:pt idx="1727">
                  <c:v>19.897424163267907</c:v>
                </c:pt>
                <c:pt idx="1728">
                  <c:v>19.678794565804733</c:v>
                </c:pt>
                <c:pt idx="1729">
                  <c:v>19.449632539507306</c:v>
                </c:pt>
                <c:pt idx="1730">
                  <c:v>19.212235283351809</c:v>
                </c:pt>
                <c:pt idx="1731">
                  <c:v>18.96912366110725</c:v>
                </c:pt>
                <c:pt idx="1732">
                  <c:v>18.7229741572629</c:v>
                </c:pt>
                <c:pt idx="1733">
                  <c:v>18.476546608331759</c:v>
                </c:pt>
                <c:pt idx="1734">
                  <c:v>18.232608898687829</c:v>
                </c:pt>
                <c:pt idx="1735">
                  <c:v>17.993859765327372</c:v>
                </c:pt>
                <c:pt idx="1736">
                  <c:v>17.762850719214214</c:v>
                </c:pt>
                <c:pt idx="1737">
                  <c:v>17.541907830456502</c:v>
                </c:pt>
                <c:pt idx="1738">
                  <c:v>17.333053683540538</c:v>
                </c:pt>
                <c:pt idx="1739">
                  <c:v>17.137929085536708</c:v>
                </c:pt>
                <c:pt idx="1740">
                  <c:v>16.95771291956661</c:v>
                </c:pt>
                <c:pt idx="1741">
                  <c:v>16.793036531879292</c:v>
                </c:pt>
                <c:pt idx="1742">
                  <c:v>16.64388555600917</c:v>
                </c:pt>
                <c:pt idx="1743">
                  <c:v>16.50947577754247</c:v>
                </c:pt>
                <c:pt idx="1744">
                  <c:v>16.388077757597213</c:v>
                </c:pt>
                <c:pt idx="1745">
                  <c:v>16.27674146517888</c:v>
                </c:pt>
                <c:pt idx="1746">
                  <c:v>16.170823554670019</c:v>
                </c:pt>
                <c:pt idx="1747">
                  <c:v>16.063114124158812</c:v>
                </c:pt>
                <c:pt idx="1748">
                  <c:v>15.94211832274107</c:v>
                </c:pt>
                <c:pt idx="1749">
                  <c:v>15.788477147535252</c:v>
                </c:pt>
                <c:pt idx="1750">
                  <c:v>15.567174608217325</c:v>
                </c:pt>
                <c:pt idx="1751">
                  <c:v>15.210619106126376</c:v>
                </c:pt>
                <c:pt idx="1752">
                  <c:v>14.588810891711621</c:v>
                </c:pt>
                <c:pt idx="1753">
                  <c:v>13.516158024918511</c:v>
                </c:pt>
                <c:pt idx="1754">
                  <c:v>12.03798956559084</c:v>
                </c:pt>
                <c:pt idx="1755">
                  <c:v>10.741810394546819</c:v>
                </c:pt>
                <c:pt idx="1756">
                  <c:v>9.973702212586435</c:v>
                </c:pt>
                <c:pt idx="1757">
                  <c:v>9.5710146852982678</c:v>
                </c:pt>
                <c:pt idx="1758">
                  <c:v>9.3475072695688599</c:v>
                </c:pt>
                <c:pt idx="1759">
                  <c:v>9.2076923509887099</c:v>
                </c:pt>
                <c:pt idx="1760">
                  <c:v>9.1072628987931257</c:v>
                </c:pt>
                <c:pt idx="1761">
                  <c:v>9.0242357757226337</c:v>
                </c:pt>
                <c:pt idx="1762">
                  <c:v>8.9464288501704843</c:v>
                </c:pt>
                <c:pt idx="1763">
                  <c:v>8.8663165524646299</c:v>
                </c:pt>
                <c:pt idx="1764">
                  <c:v>8.7788450884379081</c:v>
                </c:pt>
                <c:pt idx="1765">
                  <c:v>8.6804563793645908</c:v>
                </c:pt>
                <c:pt idx="1766">
                  <c:v>8.5686290476348468</c:v>
                </c:pt>
                <c:pt idx="1767">
                  <c:v>8.4416505328710958</c:v>
                </c:pt>
                <c:pt idx="1768">
                  <c:v>8.2984954059113551</c:v>
                </c:pt>
                <c:pt idx="1769">
                  <c:v>8.1387522870209477</c:v>
                </c:pt>
                <c:pt idx="1770">
                  <c:v>7.9625715642278703</c:v>
                </c:pt>
                <c:pt idx="1771">
                  <c:v>7.7706200300912629</c:v>
                </c:pt>
                <c:pt idx="1772">
                  <c:v>7.5640354191896222</c:v>
                </c:pt>
                <c:pt idx="1773">
                  <c:v>7.3443773958824599</c:v>
                </c:pt>
                <c:pt idx="1774">
                  <c:v>7.1135734957746042</c:v>
                </c:pt>
                <c:pt idx="1775">
                  <c:v>6.8738596506561631</c:v>
                </c:pt>
                <c:pt idx="1776">
                  <c:v>6.6277156062224174</c:v>
                </c:pt>
                <c:pt idx="1777">
                  <c:v>6.3777959647712557</c:v>
                </c:pt>
                <c:pt idx="1778">
                  <c:v>6.1268578482055176</c:v>
                </c:pt>
                <c:pt idx="1779">
                  <c:v>5.8776863292280028</c:v>
                </c:pt>
                <c:pt idx="1780">
                  <c:v>5.6330188437843098</c:v>
                </c:pt>
                <c:pt idx="1781">
                  <c:v>5.3954697827659013</c:v>
                </c:pt>
                <c:pt idx="1782">
                  <c:v>5.1674563602769865</c:v>
                </c:pt>
                <c:pt idx="1783">
                  <c:v>4.9511266500919344</c:v>
                </c:pt>
                <c:pt idx="1784">
                  <c:v>4.74829033153663</c:v>
                </c:pt>
                <c:pt idx="1785">
                  <c:v>4.5603521161572589</c:v>
                </c:pt>
                <c:pt idx="1786">
                  <c:v>4.3882468974310749</c:v>
                </c:pt>
                <c:pt idx="1787">
                  <c:v>4.232374111555754</c:v>
                </c:pt>
                <c:pt idx="1788">
                  <c:v>4.0925260978816667</c:v>
                </c:pt>
                <c:pt idx="1789">
                  <c:v>3.9678003503310899</c:v>
                </c:pt>
                <c:pt idx="1790">
                  <c:v>3.8564762430810036</c:v>
                </c:pt>
                <c:pt idx="1791">
                  <c:v>3.7558182396932618</c:v>
                </c:pt>
                <c:pt idx="1792">
                  <c:v>3.6617286037395074</c:v>
                </c:pt>
                <c:pt idx="1793">
                  <c:v>3.5680863660123472</c:v>
                </c:pt>
                <c:pt idx="1794">
                  <c:v>3.465408165932538</c:v>
                </c:pt>
                <c:pt idx="1795">
                  <c:v>3.3379756058943979</c:v>
                </c:pt>
                <c:pt idx="1796">
                  <c:v>3.1573546856988042</c:v>
                </c:pt>
                <c:pt idx="1797">
                  <c:v>2.8674843909892545</c:v>
                </c:pt>
                <c:pt idx="1798">
                  <c:v>2.3540432689374042</c:v>
                </c:pt>
                <c:pt idx="1799">
                  <c:v>1.4226191663802408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F2-4FA4-8A13-24203DEBF087}"/>
            </c:ext>
          </c:extLst>
        </c:ser>
        <c:ser>
          <c:idx val="1"/>
          <c:order val="1"/>
          <c:tx>
            <c:v>수정 치형</c:v>
          </c:tx>
          <c:spPr>
            <a:ln w="16000">
              <a:prstDash val="solid"/>
            </a:ln>
          </c:spPr>
          <c:marker>
            <c:symbol val="none"/>
          </c:marker>
          <c:xVal>
            <c:numRef>
              <c:f>'2.치형좌표'!$G$6:$G$1805</c:f>
              <c:numCache>
                <c:formatCode>0.00000</c:formatCode>
                <c:ptCount val="1800"/>
                <c:pt idx="0">
                  <c:v>76.488799999999998</c:v>
                </c:pt>
                <c:pt idx="1">
                  <c:v>76.736390133427179</c:v>
                </c:pt>
                <c:pt idx="2">
                  <c:v>77.202445374051422</c:v>
                </c:pt>
                <c:pt idx="3">
                  <c:v>77.592647235287885</c:v>
                </c:pt>
                <c:pt idx="4">
                  <c:v>77.861843967003765</c:v>
                </c:pt>
                <c:pt idx="5">
                  <c:v>78.044688653565814</c:v>
                </c:pt>
                <c:pt idx="6">
                  <c:v>78.176088997913794</c:v>
                </c:pt>
                <c:pt idx="7">
                  <c:v>78.279451213244911</c:v>
                </c:pt>
                <c:pt idx="8">
                  <c:v>78.368985322783587</c:v>
                </c:pt>
                <c:pt idx="9">
                  <c:v>78.452860161158995</c:v>
                </c:pt>
                <c:pt idx="10">
                  <c:v>78.535395636295661</c:v>
                </c:pt>
                <c:pt idx="11">
                  <c:v>78.618441074615745</c:v>
                </c:pt>
                <c:pt idx="12">
                  <c:v>78.702241418621867</c:v>
                </c:pt>
                <c:pt idx="13">
                  <c:v>78.785999278056309</c:v>
                </c:pt>
                <c:pt idx="14">
                  <c:v>78.86825616165892</c:v>
                </c:pt>
                <c:pt idx="15">
                  <c:v>78.947163578298898</c:v>
                </c:pt>
                <c:pt idx="16">
                  <c:v>79.020684481443269</c:v>
                </c:pt>
                <c:pt idx="17">
                  <c:v>79.086748428539011</c:v>
                </c:pt>
                <c:pt idx="18">
                  <c:v>79.143374075928932</c:v>
                </c:pt>
                <c:pt idx="19">
                  <c:v>79.188766994214362</c:v>
                </c:pt>
                <c:pt idx="20">
                  <c:v>79.221397488609327</c:v>
                </c:pt>
                <c:pt idx="21">
                  <c:v>79.240061159392809</c:v>
                </c:pt>
                <c:pt idx="22">
                  <c:v>79.243923785006615</c:v>
                </c:pt>
                <c:pt idx="23">
                  <c:v>79.232551434951461</c:v>
                </c:pt>
                <c:pt idx="24">
                  <c:v>79.205926330666458</c:v>
                </c:pt>
                <c:pt idx="25">
                  <c:v>79.164448750706541</c:v>
                </c:pt>
                <c:pt idx="26">
                  <c:v>79.108925141291579</c:v>
                </c:pt>
                <c:pt idx="27">
                  <c:v>79.0405424834683</c:v>
                </c:pt>
                <c:pt idx="28">
                  <c:v>78.960828828224919</c:v>
                </c:pt>
                <c:pt idx="29">
                  <c:v>78.871599679435917</c:v>
                </c:pt>
                <c:pt idx="30">
                  <c:v>78.774889500268316</c:v>
                </c:pt>
                <c:pt idx="31">
                  <c:v>78.672866920511723</c:v>
                </c:pt>
                <c:pt idx="32">
                  <c:v>78.567731035293448</c:v>
                </c:pt>
                <c:pt idx="33">
                  <c:v>78.461584180393189</c:v>
                </c:pt>
                <c:pt idx="34">
                  <c:v>78.356273169032804</c:v>
                </c:pt>
                <c:pt idx="35">
                  <c:v>78.253185139938907</c:v>
                </c:pt>
                <c:pt idx="36">
                  <c:v>78.152973977605754</c:v>
                </c:pt>
                <c:pt idx="37">
                  <c:v>78.055175118717088</c:v>
                </c:pt>
                <c:pt idx="38">
                  <c:v>77.957633660285495</c:v>
                </c:pt>
                <c:pt idx="39">
                  <c:v>77.855610628409337</c:v>
                </c:pt>
                <c:pt idx="40">
                  <c:v>77.740325432069355</c:v>
                </c:pt>
                <c:pt idx="41">
                  <c:v>77.596526841602227</c:v>
                </c:pt>
                <c:pt idx="42">
                  <c:v>77.398584613229545</c:v>
                </c:pt>
                <c:pt idx="43">
                  <c:v>77.105618510492747</c:v>
                </c:pt>
                <c:pt idx="44">
                  <c:v>76.664463708242607</c:v>
                </c:pt>
                <c:pt idx="45">
                  <c:v>76.067453301460958</c:v>
                </c:pt>
                <c:pt idx="46">
                  <c:v>75.543127213960943</c:v>
                </c:pt>
                <c:pt idx="47">
                  <c:v>75.482155037985294</c:v>
                </c:pt>
                <c:pt idx="48">
                  <c:v>75.772550010409788</c:v>
                </c:pt>
                <c:pt idx="49">
                  <c:v>76.085730667027917</c:v>
                </c:pt>
                <c:pt idx="50">
                  <c:v>76.317518785271361</c:v>
                </c:pt>
                <c:pt idx="51">
                  <c:v>76.477653798594034</c:v>
                </c:pt>
                <c:pt idx="52">
                  <c:v>76.592006927852054</c:v>
                </c:pt>
                <c:pt idx="53">
                  <c:v>76.680325098880701</c:v>
                </c:pt>
                <c:pt idx="54">
                  <c:v>76.755058459452229</c:v>
                </c:pt>
                <c:pt idx="55">
                  <c:v>76.823383743252862</c:v>
                </c:pt>
                <c:pt idx="56">
                  <c:v>76.888996142234845</c:v>
                </c:pt>
                <c:pt idx="57">
                  <c:v>76.953331230787455</c:v>
                </c:pt>
                <c:pt idx="58">
                  <c:v>77.016363842973831</c:v>
                </c:pt>
                <c:pt idx="59">
                  <c:v>77.077138058710773</c:v>
                </c:pt>
                <c:pt idx="60">
                  <c:v>77.13413111089065</c:v>
                </c:pt>
                <c:pt idx="61">
                  <c:v>77.185513417023287</c:v>
                </c:pt>
                <c:pt idx="62">
                  <c:v>77.22934145515994</c:v>
                </c:pt>
                <c:pt idx="63">
                  <c:v>77.263705116303257</c:v>
                </c:pt>
                <c:pt idx="64">
                  <c:v>77.286842338848913</c:v>
                </c:pt>
                <c:pt idx="65">
                  <c:v>77.297228649967224</c:v>
                </c:pt>
                <c:pt idx="66">
                  <c:v>77.293646178229992</c:v>
                </c:pt>
                <c:pt idx="67">
                  <c:v>77.275234887001162</c:v>
                </c:pt>
                <c:pt idx="68">
                  <c:v>77.241527705524319</c:v>
                </c:pt>
                <c:pt idx="69">
                  <c:v>77.19247060876188</c:v>
                </c:pt>
                <c:pt idx="70">
                  <c:v>77.12842833933189</c:v>
                </c:pt>
                <c:pt idx="71">
                  <c:v>77.05017626247583</c:v>
                </c:pt>
                <c:pt idx="72">
                  <c:v>76.958878721088908</c:v>
                </c:pt>
                <c:pt idx="73">
                  <c:v>76.856054153580999</c:v>
                </c:pt>
                <c:pt idx="74">
                  <c:v>76.743527099020838</c:v>
                </c:pt>
                <c:pt idx="75">
                  <c:v>76.623366981832191</c:v>
                </c:pt>
                <c:pt idx="76">
                  <c:v>76.49781316289392</c:v>
                </c:pt>
                <c:pt idx="77">
                  <c:v>76.369185046373985</c:v>
                </c:pt>
                <c:pt idx="78">
                  <c:v>76.23977484979342</c:v>
                </c:pt>
                <c:pt idx="79">
                  <c:v>76.111718651986322</c:v>
                </c:pt>
                <c:pt idx="80">
                  <c:v>75.986837953589145</c:v>
                </c:pt>
                <c:pt idx="81">
                  <c:v>75.866438169039355</c:v>
                </c:pt>
                <c:pt idx="82">
                  <c:v>75.751040256371695</c:v>
                </c:pt>
                <c:pt idx="83">
                  <c:v>75.64000332216844</c:v>
                </c:pt>
                <c:pt idx="84">
                  <c:v>75.530962188767759</c:v>
                </c:pt>
                <c:pt idx="85">
                  <c:v>75.418940338978061</c:v>
                </c:pt>
                <c:pt idx="86">
                  <c:v>75.294879174984658</c:v>
                </c:pt>
                <c:pt idx="87">
                  <c:v>75.143112179239026</c:v>
                </c:pt>
                <c:pt idx="88">
                  <c:v>74.93703123894052</c:v>
                </c:pt>
                <c:pt idx="89">
                  <c:v>74.632482417143464</c:v>
                </c:pt>
                <c:pt idx="90">
                  <c:v>74.1638754589233</c:v>
                </c:pt>
                <c:pt idx="91">
                  <c:v>73.480273708631543</c:v>
                </c:pt>
                <c:pt idx="92">
                  <c:v>72.727499399204802</c:v>
                </c:pt>
                <c:pt idx="93">
                  <c:v>72.347297476756694</c:v>
                </c:pt>
                <c:pt idx="94">
                  <c:v>72.420603885769623</c:v>
                </c:pt>
                <c:pt idx="95">
                  <c:v>72.628957718266136</c:v>
                </c:pt>
                <c:pt idx="96">
                  <c:v>72.808459486150383</c:v>
                </c:pt>
                <c:pt idx="97">
                  <c:v>72.937714279690397</c:v>
                </c:pt>
                <c:pt idx="98">
                  <c:v>73.030210468631722</c:v>
                </c:pt>
                <c:pt idx="99">
                  <c:v>73.100430596219326</c:v>
                </c:pt>
                <c:pt idx="100">
                  <c:v>73.158261147891267</c:v>
                </c:pt>
                <c:pt idx="101">
                  <c:v>73.209463982798653</c:v>
                </c:pt>
                <c:pt idx="102">
                  <c:v>73.256882273835274</c:v>
                </c:pt>
                <c:pt idx="103">
                  <c:v>73.301418210917959</c:v>
                </c:pt>
                <c:pt idx="104">
                  <c:v>73.342719534698418</c:v>
                </c:pt>
                <c:pt idx="105">
                  <c:v>73.37965253136403</c:v>
                </c:pt>
                <c:pt idx="106">
                  <c:v>73.410633807179508</c:v>
                </c:pt>
                <c:pt idx="107">
                  <c:v>73.433869873096597</c:v>
                </c:pt>
                <c:pt idx="108">
                  <c:v>73.447535169622554</c:v>
                </c:pt>
                <c:pt idx="109">
                  <c:v>73.44990720210815</c:v>
                </c:pt>
                <c:pt idx="110">
                  <c:v>73.439470109917963</c:v>
                </c:pt>
                <c:pt idx="111">
                  <c:v>73.414993558079047</c:v>
                </c:pt>
                <c:pt idx="112">
                  <c:v>73.375591177270479</c:v>
                </c:pt>
                <c:pt idx="113">
                  <c:v>73.320761186582061</c:v>
                </c:pt>
                <c:pt idx="114">
                  <c:v>73.250410891803554</c:v>
                </c:pt>
                <c:pt idx="115">
                  <c:v>73.164866205413517</c:v>
                </c:pt>
                <c:pt idx="116">
                  <c:v>73.064867025634413</c:v>
                </c:pt>
                <c:pt idx="117">
                  <c:v>72.951549139708348</c:v>
                </c:pt>
                <c:pt idx="118">
                  <c:v>72.826413211018703</c:v>
                </c:pt>
                <c:pt idx="119">
                  <c:v>72.691281316497097</c:v>
                </c:pt>
                <c:pt idx="120">
                  <c:v>72.548241369780058</c:v>
                </c:pt>
                <c:pt idx="121">
                  <c:v>72.399579540468835</c:v>
                </c:pt>
                <c:pt idx="122">
                  <c:v>72.247700385393259</c:v>
                </c:pt>
                <c:pt idx="123">
                  <c:v>72.09503373082282</c:v>
                </c:pt>
                <c:pt idx="124">
                  <c:v>71.94392620136145</c:v>
                </c:pt>
                <c:pt idx="125">
                  <c:v>71.796513368109458</c:v>
                </c:pt>
                <c:pt idx="126">
                  <c:v>71.65456522929361</c:v>
                </c:pt>
                <c:pt idx="127">
                  <c:v>71.519292121808576</c:v>
                </c:pt>
                <c:pt idx="128">
                  <c:v>71.391088267254389</c:v>
                </c:pt>
                <c:pt idx="129">
                  <c:v>71.269172241049432</c:v>
                </c:pt>
                <c:pt idx="130">
                  <c:v>71.151050270580299</c:v>
                </c:pt>
                <c:pt idx="131">
                  <c:v>71.031664382724742</c:v>
                </c:pt>
                <c:pt idx="132">
                  <c:v>70.901963148270781</c:v>
                </c:pt>
                <c:pt idx="133">
                  <c:v>70.746394902475302</c:v>
                </c:pt>
                <c:pt idx="134">
                  <c:v>70.538423366260091</c:v>
                </c:pt>
                <c:pt idx="135">
                  <c:v>70.232913537827287</c:v>
                </c:pt>
                <c:pt idx="136">
                  <c:v>69.757302571818869</c:v>
                </c:pt>
                <c:pt idx="137">
                  <c:v>69.02840154114817</c:v>
                </c:pt>
                <c:pt idx="138">
                  <c:v>68.10592471081651</c:v>
                </c:pt>
                <c:pt idx="139">
                  <c:v>67.419430804499655</c:v>
                </c:pt>
                <c:pt idx="140">
                  <c:v>67.241813695472828</c:v>
                </c:pt>
                <c:pt idx="141">
                  <c:v>67.317042048819644</c:v>
                </c:pt>
                <c:pt idx="142">
                  <c:v>67.42848165123678</c:v>
                </c:pt>
                <c:pt idx="143">
                  <c:v>67.518267468729789</c:v>
                </c:pt>
                <c:pt idx="144">
                  <c:v>67.5840124258076</c:v>
                </c:pt>
                <c:pt idx="145">
                  <c:v>67.633194069305461</c:v>
                </c:pt>
                <c:pt idx="146">
                  <c:v>67.672259536561384</c:v>
                </c:pt>
                <c:pt idx="147">
                  <c:v>67.705097322598746</c:v>
                </c:pt>
                <c:pt idx="148">
                  <c:v>67.733453416669363</c:v>
                </c:pt>
                <c:pt idx="149">
                  <c:v>67.757567690791959</c:v>
                </c:pt>
                <c:pt idx="150">
                  <c:v>67.776698452834026</c:v>
                </c:pt>
                <c:pt idx="151">
                  <c:v>67.789511181644698</c:v>
                </c:pt>
                <c:pt idx="152">
                  <c:v>67.794362146277095</c:v>
                </c:pt>
                <c:pt idx="153">
                  <c:v>67.789507536161835</c:v>
                </c:pt>
                <c:pt idx="154">
                  <c:v>67.773260042562541</c:v>
                </c:pt>
                <c:pt idx="155">
                  <c:v>67.744107241663443</c:v>
                </c:pt>
                <c:pt idx="156">
                  <c:v>67.700800881302371</c:v>
                </c:pt>
                <c:pt idx="157">
                  <c:v>67.64242280635159</c:v>
                </c:pt>
                <c:pt idx="158">
                  <c:v>67.568431167179355</c:v>
                </c:pt>
                <c:pt idx="159">
                  <c:v>67.478689284829102</c:v>
                </c:pt>
                <c:pt idx="160">
                  <c:v>67.373478791404693</c:v>
                </c:pt>
                <c:pt idx="161">
                  <c:v>67.253498229159078</c:v>
                </c:pt>
                <c:pt idx="162">
                  <c:v>67.119848050922556</c:v>
                </c:pt>
                <c:pt idx="163">
                  <c:v>66.974002833941313</c:v>
                </c:pt>
                <c:pt idx="164">
                  <c:v>66.817771439322271</c:v>
                </c:pt>
                <c:pt idx="165">
                  <c:v>66.653245772559089</c:v>
                </c:pt>
                <c:pt idx="166">
                  <c:v>66.482738682196199</c:v>
                </c:pt>
                <c:pt idx="167">
                  <c:v>66.30871132233537</c:v>
                </c:pt>
                <c:pt idx="168">
                  <c:v>66.133689931317747</c:v>
                </c:pt>
                <c:pt idx="169">
                  <c:v>65.960171338899031</c:v>
                </c:pt>
                <c:pt idx="170">
                  <c:v>65.790515436934768</c:v>
                </c:pt>
                <c:pt idx="171">
                  <c:v>65.626821041454647</c:v>
                </c:pt>
                <c:pt idx="172">
                  <c:v>65.470778515924209</c:v>
                </c:pt>
                <c:pt idx="173">
                  <c:v>65.323487256569976</c:v>
                </c:pt>
                <c:pt idx="174">
                  <c:v>65.185216835020469</c:v>
                </c:pt>
                <c:pt idx="175">
                  <c:v>65.05507366721838</c:v>
                </c:pt>
                <c:pt idx="176">
                  <c:v>64.93050328372459</c:v>
                </c:pt>
                <c:pt idx="177">
                  <c:v>64.806496609525823</c:v>
                </c:pt>
                <c:pt idx="178">
                  <c:v>64.674245843967725</c:v>
                </c:pt>
                <c:pt idx="179">
                  <c:v>64.518749221802764</c:v>
                </c:pt>
                <c:pt idx="180">
                  <c:v>64.314397310783946</c:v>
                </c:pt>
                <c:pt idx="181">
                  <c:v>64.016950537374086</c:v>
                </c:pt>
                <c:pt idx="182">
                  <c:v>63.551518274309942</c:v>
                </c:pt>
                <c:pt idx="183">
                  <c:v>62.813711545641063</c:v>
                </c:pt>
                <c:pt idx="184">
                  <c:v>61.784459626010111</c:v>
                </c:pt>
                <c:pt idx="185">
                  <c:v>60.827806451945001</c:v>
                </c:pt>
                <c:pt idx="186">
                  <c:v>60.377632849007128</c:v>
                </c:pt>
                <c:pt idx="187">
                  <c:v>60.292654239065214</c:v>
                </c:pt>
                <c:pt idx="188">
                  <c:v>60.319850592784171</c:v>
                </c:pt>
                <c:pt idx="189">
                  <c:v>60.361354259861152</c:v>
                </c:pt>
                <c:pt idx="190">
                  <c:v>60.395466187366168</c:v>
                </c:pt>
                <c:pt idx="191">
                  <c:v>60.420835713725374</c:v>
                </c:pt>
                <c:pt idx="192">
                  <c:v>60.439542904341209</c:v>
                </c:pt>
                <c:pt idx="193">
                  <c:v>60.453118308706436</c:v>
                </c:pt>
                <c:pt idx="194">
                  <c:v>60.461952956467272</c:v>
                </c:pt>
                <c:pt idx="195">
                  <c:v>60.465489123497086</c:v>
                </c:pt>
                <c:pt idx="196">
                  <c:v>60.462529607510959</c:v>
                </c:pt>
                <c:pt idx="197">
                  <c:v>60.451513110277901</c:v>
                </c:pt>
                <c:pt idx="198">
                  <c:v>60.430732774734452</c:v>
                </c:pt>
                <c:pt idx="199">
                  <c:v>60.398504423763221</c:v>
                </c:pt>
                <c:pt idx="200">
                  <c:v>60.353294931857889</c:v>
                </c:pt>
                <c:pt idx="201">
                  <c:v>60.293819291592513</c:v>
                </c:pt>
                <c:pt idx="202">
                  <c:v>60.219112457358882</c:v>
                </c:pt>
                <c:pt idx="203">
                  <c:v>60.128580097506415</c:v>
                </c:pt>
                <c:pt idx="204">
                  <c:v>60.022031054958134</c:v>
                </c:pt>
                <c:pt idx="205">
                  <c:v>59.899693470272553</c:v>
                </c:pt>
                <c:pt idx="206">
                  <c:v>59.762216011665927</c:v>
                </c:pt>
                <c:pt idx="207">
                  <c:v>59.610655367339788</c:v>
                </c:pt>
                <c:pt idx="208">
                  <c:v>59.446451002577959</c:v>
                </c:pt>
                <c:pt idx="209">
                  <c:v>59.27138810707374</c:v>
                </c:pt>
                <c:pt idx="210">
                  <c:v>59.087549611132935</c:v>
                </c:pt>
                <c:pt idx="211">
                  <c:v>58.897258094332791</c:v>
                </c:pt>
                <c:pt idx="212">
                  <c:v>58.703008309002492</c:v>
                </c:pt>
                <c:pt idx="213">
                  <c:v>58.507390848869818</c:v>
                </c:pt>
                <c:pt idx="214">
                  <c:v>58.313007149045916</c:v>
                </c:pt>
                <c:pt idx="215">
                  <c:v>58.122375413358043</c:v>
                </c:pt>
                <c:pt idx="216">
                  <c:v>57.937826074893991</c:v>
                </c:pt>
                <c:pt idx="217">
                  <c:v>57.761383740267981</c:v>
                </c:pt>
                <c:pt idx="218">
                  <c:v>57.594629773084101</c:v>
                </c:pt>
                <c:pt idx="219">
                  <c:v>57.438534859154771</c:v>
                </c:pt>
                <c:pt idx="220">
                  <c:v>57.293242384782658</c:v>
                </c:pt>
                <c:pt idx="221">
                  <c:v>57.157767924673486</c:v>
                </c:pt>
                <c:pt idx="222">
                  <c:v>57.029550775299988</c:v>
                </c:pt>
                <c:pt idx="223">
                  <c:v>56.903735935598355</c:v>
                </c:pt>
                <c:pt idx="224">
                  <c:v>56.771948343722393</c:v>
                </c:pt>
                <c:pt idx="225">
                  <c:v>56.62007968056156</c:v>
                </c:pt>
                <c:pt idx="226">
                  <c:v>56.424116234895614</c:v>
                </c:pt>
                <c:pt idx="227">
                  <c:v>56.142186593557625</c:v>
                </c:pt>
                <c:pt idx="228">
                  <c:v>55.700842196124185</c:v>
                </c:pt>
                <c:pt idx="229">
                  <c:v>54.984605118930737</c:v>
                </c:pt>
                <c:pt idx="230">
                  <c:v>53.910026669071968</c:v>
                </c:pt>
                <c:pt idx="231">
                  <c:v>52.739197167996174</c:v>
                </c:pt>
                <c:pt idx="232">
                  <c:v>52.011312340892978</c:v>
                </c:pt>
                <c:pt idx="233">
                  <c:v>51.742451497580305</c:v>
                </c:pt>
                <c:pt idx="234">
                  <c:v>51.669489156956566</c:v>
                </c:pt>
                <c:pt idx="235">
                  <c:v>51.653928858148042</c:v>
                </c:pt>
                <c:pt idx="236">
                  <c:v>51.6516593542257</c:v>
                </c:pt>
                <c:pt idx="237">
                  <c:v>51.650671279705769</c:v>
                </c:pt>
                <c:pt idx="238">
                  <c:v>51.64772547417634</c:v>
                </c:pt>
                <c:pt idx="239">
                  <c:v>51.641496760293229</c:v>
                </c:pt>
                <c:pt idx="240">
                  <c:v>51.630757654558799</c:v>
                </c:pt>
                <c:pt idx="241">
                  <c:v>51.614015016834685</c:v>
                </c:pt>
                <c:pt idx="242">
                  <c:v>51.5895484286768</c:v>
                </c:pt>
                <c:pt idx="243">
                  <c:v>51.555541996258981</c:v>
                </c:pt>
                <c:pt idx="244">
                  <c:v>51.510220372269366</c:v>
                </c:pt>
                <c:pt idx="245">
                  <c:v>51.45196548275036</c:v>
                </c:pt>
                <c:pt idx="246">
                  <c:v>51.379409909037257</c:v>
                </c:pt>
                <c:pt idx="247">
                  <c:v>51.291508152699748</c:v>
                </c:pt>
                <c:pt idx="248">
                  <c:v>51.187588008082137</c:v>
                </c:pt>
                <c:pt idx="249">
                  <c:v>51.067384097068654</c:v>
                </c:pt>
                <c:pt idx="250">
                  <c:v>50.93105524525685</c:v>
                </c:pt>
                <c:pt idx="251">
                  <c:v>50.779187065715846</c:v>
                </c:pt>
                <c:pt idx="252">
                  <c:v>50.612780914089726</c:v>
                </c:pt>
                <c:pt idx="253">
                  <c:v>50.433230270762422</c:v>
                </c:pt>
                <c:pt idx="254">
                  <c:v>50.242285561443531</c:v>
                </c:pt>
                <c:pt idx="255">
                  <c:v>50.04200841620171</c:v>
                </c:pt>
                <c:pt idx="256">
                  <c:v>49.834716360574852</c:v>
                </c:pt>
                <c:pt idx="257">
                  <c:v>49.62291890389028</c:v>
                </c:pt>
                <c:pt idx="258">
                  <c:v>49.409245909972533</c:v>
                </c:pt>
                <c:pt idx="259">
                  <c:v>49.196368967197721</c:v>
                </c:pt>
                <c:pt idx="260">
                  <c:v>48.986916166081535</c:v>
                </c:pt>
                <c:pt idx="261">
                  <c:v>48.783380161869829</c:v>
                </c:pt>
                <c:pt idx="262">
                  <c:v>48.588018512137197</c:v>
                </c:pt>
                <c:pt idx="263">
                  <c:v>48.402743801630749</c:v>
                </c:pt>
                <c:pt idx="264">
                  <c:v>48.228998578659528</c:v>
                </c:pt>
                <c:pt idx="265">
                  <c:v>48.067605848321051</c:v>
                </c:pt>
                <c:pt idx="266">
                  <c:v>47.918578295178662</c:v>
                </c:pt>
                <c:pt idx="267">
                  <c:v>47.780855547421275</c:v>
                </c:pt>
                <c:pt idx="268">
                  <c:v>47.651912460955892</c:v>
                </c:pt>
                <c:pt idx="269">
                  <c:v>47.527129360441627</c:v>
                </c:pt>
                <c:pt idx="270">
                  <c:v>47.398708246976902</c:v>
                </c:pt>
                <c:pt idx="271">
                  <c:v>47.253692090258127</c:v>
                </c:pt>
                <c:pt idx="272">
                  <c:v>47.070159001327049</c:v>
                </c:pt>
                <c:pt idx="273">
                  <c:v>46.809702255764044</c:v>
                </c:pt>
                <c:pt idx="274">
                  <c:v>46.403219252967389</c:v>
                </c:pt>
                <c:pt idx="275">
                  <c:v>45.732742571374217</c:v>
                </c:pt>
                <c:pt idx="276">
                  <c:v>44.668358340772613</c:v>
                </c:pt>
                <c:pt idx="277">
                  <c:v>43.353406150964119</c:v>
                </c:pt>
                <c:pt idx="278">
                  <c:v>42.362302762568383</c:v>
                </c:pt>
                <c:pt idx="279">
                  <c:v>41.891904854162767</c:v>
                </c:pt>
                <c:pt idx="280">
                  <c:v>41.704005123808258</c:v>
                </c:pt>
                <c:pt idx="281">
                  <c:v>41.622956244083213</c:v>
                </c:pt>
                <c:pt idx="282">
                  <c:v>41.579837776366858</c:v>
                </c:pt>
                <c:pt idx="283">
                  <c:v>41.550245411382988</c:v>
                </c:pt>
                <c:pt idx="284">
                  <c:v>41.524680648980684</c:v>
                </c:pt>
                <c:pt idx="285">
                  <c:v>41.498468097683876</c:v>
                </c:pt>
                <c:pt idx="286">
                  <c:v>41.46850094940708</c:v>
                </c:pt>
                <c:pt idx="287">
                  <c:v>41.432214966019423</c:v>
                </c:pt>
                <c:pt idx="288">
                  <c:v>41.387299787452662</c:v>
                </c:pt>
                <c:pt idx="289">
                  <c:v>41.331656679426608</c:v>
                </c:pt>
                <c:pt idx="290">
                  <c:v>41.263434590789657</c:v>
                </c:pt>
                <c:pt idx="291">
                  <c:v>41.181084857204695</c:v>
                </c:pt>
                <c:pt idx="292">
                  <c:v>41.083412984802806</c:v>
                </c:pt>
                <c:pt idx="293">
                  <c:v>40.969619829675331</c:v>
                </c:pt>
                <c:pt idx="294">
                  <c:v>40.839329685196553</c:v>
                </c:pt>
                <c:pt idx="295">
                  <c:v>40.692604773698974</c:v>
                </c:pt>
                <c:pt idx="296">
                  <c:v>40.529946418554914</c:v>
                </c:pt>
                <c:pt idx="297">
                  <c:v>40.352283502509067</c:v>
                </c:pt>
                <c:pt idx="298">
                  <c:v>40.160948984506888</c:v>
                </c:pt>
                <c:pt idx="299">
                  <c:v>39.957645355707626</c:v>
                </c:pt>
                <c:pt idx="300">
                  <c:v>39.744399999999665</c:v>
                </c:pt>
                <c:pt idx="301">
                  <c:v>39.523511490617359</c:v>
                </c:pt>
                <c:pt idx="302">
                  <c:v>39.297487895601847</c:v>
                </c:pt>
                <c:pt idx="303">
                  <c:v>39.068978167463378</c:v>
                </c:pt>
                <c:pt idx="304">
                  <c:v>38.84069763713881</c:v>
                </c:pt>
                <c:pt idx="305">
                  <c:v>38.615348491340661</c:v>
                </c:pt>
                <c:pt idx="306">
                  <c:v>38.395535843411494</c:v>
                </c:pt>
                <c:pt idx="307">
                  <c:v>38.183679543025356</c:v>
                </c:pt>
                <c:pt idx="308">
                  <c:v>37.981921095526353</c:v>
                </c:pt>
                <c:pt idx="309">
                  <c:v>37.792023778139999</c:v>
                </c:pt>
                <c:pt idx="310">
                  <c:v>37.615261887347167</c:v>
                </c:pt>
                <c:pt idx="311">
                  <c:v>37.452291355291507</c:v>
                </c:pt>
                <c:pt idx="312">
                  <c:v>37.302987428486588</c:v>
                </c:pt>
                <c:pt idx="313">
                  <c:v>37.166223091330814</c:v>
                </c:pt>
                <c:pt idx="314">
                  <c:v>37.039538984042075</c:v>
                </c:pt>
                <c:pt idx="315">
                  <c:v>36.918609889508915</c:v>
                </c:pt>
                <c:pt idx="316">
                  <c:v>36.796317886826991</c:v>
                </c:pt>
                <c:pt idx="317">
                  <c:v>36.66103675392737</c:v>
                </c:pt>
                <c:pt idx="318">
                  <c:v>36.493276315832517</c:v>
                </c:pt>
                <c:pt idx="319">
                  <c:v>36.258851957795216</c:v>
                </c:pt>
                <c:pt idx="320">
                  <c:v>35.895103831537931</c:v>
                </c:pt>
                <c:pt idx="321">
                  <c:v>35.288412648370361</c:v>
                </c:pt>
                <c:pt idx="322">
                  <c:v>34.280840271596574</c:v>
                </c:pt>
                <c:pt idx="323">
                  <c:v>32.898641131789603</c:v>
                </c:pt>
                <c:pt idx="324">
                  <c:v>31.679741541019553</c:v>
                </c:pt>
                <c:pt idx="325">
                  <c:v>30.999060160779546</c:v>
                </c:pt>
                <c:pt idx="326">
                  <c:v>30.683665851753929</c:v>
                </c:pt>
                <c:pt idx="327">
                  <c:v>30.529463958264781</c:v>
                </c:pt>
                <c:pt idx="328">
                  <c:v>30.441486195422662</c:v>
                </c:pt>
                <c:pt idx="329">
                  <c:v>30.381422573671053</c:v>
                </c:pt>
                <c:pt idx="330">
                  <c:v>30.332633571508921</c:v>
                </c:pt>
                <c:pt idx="331">
                  <c:v>30.286622778332994</c:v>
                </c:pt>
                <c:pt idx="332">
                  <c:v>30.238156268590419</c:v>
                </c:pt>
                <c:pt idx="333">
                  <c:v>30.183470725593587</c:v>
                </c:pt>
                <c:pt idx="334">
                  <c:v>30.119603203941672</c:v>
                </c:pt>
                <c:pt idx="335">
                  <c:v>30.044145186283917</c:v>
                </c:pt>
                <c:pt idx="336">
                  <c:v>29.955161796675355</c:v>
                </c:pt>
                <c:pt idx="337">
                  <c:v>29.85117441928714</c:v>
                </c:pt>
                <c:pt idx="338">
                  <c:v>29.731164655162392</c:v>
                </c:pt>
                <c:pt idx="339">
                  <c:v>29.594581466400545</c:v>
                </c:pt>
                <c:pt idx="340">
                  <c:v>29.441343465375581</c:v>
                </c:pt>
                <c:pt idx="341">
                  <c:v>29.271832813132502</c:v>
                </c:pt>
                <c:pt idx="342">
                  <c:v>29.086879321397589</c:v>
                </c:pt>
                <c:pt idx="343">
                  <c:v>28.887734432505258</c:v>
                </c:pt>
                <c:pt idx="344">
                  <c:v>28.676035346872496</c:v>
                </c:pt>
                <c:pt idx="345">
                  <c:v>28.45375992680373</c:v>
                </c:pt>
                <c:pt idx="346">
                  <c:v>28.223173238695836</c:v>
                </c:pt>
                <c:pt idx="347">
                  <c:v>27.986766750983698</c:v>
                </c:pt>
                <c:pt idx="348">
                  <c:v>27.747191300507726</c:v>
                </c:pt>
                <c:pt idx="349">
                  <c:v>27.507184977771026</c:v>
                </c:pt>
                <c:pt idx="350">
                  <c:v>27.269497053768813</c:v>
                </c:pt>
                <c:pt idx="351">
                  <c:v>27.036808959709312</c:v>
                </c:pt>
                <c:pt idx="352">
                  <c:v>26.811653104475631</c:v>
                </c:pt>
                <c:pt idx="353">
                  <c:v>26.596329919538235</c:v>
                </c:pt>
                <c:pt idx="354">
                  <c:v>26.392822864828901</c:v>
                </c:pt>
                <c:pt idx="355">
                  <c:v>26.202710048141583</c:v>
                </c:pt>
                <c:pt idx="356">
                  <c:v>26.02706930615993</c:v>
                </c:pt>
                <c:pt idx="357">
                  <c:v>25.866370504239796</c:v>
                </c:pt>
                <c:pt idx="358">
                  <c:v>25.720343337142143</c:v>
                </c:pt>
                <c:pt idx="359">
                  <c:v>25.587798834893491</c:v>
                </c:pt>
                <c:pt idx="360">
                  <c:v>25.466363429733242</c:v>
                </c:pt>
                <c:pt idx="361">
                  <c:v>25.352045591300239</c:v>
                </c:pt>
                <c:pt idx="362">
                  <c:v>25.238473315229651</c:v>
                </c:pt>
                <c:pt idx="363">
                  <c:v>25.115460817610099</c:v>
                </c:pt>
                <c:pt idx="364">
                  <c:v>24.966151770466389</c:v>
                </c:pt>
                <c:pt idx="365">
                  <c:v>24.761044290481475</c:v>
                </c:pt>
                <c:pt idx="366">
                  <c:v>24.445299407887589</c:v>
                </c:pt>
                <c:pt idx="367">
                  <c:v>23.914701548179153</c:v>
                </c:pt>
                <c:pt idx="368">
                  <c:v>23.000127991225632</c:v>
                </c:pt>
                <c:pt idx="369">
                  <c:v>21.626854568978484</c:v>
                </c:pt>
                <c:pt idx="370">
                  <c:v>20.235321791028237</c:v>
                </c:pt>
                <c:pt idx="371">
                  <c:v>19.347405124199614</c:v>
                </c:pt>
                <c:pt idx="372">
                  <c:v>18.89547624771863</c:v>
                </c:pt>
                <c:pt idx="373">
                  <c:v>18.661702275713715</c:v>
                </c:pt>
                <c:pt idx="374">
                  <c:v>18.525518867188485</c:v>
                </c:pt>
                <c:pt idx="375">
                  <c:v>18.433588597085176</c:v>
                </c:pt>
                <c:pt idx="376">
                  <c:v>18.361364897875212</c:v>
                </c:pt>
                <c:pt idx="377">
                  <c:v>18.296107724329211</c:v>
                </c:pt>
                <c:pt idx="378">
                  <c:v>18.23023332238348</c:v>
                </c:pt>
                <c:pt idx="379">
                  <c:v>18.158665447144632</c:v>
                </c:pt>
                <c:pt idx="380">
                  <c:v>18.077733574709967</c:v>
                </c:pt>
                <c:pt idx="381">
                  <c:v>17.984695778894128</c:v>
                </c:pt>
                <c:pt idx="382">
                  <c:v>17.877525474771861</c:v>
                </c:pt>
                <c:pt idx="383">
                  <c:v>17.754812726097729</c:v>
                </c:pt>
                <c:pt idx="384">
                  <c:v>17.615714757076265</c:v>
                </c:pt>
                <c:pt idx="385">
                  <c:v>17.459925588615608</c:v>
                </c:pt>
                <c:pt idx="386">
                  <c:v>17.287650408554239</c:v>
                </c:pt>
                <c:pt idx="387">
                  <c:v>17.099577659836431</c:v>
                </c:pt>
                <c:pt idx="388">
                  <c:v>16.896845495703168</c:v>
                </c:pt>
                <c:pt idx="389">
                  <c:v>16.681001181378786</c:v>
                </c:pt>
                <c:pt idx="390">
                  <c:v>16.453953101997676</c:v>
                </c:pt>
                <c:pt idx="391">
                  <c:v>16.217915678061438</c:v>
                </c:pt>
                <c:pt idx="392">
                  <c:v>15.975347889735822</c:v>
                </c:pt>
                <c:pt idx="393">
                  <c:v>15.728886365901474</c:v>
                </c:pt>
                <c:pt idx="394">
                  <c:v>15.481274149341838</c:v>
                </c:pt>
                <c:pt idx="395">
                  <c:v>15.235286325859894</c:v>
                </c:pt>
                <c:pt idx="396">
                  <c:v>14.993653706922105</c:v>
                </c:pt>
                <c:pt idx="397">
                  <c:v>14.758985675162371</c:v>
                </c:pt>
                <c:pt idx="398">
                  <c:v>14.533693119340079</c:v>
                </c:pt>
                <c:pt idx="399">
                  <c:v>14.319912061025097</c:v>
                </c:pt>
                <c:pt idx="400">
                  <c:v>14.119428038655077</c:v>
                </c:pt>
                <c:pt idx="401">
                  <c:v>13.93360043746509</c:v>
                </c:pt>
                <c:pt idx="402">
                  <c:v>13.763284498783255</c:v>
                </c:pt>
                <c:pt idx="403">
                  <c:v>13.608746257283325</c:v>
                </c:pt>
                <c:pt idx="404">
                  <c:v>13.46956125026969</c:v>
                </c:pt>
                <c:pt idx="405">
                  <c:v>13.344479702384684</c:v>
                </c:pt>
                <c:pt idx="406">
                  <c:v>13.231225151124052</c:v>
                </c:pt>
                <c:pt idx="407">
                  <c:v>13.126161573054199</c:v>
                </c:pt>
                <c:pt idx="408">
                  <c:v>13.023696100080079</c:v>
                </c:pt>
                <c:pt idx="409">
                  <c:v>12.9151321620411</c:v>
                </c:pt>
                <c:pt idx="410">
                  <c:v>12.786330946886299</c:v>
                </c:pt>
                <c:pt idx="411">
                  <c:v>12.612681410780478</c:v>
                </c:pt>
                <c:pt idx="412">
                  <c:v>12.347927919644979</c:v>
                </c:pt>
                <c:pt idx="413">
                  <c:v>11.900661104739223</c:v>
                </c:pt>
                <c:pt idx="414">
                  <c:v>11.104543059477226</c:v>
                </c:pt>
                <c:pt idx="415">
                  <c:v>9.8089957058489521</c:v>
                </c:pt>
                <c:pt idx="416">
                  <c:v>8.3158826454154582</c:v>
                </c:pt>
                <c:pt idx="417">
                  <c:v>7.2380497723938308</c:v>
                </c:pt>
                <c:pt idx="418">
                  <c:v>6.6455411562374227</c:v>
                </c:pt>
                <c:pt idx="419">
                  <c:v>6.3275904007319035</c:v>
                </c:pt>
                <c:pt idx="420">
                  <c:v>6.1407567810685029</c:v>
                </c:pt>
                <c:pt idx="421">
                  <c:v>6.016138988771087</c:v>
                </c:pt>
                <c:pt idx="422">
                  <c:v>5.9207017182916317</c:v>
                </c:pt>
                <c:pt idx="423">
                  <c:v>5.8371156126727488</c:v>
                </c:pt>
                <c:pt idx="424">
                  <c:v>5.755263287847125</c:v>
                </c:pt>
                <c:pt idx="425">
                  <c:v>5.6686630990626972</c:v>
                </c:pt>
                <c:pt idx="426">
                  <c:v>5.57289359452502</c:v>
                </c:pt>
                <c:pt idx="427">
                  <c:v>5.4648613986955796</c:v>
                </c:pt>
                <c:pt idx="428">
                  <c:v>5.3424418937416727</c:v>
                </c:pt>
                <c:pt idx="429">
                  <c:v>5.204291254340605</c:v>
                </c:pt>
                <c:pt idx="430">
                  <c:v>5.0497387569775736</c:v>
                </c:pt>
                <c:pt idx="431">
                  <c:v>4.878716064140896</c:v>
                </c:pt>
                <c:pt idx="432">
                  <c:v>4.6917020399513198</c:v>
                </c:pt>
                <c:pt idx="433">
                  <c:v>4.4896722016820672</c:v>
                </c:pt>
                <c:pt idx="434">
                  <c:v>4.274047274284146</c:v>
                </c:pt>
                <c:pt idx="435">
                  <c:v>4.0466381846138155</c:v>
                </c:pt>
                <c:pt idx="436">
                  <c:v>3.8095864463907319</c:v>
                </c:pt>
                <c:pt idx="437">
                  <c:v>3.5652998384438646</c:v>
                </c:pt>
                <c:pt idx="438">
                  <c:v>3.3163838611354786</c:v>
                </c:pt>
                <c:pt idx="439">
                  <c:v>3.0655698185839606</c:v>
                </c:pt>
                <c:pt idx="440">
                  <c:v>2.8156405948241816</c:v>
                </c:pt>
                <c:pt idx="441">
                  <c:v>2.5693553097715816</c:v>
                </c:pt>
                <c:pt idx="442">
                  <c:v>2.3293740736588893</c:v>
                </c:pt>
                <c:pt idx="443">
                  <c:v>2.0981840100219284</c:v>
                </c:pt>
                <c:pt idx="444">
                  <c:v>1.8780275781865994</c:v>
                </c:pt>
                <c:pt idx="445">
                  <c:v>1.6708339717265928</c:v>
                </c:pt>
                <c:pt idx="446">
                  <c:v>1.4781539499053373</c:v>
                </c:pt>
                <c:pt idx="447">
                  <c:v>1.3010977808281314</c:v>
                </c:pt>
                <c:pt idx="448">
                  <c:v>1.1402748599114969</c:v>
                </c:pt>
                <c:pt idx="449">
                  <c:v>0.9957316704663195</c:v>
                </c:pt>
                <c:pt idx="450">
                  <c:v>0.86688138602701592</c:v>
                </c:pt>
                <c:pt idx="451">
                  <c:v>0.75241215115687621</c:v>
                </c:pt>
                <c:pt idx="452">
                  <c:v>0.65014884679216745</c:v>
                </c:pt>
                <c:pt idx="453">
                  <c:v>0.55681802567620431</c:v>
                </c:pt>
                <c:pt idx="454">
                  <c:v>0.46761133708587299</c:v>
                </c:pt>
                <c:pt idx="455">
                  <c:v>0.37531860470028366</c:v>
                </c:pt>
                <c:pt idx="456">
                  <c:v>0.26850305973534438</c:v>
                </c:pt>
                <c:pt idx="457">
                  <c:v>0.12744400645348419</c:v>
                </c:pt>
                <c:pt idx="458">
                  <c:v>-8.5277123502526697E-2</c:v>
                </c:pt>
                <c:pt idx="459">
                  <c:v>-0.44630059498593333</c:v>
                </c:pt>
                <c:pt idx="460">
                  <c:v>-1.108620851411076</c:v>
                </c:pt>
                <c:pt idx="461">
                  <c:v>-2.2699963899602706</c:v>
                </c:pt>
                <c:pt idx="462">
                  <c:v>-3.7839317701436999</c:v>
                </c:pt>
                <c:pt idx="463">
                  <c:v>-5.0185384844517227</c:v>
                </c:pt>
                <c:pt idx="464">
                  <c:v>-5.7490855906407869</c:v>
                </c:pt>
                <c:pt idx="465">
                  <c:v>-6.1533545683732749</c:v>
                </c:pt>
                <c:pt idx="466">
                  <c:v>-6.3921131896905994</c:v>
                </c:pt>
                <c:pt idx="467">
                  <c:v>-6.5495512636001063</c:v>
                </c:pt>
                <c:pt idx="468">
                  <c:v>-6.6675099384161838</c:v>
                </c:pt>
                <c:pt idx="469">
                  <c:v>-6.7681436539685285</c:v>
                </c:pt>
                <c:pt idx="470">
                  <c:v>-6.8642328122616778</c:v>
                </c:pt>
                <c:pt idx="471">
                  <c:v>-6.9637275704733224</c:v>
                </c:pt>
                <c:pt idx="472">
                  <c:v>-7.0718276598355132</c:v>
                </c:pt>
                <c:pt idx="473">
                  <c:v>-7.1919878834140025</c:v>
                </c:pt>
                <c:pt idx="474">
                  <c:v>-7.3264341840518412</c:v>
                </c:pt>
                <c:pt idx="475">
                  <c:v>-7.4764471101763794</c:v>
                </c:pt>
                <c:pt idx="476">
                  <c:v>-7.6425313398053145</c:v>
                </c:pt>
                <c:pt idx="477">
                  <c:v>-7.8245288072542358</c:v>
                </c:pt>
                <c:pt idx="478">
                  <c:v>-8.0217044985308217</c:v>
                </c:pt>
                <c:pt idx="479">
                  <c:v>-8.2328200168214138</c:v>
                </c:pt>
                <c:pt idx="480">
                  <c:v>-8.4562028285955009</c:v>
                </c:pt>
                <c:pt idx="481">
                  <c:v>-8.6898152209906598</c:v>
                </c:pt>
                <c:pt idx="482">
                  <c:v>-8.9313248135513739</c:v>
                </c:pt>
                <c:pt idx="483">
                  <c:v>-9.1781771841116431</c:v>
                </c:pt>
                <c:pt idx="484">
                  <c:v>-9.4276703918548783</c:v>
                </c:pt>
                <c:pt idx="485">
                  <c:v>-9.6770307030429041</c:v>
                </c:pt>
                <c:pt idx="486">
                  <c:v>-9.9234885357506606</c:v>
                </c:pt>
                <c:pt idx="487">
                  <c:v>-10.164353479101399</c:v>
                </c:pt>
                <c:pt idx="488">
                  <c:v>-10.397087178049876</c:v>
                </c:pt>
                <c:pt idx="489">
                  <c:v>-10.619372891936587</c:v>
                </c:pt>
                <c:pt idx="490">
                  <c:v>-10.829180631819177</c:v>
                </c:pt>
                <c:pt idx="491">
                  <c:v>-11.024826969041536</c:v>
                </c:pt>
                <c:pt idx="492">
                  <c:v>-11.205028915187514</c:v>
                </c:pt>
                <c:pt idx="493">
                  <c:v>-11.368951762988175</c:v>
                </c:pt>
                <c:pt idx="494">
                  <c:v>-11.516251571161769</c:v>
                </c:pt>
                <c:pt idx="495">
                  <c:v>-11.647114317868173</c:v>
                </c:pt>
                <c:pt idx="496">
                  <c:v>-11.762296137334477</c:v>
                </c:pt>
                <c:pt idx="497">
                  <c:v>-11.863173549475409</c:v>
                </c:pt>
                <c:pt idx="498">
                  <c:v>-11.951821518695253</c:v>
                </c:pt>
                <c:pt idx="499">
                  <c:v>-12.03115588455122</c:v>
                </c:pt>
                <c:pt idx="500">
                  <c:v>-12.105218110337253</c:v>
                </c:pt>
                <c:pt idx="501">
                  <c:v>-12.179777221945171</c:v>
                </c:pt>
                <c:pt idx="502">
                  <c:v>-12.263663832019382</c:v>
                </c:pt>
                <c:pt idx="503">
                  <c:v>-12.371875479981339</c:v>
                </c:pt>
                <c:pt idx="504">
                  <c:v>-12.533144912967696</c:v>
                </c:pt>
                <c:pt idx="505">
                  <c:v>-12.808569555862862</c:v>
                </c:pt>
                <c:pt idx="506">
                  <c:v>-13.330656345150414</c:v>
                </c:pt>
                <c:pt idx="507">
                  <c:v>-14.316663196308751</c:v>
                </c:pt>
                <c:pt idx="508">
                  <c:v>-15.768641988866518</c:v>
                </c:pt>
                <c:pt idx="509">
                  <c:v>-17.110973407854182</c:v>
                </c:pt>
                <c:pt idx="510">
                  <c:v>-17.96884625423742</c:v>
                </c:pt>
                <c:pt idx="511">
                  <c:v>-18.458394937338344</c:v>
                </c:pt>
                <c:pt idx="512">
                  <c:v>-18.748888163116277</c:v>
                </c:pt>
                <c:pt idx="513">
                  <c:v>-18.93846811090738</c:v>
                </c:pt>
                <c:pt idx="514">
                  <c:v>-19.077743097723683</c:v>
                </c:pt>
                <c:pt idx="515">
                  <c:v>-19.193781551022887</c:v>
                </c:pt>
                <c:pt idx="516">
                  <c:v>-19.302084854571831</c:v>
                </c:pt>
                <c:pt idx="517">
                  <c:v>-19.41209684028977</c:v>
                </c:pt>
                <c:pt idx="518">
                  <c:v>-19.529802243579308</c:v>
                </c:pt>
                <c:pt idx="519">
                  <c:v>-19.659016583504446</c:v>
                </c:pt>
                <c:pt idx="520">
                  <c:v>-19.802065808554762</c:v>
                </c:pt>
                <c:pt idx="521">
                  <c:v>-19.960169257180343</c:v>
                </c:pt>
                <c:pt idx="522">
                  <c:v>-20.133673241877602</c:v>
                </c:pt>
                <c:pt idx="523">
                  <c:v>-20.322207701193079</c:v>
                </c:pt>
                <c:pt idx="524">
                  <c:v>-20.524802990978301</c:v>
                </c:pt>
                <c:pt idx="525">
                  <c:v>-20.739986348639579</c:v>
                </c:pt>
                <c:pt idx="526">
                  <c:v>-20.965868458535301</c:v>
                </c:pt>
                <c:pt idx="527">
                  <c:v>-21.200225609132183</c:v>
                </c:pt>
                <c:pt idx="528">
                  <c:v>-21.440580145765875</c:v>
                </c:pt>
                <c:pt idx="529">
                  <c:v>-21.684280293696453</c:v>
                </c:pt>
                <c:pt idx="530">
                  <c:v>-21.928579447366335</c:v>
                </c:pt>
                <c:pt idx="531">
                  <c:v>-22.17071442544087</c:v>
                </c:pt>
                <c:pt idx="532">
                  <c:v>-22.407981831478011</c:v>
                </c:pt>
                <c:pt idx="533">
                  <c:v>-22.637811455403366</c:v>
                </c:pt>
                <c:pt idx="534">
                  <c:v>-22.857835555027371</c:v>
                </c:pt>
                <c:pt idx="535">
                  <c:v>-23.06595284363069</c:v>
                </c:pt>
                <c:pt idx="536">
                  <c:v>-23.260386066353632</c:v>
                </c:pt>
                <c:pt idx="537">
                  <c:v>-23.439732172845559</c:v>
                </c:pt>
                <c:pt idx="538">
                  <c:v>-23.603004297359075</c:v>
                </c:pt>
                <c:pt idx="539">
                  <c:v>-23.749665072000852</c:v>
                </c:pt>
                <c:pt idx="540">
                  <c:v>-23.879651295457275</c:v>
                </c:pt>
                <c:pt idx="541">
                  <c:v>-23.993390810668732</c:v>
                </c:pt>
                <c:pt idx="542">
                  <c:v>-24.091813938123281</c:v>
                </c:pt>
                <c:pt idx="543">
                  <c:v>-24.176364687216939</c:v>
                </c:pt>
                <c:pt idx="544">
                  <c:v>-24.249022867449028</c:v>
                </c:pt>
                <c:pt idx="545">
                  <c:v>-24.312361040581457</c:v>
                </c:pt>
                <c:pt idx="546">
                  <c:v>-24.369689696672726</c:v>
                </c:pt>
                <c:pt idx="547">
                  <c:v>-24.425415542475974</c:v>
                </c:pt>
                <c:pt idx="548">
                  <c:v>-24.485921666423419</c:v>
                </c:pt>
                <c:pt idx="549">
                  <c:v>-24.561777554365104</c:v>
                </c:pt>
                <c:pt idx="550">
                  <c:v>-24.67349027233676</c:v>
                </c:pt>
                <c:pt idx="551">
                  <c:v>-24.866774911470852</c:v>
                </c:pt>
                <c:pt idx="552">
                  <c:v>-25.249582268614489</c:v>
                </c:pt>
                <c:pt idx="553">
                  <c:v>-26.035104340732076</c:v>
                </c:pt>
                <c:pt idx="554">
                  <c:v>-27.348329557876639</c:v>
                </c:pt>
                <c:pt idx="555">
                  <c:v>-28.735266266856989</c:v>
                </c:pt>
                <c:pt idx="556">
                  <c:v>-29.700186631652752</c:v>
                </c:pt>
                <c:pt idx="557">
                  <c:v>-30.270036015604305</c:v>
                </c:pt>
                <c:pt idx="558">
                  <c:v>-30.610290751997599</c:v>
                </c:pt>
                <c:pt idx="559">
                  <c:v>-30.830392615791673</c:v>
                </c:pt>
                <c:pt idx="560">
                  <c:v>-30.989222299856944</c:v>
                </c:pt>
                <c:pt idx="561">
                  <c:v>-31.118663805680971</c:v>
                </c:pt>
                <c:pt idx="562">
                  <c:v>-31.236907791339007</c:v>
                </c:pt>
                <c:pt idx="563">
                  <c:v>-31.35486994410973</c:v>
                </c:pt>
                <c:pt idx="564">
                  <c:v>-31.479301307419721</c:v>
                </c:pt>
                <c:pt idx="565">
                  <c:v>-31.614364009612302</c:v>
                </c:pt>
                <c:pt idx="566">
                  <c:v>-31.762476434847141</c:v>
                </c:pt>
                <c:pt idx="567">
                  <c:v>-31.924796914914701</c:v>
                </c:pt>
                <c:pt idx="568">
                  <c:v>-32.101521913218122</c:v>
                </c:pt>
                <c:pt idx="569">
                  <c:v>-32.292086214234367</c:v>
                </c:pt>
                <c:pt idx="570">
                  <c:v>-32.495310335377972</c:v>
                </c:pt>
                <c:pt idx="571">
                  <c:v>-32.709519225257779</c:v>
                </c:pt>
                <c:pt idx="572">
                  <c:v>-32.932645262797166</c:v>
                </c:pt>
                <c:pt idx="573">
                  <c:v>-33.162322559439566</c:v>
                </c:pt>
                <c:pt idx="574">
                  <c:v>-33.395976171583442</c:v>
                </c:pt>
                <c:pt idx="575">
                  <c:v>-33.630907850826098</c:v>
                </c:pt>
                <c:pt idx="576">
                  <c:v>-33.864378776772625</c:v>
                </c:pt>
                <c:pt idx="577">
                  <c:v>-34.093689001386508</c:v>
                </c:pt>
                <c:pt idx="578">
                  <c:v>-34.316252903608479</c:v>
                </c:pt>
                <c:pt idx="579">
                  <c:v>-34.529669704998632</c:v>
                </c:pt>
                <c:pt idx="580">
                  <c:v>-34.731787970737983</c:v>
                </c:pt>
                <c:pt idx="581">
                  <c:v>-34.920762978493116</c:v>
                </c:pt>
                <c:pt idx="582">
                  <c:v>-35.095105857374833</c:v>
                </c:pt>
                <c:pt idx="583">
                  <c:v>-35.253723466673058</c:v>
                </c:pt>
                <c:pt idx="584">
                  <c:v>-35.395948093454621</c:v>
                </c:pt>
                <c:pt idx="585">
                  <c:v>-35.521556204691208</c:v>
                </c:pt>
                <c:pt idx="586">
                  <c:v>-35.630775719227977</c:v>
                </c:pt>
                <c:pt idx="587">
                  <c:v>-35.724281638448922</c:v>
                </c:pt>
                <c:pt idx="588">
                  <c:v>-35.8031805662295</c:v>
                </c:pt>
                <c:pt idx="589">
                  <c:v>-35.868986079731854</c:v>
                </c:pt>
                <c:pt idx="590">
                  <c:v>-35.923590113133962</c:v>
                </c:pt>
                <c:pt idx="591">
                  <c:v>-35.969243081348004</c:v>
                </c:pt>
                <c:pt idx="592">
                  <c:v>-36.008574195927572</c:v>
                </c:pt>
                <c:pt idx="593">
                  <c:v>-36.04473195930435</c:v>
                </c:pt>
                <c:pt idx="594">
                  <c:v>-36.081857028138081</c:v>
                </c:pt>
                <c:pt idx="595">
                  <c:v>-36.126478840889426</c:v>
                </c:pt>
                <c:pt idx="596">
                  <c:v>-36.191561953419821</c:v>
                </c:pt>
                <c:pt idx="597">
                  <c:v>-36.308294764715072</c:v>
                </c:pt>
                <c:pt idx="598">
                  <c:v>-36.558559238926527</c:v>
                </c:pt>
                <c:pt idx="599">
                  <c:v>-37.133677599958553</c:v>
                </c:pt>
                <c:pt idx="600">
                  <c:v>-38.244400000007751</c:v>
                </c:pt>
                <c:pt idx="601">
                  <c:v>-39.60271253348089</c:v>
                </c:pt>
                <c:pt idx="602">
                  <c:v>-40.643886135131773</c:v>
                </c:pt>
                <c:pt idx="603">
                  <c:v>-41.284352470576607</c:v>
                </c:pt>
                <c:pt idx="604">
                  <c:v>-41.670282013586224</c:v>
                </c:pt>
                <c:pt idx="605">
                  <c:v>-41.91820981267788</c:v>
                </c:pt>
                <c:pt idx="606">
                  <c:v>-42.094231969776864</c:v>
                </c:pt>
                <c:pt idx="607">
                  <c:v>-42.23471925394152</c:v>
                </c:pt>
                <c:pt idx="608">
                  <c:v>-42.360411126856945</c:v>
                </c:pt>
                <c:pt idx="609">
                  <c:v>-42.483617079811964</c:v>
                </c:pt>
                <c:pt idx="610">
                  <c:v>-42.611805523162772</c:v>
                </c:pt>
                <c:pt idx="611">
                  <c:v>-42.749454994885106</c:v>
                </c:pt>
                <c:pt idx="612">
                  <c:v>-42.899060852393688</c:v>
                </c:pt>
                <c:pt idx="613">
                  <c:v>-43.061717639608879</c:v>
                </c:pt>
                <c:pt idx="614">
                  <c:v>-43.237480442432584</c:v>
                </c:pt>
                <c:pt idx="615">
                  <c:v>-43.425607373609523</c:v>
                </c:pt>
                <c:pt idx="616">
                  <c:v>-43.62473638799063</c:v>
                </c:pt>
                <c:pt idx="617">
                  <c:v>-43.833024961868027</c:v>
                </c:pt>
                <c:pt idx="618">
                  <c:v>-44.048268218556359</c:v>
                </c:pt>
                <c:pt idx="619">
                  <c:v>-44.268004015723612</c:v>
                </c:pt>
                <c:pt idx="620">
                  <c:v>-44.489609517873774</c:v>
                </c:pt>
                <c:pt idx="621">
                  <c:v>-44.710391454396699</c:v>
                </c:pt>
                <c:pt idx="622">
                  <c:v>-44.927670881400637</c:v>
                </c:pt>
                <c:pt idx="623">
                  <c:v>-45.138862433567461</c:v>
                </c:pt>
                <c:pt idx="624">
                  <c:v>-45.341547553896348</c:v>
                </c:pt>
                <c:pt idx="625">
                  <c:v>-45.533540899882851</c:v>
                </c:pt>
                <c:pt idx="626">
                  <c:v>-45.712948969710517</c:v>
                </c:pt>
                <c:pt idx="627">
                  <c:v>-45.878219924030972</c:v>
                </c:pt>
                <c:pt idx="628">
                  <c:v>-46.028183565429842</c:v>
                </c:pt>
                <c:pt idx="629">
                  <c:v>-46.162080454180121</c:v>
                </c:pt>
                <c:pt idx="630">
                  <c:v>-46.279579164892134</c:v>
                </c:pt>
                <c:pt idx="631">
                  <c:v>-46.380780706279005</c:v>
                </c:pt>
                <c:pt idx="632">
                  <c:v>-46.466209122076791</c:v>
                </c:pt>
                <c:pt idx="633">
                  <c:v>-46.536787265479781</c:v>
                </c:pt>
                <c:pt idx="634">
                  <c:v>-46.593796734186839</c:v>
                </c:pt>
                <c:pt idx="635">
                  <c:v>-46.638821130327599</c:v>
                </c:pt>
                <c:pt idx="636">
                  <c:v>-46.673672670186917</c:v>
                </c:pt>
                <c:pt idx="637">
                  <c:v>-46.700305174608161</c:v>
                </c:pt>
                <c:pt idx="638">
                  <c:v>-46.72072586894722</c:v>
                </c:pt>
                <c:pt idx="639">
                  <c:v>-46.736946822729102</c:v>
                </c:pt>
                <c:pt idx="640">
                  <c:v>-46.75110313221321</c:v>
                </c:pt>
                <c:pt idx="641">
                  <c:v>-46.766134225811605</c:v>
                </c:pt>
                <c:pt idx="642">
                  <c:v>-46.788293861233527</c:v>
                </c:pt>
                <c:pt idx="643">
                  <c:v>-46.835582494891128</c:v>
                </c:pt>
                <c:pt idx="644">
                  <c:v>-46.964277076594946</c:v>
                </c:pt>
                <c:pt idx="645">
                  <c:v>-47.332187034613682</c:v>
                </c:pt>
                <c:pt idx="646">
                  <c:v>-48.194797656098807</c:v>
                </c:pt>
                <c:pt idx="647">
                  <c:v>-49.447050697266178</c:v>
                </c:pt>
                <c:pt idx="648">
                  <c:v>-50.522967741803342</c:v>
                </c:pt>
                <c:pt idx="649">
                  <c:v>-51.218955755561616</c:v>
                </c:pt>
                <c:pt idx="650">
                  <c:v>-51.644028512937282</c:v>
                </c:pt>
                <c:pt idx="651">
                  <c:v>-51.91587624423066</c:v>
                </c:pt>
                <c:pt idx="652">
                  <c:v>-52.106085261429897</c:v>
                </c:pt>
                <c:pt idx="653">
                  <c:v>-52.254909556405806</c:v>
                </c:pt>
                <c:pt idx="654">
                  <c:v>-52.385368762780487</c:v>
                </c:pt>
                <c:pt idx="655">
                  <c:v>-52.51102270267242</c:v>
                </c:pt>
                <c:pt idx="656">
                  <c:v>-52.63997327478689</c:v>
                </c:pt>
                <c:pt idx="657">
                  <c:v>-52.776966543571682</c:v>
                </c:pt>
                <c:pt idx="658">
                  <c:v>-52.924549904851844</c:v>
                </c:pt>
                <c:pt idx="659">
                  <c:v>-53.083747248043451</c:v>
                </c:pt>
                <c:pt idx="660">
                  <c:v>-53.254479815434912</c:v>
                </c:pt>
                <c:pt idx="661">
                  <c:v>-53.435848345024084</c:v>
                </c:pt>
                <c:pt idx="662">
                  <c:v>-53.626337157802617</c:v>
                </c:pt>
                <c:pt idx="663">
                  <c:v>-53.823972943459559</c:v>
                </c:pt>
                <c:pt idx="664">
                  <c:v>-54.0264562724972</c:v>
                </c:pt>
                <c:pt idx="665">
                  <c:v>-54.23127580633853</c:v>
                </c:pt>
                <c:pt idx="666">
                  <c:v>-54.435810623204645</c:v>
                </c:pt>
                <c:pt idx="667">
                  <c:v>-54.637423431599856</c:v>
                </c:pt>
                <c:pt idx="668">
                  <c:v>-54.833545874048347</c:v>
                </c:pt>
                <c:pt idx="669">
                  <c:v>-55.021756183323006</c:v>
                </c:pt>
                <c:pt idx="670">
                  <c:v>-55.199848891967541</c:v>
                </c:pt>
                <c:pt idx="671">
                  <c:v>-55.36589596878126</c:v>
                </c:pt>
                <c:pt idx="672">
                  <c:v>-55.518298575324849</c:v>
                </c:pt>
                <c:pt idx="673">
                  <c:v>-55.655828544450515</c:v>
                </c:pt>
                <c:pt idx="674">
                  <c:v>-55.777658640487147</c:v>
                </c:pt>
                <c:pt idx="675">
                  <c:v>-55.883380633194079</c:v>
                </c:pt>
                <c:pt idx="676">
                  <c:v>-55.973010171916954</c:v>
                </c:pt>
                <c:pt idx="677">
                  <c:v>-56.0469773451821</c:v>
                </c:pt>
                <c:pt idx="678">
                  <c:v>-56.106101607916884</c:v>
                </c:pt>
                <c:pt idx="679">
                  <c:v>-56.151549394806906</c:v>
                </c:pt>
                <c:pt idx="680">
                  <c:v>-56.184772145035168</c:v>
                </c:pt>
                <c:pt idx="681">
                  <c:v>-56.207421585535592</c:v>
                </c:pt>
                <c:pt idx="682">
                  <c:v>-56.221238012793002</c:v>
                </c:pt>
                <c:pt idx="683">
                  <c:v>-56.227906481879195</c:v>
                </c:pt>
                <c:pt idx="684">
                  <c:v>-56.228877334196426</c:v>
                </c:pt>
                <c:pt idx="685">
                  <c:v>-56.225158787955642</c:v>
                </c:pt>
                <c:pt idx="686">
                  <c:v>-56.2171360772615</c:v>
                </c:pt>
                <c:pt idx="687">
                  <c:v>-56.204644068332293</c:v>
                </c:pt>
                <c:pt idx="688">
                  <c:v>-56.188143075825202</c:v>
                </c:pt>
                <c:pt idx="689">
                  <c:v>-56.174087479806708</c:v>
                </c:pt>
                <c:pt idx="690">
                  <c:v>-56.195029204688922</c:v>
                </c:pt>
                <c:pt idx="691">
                  <c:v>-56.369300300783379</c:v>
                </c:pt>
                <c:pt idx="692">
                  <c:v>-56.958857410347953</c:v>
                </c:pt>
                <c:pt idx="693">
                  <c:v>-58.030634280457591</c:v>
                </c:pt>
                <c:pt idx="694">
                  <c:v>-59.089947540625523</c:v>
                </c:pt>
                <c:pt idx="695">
                  <c:v>-59.820388162406843</c:v>
                </c:pt>
                <c:pt idx="696">
                  <c:v>-60.275314573184787</c:v>
                </c:pt>
                <c:pt idx="697">
                  <c:v>-60.565838799710392</c:v>
                </c:pt>
                <c:pt idx="698">
                  <c:v>-60.766546636613313</c:v>
                </c:pt>
                <c:pt idx="699">
                  <c:v>-60.920653374274949</c:v>
                </c:pt>
                <c:pt idx="700">
                  <c:v>-61.053043037554723</c:v>
                </c:pt>
                <c:pt idx="701">
                  <c:v>-61.178308098248152</c:v>
                </c:pt>
                <c:pt idx="702">
                  <c:v>-61.305060755140751</c:v>
                </c:pt>
                <c:pt idx="703">
                  <c:v>-61.43824466144337</c:v>
                </c:pt>
                <c:pt idx="704">
                  <c:v>-61.580423397364818</c:v>
                </c:pt>
                <c:pt idx="705">
                  <c:v>-61.732538213496838</c:v>
                </c:pt>
                <c:pt idx="706">
                  <c:v>-61.894382236018785</c:v>
                </c:pt>
                <c:pt idx="707">
                  <c:v>-62.064918110109573</c:v>
                </c:pt>
                <c:pt idx="708">
                  <c:v>-62.242506254436243</c:v>
                </c:pt>
                <c:pt idx="709">
                  <c:v>-62.425080233067881</c:v>
                </c:pt>
                <c:pt idx="710">
                  <c:v>-62.610289478100093</c:v>
                </c:pt>
                <c:pt idx="711">
                  <c:v>-62.795620666143812</c:v>
                </c:pt>
                <c:pt idx="712">
                  <c:v>-62.978503999221957</c:v>
                </c:pt>
                <c:pt idx="713">
                  <c:v>-63.156407707482039</c:v>
                </c:pt>
                <c:pt idx="714">
                  <c:v>-63.326922356054247</c:v>
                </c:pt>
                <c:pt idx="715">
                  <c:v>-63.487835502371965</c:v>
                </c:pt>
                <c:pt idx="716">
                  <c:v>-63.637196633780853</c:v>
                </c:pt>
                <c:pt idx="717">
                  <c:v>-63.773371955597959</c:v>
                </c:pt>
                <c:pt idx="718">
                  <c:v>-63.895088397468548</c:v>
                </c:pt>
                <c:pt idx="719">
                  <c:v>-64.001466095507553</c:v>
                </c:pt>
                <c:pt idx="720">
                  <c:v>-64.09203854118563</c:v>
                </c:pt>
                <c:pt idx="721">
                  <c:v>-64.166759523648366</c:v>
                </c:pt>
                <c:pt idx="722">
                  <c:v>-64.225995886863302</c:v>
                </c:pt>
                <c:pt idx="723">
                  <c:v>-64.270504923569376</c:v>
                </c:pt>
                <c:pt idx="724">
                  <c:v>-64.301394861556844</c:v>
                </c:pt>
                <c:pt idx="725">
                  <c:v>-64.320066257933675</c:v>
                </c:pt>
                <c:pt idx="726">
                  <c:v>-64.328131045242316</c:v>
                </c:pt>
                <c:pt idx="727">
                  <c:v>-64.32730423839503</c:v>
                </c:pt>
                <c:pt idx="728">
                  <c:v>-64.319260607419267</c:v>
                </c:pt>
                <c:pt idx="729">
                  <c:v>-64.305444670576449</c:v>
                </c:pt>
                <c:pt idx="730">
                  <c:v>-64.28681745831895</c:v>
                </c:pt>
                <c:pt idx="731">
                  <c:v>-64.263520728756518</c:v>
                </c:pt>
                <c:pt idx="732">
                  <c:v>-64.234453209854934</c:v>
                </c:pt>
                <c:pt idx="733">
                  <c:v>-64.196843638875606</c:v>
                </c:pt>
                <c:pt idx="734">
                  <c:v>-64.146310176570083</c:v>
                </c:pt>
                <c:pt idx="735">
                  <c:v>-64.079558969455007</c:v>
                </c:pt>
                <c:pt idx="736">
                  <c:v>-64.008216981179913</c:v>
                </c:pt>
                <c:pt idx="737">
                  <c:v>-64.009863056699999</c:v>
                </c:pt>
                <c:pt idx="738">
                  <c:v>-64.321992940678626</c:v>
                </c:pt>
                <c:pt idx="739">
                  <c:v>-65.149434414545354</c:v>
                </c:pt>
                <c:pt idx="740">
                  <c:v>-66.13319284406569</c:v>
                </c:pt>
                <c:pt idx="741">
                  <c:v>-66.87074145383599</c:v>
                </c:pt>
                <c:pt idx="742">
                  <c:v>-67.343204527735537</c:v>
                </c:pt>
                <c:pt idx="743">
                  <c:v>-67.645711475184072</c:v>
                </c:pt>
                <c:pt idx="744">
                  <c:v>-67.852515485543506</c:v>
                </c:pt>
                <c:pt idx="745">
                  <c:v>-68.008512674006184</c:v>
                </c:pt>
                <c:pt idx="746">
                  <c:v>-68.139870873647666</c:v>
                </c:pt>
                <c:pt idx="747">
                  <c:v>-68.261915348275366</c:v>
                </c:pt>
                <c:pt idx="748">
                  <c:v>-68.383602263461924</c:v>
                </c:pt>
                <c:pt idx="749">
                  <c:v>-68.509979841949274</c:v>
                </c:pt>
                <c:pt idx="750">
                  <c:v>-68.643579838861527</c:v>
                </c:pt>
                <c:pt idx="751">
                  <c:v>-68.785242852111537</c:v>
                </c:pt>
                <c:pt idx="752">
                  <c:v>-68.934637006189163</c:v>
                </c:pt>
                <c:pt idx="753">
                  <c:v>-69.090605316990576</c:v>
                </c:pt>
                <c:pt idx="754">
                  <c:v>-69.251413992468542</c:v>
                </c:pt>
                <c:pt idx="755">
                  <c:v>-69.414941213390733</c:v>
                </c:pt>
                <c:pt idx="756">
                  <c:v>-69.578828459489685</c:v>
                </c:pt>
                <c:pt idx="757">
                  <c:v>-69.740606816374253</c:v>
                </c:pt>
                <c:pt idx="758">
                  <c:v>-69.897805240839006</c:v>
                </c:pt>
                <c:pt idx="759">
                  <c:v>-70.048044594601436</c:v>
                </c:pt>
                <c:pt idx="760">
                  <c:v>-70.189119386229663</c:v>
                </c:pt>
                <c:pt idx="761">
                  <c:v>-70.319068047743798</c:v>
                </c:pt>
                <c:pt idx="762">
                  <c:v>-70.436231912058787</c:v>
                </c:pt>
                <c:pt idx="763">
                  <c:v>-70.539302672385929</c:v>
                </c:pt>
                <c:pt idx="764">
                  <c:v>-70.627357885713721</c:v>
                </c:pt>
                <c:pt idx="765">
                  <c:v>-70.699883957173611</c:v>
                </c:pt>
                <c:pt idx="766">
                  <c:v>-70.756785956481025</c:v>
                </c:pt>
                <c:pt idx="767">
                  <c:v>-70.798383524018078</c:v>
                </c:pt>
                <c:pt idx="768">
                  <c:v>-70.825391971269681</c:v>
                </c:pt>
                <c:pt idx="769">
                  <c:v>-70.838887403040488</c:v>
                </c:pt>
                <c:pt idx="770">
                  <c:v>-70.84025419391287</c:v>
                </c:pt>
                <c:pt idx="771">
                  <c:v>-70.831112295795705</c:v>
                </c:pt>
                <c:pt idx="772">
                  <c:v>-70.8132204096663</c:v>
                </c:pt>
                <c:pt idx="773">
                  <c:v>-70.788348655265935</c:v>
                </c:pt>
                <c:pt idx="774">
                  <c:v>-70.758110429545852</c:v>
                </c:pt>
                <c:pt idx="775">
                  <c:v>-70.723736766281405</c:v>
                </c:pt>
                <c:pt idx="776">
                  <c:v>-70.685766571572017</c:v>
                </c:pt>
                <c:pt idx="777">
                  <c:v>-70.643612222198882</c:v>
                </c:pt>
                <c:pt idx="778">
                  <c:v>-70.594947562259719</c:v>
                </c:pt>
                <c:pt idx="779">
                  <c:v>-70.534888210574294</c:v>
                </c:pt>
                <c:pt idx="780">
                  <c:v>-70.455154091853061</c:v>
                </c:pt>
                <c:pt idx="781">
                  <c:v>-70.344540938106917</c:v>
                </c:pt>
                <c:pt idx="782">
                  <c:v>-70.197059430548961</c:v>
                </c:pt>
                <c:pt idx="783">
                  <c:v>-70.051761318037606</c:v>
                </c:pt>
                <c:pt idx="784">
                  <c:v>-70.100342271429298</c:v>
                </c:pt>
                <c:pt idx="785">
                  <c:v>-70.636802157797192</c:v>
                </c:pt>
                <c:pt idx="786">
                  <c:v>-71.482175908486028</c:v>
                </c:pt>
                <c:pt idx="787">
                  <c:v>-72.193315343805082</c:v>
                </c:pt>
                <c:pt idx="788">
                  <c:v>-72.667778512429464</c:v>
                </c:pt>
                <c:pt idx="789">
                  <c:v>-72.974035670641769</c:v>
                </c:pt>
                <c:pt idx="790">
                  <c:v>-73.181797134252548</c:v>
                </c:pt>
                <c:pt idx="791">
                  <c:v>-73.335967875766528</c:v>
                </c:pt>
                <c:pt idx="792">
                  <c:v>-73.463239004421339</c:v>
                </c:pt>
                <c:pt idx="793">
                  <c:v>-73.579279881760684</c:v>
                </c:pt>
                <c:pt idx="794">
                  <c:v>-73.693178107591393</c:v>
                </c:pt>
                <c:pt idx="795">
                  <c:v>-73.809968825881839</c:v>
                </c:pt>
                <c:pt idx="796">
                  <c:v>-73.932090857780736</c:v>
                </c:pt>
                <c:pt idx="797">
                  <c:v>-74.060259367561343</c:v>
                </c:pt>
                <c:pt idx="798">
                  <c:v>-74.194017273517844</c:v>
                </c:pt>
                <c:pt idx="799">
                  <c:v>-74.332104861228444</c:v>
                </c:pt>
                <c:pt idx="800">
                  <c:v>-74.472722970513161</c:v>
                </c:pt>
                <c:pt idx="801">
                  <c:v>-74.613731352617833</c:v>
                </c:pt>
                <c:pt idx="802">
                  <c:v>-74.752805576699231</c:v>
                </c:pt>
                <c:pt idx="803">
                  <c:v>-74.887565772669092</c:v>
                </c:pt>
                <c:pt idx="804">
                  <c:v>-75.015684761880564</c:v>
                </c:pt>
                <c:pt idx="805">
                  <c:v>-75.134979796132825</c:v>
                </c:pt>
                <c:pt idx="806">
                  <c:v>-75.243490161008197</c:v>
                </c:pt>
                <c:pt idx="807">
                  <c:v>-75.339541733241731</c:v>
                </c:pt>
                <c:pt idx="808">
                  <c:v>-75.421798892314285</c:v>
                </c:pt>
                <c:pt idx="809">
                  <c:v>-75.489303785135704</c:v>
                </c:pt>
                <c:pt idx="810">
                  <c:v>-75.541502713131166</c:v>
                </c:pt>
                <c:pt idx="811">
                  <c:v>-75.578259275712185</c:v>
                </c:pt>
                <c:pt idx="812">
                  <c:v>-75.599853804706271</c:v>
                </c:pt>
                <c:pt idx="813">
                  <c:v>-75.606968508706871</c:v>
                </c:pt>
                <c:pt idx="814">
                  <c:v>-75.600657557600769</c:v>
                </c:pt>
                <c:pt idx="815">
                  <c:v>-75.582301001974258</c:v>
                </c:pt>
                <c:pt idx="816">
                  <c:v>-75.553540831970835</c:v>
                </c:pt>
                <c:pt idx="817">
                  <c:v>-75.516196466366267</c:v>
                </c:pt>
                <c:pt idx="818">
                  <c:v>-75.472155247856506</c:v>
                </c:pt>
                <c:pt idx="819">
                  <c:v>-75.423230638049418</c:v>
                </c:pt>
                <c:pt idx="820">
                  <c:v>-75.370975959493109</c:v>
                </c:pt>
                <c:pt idx="821">
                  <c:v>-75.316433371818576</c:v>
                </c:pt>
                <c:pt idx="822">
                  <c:v>-75.259784097683919</c:v>
                </c:pt>
                <c:pt idx="823">
                  <c:v>-75.19984365992805</c:v>
                </c:pt>
                <c:pt idx="824">
                  <c:v>-75.133313241598145</c:v>
                </c:pt>
                <c:pt idx="825">
                  <c:v>-75.053668277647404</c:v>
                </c:pt>
                <c:pt idx="826">
                  <c:v>-74.949635102084997</c:v>
                </c:pt>
                <c:pt idx="827">
                  <c:v>-74.803888869272711</c:v>
                </c:pt>
                <c:pt idx="828">
                  <c:v>-74.596318443844979</c:v>
                </c:pt>
                <c:pt idx="829">
                  <c:v>-74.33201024313361</c:v>
                </c:pt>
                <c:pt idx="830">
                  <c:v>-74.14534846010406</c:v>
                </c:pt>
                <c:pt idx="831">
                  <c:v>-74.366051736976829</c:v>
                </c:pt>
                <c:pt idx="832">
                  <c:v>-75.011440332118596</c:v>
                </c:pt>
                <c:pt idx="833">
                  <c:v>-75.65715304575869</c:v>
                </c:pt>
                <c:pt idx="834">
                  <c:v>-76.114788564843451</c:v>
                </c:pt>
                <c:pt idx="835">
                  <c:v>-76.414973148629016</c:v>
                </c:pt>
                <c:pt idx="836">
                  <c:v>-76.617811124691713</c:v>
                </c:pt>
                <c:pt idx="837">
                  <c:v>-76.766132097315577</c:v>
                </c:pt>
                <c:pt idx="838">
                  <c:v>-76.886198789405753</c:v>
                </c:pt>
                <c:pt idx="839">
                  <c:v>-76.993542351593234</c:v>
                </c:pt>
                <c:pt idx="840">
                  <c:v>-77.097121084291814</c:v>
                </c:pt>
                <c:pt idx="841">
                  <c:v>-77.201813851727962</c:v>
                </c:pt>
                <c:pt idx="842">
                  <c:v>-77.309891765818747</c:v>
                </c:pt>
                <c:pt idx="843">
                  <c:v>-77.421912500498593</c:v>
                </c:pt>
                <c:pt idx="844">
                  <c:v>-77.537289678429147</c:v>
                </c:pt>
                <c:pt idx="845">
                  <c:v>-77.65467553089178</c:v>
                </c:pt>
                <c:pt idx="846">
                  <c:v>-77.772232773866051</c:v>
                </c:pt>
                <c:pt idx="847">
                  <c:v>-77.88783807223794</c:v>
                </c:pt>
                <c:pt idx="848">
                  <c:v>-77.999241112557783</c:v>
                </c:pt>
                <c:pt idx="849">
                  <c:v>-78.104193056778044</c:v>
                </c:pt>
                <c:pt idx="850">
                  <c:v>-78.200552299025802</c:v>
                </c:pt>
                <c:pt idx="851">
                  <c:v>-78.286372043487106</c:v>
                </c:pt>
                <c:pt idx="852">
                  <c:v>-78.359972214597789</c:v>
                </c:pt>
                <c:pt idx="853">
                  <c:v>-78.419997021746511</c:v>
                </c:pt>
                <c:pt idx="854">
                  <c:v>-78.465458800139814</c:v>
                </c:pt>
                <c:pt idx="855">
                  <c:v>-78.495768343006006</c:v>
                </c:pt>
                <c:pt idx="856">
                  <c:v>-78.51075170744798</c:v>
                </c:pt>
                <c:pt idx="857">
                  <c:v>-78.510653336396246</c:v>
                </c:pt>
                <c:pt idx="858">
                  <c:v>-78.496125231370854</c:v>
                </c:pt>
                <c:pt idx="859">
                  <c:v>-78.468201780331</c:v>
                </c:pt>
                <c:pt idx="860">
                  <c:v>-78.428259631457948</c:v>
                </c:pt>
                <c:pt idx="861">
                  <c:v>-78.377961628271223</c:v>
                </c:pt>
                <c:pt idx="862">
                  <c:v>-78.319183167300451</c:v>
                </c:pt>
                <c:pt idx="863">
                  <c:v>-78.25391822091872</c:v>
                </c:pt>
                <c:pt idx="864">
                  <c:v>-78.184160375335722</c:v>
                </c:pt>
                <c:pt idx="865">
                  <c:v>-78.111751034605774</c:v>
                </c:pt>
                <c:pt idx="866">
                  <c:v>-78.038181499121109</c:v>
                </c:pt>
                <c:pt idx="867">
                  <c:v>-77.964326273015601</c:v>
                </c:pt>
                <c:pt idx="868">
                  <c:v>-77.890068729547053</c:v>
                </c:pt>
                <c:pt idx="869">
                  <c:v>-77.813752138775371</c:v>
                </c:pt>
                <c:pt idx="870">
                  <c:v>-77.731341818486655</c:v>
                </c:pt>
                <c:pt idx="871">
                  <c:v>-77.635114663930196</c:v>
                </c:pt>
                <c:pt idx="872">
                  <c:v>-77.511645196751061</c:v>
                </c:pt>
                <c:pt idx="873">
                  <c:v>-77.339166214030826</c:v>
                </c:pt>
                <c:pt idx="874">
                  <c:v>-77.086885104724445</c:v>
                </c:pt>
                <c:pt idx="875">
                  <c:v>-76.731802732158457</c:v>
                </c:pt>
                <c:pt idx="876">
                  <c:v>-76.348099881797665</c:v>
                </c:pt>
                <c:pt idx="877">
                  <c:v>-76.252047282756777</c:v>
                </c:pt>
                <c:pt idx="878">
                  <c:v>-76.64314303416424</c:v>
                </c:pt>
                <c:pt idx="879">
                  <c:v>-77.180317502531338</c:v>
                </c:pt>
                <c:pt idx="880">
                  <c:v>-77.599108955344676</c:v>
                </c:pt>
                <c:pt idx="881">
                  <c:v>-77.881808201877348</c:v>
                </c:pt>
                <c:pt idx="882">
                  <c:v>-78.07311409219858</c:v>
                </c:pt>
                <c:pt idx="883">
                  <c:v>-78.211282165309768</c:v>
                </c:pt>
                <c:pt idx="884">
                  <c:v>-78.320998535807192</c:v>
                </c:pt>
                <c:pt idx="885">
                  <c:v>-78.417077987192357</c:v>
                </c:pt>
                <c:pt idx="886">
                  <c:v>-78.508039933448757</c:v>
                </c:pt>
                <c:pt idx="887">
                  <c:v>-78.598438057349838</c:v>
                </c:pt>
                <c:pt idx="888">
                  <c:v>-78.690287215938866</c:v>
                </c:pt>
                <c:pt idx="889">
                  <c:v>-78.783948034717739</c:v>
                </c:pt>
                <c:pt idx="890">
                  <c:v>-78.87869647813649</c:v>
                </c:pt>
                <c:pt idx="891">
                  <c:v>-78.973108635344403</c:v>
                </c:pt>
                <c:pt idx="892">
                  <c:v>-79.065334080328924</c:v>
                </c:pt>
                <c:pt idx="893">
                  <c:v>-79.153299372700545</c:v>
                </c:pt>
                <c:pt idx="894">
                  <c:v>-79.234865528607997</c:v>
                </c:pt>
                <c:pt idx="895">
                  <c:v>-79.307953265039686</c:v>
                </c:pt>
                <c:pt idx="896">
                  <c:v>-79.370644055693901</c:v>
                </c:pt>
                <c:pt idx="897">
                  <c:v>-79.421261669972722</c:v>
                </c:pt>
                <c:pt idx="898">
                  <c:v>-79.458436880109161</c:v>
                </c:pt>
                <c:pt idx="899">
                  <c:v>-79.481156846325547</c:v>
                </c:pt>
                <c:pt idx="900">
                  <c:v>-79.488799999999998</c:v>
                </c:pt>
                <c:pt idx="901">
                  <c:v>-79.481156846325803</c:v>
                </c:pt>
                <c:pt idx="902">
                  <c:v>-79.458436880109659</c:v>
                </c:pt>
                <c:pt idx="903">
                  <c:v>-79.421261669973461</c:v>
                </c:pt>
                <c:pt idx="904">
                  <c:v>-79.370644055694854</c:v>
                </c:pt>
                <c:pt idx="905">
                  <c:v>-79.307953265040823</c:v>
                </c:pt>
                <c:pt idx="906">
                  <c:v>-79.234865528609276</c:v>
                </c:pt>
                <c:pt idx="907">
                  <c:v>-79.153299372701952</c:v>
                </c:pt>
                <c:pt idx="908">
                  <c:v>-79.06533408033043</c:v>
                </c:pt>
                <c:pt idx="909">
                  <c:v>-78.973108635345952</c:v>
                </c:pt>
                <c:pt idx="910">
                  <c:v>-78.878696478138068</c:v>
                </c:pt>
                <c:pt idx="911">
                  <c:v>-78.783948034719302</c:v>
                </c:pt>
                <c:pt idx="912">
                  <c:v>-78.690287215940415</c:v>
                </c:pt>
                <c:pt idx="913">
                  <c:v>-78.598438057351345</c:v>
                </c:pt>
                <c:pt idx="914">
                  <c:v>-78.508039933450263</c:v>
                </c:pt>
                <c:pt idx="915">
                  <c:v>-78.417077987193906</c:v>
                </c:pt>
                <c:pt idx="916">
                  <c:v>-78.320998535808855</c:v>
                </c:pt>
                <c:pt idx="917">
                  <c:v>-78.2112821653118</c:v>
                </c:pt>
                <c:pt idx="918">
                  <c:v>-78.07311409220128</c:v>
                </c:pt>
                <c:pt idx="919">
                  <c:v>-77.881808201881199</c:v>
                </c:pt>
                <c:pt idx="920">
                  <c:v>-77.599108955350474</c:v>
                </c:pt>
                <c:pt idx="921">
                  <c:v>-77.180317502539708</c:v>
                </c:pt>
                <c:pt idx="922">
                  <c:v>-76.643143034173264</c:v>
                </c:pt>
                <c:pt idx="923">
                  <c:v>-76.252047282759619</c:v>
                </c:pt>
                <c:pt idx="924">
                  <c:v>-76.348099881792422</c:v>
                </c:pt>
                <c:pt idx="925">
                  <c:v>-76.731802732151706</c:v>
                </c:pt>
                <c:pt idx="926">
                  <c:v>-77.086885104719357</c:v>
                </c:pt>
                <c:pt idx="927">
                  <c:v>-77.33916621402733</c:v>
                </c:pt>
                <c:pt idx="928">
                  <c:v>-77.511645196748646</c:v>
                </c:pt>
                <c:pt idx="929">
                  <c:v>-77.635114663928377</c:v>
                </c:pt>
                <c:pt idx="930">
                  <c:v>-77.731341818485191</c:v>
                </c:pt>
                <c:pt idx="931">
                  <c:v>-77.813752138774049</c:v>
                </c:pt>
                <c:pt idx="932">
                  <c:v>-77.890068729545803</c:v>
                </c:pt>
                <c:pt idx="933">
                  <c:v>-77.964326273014379</c:v>
                </c:pt>
                <c:pt idx="934">
                  <c:v>-78.038181499119872</c:v>
                </c:pt>
                <c:pt idx="935">
                  <c:v>-78.111751034604538</c:v>
                </c:pt>
                <c:pt idx="936">
                  <c:v>-78.184160375334528</c:v>
                </c:pt>
                <c:pt idx="937">
                  <c:v>-78.253918220917583</c:v>
                </c:pt>
                <c:pt idx="938">
                  <c:v>-78.319183167299386</c:v>
                </c:pt>
                <c:pt idx="939">
                  <c:v>-78.377961628270299</c:v>
                </c:pt>
                <c:pt idx="940">
                  <c:v>-78.428259631457195</c:v>
                </c:pt>
                <c:pt idx="941">
                  <c:v>-78.468201780330432</c:v>
                </c:pt>
                <c:pt idx="942">
                  <c:v>-78.496125231370485</c:v>
                </c:pt>
                <c:pt idx="943">
                  <c:v>-78.510653336396103</c:v>
                </c:pt>
                <c:pt idx="944">
                  <c:v>-78.510751707448094</c:v>
                </c:pt>
                <c:pt idx="945">
                  <c:v>-78.495768343006375</c:v>
                </c:pt>
                <c:pt idx="946">
                  <c:v>-78.465458800140468</c:v>
                </c:pt>
                <c:pt idx="947">
                  <c:v>-78.419997021747406</c:v>
                </c:pt>
                <c:pt idx="948">
                  <c:v>-78.359972214598912</c:v>
                </c:pt>
                <c:pt idx="949">
                  <c:v>-78.286372043488427</c:v>
                </c:pt>
                <c:pt idx="950">
                  <c:v>-78.200552299027351</c:v>
                </c:pt>
                <c:pt idx="951">
                  <c:v>-78.104193056779749</c:v>
                </c:pt>
                <c:pt idx="952">
                  <c:v>-77.999241112559602</c:v>
                </c:pt>
                <c:pt idx="953">
                  <c:v>-77.887838072239873</c:v>
                </c:pt>
                <c:pt idx="954">
                  <c:v>-77.772232773867998</c:v>
                </c:pt>
                <c:pt idx="955">
                  <c:v>-77.654675530893769</c:v>
                </c:pt>
                <c:pt idx="956">
                  <c:v>-77.537289678431051</c:v>
                </c:pt>
                <c:pt idx="957">
                  <c:v>-77.421912500500468</c:v>
                </c:pt>
                <c:pt idx="958">
                  <c:v>-77.309891765820552</c:v>
                </c:pt>
                <c:pt idx="959">
                  <c:v>-77.20181385172971</c:v>
                </c:pt>
                <c:pt idx="960">
                  <c:v>-77.097121084293548</c:v>
                </c:pt>
                <c:pt idx="961">
                  <c:v>-76.993542351594968</c:v>
                </c:pt>
                <c:pt idx="962">
                  <c:v>-76.886198789407601</c:v>
                </c:pt>
                <c:pt idx="963">
                  <c:v>-76.766132097317779</c:v>
                </c:pt>
                <c:pt idx="964">
                  <c:v>-76.617811124694569</c:v>
                </c:pt>
                <c:pt idx="965">
                  <c:v>-76.414973148633067</c:v>
                </c:pt>
                <c:pt idx="966">
                  <c:v>-76.114788564849675</c:v>
                </c:pt>
                <c:pt idx="967">
                  <c:v>-75.657153045768098</c:v>
                </c:pt>
                <c:pt idx="968">
                  <c:v>-75.011440332130533</c:v>
                </c:pt>
                <c:pt idx="969">
                  <c:v>-74.366051736985156</c:v>
                </c:pt>
                <c:pt idx="970">
                  <c:v>-74.145348460103392</c:v>
                </c:pt>
                <c:pt idx="971">
                  <c:v>-74.332010243129133</c:v>
                </c:pt>
                <c:pt idx="972">
                  <c:v>-74.5963184438409</c:v>
                </c:pt>
                <c:pt idx="973">
                  <c:v>-74.803888869269798</c:v>
                </c:pt>
                <c:pt idx="974">
                  <c:v>-74.949635102082979</c:v>
                </c:pt>
                <c:pt idx="975">
                  <c:v>-75.053668277645912</c:v>
                </c:pt>
                <c:pt idx="976">
                  <c:v>-75.133313241596952</c:v>
                </c:pt>
                <c:pt idx="977">
                  <c:v>-75.199843659926998</c:v>
                </c:pt>
                <c:pt idx="978">
                  <c:v>-75.259784097682939</c:v>
                </c:pt>
                <c:pt idx="979">
                  <c:v>-75.316433371817666</c:v>
                </c:pt>
                <c:pt idx="980">
                  <c:v>-75.370975959492228</c:v>
                </c:pt>
                <c:pt idx="981">
                  <c:v>-75.42323063804858</c:v>
                </c:pt>
                <c:pt idx="982">
                  <c:v>-75.472155247855724</c:v>
                </c:pt>
                <c:pt idx="983">
                  <c:v>-75.516196466365585</c:v>
                </c:pt>
                <c:pt idx="984">
                  <c:v>-75.553540831970281</c:v>
                </c:pt>
                <c:pt idx="985">
                  <c:v>-75.582301001973846</c:v>
                </c:pt>
                <c:pt idx="986">
                  <c:v>-75.600657557600556</c:v>
                </c:pt>
                <c:pt idx="987">
                  <c:v>-75.606968508706871</c:v>
                </c:pt>
                <c:pt idx="988">
                  <c:v>-75.599853804706513</c:v>
                </c:pt>
                <c:pt idx="989">
                  <c:v>-75.578259275712654</c:v>
                </c:pt>
                <c:pt idx="990">
                  <c:v>-75.541502713131919</c:v>
                </c:pt>
                <c:pt idx="991">
                  <c:v>-75.489303785136713</c:v>
                </c:pt>
                <c:pt idx="992">
                  <c:v>-75.42179889231555</c:v>
                </c:pt>
                <c:pt idx="993">
                  <c:v>-75.339541733243252</c:v>
                </c:pt>
                <c:pt idx="994">
                  <c:v>-75.243490161009959</c:v>
                </c:pt>
                <c:pt idx="995">
                  <c:v>-75.134979796134758</c:v>
                </c:pt>
                <c:pt idx="996">
                  <c:v>-75.015684761882682</c:v>
                </c:pt>
                <c:pt idx="997">
                  <c:v>-74.887565772671323</c:v>
                </c:pt>
                <c:pt idx="998">
                  <c:v>-74.752805576701562</c:v>
                </c:pt>
                <c:pt idx="999">
                  <c:v>-74.613731352620235</c:v>
                </c:pt>
                <c:pt idx="1000">
                  <c:v>-74.472722970515562</c:v>
                </c:pt>
                <c:pt idx="1001">
                  <c:v>-74.332104861230803</c:v>
                </c:pt>
                <c:pt idx="1002">
                  <c:v>-74.194017273520103</c:v>
                </c:pt>
                <c:pt idx="1003">
                  <c:v>-74.060259367563532</c:v>
                </c:pt>
                <c:pt idx="1004">
                  <c:v>-73.932090857782811</c:v>
                </c:pt>
                <c:pt idx="1005">
                  <c:v>-73.809968825883843</c:v>
                </c:pt>
                <c:pt idx="1006">
                  <c:v>-73.693178107593312</c:v>
                </c:pt>
                <c:pt idx="1007">
                  <c:v>-73.579279881762588</c:v>
                </c:pt>
                <c:pt idx="1008">
                  <c:v>-73.463239004423372</c:v>
                </c:pt>
                <c:pt idx="1009">
                  <c:v>-73.33596787576883</c:v>
                </c:pt>
                <c:pt idx="1010">
                  <c:v>-73.18179713425549</c:v>
                </c:pt>
                <c:pt idx="1011">
                  <c:v>-72.974035670645918</c:v>
                </c:pt>
                <c:pt idx="1012">
                  <c:v>-72.667778512435802</c:v>
                </c:pt>
                <c:pt idx="1013">
                  <c:v>-72.193315343815001</c:v>
                </c:pt>
                <c:pt idx="1014">
                  <c:v>-71.482175908499912</c:v>
                </c:pt>
                <c:pt idx="1015">
                  <c:v>-70.636802157810351</c:v>
                </c:pt>
                <c:pt idx="1016">
                  <c:v>-70.100342271433675</c:v>
                </c:pt>
                <c:pt idx="1017">
                  <c:v>-70.051761318035943</c:v>
                </c:pt>
                <c:pt idx="1018">
                  <c:v>-70.197059430546233</c:v>
                </c:pt>
                <c:pt idx="1019">
                  <c:v>-70.344540938104728</c:v>
                </c:pt>
                <c:pt idx="1020">
                  <c:v>-70.455154091851455</c:v>
                </c:pt>
                <c:pt idx="1021">
                  <c:v>-70.534888210573129</c:v>
                </c:pt>
                <c:pt idx="1022">
                  <c:v>-70.59494756225881</c:v>
                </c:pt>
                <c:pt idx="1023">
                  <c:v>-70.643612222198129</c:v>
                </c:pt>
                <c:pt idx="1024">
                  <c:v>-70.685766571571349</c:v>
                </c:pt>
                <c:pt idx="1025">
                  <c:v>-70.72373676628078</c:v>
                </c:pt>
                <c:pt idx="1026">
                  <c:v>-70.758110429545312</c:v>
                </c:pt>
                <c:pt idx="1027">
                  <c:v>-70.788348655265466</c:v>
                </c:pt>
                <c:pt idx="1028">
                  <c:v>-70.813220409665931</c:v>
                </c:pt>
                <c:pt idx="1029">
                  <c:v>-70.831112295795464</c:v>
                </c:pt>
                <c:pt idx="1030">
                  <c:v>-70.840254193912813</c:v>
                </c:pt>
                <c:pt idx="1031">
                  <c:v>-70.838887403040587</c:v>
                </c:pt>
                <c:pt idx="1032">
                  <c:v>-70.825391971270022</c:v>
                </c:pt>
                <c:pt idx="1033">
                  <c:v>-70.798383524018632</c:v>
                </c:pt>
                <c:pt idx="1034">
                  <c:v>-70.756785956481863</c:v>
                </c:pt>
                <c:pt idx="1035">
                  <c:v>-70.699883957174691</c:v>
                </c:pt>
                <c:pt idx="1036">
                  <c:v>-70.627357885715071</c:v>
                </c:pt>
                <c:pt idx="1037">
                  <c:v>-70.539302672387564</c:v>
                </c:pt>
                <c:pt idx="1038">
                  <c:v>-70.436231912060634</c:v>
                </c:pt>
                <c:pt idx="1039">
                  <c:v>-70.319068047745901</c:v>
                </c:pt>
                <c:pt idx="1040">
                  <c:v>-70.189119386231937</c:v>
                </c:pt>
                <c:pt idx="1041">
                  <c:v>-70.048044594603908</c:v>
                </c:pt>
                <c:pt idx="1042">
                  <c:v>-69.897805240841606</c:v>
                </c:pt>
                <c:pt idx="1043">
                  <c:v>-69.740606816376939</c:v>
                </c:pt>
                <c:pt idx="1044">
                  <c:v>-69.578828459492428</c:v>
                </c:pt>
                <c:pt idx="1045">
                  <c:v>-69.414941213393519</c:v>
                </c:pt>
                <c:pt idx="1046">
                  <c:v>-69.251413992471242</c:v>
                </c:pt>
                <c:pt idx="1047">
                  <c:v>-69.090605316993262</c:v>
                </c:pt>
                <c:pt idx="1048">
                  <c:v>-68.934637006191721</c:v>
                </c:pt>
                <c:pt idx="1049">
                  <c:v>-68.785242852113996</c:v>
                </c:pt>
                <c:pt idx="1050">
                  <c:v>-68.643579838863815</c:v>
                </c:pt>
                <c:pt idx="1051">
                  <c:v>-68.509979841951434</c:v>
                </c:pt>
                <c:pt idx="1052">
                  <c:v>-68.383602263464013</c:v>
                </c:pt>
                <c:pt idx="1053">
                  <c:v>-68.261915348277356</c:v>
                </c:pt>
                <c:pt idx="1054">
                  <c:v>-68.13987087364977</c:v>
                </c:pt>
                <c:pt idx="1055">
                  <c:v>-68.008512674008529</c:v>
                </c:pt>
                <c:pt idx="1056">
                  <c:v>-67.852515485546448</c:v>
                </c:pt>
                <c:pt idx="1057">
                  <c:v>-67.645711475188179</c:v>
                </c:pt>
                <c:pt idx="1058">
                  <c:v>-67.343204527741776</c:v>
                </c:pt>
                <c:pt idx="1059">
                  <c:v>-66.870741453845866</c:v>
                </c:pt>
                <c:pt idx="1060">
                  <c:v>-66.133192844080654</c:v>
                </c:pt>
                <c:pt idx="1061">
                  <c:v>-65.149434414562364</c:v>
                </c:pt>
                <c:pt idx="1062">
                  <c:v>-64.32199294068829</c:v>
                </c:pt>
                <c:pt idx="1063">
                  <c:v>-64.00986305670169</c:v>
                </c:pt>
                <c:pt idx="1064">
                  <c:v>-64.008216981178933</c:v>
                </c:pt>
                <c:pt idx="1065">
                  <c:v>-64.079558969453757</c:v>
                </c:pt>
                <c:pt idx="1066">
                  <c:v>-64.146310176569102</c:v>
                </c:pt>
                <c:pt idx="1067">
                  <c:v>-64.196843638874881</c:v>
                </c:pt>
                <c:pt idx="1068">
                  <c:v>-64.234453209854379</c:v>
                </c:pt>
                <c:pt idx="1069">
                  <c:v>-64.263520728756092</c:v>
                </c:pt>
                <c:pt idx="1070">
                  <c:v>-64.286817458318581</c:v>
                </c:pt>
                <c:pt idx="1071">
                  <c:v>-64.305444670576165</c:v>
                </c:pt>
                <c:pt idx="1072">
                  <c:v>-64.319260607419096</c:v>
                </c:pt>
                <c:pt idx="1073">
                  <c:v>-64.327304238394959</c:v>
                </c:pt>
                <c:pt idx="1074">
                  <c:v>-64.328131045242372</c:v>
                </c:pt>
                <c:pt idx="1075">
                  <c:v>-64.320066257933902</c:v>
                </c:pt>
                <c:pt idx="1076">
                  <c:v>-64.301394861557256</c:v>
                </c:pt>
                <c:pt idx="1077">
                  <c:v>-64.27050492357003</c:v>
                </c:pt>
                <c:pt idx="1078">
                  <c:v>-64.225995886864197</c:v>
                </c:pt>
                <c:pt idx="1079">
                  <c:v>-64.166759523649503</c:v>
                </c:pt>
                <c:pt idx="1080">
                  <c:v>-64.092038541187009</c:v>
                </c:pt>
                <c:pt idx="1081">
                  <c:v>-64.001466095509187</c:v>
                </c:pt>
                <c:pt idx="1082">
                  <c:v>-63.89508839747046</c:v>
                </c:pt>
                <c:pt idx="1083">
                  <c:v>-63.773371955600133</c:v>
                </c:pt>
                <c:pt idx="1084">
                  <c:v>-63.637196633783233</c:v>
                </c:pt>
                <c:pt idx="1085">
                  <c:v>-63.487835502374573</c:v>
                </c:pt>
                <c:pt idx="1086">
                  <c:v>-63.326922356057047</c:v>
                </c:pt>
                <c:pt idx="1087">
                  <c:v>-63.156407707484966</c:v>
                </c:pt>
                <c:pt idx="1088">
                  <c:v>-62.978503999225005</c:v>
                </c:pt>
                <c:pt idx="1089">
                  <c:v>-62.795620666146888</c:v>
                </c:pt>
                <c:pt idx="1090">
                  <c:v>-62.610289478103205</c:v>
                </c:pt>
                <c:pt idx="1091">
                  <c:v>-62.425080233070972</c:v>
                </c:pt>
                <c:pt idx="1092">
                  <c:v>-62.242506254439256</c:v>
                </c:pt>
                <c:pt idx="1093">
                  <c:v>-62.06491811011248</c:v>
                </c:pt>
                <c:pt idx="1094">
                  <c:v>-61.894382236021592</c:v>
                </c:pt>
                <c:pt idx="1095">
                  <c:v>-61.73253821349946</c:v>
                </c:pt>
                <c:pt idx="1096">
                  <c:v>-61.580423397367269</c:v>
                </c:pt>
                <c:pt idx="1097">
                  <c:v>-61.438244661445673</c:v>
                </c:pt>
                <c:pt idx="1098">
                  <c:v>-61.305060755142939</c:v>
                </c:pt>
                <c:pt idx="1099">
                  <c:v>-61.178308098250234</c:v>
                </c:pt>
                <c:pt idx="1100">
                  <c:v>-61.053043037556847</c:v>
                </c:pt>
                <c:pt idx="1101">
                  <c:v>-60.920653374277308</c:v>
                </c:pt>
                <c:pt idx="1102">
                  <c:v>-60.766546636616184</c:v>
                </c:pt>
                <c:pt idx="1103">
                  <c:v>-60.565838799714342</c:v>
                </c:pt>
                <c:pt idx="1104">
                  <c:v>-60.275314573190784</c:v>
                </c:pt>
                <c:pt idx="1105">
                  <c:v>-59.820388162416407</c:v>
                </c:pt>
                <c:pt idx="1106">
                  <c:v>-59.089947540640537</c:v>
                </c:pt>
                <c:pt idx="1107">
                  <c:v>-58.030634280477145</c:v>
                </c:pt>
                <c:pt idx="1108">
                  <c:v>-56.958857410362654</c:v>
                </c:pt>
                <c:pt idx="1109">
                  <c:v>-56.369300300788908</c:v>
                </c:pt>
                <c:pt idx="1110">
                  <c:v>-56.195029204690023</c:v>
                </c:pt>
                <c:pt idx="1111">
                  <c:v>-56.17408747980658</c:v>
                </c:pt>
                <c:pt idx="1112">
                  <c:v>-56.188143075824875</c:v>
                </c:pt>
                <c:pt idx="1113">
                  <c:v>-56.204644068332023</c:v>
                </c:pt>
                <c:pt idx="1114">
                  <c:v>-56.217136077261301</c:v>
                </c:pt>
                <c:pt idx="1115">
                  <c:v>-56.225158787955515</c:v>
                </c:pt>
                <c:pt idx="1116">
                  <c:v>-56.228877334196383</c:v>
                </c:pt>
                <c:pt idx="1117">
                  <c:v>-56.227906481879231</c:v>
                </c:pt>
                <c:pt idx="1118">
                  <c:v>-56.221238012793137</c:v>
                </c:pt>
                <c:pt idx="1119">
                  <c:v>-56.207421585535897</c:v>
                </c:pt>
                <c:pt idx="1120">
                  <c:v>-56.18477214503563</c:v>
                </c:pt>
                <c:pt idx="1121">
                  <c:v>-56.15154939480756</c:v>
                </c:pt>
                <c:pt idx="1122">
                  <c:v>-56.106101607917743</c:v>
                </c:pt>
                <c:pt idx="1123">
                  <c:v>-56.046977345183201</c:v>
                </c:pt>
                <c:pt idx="1124">
                  <c:v>-55.973010171918304</c:v>
                </c:pt>
                <c:pt idx="1125">
                  <c:v>-55.883380633195721</c:v>
                </c:pt>
                <c:pt idx="1126">
                  <c:v>-55.777658640489051</c:v>
                </c:pt>
                <c:pt idx="1127">
                  <c:v>-55.655828544452675</c:v>
                </c:pt>
                <c:pt idx="1128">
                  <c:v>-55.518298575327279</c:v>
                </c:pt>
                <c:pt idx="1129">
                  <c:v>-55.365895968783946</c:v>
                </c:pt>
                <c:pt idx="1130">
                  <c:v>-55.199848891970412</c:v>
                </c:pt>
                <c:pt idx="1131">
                  <c:v>-55.021756183326119</c:v>
                </c:pt>
                <c:pt idx="1132">
                  <c:v>-54.833545874051623</c:v>
                </c:pt>
                <c:pt idx="1133">
                  <c:v>-54.637423431603203</c:v>
                </c:pt>
                <c:pt idx="1134">
                  <c:v>-54.435810623208077</c:v>
                </c:pt>
                <c:pt idx="1135">
                  <c:v>-54.231275806341984</c:v>
                </c:pt>
                <c:pt idx="1136">
                  <c:v>-54.02645627250066</c:v>
                </c:pt>
                <c:pt idx="1137">
                  <c:v>-53.823972943462955</c:v>
                </c:pt>
                <c:pt idx="1138">
                  <c:v>-53.626337157805892</c:v>
                </c:pt>
                <c:pt idx="1139">
                  <c:v>-53.435848345027239</c:v>
                </c:pt>
                <c:pt idx="1140">
                  <c:v>-53.254479815437875</c:v>
                </c:pt>
                <c:pt idx="1141">
                  <c:v>-53.083747248046215</c:v>
                </c:pt>
                <c:pt idx="1142">
                  <c:v>-52.92454990485443</c:v>
                </c:pt>
                <c:pt idx="1143">
                  <c:v>-52.776966543574062</c:v>
                </c:pt>
                <c:pt idx="1144">
                  <c:v>-52.639973274789114</c:v>
                </c:pt>
                <c:pt idx="1145">
                  <c:v>-52.511022702674516</c:v>
                </c:pt>
                <c:pt idx="1146">
                  <c:v>-52.385368762782612</c:v>
                </c:pt>
                <c:pt idx="1147">
                  <c:v>-52.254909556408116</c:v>
                </c:pt>
                <c:pt idx="1148">
                  <c:v>-52.106085261432682</c:v>
                </c:pt>
                <c:pt idx="1149">
                  <c:v>-51.915876244234418</c:v>
                </c:pt>
                <c:pt idx="1150">
                  <c:v>-51.644028512942889</c:v>
                </c:pt>
                <c:pt idx="1151">
                  <c:v>-51.218955755570704</c:v>
                </c:pt>
                <c:pt idx="1152">
                  <c:v>-50.522967741818121</c:v>
                </c:pt>
                <c:pt idx="1153">
                  <c:v>-49.447050697287153</c:v>
                </c:pt>
                <c:pt idx="1154">
                  <c:v>-48.194797656118077</c:v>
                </c:pt>
                <c:pt idx="1155">
                  <c:v>-47.332187034623331</c:v>
                </c:pt>
                <c:pt idx="1156">
                  <c:v>-46.964277076598449</c:v>
                </c:pt>
                <c:pt idx="1157">
                  <c:v>-46.835582494892364</c:v>
                </c:pt>
                <c:pt idx="1158">
                  <c:v>-46.788293861234017</c:v>
                </c:pt>
                <c:pt idx="1159">
                  <c:v>-46.766134225811875</c:v>
                </c:pt>
                <c:pt idx="1160">
                  <c:v>-46.751103132213451</c:v>
                </c:pt>
                <c:pt idx="1161">
                  <c:v>-46.736946822729358</c:v>
                </c:pt>
                <c:pt idx="1162">
                  <c:v>-46.720725868947497</c:v>
                </c:pt>
                <c:pt idx="1163">
                  <c:v>-46.70030517460853</c:v>
                </c:pt>
                <c:pt idx="1164">
                  <c:v>-46.673672670187422</c:v>
                </c:pt>
                <c:pt idx="1165">
                  <c:v>-46.638821130328274</c:v>
                </c:pt>
                <c:pt idx="1166">
                  <c:v>-46.593796734187691</c:v>
                </c:pt>
                <c:pt idx="1167">
                  <c:v>-46.536787265480896</c:v>
                </c:pt>
                <c:pt idx="1168">
                  <c:v>-46.466209122078141</c:v>
                </c:pt>
                <c:pt idx="1169">
                  <c:v>-46.380780706280632</c:v>
                </c:pt>
                <c:pt idx="1170">
                  <c:v>-46.279579164894038</c:v>
                </c:pt>
                <c:pt idx="1171">
                  <c:v>-46.162080454182323</c:v>
                </c:pt>
                <c:pt idx="1172">
                  <c:v>-46.02818356543235</c:v>
                </c:pt>
                <c:pt idx="1173">
                  <c:v>-45.878219924033765</c:v>
                </c:pt>
                <c:pt idx="1174">
                  <c:v>-45.712948969713587</c:v>
                </c:pt>
                <c:pt idx="1175">
                  <c:v>-45.533540899886205</c:v>
                </c:pt>
                <c:pt idx="1176">
                  <c:v>-45.341547553899886</c:v>
                </c:pt>
                <c:pt idx="1177">
                  <c:v>-45.138862433571227</c:v>
                </c:pt>
                <c:pt idx="1178">
                  <c:v>-44.927670881404509</c:v>
                </c:pt>
                <c:pt idx="1179">
                  <c:v>-44.710391454400686</c:v>
                </c:pt>
                <c:pt idx="1180">
                  <c:v>-44.489609517877845</c:v>
                </c:pt>
                <c:pt idx="1181">
                  <c:v>-44.268004015727648</c:v>
                </c:pt>
                <c:pt idx="1182">
                  <c:v>-44.048268218560359</c:v>
                </c:pt>
                <c:pt idx="1183">
                  <c:v>-43.833024961871999</c:v>
                </c:pt>
                <c:pt idx="1184">
                  <c:v>-43.624736387994417</c:v>
                </c:pt>
                <c:pt idx="1185">
                  <c:v>-43.425607373613154</c:v>
                </c:pt>
                <c:pt idx="1186">
                  <c:v>-43.237480442435988</c:v>
                </c:pt>
                <c:pt idx="1187">
                  <c:v>-43.061717639612048</c:v>
                </c:pt>
                <c:pt idx="1188">
                  <c:v>-42.899060852396666</c:v>
                </c:pt>
                <c:pt idx="1189">
                  <c:v>-42.749454994887806</c:v>
                </c:pt>
                <c:pt idx="1190">
                  <c:v>-42.611805523165295</c:v>
                </c:pt>
                <c:pt idx="1191">
                  <c:v>-42.483617079814351</c:v>
                </c:pt>
                <c:pt idx="1192">
                  <c:v>-42.36041112685929</c:v>
                </c:pt>
                <c:pt idx="1193">
                  <c:v>-42.23471925394405</c:v>
                </c:pt>
                <c:pt idx="1194">
                  <c:v>-42.09423196977982</c:v>
                </c:pt>
                <c:pt idx="1195">
                  <c:v>-41.918209812681837</c:v>
                </c:pt>
                <c:pt idx="1196">
                  <c:v>-41.670282013592086</c:v>
                </c:pt>
                <c:pt idx="1197">
                  <c:v>-41.284352470586185</c:v>
                </c:pt>
                <c:pt idx="1198">
                  <c:v>-40.643886135147881</c:v>
                </c:pt>
                <c:pt idx="1199">
                  <c:v>-39.602712533505475</c:v>
                </c:pt>
                <c:pt idx="1200">
                  <c:v>-38.244400000034403</c:v>
                </c:pt>
                <c:pt idx="1201">
                  <c:v>-37.133677599974895</c:v>
                </c:pt>
                <c:pt idx="1202">
                  <c:v>-36.558559238933761</c:v>
                </c:pt>
                <c:pt idx="1203">
                  <c:v>-36.308294764718319</c:v>
                </c:pt>
                <c:pt idx="1204">
                  <c:v>-36.191561953421427</c:v>
                </c:pt>
                <c:pt idx="1205">
                  <c:v>-36.126478840890478</c:v>
                </c:pt>
                <c:pt idx="1206">
                  <c:v>-36.081857028138849</c:v>
                </c:pt>
                <c:pt idx="1207">
                  <c:v>-36.044731959305096</c:v>
                </c:pt>
                <c:pt idx="1208">
                  <c:v>-36.008574195928318</c:v>
                </c:pt>
                <c:pt idx="1209">
                  <c:v>-35.969243081348871</c:v>
                </c:pt>
                <c:pt idx="1210">
                  <c:v>-35.923590113134949</c:v>
                </c:pt>
                <c:pt idx="1211">
                  <c:v>-35.86898607973307</c:v>
                </c:pt>
                <c:pt idx="1212">
                  <c:v>-35.803180566230964</c:v>
                </c:pt>
                <c:pt idx="1213">
                  <c:v>-35.724281638450712</c:v>
                </c:pt>
                <c:pt idx="1214">
                  <c:v>-35.630775719230051</c:v>
                </c:pt>
                <c:pt idx="1215">
                  <c:v>-35.521556204693631</c:v>
                </c:pt>
                <c:pt idx="1216">
                  <c:v>-35.395948093457378</c:v>
                </c:pt>
                <c:pt idx="1217">
                  <c:v>-35.253723466676192</c:v>
                </c:pt>
                <c:pt idx="1218">
                  <c:v>-35.095105857378343</c:v>
                </c:pt>
                <c:pt idx="1219">
                  <c:v>-34.920762978496903</c:v>
                </c:pt>
                <c:pt idx="1220">
                  <c:v>-34.731787970742133</c:v>
                </c:pt>
                <c:pt idx="1221">
                  <c:v>-34.529669705003009</c:v>
                </c:pt>
                <c:pt idx="1222">
                  <c:v>-34.316252903613112</c:v>
                </c:pt>
                <c:pt idx="1223">
                  <c:v>-34.093689001391319</c:v>
                </c:pt>
                <c:pt idx="1224">
                  <c:v>-33.864378776777578</c:v>
                </c:pt>
                <c:pt idx="1225">
                  <c:v>-33.630907850831115</c:v>
                </c:pt>
                <c:pt idx="1226">
                  <c:v>-33.395976171588501</c:v>
                </c:pt>
                <c:pt idx="1227">
                  <c:v>-33.162322559444533</c:v>
                </c:pt>
                <c:pt idx="1228">
                  <c:v>-32.932645262802104</c:v>
                </c:pt>
                <c:pt idx="1229">
                  <c:v>-32.70951922526254</c:v>
                </c:pt>
                <c:pt idx="1230">
                  <c:v>-32.495310335382563</c:v>
                </c:pt>
                <c:pt idx="1231">
                  <c:v>-32.292086214238665</c:v>
                </c:pt>
                <c:pt idx="1232">
                  <c:v>-32.10152191322215</c:v>
                </c:pt>
                <c:pt idx="1233">
                  <c:v>-31.924796914918421</c:v>
                </c:pt>
                <c:pt idx="1234">
                  <c:v>-31.762476434850576</c:v>
                </c:pt>
                <c:pt idx="1235">
                  <c:v>-31.614364009615425</c:v>
                </c:pt>
                <c:pt idx="1236">
                  <c:v>-31.479301307422606</c:v>
                </c:pt>
                <c:pt idx="1237">
                  <c:v>-31.354869944112423</c:v>
                </c:pt>
                <c:pt idx="1238">
                  <c:v>-31.236907791341615</c:v>
                </c:pt>
                <c:pt idx="1239">
                  <c:v>-31.118663805683706</c:v>
                </c:pt>
                <c:pt idx="1240">
                  <c:v>-30.989222299860103</c:v>
                </c:pt>
                <c:pt idx="1241">
                  <c:v>-30.830392615795819</c:v>
                </c:pt>
                <c:pt idx="1242">
                  <c:v>-30.610290752003642</c:v>
                </c:pt>
                <c:pt idx="1243">
                  <c:v>-30.270036015614174</c:v>
                </c:pt>
                <c:pt idx="1244">
                  <c:v>-29.700186631669613</c:v>
                </c:pt>
                <c:pt idx="1245">
                  <c:v>-28.735266266884629</c:v>
                </c:pt>
                <c:pt idx="1246">
                  <c:v>-27.348329557910585</c:v>
                </c:pt>
                <c:pt idx="1247">
                  <c:v>-26.0351043407567</c:v>
                </c:pt>
                <c:pt idx="1248">
                  <c:v>-25.249582268627051</c:v>
                </c:pt>
                <c:pt idx="1249">
                  <c:v>-24.866774911476892</c:v>
                </c:pt>
                <c:pt idx="1250">
                  <c:v>-24.673490272340032</c:v>
                </c:pt>
                <c:pt idx="1251">
                  <c:v>-24.561777554367179</c:v>
                </c:pt>
                <c:pt idx="1252">
                  <c:v>-24.485921666424954</c:v>
                </c:pt>
                <c:pt idx="1253">
                  <c:v>-24.4254155424773</c:v>
                </c:pt>
                <c:pt idx="1254">
                  <c:v>-24.369689696674033</c:v>
                </c:pt>
                <c:pt idx="1255">
                  <c:v>-24.312361040582861</c:v>
                </c:pt>
                <c:pt idx="1256">
                  <c:v>-24.249022867450634</c:v>
                </c:pt>
                <c:pt idx="1257">
                  <c:v>-24.176364687218779</c:v>
                </c:pt>
                <c:pt idx="1258">
                  <c:v>-24.091813938125451</c:v>
                </c:pt>
                <c:pt idx="1259">
                  <c:v>-23.993390810671258</c:v>
                </c:pt>
                <c:pt idx="1260">
                  <c:v>-23.879651295460171</c:v>
                </c:pt>
                <c:pt idx="1261">
                  <c:v>-23.749665072004163</c:v>
                </c:pt>
                <c:pt idx="1262">
                  <c:v>-23.603004297362776</c:v>
                </c:pt>
                <c:pt idx="1263">
                  <c:v>-23.439732172849684</c:v>
                </c:pt>
                <c:pt idx="1264">
                  <c:v>-23.260386066358155</c:v>
                </c:pt>
                <c:pt idx="1265">
                  <c:v>-23.06595284363555</c:v>
                </c:pt>
                <c:pt idx="1266">
                  <c:v>-22.85783555503259</c:v>
                </c:pt>
                <c:pt idx="1267">
                  <c:v>-22.637811455408873</c:v>
                </c:pt>
                <c:pt idx="1268">
                  <c:v>-22.407981831483717</c:v>
                </c:pt>
                <c:pt idx="1269">
                  <c:v>-22.170714425446764</c:v>
                </c:pt>
                <c:pt idx="1270">
                  <c:v>-21.928579447372297</c:v>
                </c:pt>
                <c:pt idx="1271">
                  <c:v>-21.684280293702475</c:v>
                </c:pt>
                <c:pt idx="1272">
                  <c:v>-21.440580145771882</c:v>
                </c:pt>
                <c:pt idx="1273">
                  <c:v>-21.200225609138066</c:v>
                </c:pt>
                <c:pt idx="1274">
                  <c:v>-20.965868458541028</c:v>
                </c:pt>
                <c:pt idx="1275">
                  <c:v>-20.739986348645111</c:v>
                </c:pt>
                <c:pt idx="1276">
                  <c:v>-20.524802990983527</c:v>
                </c:pt>
                <c:pt idx="1277">
                  <c:v>-20.32220770119801</c:v>
                </c:pt>
                <c:pt idx="1278">
                  <c:v>-20.133673241882139</c:v>
                </c:pt>
                <c:pt idx="1279">
                  <c:v>-19.960169257184525</c:v>
                </c:pt>
                <c:pt idx="1280">
                  <c:v>-19.802065808558602</c:v>
                </c:pt>
                <c:pt idx="1281">
                  <c:v>-19.659016583507857</c:v>
                </c:pt>
                <c:pt idx="1282">
                  <c:v>-19.529802243582409</c:v>
                </c:pt>
                <c:pt idx="1283">
                  <c:v>-19.412096840292637</c:v>
                </c:pt>
                <c:pt idx="1284">
                  <c:v>-19.302084854574559</c:v>
                </c:pt>
                <c:pt idx="1285">
                  <c:v>-19.193781551025701</c:v>
                </c:pt>
                <c:pt idx="1286">
                  <c:v>-19.077743097726863</c:v>
                </c:pt>
                <c:pt idx="1287">
                  <c:v>-18.938468110911451</c:v>
                </c:pt>
                <c:pt idx="1288">
                  <c:v>-18.74888816312215</c:v>
                </c:pt>
                <c:pt idx="1289">
                  <c:v>-18.458394937347816</c:v>
                </c:pt>
                <c:pt idx="1290">
                  <c:v>-17.968846254253993</c:v>
                </c:pt>
                <c:pt idx="1291">
                  <c:v>-17.11097340788282</c:v>
                </c:pt>
                <c:pt idx="1292">
                  <c:v>-15.768641988906072</c:v>
                </c:pt>
                <c:pt idx="1293">
                  <c:v>-14.31666319634191</c:v>
                </c:pt>
                <c:pt idx="1294">
                  <c:v>-13.330656345169123</c:v>
                </c:pt>
                <c:pt idx="1295">
                  <c:v>-12.808569555872541</c:v>
                </c:pt>
                <c:pt idx="1296">
                  <c:v>-12.533144912973066</c:v>
                </c:pt>
                <c:pt idx="1297">
                  <c:v>-12.371875479984723</c:v>
                </c:pt>
                <c:pt idx="1298">
                  <c:v>-12.263663832021843</c:v>
                </c:pt>
                <c:pt idx="1299">
                  <c:v>-12.179777221947228</c:v>
                </c:pt>
                <c:pt idx="1300">
                  <c:v>-12.105218110339202</c:v>
                </c:pt>
                <c:pt idx="1301">
                  <c:v>-12.031155884553245</c:v>
                </c:pt>
                <c:pt idx="1302">
                  <c:v>-11.951821518697498</c:v>
                </c:pt>
                <c:pt idx="1303">
                  <c:v>-11.863173549477931</c:v>
                </c:pt>
                <c:pt idx="1304">
                  <c:v>-11.762296137337389</c:v>
                </c:pt>
                <c:pt idx="1305">
                  <c:v>-11.647114317871505</c:v>
                </c:pt>
                <c:pt idx="1306">
                  <c:v>-11.51625157116553</c:v>
                </c:pt>
                <c:pt idx="1307">
                  <c:v>-11.368951762992404</c:v>
                </c:pt>
                <c:pt idx="1308">
                  <c:v>-11.205028915192198</c:v>
                </c:pt>
                <c:pt idx="1309">
                  <c:v>-11.024826969046682</c:v>
                </c:pt>
                <c:pt idx="1310">
                  <c:v>-10.829180631824759</c:v>
                </c:pt>
                <c:pt idx="1311">
                  <c:v>-10.619372891942509</c:v>
                </c:pt>
                <c:pt idx="1312">
                  <c:v>-10.397087178056168</c:v>
                </c:pt>
                <c:pt idx="1313">
                  <c:v>-10.164353479107939</c:v>
                </c:pt>
                <c:pt idx="1314">
                  <c:v>-9.923488535757425</c:v>
                </c:pt>
                <c:pt idx="1315">
                  <c:v>-9.6770307030498035</c:v>
                </c:pt>
                <c:pt idx="1316">
                  <c:v>-9.4276703918618114</c:v>
                </c:pt>
                <c:pt idx="1317">
                  <c:v>-9.1781771841186028</c:v>
                </c:pt>
                <c:pt idx="1318">
                  <c:v>-8.9313248135581755</c:v>
                </c:pt>
                <c:pt idx="1319">
                  <c:v>-8.6898152209972821</c:v>
                </c:pt>
                <c:pt idx="1320">
                  <c:v>-8.4562028286018851</c:v>
                </c:pt>
                <c:pt idx="1321">
                  <c:v>-8.2328200168275387</c:v>
                </c:pt>
                <c:pt idx="1322">
                  <c:v>-8.0217044985365629</c:v>
                </c:pt>
                <c:pt idx="1323">
                  <c:v>-7.8245288072595791</c:v>
                </c:pt>
                <c:pt idx="1324">
                  <c:v>-7.6425313398102466</c:v>
                </c:pt>
                <c:pt idx="1325">
                  <c:v>-7.4764471101808576</c:v>
                </c:pt>
                <c:pt idx="1326">
                  <c:v>-7.3264341840558869</c:v>
                </c:pt>
                <c:pt idx="1327">
                  <c:v>-7.1919878834176014</c:v>
                </c:pt>
                <c:pt idx="1328">
                  <c:v>-7.0718276598387497</c:v>
                </c:pt>
                <c:pt idx="1329">
                  <c:v>-6.9637275704762747</c:v>
                </c:pt>
                <c:pt idx="1330">
                  <c:v>-6.8642328122644418</c:v>
                </c:pt>
                <c:pt idx="1331">
                  <c:v>-6.7681436539713076</c:v>
                </c:pt>
                <c:pt idx="1332">
                  <c:v>-6.6675099384192551</c:v>
                </c:pt>
                <c:pt idx="1333">
                  <c:v>-6.5495512636039308</c:v>
                </c:pt>
                <c:pt idx="1334">
                  <c:v>-6.392113189696059</c:v>
                </c:pt>
                <c:pt idx="1335">
                  <c:v>-6.1533545683820705</c:v>
                </c:pt>
                <c:pt idx="1336">
                  <c:v>-5.749085590656315</c:v>
                </c:pt>
                <c:pt idx="1337">
                  <c:v>-5.0185384844798477</c:v>
                </c:pt>
                <c:pt idx="1338">
                  <c:v>-3.7839317701869177</c:v>
                </c:pt>
                <c:pt idx="1339">
                  <c:v>-2.2699963900020643</c:v>
                </c:pt>
                <c:pt idx="1340">
                  <c:v>-1.108620851437085</c:v>
                </c:pt>
                <c:pt idx="1341">
                  <c:v>-0.44630059500004821</c:v>
                </c:pt>
                <c:pt idx="1342">
                  <c:v>-8.5277123510475228E-2</c:v>
                </c:pt>
                <c:pt idx="1343">
                  <c:v>0.12744400644848919</c:v>
                </c:pt>
                <c:pt idx="1344">
                  <c:v>0.268503059731793</c:v>
                </c:pt>
                <c:pt idx="1345">
                  <c:v>0.37531860469738865</c:v>
                </c:pt>
                <c:pt idx="1346">
                  <c:v>0.46761133708321245</c:v>
                </c:pt>
                <c:pt idx="1347">
                  <c:v>0.55681802567350114</c:v>
                </c:pt>
                <c:pt idx="1348">
                  <c:v>0.65014884678924045</c:v>
                </c:pt>
                <c:pt idx="1349">
                  <c:v>0.75241215115362725</c:v>
                </c:pt>
                <c:pt idx="1350">
                  <c:v>0.86688138602334242</c:v>
                </c:pt>
                <c:pt idx="1351">
                  <c:v>0.99573167046220101</c:v>
                </c:pt>
                <c:pt idx="1352">
                  <c:v>1.1402748599068699</c:v>
                </c:pt>
                <c:pt idx="1353">
                  <c:v>1.301097780822976</c:v>
                </c:pt>
                <c:pt idx="1354">
                  <c:v>1.4781539498996923</c:v>
                </c:pt>
                <c:pt idx="1355">
                  <c:v>1.670833971720461</c:v>
                </c:pt>
                <c:pt idx="1356">
                  <c:v>1.8780275781800166</c:v>
                </c:pt>
                <c:pt idx="1357">
                  <c:v>2.0981840100149762</c:v>
                </c:pt>
                <c:pt idx="1358">
                  <c:v>2.3293740736516022</c:v>
                </c:pt>
                <c:pt idx="1359">
                  <c:v>2.569355309764064</c:v>
                </c:pt>
                <c:pt idx="1360">
                  <c:v>2.8156405948164815</c:v>
                </c:pt>
                <c:pt idx="1361">
                  <c:v>3.0655698185761406</c:v>
                </c:pt>
                <c:pt idx="1362">
                  <c:v>3.316383861127695</c:v>
                </c:pt>
                <c:pt idx="1363">
                  <c:v>3.5652998384361543</c:v>
                </c:pt>
                <c:pt idx="1364">
                  <c:v>3.8095864463831557</c:v>
                </c:pt>
                <c:pt idx="1365">
                  <c:v>4.0466381846065875</c:v>
                </c:pt>
                <c:pt idx="1366">
                  <c:v>4.2740472742772502</c:v>
                </c:pt>
                <c:pt idx="1367">
                  <c:v>4.4896722016755088</c:v>
                </c:pt>
                <c:pt idx="1368">
                  <c:v>4.6917020399452527</c:v>
                </c:pt>
                <c:pt idx="1369">
                  <c:v>4.8787160641352596</c:v>
                </c:pt>
                <c:pt idx="1370">
                  <c:v>5.0497387569724328</c:v>
                </c:pt>
                <c:pt idx="1371">
                  <c:v>5.20429125433599</c:v>
                </c:pt>
                <c:pt idx="1372">
                  <c:v>5.342441893737556</c:v>
                </c:pt>
                <c:pt idx="1373">
                  <c:v>5.4648613986919488</c:v>
                </c:pt>
                <c:pt idx="1374">
                  <c:v>5.572893594521787</c:v>
                </c:pt>
                <c:pt idx="1375">
                  <c:v>5.6686630990598097</c:v>
                </c:pt>
                <c:pt idx="1376">
                  <c:v>5.7552632878444596</c:v>
                </c:pt>
                <c:pt idx="1377">
                  <c:v>5.8371156126701598</c:v>
                </c:pt>
                <c:pt idx="1378">
                  <c:v>5.9207017182888109</c:v>
                </c:pt>
                <c:pt idx="1379">
                  <c:v>6.0161389887676808</c:v>
                </c:pt>
                <c:pt idx="1380">
                  <c:v>6.1407567810637023</c:v>
                </c:pt>
                <c:pt idx="1381">
                  <c:v>6.3275904007242696</c:v>
                </c:pt>
                <c:pt idx="1382">
                  <c:v>6.645541156223711</c:v>
                </c:pt>
                <c:pt idx="1383">
                  <c:v>7.2380497723678632</c:v>
                </c:pt>
                <c:pt idx="1384">
                  <c:v>8.3158826453712571</c:v>
                </c:pt>
                <c:pt idx="1385">
                  <c:v>9.8089957057998785</c:v>
                </c:pt>
                <c:pt idx="1386">
                  <c:v>11.104543059443337</c:v>
                </c:pt>
                <c:pt idx="1387">
                  <c:v>11.900661104719976</c:v>
                </c:pt>
                <c:pt idx="1388">
                  <c:v>12.347927919633966</c:v>
                </c:pt>
                <c:pt idx="1389">
                  <c:v>12.6126814107736</c:v>
                </c:pt>
                <c:pt idx="1390">
                  <c:v>12.786330946881472</c:v>
                </c:pt>
                <c:pt idx="1391">
                  <c:v>12.915132162037283</c:v>
                </c:pt>
                <c:pt idx="1392">
                  <c:v>13.023696100076638</c:v>
                </c:pt>
                <c:pt idx="1393">
                  <c:v>13.126161573050798</c:v>
                </c:pt>
                <c:pt idx="1394">
                  <c:v>13.231225151120427</c:v>
                </c:pt>
                <c:pt idx="1395">
                  <c:v>13.34447970238072</c:v>
                </c:pt>
                <c:pt idx="1396">
                  <c:v>13.46956125026527</c:v>
                </c:pt>
                <c:pt idx="1397">
                  <c:v>13.608746257278415</c:v>
                </c:pt>
                <c:pt idx="1398">
                  <c:v>13.763284498777812</c:v>
                </c:pt>
                <c:pt idx="1399">
                  <c:v>13.933600437459054</c:v>
                </c:pt>
                <c:pt idx="1400">
                  <c:v>14.119428038648573</c:v>
                </c:pt>
                <c:pt idx="1401">
                  <c:v>14.319912061018055</c:v>
                </c:pt>
                <c:pt idx="1402">
                  <c:v>14.533693119332627</c:v>
                </c:pt>
                <c:pt idx="1403">
                  <c:v>14.758985675154532</c:v>
                </c:pt>
                <c:pt idx="1404">
                  <c:v>14.993653706913973</c:v>
                </c:pt>
                <c:pt idx="1405">
                  <c:v>15.235286325851551</c:v>
                </c:pt>
                <c:pt idx="1406">
                  <c:v>15.481274149333405</c:v>
                </c:pt>
                <c:pt idx="1407">
                  <c:v>15.728886365892951</c:v>
                </c:pt>
                <c:pt idx="1408">
                  <c:v>15.975347889727438</c:v>
                </c:pt>
                <c:pt idx="1409">
                  <c:v>16.217915678053153</c:v>
                </c:pt>
                <c:pt idx="1410">
                  <c:v>16.453953101989661</c:v>
                </c:pt>
                <c:pt idx="1411">
                  <c:v>16.681001181371101</c:v>
                </c:pt>
                <c:pt idx="1412">
                  <c:v>16.896845495695956</c:v>
                </c:pt>
                <c:pt idx="1413">
                  <c:v>17.099577659829677</c:v>
                </c:pt>
                <c:pt idx="1414">
                  <c:v>17.287650408548011</c:v>
                </c:pt>
                <c:pt idx="1415">
                  <c:v>17.459925588609924</c:v>
                </c:pt>
                <c:pt idx="1416">
                  <c:v>17.615714757071125</c:v>
                </c:pt>
                <c:pt idx="1417">
                  <c:v>17.754812726093181</c:v>
                </c:pt>
                <c:pt idx="1418">
                  <c:v>17.87752547476785</c:v>
                </c:pt>
                <c:pt idx="1419">
                  <c:v>17.984695778890643</c:v>
                </c:pt>
                <c:pt idx="1420">
                  <c:v>18.077733574706926</c:v>
                </c:pt>
                <c:pt idx="1421">
                  <c:v>18.15866544714196</c:v>
                </c:pt>
                <c:pt idx="1422">
                  <c:v>18.230233322381082</c:v>
                </c:pt>
                <c:pt idx="1423">
                  <c:v>18.29610772432693</c:v>
                </c:pt>
                <c:pt idx="1424">
                  <c:v>18.361364897872821</c:v>
                </c:pt>
                <c:pt idx="1425">
                  <c:v>18.433588597082352</c:v>
                </c:pt>
                <c:pt idx="1426">
                  <c:v>18.52551886718463</c:v>
                </c:pt>
                <c:pt idx="1427">
                  <c:v>18.661702275707565</c:v>
                </c:pt>
                <c:pt idx="1428">
                  <c:v>18.895476247707428</c:v>
                </c:pt>
                <c:pt idx="1429">
                  <c:v>19.347405124177179</c:v>
                </c:pt>
                <c:pt idx="1430">
                  <c:v>20.235321790986145</c:v>
                </c:pt>
                <c:pt idx="1431">
                  <c:v>21.626854568924514</c:v>
                </c:pt>
                <c:pt idx="1432">
                  <c:v>23.000127991184002</c:v>
                </c:pt>
                <c:pt idx="1433">
                  <c:v>23.914701548154255</c:v>
                </c:pt>
                <c:pt idx="1434">
                  <c:v>24.445299407873136</c:v>
                </c:pt>
                <c:pt idx="1435">
                  <c:v>24.761044290472476</c:v>
                </c:pt>
                <c:pt idx="1436">
                  <c:v>24.96615177046019</c:v>
                </c:pt>
                <c:pt idx="1437">
                  <c:v>25.115460817605275</c:v>
                </c:pt>
                <c:pt idx="1438">
                  <c:v>25.238473315225427</c:v>
                </c:pt>
                <c:pt idx="1439">
                  <c:v>25.352045591296125</c:v>
                </c:pt>
                <c:pt idx="1440">
                  <c:v>25.466363429728947</c:v>
                </c:pt>
                <c:pt idx="1441">
                  <c:v>25.587798834888858</c:v>
                </c:pt>
                <c:pt idx="1442">
                  <c:v>25.720343337137034</c:v>
                </c:pt>
                <c:pt idx="1443">
                  <c:v>25.866370504234169</c:v>
                </c:pt>
                <c:pt idx="1444">
                  <c:v>26.027069306153738</c:v>
                </c:pt>
                <c:pt idx="1445">
                  <c:v>26.202710048134801</c:v>
                </c:pt>
                <c:pt idx="1446">
                  <c:v>26.392822864821625</c:v>
                </c:pt>
                <c:pt idx="1447">
                  <c:v>26.596329919530465</c:v>
                </c:pt>
                <c:pt idx="1448">
                  <c:v>26.81165310446741</c:v>
                </c:pt>
                <c:pt idx="1449">
                  <c:v>27.036808959700789</c:v>
                </c:pt>
                <c:pt idx="1450">
                  <c:v>27.269497053760002</c:v>
                </c:pt>
                <c:pt idx="1451">
                  <c:v>27.507184977762105</c:v>
                </c:pt>
                <c:pt idx="1452">
                  <c:v>27.747191300498741</c:v>
                </c:pt>
                <c:pt idx="1453">
                  <c:v>27.986766750974741</c:v>
                </c:pt>
                <c:pt idx="1454">
                  <c:v>28.223173238687043</c:v>
                </c:pt>
                <c:pt idx="1455">
                  <c:v>28.453759926795183</c:v>
                </c:pt>
                <c:pt idx="1456">
                  <c:v>28.676035346864275</c:v>
                </c:pt>
                <c:pt idx="1457">
                  <c:v>28.887734432497489</c:v>
                </c:pt>
                <c:pt idx="1458">
                  <c:v>29.086879321390278</c:v>
                </c:pt>
                <c:pt idx="1459">
                  <c:v>29.271832813125769</c:v>
                </c:pt>
                <c:pt idx="1460">
                  <c:v>29.441343465369481</c:v>
                </c:pt>
                <c:pt idx="1461">
                  <c:v>29.594581466395045</c:v>
                </c:pt>
                <c:pt idx="1462">
                  <c:v>29.731164655157503</c:v>
                </c:pt>
                <c:pt idx="1463">
                  <c:v>29.851174419282881</c:v>
                </c:pt>
                <c:pt idx="1464">
                  <c:v>29.955161796671675</c:v>
                </c:pt>
                <c:pt idx="1465">
                  <c:v>30.044145186280794</c:v>
                </c:pt>
                <c:pt idx="1466">
                  <c:v>30.119603203939018</c:v>
                </c:pt>
                <c:pt idx="1467">
                  <c:v>30.18347072559132</c:v>
                </c:pt>
                <c:pt idx="1468">
                  <c:v>30.238156268588458</c:v>
                </c:pt>
                <c:pt idx="1469">
                  <c:v>30.286622778331193</c:v>
                </c:pt>
                <c:pt idx="1470">
                  <c:v>30.332633571507142</c:v>
                </c:pt>
                <c:pt idx="1471">
                  <c:v>30.381422573669024</c:v>
                </c:pt>
                <c:pt idx="1472">
                  <c:v>30.441486195419944</c:v>
                </c:pt>
                <c:pt idx="1473">
                  <c:v>30.529463958260433</c:v>
                </c:pt>
                <c:pt idx="1474">
                  <c:v>30.683665851745694</c:v>
                </c:pt>
                <c:pt idx="1475">
                  <c:v>30.999060160761879</c:v>
                </c:pt>
                <c:pt idx="1476">
                  <c:v>31.679741540982416</c:v>
                </c:pt>
                <c:pt idx="1477">
                  <c:v>32.898641131734152</c:v>
                </c:pt>
                <c:pt idx="1478">
                  <c:v>34.280840271548009</c:v>
                </c:pt>
                <c:pt idx="1479">
                  <c:v>35.288412648339623</c:v>
                </c:pt>
                <c:pt idx="1480">
                  <c:v>35.895103831519812</c:v>
                </c:pt>
                <c:pt idx="1481">
                  <c:v>36.258851957783953</c:v>
                </c:pt>
                <c:pt idx="1482">
                  <c:v>36.493276315824872</c:v>
                </c:pt>
                <c:pt idx="1483">
                  <c:v>36.661036753921522</c:v>
                </c:pt>
                <c:pt idx="1484">
                  <c:v>36.796317886821974</c:v>
                </c:pt>
                <c:pt idx="1485">
                  <c:v>36.91860988950414</c:v>
                </c:pt>
                <c:pt idx="1486">
                  <c:v>37.039538984037193</c:v>
                </c:pt>
                <c:pt idx="1487">
                  <c:v>37.166223091325591</c:v>
                </c:pt>
                <c:pt idx="1488">
                  <c:v>37.302987428480854</c:v>
                </c:pt>
                <c:pt idx="1489">
                  <c:v>37.452291355285269</c:v>
                </c:pt>
                <c:pt idx="1490">
                  <c:v>37.615261887340338</c:v>
                </c:pt>
                <c:pt idx="1491">
                  <c:v>37.792023778132609</c:v>
                </c:pt>
                <c:pt idx="1492">
                  <c:v>37.981921095518459</c:v>
                </c:pt>
                <c:pt idx="1493">
                  <c:v>38.183679543016993</c:v>
                </c:pt>
                <c:pt idx="1494">
                  <c:v>38.395535843402719</c:v>
                </c:pt>
                <c:pt idx="1495">
                  <c:v>38.615348491331638</c:v>
                </c:pt>
                <c:pt idx="1496">
                  <c:v>38.84069763712958</c:v>
                </c:pt>
                <c:pt idx="1497">
                  <c:v>39.068978167454091</c:v>
                </c:pt>
                <c:pt idx="1498">
                  <c:v>39.29748789559256</c:v>
                </c:pt>
                <c:pt idx="1499">
                  <c:v>39.523511490608215</c:v>
                </c:pt>
                <c:pt idx="1500">
                  <c:v>39.744399999990769</c:v>
                </c:pt>
                <c:pt idx="1501">
                  <c:v>39.957645355699086</c:v>
                </c:pt>
                <c:pt idx="1502">
                  <c:v>40.160948984498802</c:v>
                </c:pt>
                <c:pt idx="1503">
                  <c:v>40.352283502501464</c:v>
                </c:pt>
                <c:pt idx="1504">
                  <c:v>40.529946418547887</c:v>
                </c:pt>
                <c:pt idx="1505">
                  <c:v>40.692604773692601</c:v>
                </c:pt>
                <c:pt idx="1506">
                  <c:v>40.839329685190819</c:v>
                </c:pt>
                <c:pt idx="1507">
                  <c:v>40.9696198296703</c:v>
                </c:pt>
                <c:pt idx="1508">
                  <c:v>41.083412984798464</c:v>
                </c:pt>
                <c:pt idx="1509">
                  <c:v>41.181084857200972</c:v>
                </c:pt>
                <c:pt idx="1510">
                  <c:v>41.263434590786545</c:v>
                </c:pt>
                <c:pt idx="1511">
                  <c:v>41.331656679424057</c:v>
                </c:pt>
                <c:pt idx="1512">
                  <c:v>41.387299787450594</c:v>
                </c:pt>
                <c:pt idx="1513">
                  <c:v>41.432214966017753</c:v>
                </c:pt>
                <c:pt idx="1514">
                  <c:v>41.46850094940573</c:v>
                </c:pt>
                <c:pt idx="1515">
                  <c:v>41.498468097682739</c:v>
                </c:pt>
                <c:pt idx="1516">
                  <c:v>41.52468064897964</c:v>
                </c:pt>
                <c:pt idx="1517">
                  <c:v>41.550245411381887</c:v>
                </c:pt>
                <c:pt idx="1518">
                  <c:v>41.57983777636543</c:v>
                </c:pt>
                <c:pt idx="1519">
                  <c:v>41.622956244080868</c:v>
                </c:pt>
                <c:pt idx="1520">
                  <c:v>41.704005123803348</c:v>
                </c:pt>
                <c:pt idx="1521">
                  <c:v>41.891904854150653</c:v>
                </c:pt>
                <c:pt idx="1522">
                  <c:v>42.362302762538583</c:v>
                </c:pt>
                <c:pt idx="1523">
                  <c:v>43.353406150911198</c:v>
                </c:pt>
                <c:pt idx="1524">
                  <c:v>44.668358340718896</c:v>
                </c:pt>
                <c:pt idx="1525">
                  <c:v>45.732742571337894</c:v>
                </c:pt>
                <c:pt idx="1526">
                  <c:v>46.403219252945505</c:v>
                </c:pt>
                <c:pt idx="1527">
                  <c:v>46.809702255750423</c:v>
                </c:pt>
                <c:pt idx="1528">
                  <c:v>47.070159001317904</c:v>
                </c:pt>
                <c:pt idx="1529">
                  <c:v>47.253692090251292</c:v>
                </c:pt>
                <c:pt idx="1530">
                  <c:v>47.398708246971154</c:v>
                </c:pt>
                <c:pt idx="1531">
                  <c:v>47.527129360436248</c:v>
                </c:pt>
                <c:pt idx="1532">
                  <c:v>47.651912460950477</c:v>
                </c:pt>
                <c:pt idx="1533">
                  <c:v>47.780855547415541</c:v>
                </c:pt>
                <c:pt idx="1534">
                  <c:v>47.918578295172452</c:v>
                </c:pt>
                <c:pt idx="1535">
                  <c:v>48.067605848314336</c:v>
                </c:pt>
                <c:pt idx="1536">
                  <c:v>48.228998578652245</c:v>
                </c:pt>
                <c:pt idx="1537">
                  <c:v>48.402743801622904</c:v>
                </c:pt>
                <c:pt idx="1538">
                  <c:v>48.588018512128897</c:v>
                </c:pt>
                <c:pt idx="1539">
                  <c:v>48.783380161861089</c:v>
                </c:pt>
                <c:pt idx="1540">
                  <c:v>48.986916166072511</c:v>
                </c:pt>
                <c:pt idx="1541">
                  <c:v>49.196368967188427</c:v>
                </c:pt>
                <c:pt idx="1542">
                  <c:v>49.409245909963133</c:v>
                </c:pt>
                <c:pt idx="1543">
                  <c:v>49.622918903880922</c:v>
                </c:pt>
                <c:pt idx="1544">
                  <c:v>49.834716360565594</c:v>
                </c:pt>
                <c:pt idx="1545">
                  <c:v>50.042008416192687</c:v>
                </c:pt>
                <c:pt idx="1546">
                  <c:v>50.242285561434862</c:v>
                </c:pt>
                <c:pt idx="1547">
                  <c:v>50.433230270754201</c:v>
                </c:pt>
                <c:pt idx="1548">
                  <c:v>50.612780914082066</c:v>
                </c:pt>
                <c:pt idx="1549">
                  <c:v>50.779187065708761</c:v>
                </c:pt>
                <c:pt idx="1550">
                  <c:v>50.931055245250427</c:v>
                </c:pt>
                <c:pt idx="1551">
                  <c:v>51.067384097062941</c:v>
                </c:pt>
                <c:pt idx="1552">
                  <c:v>51.187588008077142</c:v>
                </c:pt>
                <c:pt idx="1553">
                  <c:v>51.291508152695457</c:v>
                </c:pt>
                <c:pt idx="1554">
                  <c:v>51.379409909033697</c:v>
                </c:pt>
                <c:pt idx="1555">
                  <c:v>51.451965482747433</c:v>
                </c:pt>
                <c:pt idx="1556">
                  <c:v>51.510220372267064</c:v>
                </c:pt>
                <c:pt idx="1557">
                  <c:v>51.555541996257205</c:v>
                </c:pt>
                <c:pt idx="1558">
                  <c:v>51.589548428675513</c:v>
                </c:pt>
                <c:pt idx="1559">
                  <c:v>51.614015016833747</c:v>
                </c:pt>
                <c:pt idx="1560">
                  <c:v>51.630757654558202</c:v>
                </c:pt>
                <c:pt idx="1561">
                  <c:v>51.641496760292831</c:v>
                </c:pt>
                <c:pt idx="1562">
                  <c:v>51.647725474176163</c:v>
                </c:pt>
                <c:pt idx="1563">
                  <c:v>51.650671279705669</c:v>
                </c:pt>
                <c:pt idx="1564">
                  <c:v>51.651659354225693</c:v>
                </c:pt>
                <c:pt idx="1565">
                  <c:v>51.653928858147779</c:v>
                </c:pt>
                <c:pt idx="1566">
                  <c:v>51.66948915695513</c:v>
                </c:pt>
                <c:pt idx="1567">
                  <c:v>51.74245149757413</c:v>
                </c:pt>
                <c:pt idx="1568">
                  <c:v>52.011312340872337</c:v>
                </c:pt>
                <c:pt idx="1569">
                  <c:v>52.739197167949939</c:v>
                </c:pt>
                <c:pt idx="1570">
                  <c:v>53.910026669016347</c:v>
                </c:pt>
                <c:pt idx="1571">
                  <c:v>54.984605118889647</c:v>
                </c:pt>
                <c:pt idx="1572">
                  <c:v>55.700842196098662</c:v>
                </c:pt>
                <c:pt idx="1573">
                  <c:v>56.142186593541709</c:v>
                </c:pt>
                <c:pt idx="1574">
                  <c:v>56.424116234885041</c:v>
                </c:pt>
                <c:pt idx="1575">
                  <c:v>56.620079680553779</c:v>
                </c:pt>
                <c:pt idx="1576">
                  <c:v>56.771948343715977</c:v>
                </c:pt>
                <c:pt idx="1577">
                  <c:v>56.903735935592479</c:v>
                </c:pt>
                <c:pt idx="1578">
                  <c:v>57.029550775294148</c:v>
                </c:pt>
                <c:pt idx="1579">
                  <c:v>57.157767924667411</c:v>
                </c:pt>
                <c:pt idx="1580">
                  <c:v>57.293242384776121</c:v>
                </c:pt>
                <c:pt idx="1581">
                  <c:v>57.438534859147786</c:v>
                </c:pt>
                <c:pt idx="1582">
                  <c:v>57.594629773076534</c:v>
                </c:pt>
                <c:pt idx="1583">
                  <c:v>57.761383740259959</c:v>
                </c:pt>
                <c:pt idx="1584">
                  <c:v>57.9378260748855</c:v>
                </c:pt>
                <c:pt idx="1585">
                  <c:v>58.122375413349232</c:v>
                </c:pt>
                <c:pt idx="1586">
                  <c:v>58.313007149036849</c:v>
                </c:pt>
                <c:pt idx="1587">
                  <c:v>58.507390848860652</c:v>
                </c:pt>
                <c:pt idx="1588">
                  <c:v>58.703008308993248</c:v>
                </c:pt>
                <c:pt idx="1589">
                  <c:v>58.897258094323732</c:v>
                </c:pt>
                <c:pt idx="1590">
                  <c:v>59.087549611124054</c:v>
                </c:pt>
                <c:pt idx="1591">
                  <c:v>59.271388107065221</c:v>
                </c:pt>
                <c:pt idx="1592">
                  <c:v>59.446451002569894</c:v>
                </c:pt>
                <c:pt idx="1593">
                  <c:v>59.610655367332285</c:v>
                </c:pt>
                <c:pt idx="1594">
                  <c:v>59.762216011659042</c:v>
                </c:pt>
                <c:pt idx="1595">
                  <c:v>59.899693470266364</c:v>
                </c:pt>
                <c:pt idx="1596">
                  <c:v>60.022031054952663</c:v>
                </c:pt>
                <c:pt idx="1597">
                  <c:v>60.128580097501718</c:v>
                </c:pt>
                <c:pt idx="1598">
                  <c:v>60.219112457354925</c:v>
                </c:pt>
                <c:pt idx="1599">
                  <c:v>60.293819291589287</c:v>
                </c:pt>
                <c:pt idx="1600">
                  <c:v>60.353294931855395</c:v>
                </c:pt>
                <c:pt idx="1601">
                  <c:v>60.398504423761352</c:v>
                </c:pt>
                <c:pt idx="1602">
                  <c:v>60.430732774733187</c:v>
                </c:pt>
                <c:pt idx="1603">
                  <c:v>60.451513110277148</c:v>
                </c:pt>
                <c:pt idx="1604">
                  <c:v>60.462529607510625</c:v>
                </c:pt>
                <c:pt idx="1605">
                  <c:v>60.4654891234971</c:v>
                </c:pt>
                <c:pt idx="1606">
                  <c:v>60.461952956467577</c:v>
                </c:pt>
                <c:pt idx="1607">
                  <c:v>60.453118308706969</c:v>
                </c:pt>
                <c:pt idx="1608">
                  <c:v>60.439542904341984</c:v>
                </c:pt>
                <c:pt idx="1609">
                  <c:v>60.420835713726404</c:v>
                </c:pt>
                <c:pt idx="1610">
                  <c:v>60.395466187367589</c:v>
                </c:pt>
                <c:pt idx="1611">
                  <c:v>60.361354259863035</c:v>
                </c:pt>
                <c:pt idx="1612">
                  <c:v>60.319850592786175</c:v>
                </c:pt>
                <c:pt idx="1613">
                  <c:v>60.292654239065136</c:v>
                </c:pt>
                <c:pt idx="1614">
                  <c:v>60.377632848996697</c:v>
                </c:pt>
                <c:pt idx="1615">
                  <c:v>60.827806451909467</c:v>
                </c:pt>
                <c:pt idx="1616">
                  <c:v>61.78445962595643</c:v>
                </c:pt>
                <c:pt idx="1617">
                  <c:v>62.813711545596782</c:v>
                </c:pt>
                <c:pt idx="1618">
                  <c:v>63.551518274281271</c:v>
                </c:pt>
                <c:pt idx="1619">
                  <c:v>64.016950537356053</c:v>
                </c:pt>
                <c:pt idx="1620">
                  <c:v>64.314397310772037</c:v>
                </c:pt>
                <c:pt idx="1621">
                  <c:v>64.518749221794153</c:v>
                </c:pt>
                <c:pt idx="1622">
                  <c:v>64.674245843960776</c:v>
                </c:pt>
                <c:pt idx="1623">
                  <c:v>64.80649660951957</c:v>
                </c:pt>
                <c:pt idx="1624">
                  <c:v>64.930503283718508</c:v>
                </c:pt>
                <c:pt idx="1625">
                  <c:v>65.055073667212099</c:v>
                </c:pt>
                <c:pt idx="1626">
                  <c:v>65.18521683501379</c:v>
                </c:pt>
                <c:pt idx="1627">
                  <c:v>65.323487256562885</c:v>
                </c:pt>
                <c:pt idx="1628">
                  <c:v>65.470778515916621</c:v>
                </c:pt>
                <c:pt idx="1629">
                  <c:v>65.626821041446632</c:v>
                </c:pt>
                <c:pt idx="1630">
                  <c:v>65.790515436926427</c:v>
                </c:pt>
                <c:pt idx="1631">
                  <c:v>65.960171338890419</c:v>
                </c:pt>
                <c:pt idx="1632">
                  <c:v>66.133689931309007</c:v>
                </c:pt>
                <c:pt idx="1633">
                  <c:v>66.308711322326573</c:v>
                </c:pt>
                <c:pt idx="1634">
                  <c:v>66.482738682187502</c:v>
                </c:pt>
                <c:pt idx="1635">
                  <c:v>66.653245772550633</c:v>
                </c:pt>
                <c:pt idx="1636">
                  <c:v>66.817771439314157</c:v>
                </c:pt>
                <c:pt idx="1637">
                  <c:v>66.974002833933653</c:v>
                </c:pt>
                <c:pt idx="1638">
                  <c:v>67.119848050915465</c:v>
                </c:pt>
                <c:pt idx="1639">
                  <c:v>67.25349822915264</c:v>
                </c:pt>
                <c:pt idx="1640">
                  <c:v>67.373478791398981</c:v>
                </c:pt>
                <c:pt idx="1641">
                  <c:v>67.478689284824128</c:v>
                </c:pt>
                <c:pt idx="1642">
                  <c:v>67.568431167175191</c:v>
                </c:pt>
                <c:pt idx="1643">
                  <c:v>67.642422806348208</c:v>
                </c:pt>
                <c:pt idx="1644">
                  <c:v>67.700800881299784</c:v>
                </c:pt>
                <c:pt idx="1645">
                  <c:v>67.744107241661609</c:v>
                </c:pt>
                <c:pt idx="1646">
                  <c:v>67.77326004256139</c:v>
                </c:pt>
                <c:pt idx="1647">
                  <c:v>67.789507536161295</c:v>
                </c:pt>
                <c:pt idx="1648">
                  <c:v>67.794362146277095</c:v>
                </c:pt>
                <c:pt idx="1649">
                  <c:v>67.789511181645167</c:v>
                </c:pt>
                <c:pt idx="1650">
                  <c:v>67.776698452834864</c:v>
                </c:pt>
                <c:pt idx="1651">
                  <c:v>67.757567690793095</c:v>
                </c:pt>
                <c:pt idx="1652">
                  <c:v>67.733453416670699</c:v>
                </c:pt>
                <c:pt idx="1653">
                  <c:v>67.705097322600324</c:v>
                </c:pt>
                <c:pt idx="1654">
                  <c:v>67.672259536563217</c:v>
                </c:pt>
                <c:pt idx="1655">
                  <c:v>67.633194069307677</c:v>
                </c:pt>
                <c:pt idx="1656">
                  <c:v>67.584012425810499</c:v>
                </c:pt>
                <c:pt idx="1657">
                  <c:v>67.51826746873374</c:v>
                </c:pt>
                <c:pt idx="1658">
                  <c:v>67.42848165124208</c:v>
                </c:pt>
                <c:pt idx="1659">
                  <c:v>67.317042048825456</c:v>
                </c:pt>
                <c:pt idx="1660">
                  <c:v>67.24181369547297</c:v>
                </c:pt>
                <c:pt idx="1661">
                  <c:v>67.419430804478054</c:v>
                </c:pt>
                <c:pt idx="1662">
                  <c:v>68.105924710769798</c:v>
                </c:pt>
                <c:pt idx="1663">
                  <c:v>69.028401541103307</c:v>
                </c:pt>
                <c:pt idx="1664">
                  <c:v>69.757302571788202</c:v>
                </c:pt>
                <c:pt idx="1665">
                  <c:v>70.232913537807704</c:v>
                </c:pt>
                <c:pt idx="1666">
                  <c:v>70.538423366247216</c:v>
                </c:pt>
                <c:pt idx="1667">
                  <c:v>70.746394902466122</c:v>
                </c:pt>
                <c:pt idx="1668">
                  <c:v>70.901963148263505</c:v>
                </c:pt>
                <c:pt idx="1669">
                  <c:v>71.031664382718319</c:v>
                </c:pt>
                <c:pt idx="1670">
                  <c:v>71.151050270574146</c:v>
                </c:pt>
                <c:pt idx="1671">
                  <c:v>71.269172241043165</c:v>
                </c:pt>
                <c:pt idx="1672">
                  <c:v>71.391088267247824</c:v>
                </c:pt>
                <c:pt idx="1673">
                  <c:v>71.519292121801669</c:v>
                </c:pt>
                <c:pt idx="1674">
                  <c:v>71.65456522928632</c:v>
                </c:pt>
                <c:pt idx="1675">
                  <c:v>71.796513368101856</c:v>
                </c:pt>
                <c:pt idx="1676">
                  <c:v>71.943926201353577</c:v>
                </c:pt>
                <c:pt idx="1677">
                  <c:v>72.095033730814791</c:v>
                </c:pt>
                <c:pt idx="1678">
                  <c:v>72.247700385385215</c:v>
                </c:pt>
                <c:pt idx="1679">
                  <c:v>72.399579540460863</c:v>
                </c:pt>
                <c:pt idx="1680">
                  <c:v>72.548241369772313</c:v>
                </c:pt>
                <c:pt idx="1681">
                  <c:v>72.691281316489693</c:v>
                </c:pt>
                <c:pt idx="1682">
                  <c:v>72.826413211011783</c:v>
                </c:pt>
                <c:pt idx="1683">
                  <c:v>72.951549139701996</c:v>
                </c:pt>
                <c:pt idx="1684">
                  <c:v>73.064867025628729</c:v>
                </c:pt>
                <c:pt idx="1685">
                  <c:v>73.164866205408558</c:v>
                </c:pt>
                <c:pt idx="1686">
                  <c:v>73.250410891799405</c:v>
                </c:pt>
                <c:pt idx="1687">
                  <c:v>73.320761186578736</c:v>
                </c:pt>
                <c:pt idx="1688">
                  <c:v>73.375591177267964</c:v>
                </c:pt>
                <c:pt idx="1689">
                  <c:v>73.414993558077342</c:v>
                </c:pt>
                <c:pt idx="1690">
                  <c:v>73.439470109917039</c:v>
                </c:pt>
                <c:pt idx="1691">
                  <c:v>73.449907202107937</c:v>
                </c:pt>
                <c:pt idx="1692">
                  <c:v>73.447535169623009</c:v>
                </c:pt>
                <c:pt idx="1693">
                  <c:v>73.43386987309762</c:v>
                </c:pt>
                <c:pt idx="1694">
                  <c:v>73.410633807180986</c:v>
                </c:pt>
                <c:pt idx="1695">
                  <c:v>73.379652531365878</c:v>
                </c:pt>
                <c:pt idx="1696">
                  <c:v>73.342719534700521</c:v>
                </c:pt>
                <c:pt idx="1697">
                  <c:v>73.301418210920275</c:v>
                </c:pt>
                <c:pt idx="1698">
                  <c:v>73.256882273837746</c:v>
                </c:pt>
                <c:pt idx="1699">
                  <c:v>73.209463982801296</c:v>
                </c:pt>
                <c:pt idx="1700">
                  <c:v>73.158261147894166</c:v>
                </c:pt>
                <c:pt idx="1701">
                  <c:v>73.100430596222722</c:v>
                </c:pt>
                <c:pt idx="1702">
                  <c:v>73.030210468636014</c:v>
                </c:pt>
                <c:pt idx="1703">
                  <c:v>72.937714279696237</c:v>
                </c:pt>
                <c:pt idx="1704">
                  <c:v>72.808459486158668</c:v>
                </c:pt>
                <c:pt idx="1705">
                  <c:v>72.628957718277206</c:v>
                </c:pt>
                <c:pt idx="1706">
                  <c:v>72.420603885779812</c:v>
                </c:pt>
                <c:pt idx="1707">
                  <c:v>72.347297476750896</c:v>
                </c:pt>
                <c:pt idx="1708">
                  <c:v>72.727499399169972</c:v>
                </c:pt>
                <c:pt idx="1709">
                  <c:v>73.480273708589465</c:v>
                </c:pt>
                <c:pt idx="1710">
                  <c:v>74.163875458892079</c:v>
                </c:pt>
                <c:pt idx="1711">
                  <c:v>74.632482417123057</c:v>
                </c:pt>
                <c:pt idx="1712">
                  <c:v>74.937031238927091</c:v>
                </c:pt>
                <c:pt idx="1713">
                  <c:v>75.143112179229561</c:v>
                </c:pt>
                <c:pt idx="1714">
                  <c:v>75.294879174977297</c:v>
                </c:pt>
                <c:pt idx="1715">
                  <c:v>75.418940338971694</c:v>
                </c:pt>
                <c:pt idx="1716">
                  <c:v>75.530962188761777</c:v>
                </c:pt>
                <c:pt idx="1717">
                  <c:v>75.640003322162428</c:v>
                </c:pt>
                <c:pt idx="1718">
                  <c:v>75.751040256365471</c:v>
                </c:pt>
                <c:pt idx="1719">
                  <c:v>75.866438169032875</c:v>
                </c:pt>
                <c:pt idx="1720">
                  <c:v>75.986837953582366</c:v>
                </c:pt>
                <c:pt idx="1721">
                  <c:v>76.111718651979345</c:v>
                </c:pt>
                <c:pt idx="1722">
                  <c:v>76.239774849786301</c:v>
                </c:pt>
                <c:pt idx="1723">
                  <c:v>76.369185046366823</c:v>
                </c:pt>
                <c:pt idx="1724">
                  <c:v>76.497813162886885</c:v>
                </c:pt>
                <c:pt idx="1725">
                  <c:v>76.623366981825384</c:v>
                </c:pt>
                <c:pt idx="1726">
                  <c:v>76.743527099014358</c:v>
                </c:pt>
                <c:pt idx="1727">
                  <c:v>76.856054153575002</c:v>
                </c:pt>
                <c:pt idx="1728">
                  <c:v>76.958878721083494</c:v>
                </c:pt>
                <c:pt idx="1729">
                  <c:v>77.050176262471098</c:v>
                </c:pt>
                <c:pt idx="1730">
                  <c:v>77.128428339327911</c:v>
                </c:pt>
                <c:pt idx="1731">
                  <c:v>77.192470608758725</c:v>
                </c:pt>
                <c:pt idx="1732">
                  <c:v>77.241527705522017</c:v>
                </c:pt>
                <c:pt idx="1733">
                  <c:v>77.275234886999712</c:v>
                </c:pt>
                <c:pt idx="1734">
                  <c:v>77.29364617822938</c:v>
                </c:pt>
                <c:pt idx="1735">
                  <c:v>77.297228649967437</c:v>
                </c:pt>
                <c:pt idx="1736">
                  <c:v>77.286842338849866</c:v>
                </c:pt>
                <c:pt idx="1737">
                  <c:v>77.263705116304891</c:v>
                </c:pt>
                <c:pt idx="1738">
                  <c:v>77.229341455162171</c:v>
                </c:pt>
                <c:pt idx="1739">
                  <c:v>77.185513417025973</c:v>
                </c:pt>
                <c:pt idx="1740">
                  <c:v>77.134131110893733</c:v>
                </c:pt>
                <c:pt idx="1741">
                  <c:v>77.077138058714098</c:v>
                </c:pt>
                <c:pt idx="1742">
                  <c:v>77.016363842977356</c:v>
                </c:pt>
                <c:pt idx="1743">
                  <c:v>76.953331230791065</c:v>
                </c:pt>
                <c:pt idx="1744">
                  <c:v>76.888996142238483</c:v>
                </c:pt>
                <c:pt idx="1745">
                  <c:v>76.823383743256642</c:v>
                </c:pt>
                <c:pt idx="1746">
                  <c:v>76.75505845945618</c:v>
                </c:pt>
                <c:pt idx="1747">
                  <c:v>76.680325098885248</c:v>
                </c:pt>
                <c:pt idx="1748">
                  <c:v>76.592006927857597</c:v>
                </c:pt>
                <c:pt idx="1749">
                  <c:v>76.47765379860158</c:v>
                </c:pt>
                <c:pt idx="1750">
                  <c:v>76.317518785282175</c:v>
                </c:pt>
                <c:pt idx="1751">
                  <c:v>76.085730667043535</c:v>
                </c:pt>
                <c:pt idx="1752">
                  <c:v>75.772550010428901</c:v>
                </c:pt>
                <c:pt idx="1753">
                  <c:v>75.482155037995554</c:v>
                </c:pt>
                <c:pt idx="1754">
                  <c:v>75.543127213942014</c:v>
                </c:pt>
                <c:pt idx="1755">
                  <c:v>76.067453301425189</c:v>
                </c:pt>
                <c:pt idx="1756">
                  <c:v>76.66446370821258</c:v>
                </c:pt>
                <c:pt idx="1757">
                  <c:v>77.10561851047234</c:v>
                </c:pt>
                <c:pt idx="1758">
                  <c:v>77.39858461321603</c:v>
                </c:pt>
                <c:pt idx="1759">
                  <c:v>77.596526841592777</c:v>
                </c:pt>
                <c:pt idx="1760">
                  <c:v>77.740325432062136</c:v>
                </c:pt>
                <c:pt idx="1761">
                  <c:v>77.855610628403227</c:v>
                </c:pt>
                <c:pt idx="1762">
                  <c:v>77.957633660279853</c:v>
                </c:pt>
                <c:pt idx="1763">
                  <c:v>78.055175118711503</c:v>
                </c:pt>
                <c:pt idx="1764">
                  <c:v>78.152973977600098</c:v>
                </c:pt>
                <c:pt idx="1765">
                  <c:v>78.253185139933052</c:v>
                </c:pt>
                <c:pt idx="1766">
                  <c:v>78.356273169026807</c:v>
                </c:pt>
                <c:pt idx="1767">
                  <c:v>78.461584180387078</c:v>
                </c:pt>
                <c:pt idx="1768">
                  <c:v>78.567731035287352</c:v>
                </c:pt>
                <c:pt idx="1769">
                  <c:v>78.672866920505712</c:v>
                </c:pt>
                <c:pt idx="1770">
                  <c:v>78.774889500262589</c:v>
                </c:pt>
                <c:pt idx="1771">
                  <c:v>78.871599679430531</c:v>
                </c:pt>
                <c:pt idx="1772">
                  <c:v>78.960828828220002</c:v>
                </c:pt>
                <c:pt idx="1773">
                  <c:v>79.040542483463994</c:v>
                </c:pt>
                <c:pt idx="1774">
                  <c:v>79.108925141287983</c:v>
                </c:pt>
                <c:pt idx="1775">
                  <c:v>79.164448750703713</c:v>
                </c:pt>
                <c:pt idx="1776">
                  <c:v>79.205926330664497</c:v>
                </c:pt>
                <c:pt idx="1777">
                  <c:v>79.232551434950352</c:v>
                </c:pt>
                <c:pt idx="1778">
                  <c:v>79.243923785006388</c:v>
                </c:pt>
                <c:pt idx="1779">
                  <c:v>79.240061159393477</c:v>
                </c:pt>
                <c:pt idx="1780">
                  <c:v>79.221397488610833</c:v>
                </c:pt>
                <c:pt idx="1781">
                  <c:v>79.188766994216664</c:v>
                </c:pt>
                <c:pt idx="1782">
                  <c:v>79.143374075931945</c:v>
                </c:pt>
                <c:pt idx="1783">
                  <c:v>79.086748428542606</c:v>
                </c:pt>
                <c:pt idx="1784">
                  <c:v>79.020684481447361</c:v>
                </c:pt>
                <c:pt idx="1785">
                  <c:v>78.947163578303417</c:v>
                </c:pt>
                <c:pt idx="1786">
                  <c:v>78.868256161663624</c:v>
                </c:pt>
                <c:pt idx="1787">
                  <c:v>78.785999278061226</c:v>
                </c:pt>
                <c:pt idx="1788">
                  <c:v>78.702241418626798</c:v>
                </c:pt>
                <c:pt idx="1789">
                  <c:v>78.618441074620677</c:v>
                </c:pt>
                <c:pt idx="1790">
                  <c:v>78.535395636300521</c:v>
                </c:pt>
                <c:pt idx="1791">
                  <c:v>78.452860161163855</c:v>
                </c:pt>
                <c:pt idx="1792">
                  <c:v>78.368985322788603</c:v>
                </c:pt>
                <c:pt idx="1793">
                  <c:v>78.279451213250496</c:v>
                </c:pt>
                <c:pt idx="1794">
                  <c:v>78.176088997920544</c:v>
                </c:pt>
                <c:pt idx="1795">
                  <c:v>78.044688653574795</c:v>
                </c:pt>
                <c:pt idx="1796">
                  <c:v>77.861843967016725</c:v>
                </c:pt>
                <c:pt idx="1797">
                  <c:v>77.592647235307183</c:v>
                </c:pt>
                <c:pt idx="1798">
                  <c:v>77.20244537407811</c:v>
                </c:pt>
                <c:pt idx="1799">
                  <c:v>76.736390133452659</c:v>
                </c:pt>
              </c:numCache>
            </c:numRef>
          </c:xVal>
          <c:yVal>
            <c:numRef>
              <c:f>'2.치형좌표'!$H$6:$H$1805</c:f>
              <c:numCache>
                <c:formatCode>0.00000</c:formatCode>
                <c:ptCount val="1800"/>
                <c:pt idx="0">
                  <c:v>0</c:v>
                </c:pt>
                <c:pt idx="1">
                  <c:v>-1.4254979835062305</c:v>
                </c:pt>
                <c:pt idx="2">
                  <c:v>-2.3586645832501976</c:v>
                </c:pt>
                <c:pt idx="3">
                  <c:v>-2.872928255981166</c:v>
                </c:pt>
                <c:pt idx="4">
                  <c:v>-3.1631405015509308</c:v>
                </c:pt>
                <c:pt idx="5">
                  <c:v>-3.343857435635436</c:v>
                </c:pt>
                <c:pt idx="6">
                  <c:v>-3.4712462910237161</c:v>
                </c:pt>
                <c:pt idx="7">
                  <c:v>-3.5737908308388091</c:v>
                </c:pt>
                <c:pt idx="8">
                  <c:v>-3.6672347619203727</c:v>
                </c:pt>
                <c:pt idx="9">
                  <c:v>-3.7610755816147634</c:v>
                </c:pt>
                <c:pt idx="10">
                  <c:v>-3.8614429673780544</c:v>
                </c:pt>
                <c:pt idx="11">
                  <c:v>-3.9724405803142853</c:v>
                </c:pt>
                <c:pt idx="12">
                  <c:v>-4.0968083933539665</c:v>
                </c:pt>
                <c:pt idx="13">
                  <c:v>-4.2362706504310355</c:v>
                </c:pt>
                <c:pt idx="14">
                  <c:v>-4.3917330195878783</c:v>
                </c:pt>
                <c:pt idx="15">
                  <c:v>-4.5634060700632775</c:v>
                </c:pt>
                <c:pt idx="16">
                  <c:v>-4.7508931369545317</c:v>
                </c:pt>
                <c:pt idx="17">
                  <c:v>-4.9532620277095312</c:v>
                </c:pt>
                <c:pt idx="18">
                  <c:v>-5.1691106993263372</c:v>
                </c:pt>
                <c:pt idx="19">
                  <c:v>-5.3966321290251518</c:v>
                </c:pt>
                <c:pt idx="20">
                  <c:v>-5.6336808969430194</c:v>
                </c:pt>
                <c:pt idx="21">
                  <c:v>-5.8778424425595484</c:v>
                </c:pt>
                <c:pt idx="22">
                  <c:v>-6.1265050259618743</c:v>
                </c:pt>
                <c:pt idx="23">
                  <c:v>-6.3769338543157605</c:v>
                </c:pt>
                <c:pt idx="24">
                  <c:v>-6.6263464830071737</c:v>
                </c:pt>
                <c:pt idx="25">
                  <c:v>-6.8719883949383327</c:v>
                </c:pt>
                <c:pt idx="26">
                  <c:v>-7.1112075606000991</c:v>
                </c:pt>
                <c:pt idx="27">
                  <c:v>-7.3415267664346695</c:v>
                </c:pt>
                <c:pt idx="28">
                  <c:v>-7.5607125642082282</c:v>
                </c:pt>
                <c:pt idx="29">
                  <c:v>-7.7668398468084678</c:v>
                </c:pt>
                <c:pt idx="30">
                  <c:v>-7.9583513193024213</c:v>
                </c:pt>
                <c:pt idx="31">
                  <c:v>-8.1341115575126484</c:v>
                </c:pt>
                <c:pt idx="32">
                  <c:v>-8.2934560268596211</c:v>
                </c:pt>
                <c:pt idx="33">
                  <c:v>-8.436236562295262</c:v>
                </c:pt>
                <c:pt idx="34">
                  <c:v>-8.5628667672616317</c:v>
                </c:pt>
                <c:pt idx="35">
                  <c:v>-8.6743743630732553</c:v>
                </c:pt>
                <c:pt idx="36">
                  <c:v>-8.7724743964610639</c:v>
                </c:pt>
                <c:pt idx="37">
                  <c:v>-8.8596911611605158</c:v>
                </c:pt>
                <c:pt idx="38">
                  <c:v>-8.9395865351905801</c:v>
                </c:pt>
                <c:pt idx="39">
                  <c:v>-9.0172199041728263</c:v>
                </c:pt>
                <c:pt idx="40">
                  <c:v>-9.1001261414960712</c:v>
                </c:pt>
                <c:pt idx="41">
                  <c:v>-9.2005047082818212</c:v>
                </c:pt>
                <c:pt idx="42">
                  <c:v>-9.3403744500686692</c:v>
                </c:pt>
                <c:pt idx="43">
                  <c:v>-9.5641227190905482</c:v>
                </c:pt>
                <c:pt idx="44">
                  <c:v>-9.9674272657029075</c:v>
                </c:pt>
                <c:pt idx="45">
                  <c:v>-10.736937211364038</c:v>
                </c:pt>
                <c:pt idx="46">
                  <c:v>-12.035713968161883</c:v>
                </c:pt>
                <c:pt idx="47">
                  <c:v>-13.516893531196857</c:v>
                </c:pt>
                <c:pt idx="48">
                  <c:v>-14.591595906277297</c:v>
                </c:pt>
                <c:pt idx="49">
                  <c:v>-15.214438704068433</c:v>
                </c:pt>
                <c:pt idx="50">
                  <c:v>-15.571447513399095</c:v>
                </c:pt>
                <c:pt idx="51">
                  <c:v>-15.792896242032985</c:v>
                </c:pt>
                <c:pt idx="52">
                  <c:v>-15.946508886638142</c:v>
                </c:pt>
                <c:pt idx="53">
                  <c:v>-16.067365860353188</c:v>
                </c:pt>
                <c:pt idx="54">
                  <c:v>-16.174859850347232</c:v>
                </c:pt>
                <c:pt idx="55">
                  <c:v>-16.280504901395162</c:v>
                </c:pt>
                <c:pt idx="56">
                  <c:v>-16.391522860225599</c:v>
                </c:pt>
                <c:pt idx="57">
                  <c:v>-16.512565180751505</c:v>
                </c:pt>
                <c:pt idx="58">
                  <c:v>-16.646587871863918</c:v>
                </c:pt>
                <c:pt idx="59">
                  <c:v>-16.795325119940244</c:v>
                </c:pt>
                <c:pt idx="60">
                  <c:v>-16.959565153407993</c:v>
                </c:pt>
                <c:pt idx="61">
                  <c:v>-17.13932590389236</c:v>
                </c:pt>
                <c:pt idx="62">
                  <c:v>-17.333979308946674</c:v>
                </c:pt>
                <c:pt idx="63">
                  <c:v>-17.542349588036277</c:v>
                </c:pt>
                <c:pt idx="64">
                  <c:v>-17.762798915423851</c:v>
                </c:pt>
                <c:pt idx="65">
                  <c:v>-17.99330760190097</c:v>
                </c:pt>
                <c:pt idx="66">
                  <c:v>-18.231552406075444</c:v>
                </c:pt>
                <c:pt idx="67">
                  <c:v>-18.474984588420671</c:v>
                </c:pt>
                <c:pt idx="68">
                  <c:v>-18.720908128603543</c:v>
                </c:pt>
                <c:pt idx="69">
                  <c:v>-18.966557802073044</c:v>
                </c:pt>
                <c:pt idx="70">
                  <c:v>-19.209176370121263</c:v>
                </c:pt>
                <c:pt idx="71">
                  <c:v>-19.446089876751962</c:v>
                </c:pt>
                <c:pt idx="72">
                  <c:v>-19.674779908674413</c:v>
                </c:pt>
                <c:pt idx="73">
                  <c:v>-19.892951629797182</c:v>
                </c:pt>
                <c:pt idx="74">
                  <c:v>-20.098596432522989</c:v>
                </c:pt>
                <c:pt idx="75">
                  <c:v>-20.290048150425033</c:v>
                </c:pt>
                <c:pt idx="76">
                  <c:v>-20.466031958204898</c:v>
                </c:pt>
                <c:pt idx="77">
                  <c:v>-20.625705370694778</c:v>
                </c:pt>
                <c:pt idx="78">
                  <c:v>-20.76869120053766</c:v>
                </c:pt>
                <c:pt idx="79">
                  <c:v>-20.895103064803109</c:v>
                </c:pt>
                <c:pt idx="80">
                  <c:v>-21.005565297214389</c:v>
                </c:pt>
                <c:pt idx="81">
                  <c:v>-21.101231466374454</c:v>
                </c:pt>
                <c:pt idx="82">
                  <c:v>-21.183810318309678</c:v>
                </c:pt>
                <c:pt idx="83">
                  <c:v>-21.255617607005956</c:v>
                </c:pt>
                <c:pt idx="84">
                  <c:v>-21.319693578420992</c:v>
                </c:pt>
                <c:pt idx="85">
                  <c:v>-21.380075616206</c:v>
                </c:pt>
                <c:pt idx="86">
                  <c:v>-21.442438534275794</c:v>
                </c:pt>
                <c:pt idx="87">
                  <c:v>-21.515636720687667</c:v>
                </c:pt>
                <c:pt idx="88">
                  <c:v>-21.615563902112136</c:v>
                </c:pt>
                <c:pt idx="89">
                  <c:v>-21.775165242068212</c:v>
                </c:pt>
                <c:pt idx="90">
                  <c:v>-22.069897016536537</c:v>
                </c:pt>
                <c:pt idx="91">
                  <c:v>-22.665805599569076</c:v>
                </c:pt>
                <c:pt idx="92">
                  <c:v>-23.781181961572958</c:v>
                </c:pt>
                <c:pt idx="93">
                  <c:v>-25.238272972781616</c:v>
                </c:pt>
                <c:pt idx="94">
                  <c:v>-26.41913908963393</c:v>
                </c:pt>
                <c:pt idx="95">
                  <c:v>-27.142286127581787</c:v>
                </c:pt>
                <c:pt idx="96">
                  <c:v>-27.563954505022913</c:v>
                </c:pt>
                <c:pt idx="97">
                  <c:v>-27.82479769596037</c:v>
                </c:pt>
                <c:pt idx="98">
                  <c:v>-28.003152443705073</c:v>
                </c:pt>
                <c:pt idx="99">
                  <c:v>-28.140557967085737</c:v>
                </c:pt>
                <c:pt idx="100">
                  <c:v>-28.260039897975616</c:v>
                </c:pt>
                <c:pt idx="101">
                  <c:v>-28.375121560481389</c:v>
                </c:pt>
                <c:pt idx="102">
                  <c:v>-28.494105958541777</c:v>
                </c:pt>
                <c:pt idx="103">
                  <c:v>-28.622180651589527</c:v>
                </c:pt>
                <c:pt idx="104">
                  <c:v>-28.76250918410155</c:v>
                </c:pt>
                <c:pt idx="105">
                  <c:v>-28.91683296861774</c:v>
                </c:pt>
                <c:pt idx="106">
                  <c:v>-29.08582730062539</c:v>
                </c:pt>
                <c:pt idx="107">
                  <c:v>-29.269329817338829</c:v>
                </c:pt>
                <c:pt idx="108">
                  <c:v>-29.466501280574782</c:v>
                </c:pt>
                <c:pt idx="109">
                  <c:v>-29.675950058400691</c:v>
                </c:pt>
                <c:pt idx="110">
                  <c:v>-29.895837131337785</c:v>
                </c:pt>
                <c:pt idx="111">
                  <c:v>-30.123970697743385</c:v>
                </c:pt>
                <c:pt idx="112">
                  <c:v>-30.35789515607587</c:v>
                </c:pt>
                <c:pt idx="113">
                  <c:v>-30.594976773667096</c:v>
                </c:pt>
                <c:pt idx="114">
                  <c:v>-30.832486891802969</c:v>
                </c:pt>
                <c:pt idx="115">
                  <c:v>-31.067682636203401</c:v>
                </c:pt>
                <c:pt idx="116">
                  <c:v>-31.297884568418425</c:v>
                </c:pt>
                <c:pt idx="117">
                  <c:v>-31.520550397778052</c:v>
                </c:pt>
                <c:pt idx="118">
                  <c:v>-31.733343700849932</c:v>
                </c:pt>
                <c:pt idx="119">
                  <c:v>-31.934196521725326</c:v>
                </c:pt>
                <c:pt idx="120">
                  <c:v>-32.121364725254118</c:v>
                </c:pt>
                <c:pt idx="121">
                  <c:v>-32.293475031103185</c:v>
                </c:pt>
                <c:pt idx="122">
                  <c:v>-32.449562762666311</c:v>
                </c:pt>
                <c:pt idx="123">
                  <c:v>-32.58909950542612</c:v>
                </c:pt>
                <c:pt idx="124">
                  <c:v>-32.712010106261864</c:v>
                </c:pt>
                <c:pt idx="125">
                  <c:v>-32.81867881667057</c:v>
                </c:pt>
                <c:pt idx="126">
                  <c:v>-32.909945027074059</c:v>
                </c:pt>
                <c:pt idx="127">
                  <c:v>-32.987090277783004</c:v>
                </c:pt>
                <c:pt idx="128">
                  <c:v>-33.051820822702794</c:v>
                </c:pt>
                <c:pt idx="129">
                  <c:v>-33.106255803540144</c:v>
                </c:pt>
                <c:pt idx="130">
                  <c:v>-33.152944702965463</c:v>
                </c:pt>
                <c:pt idx="131">
                  <c:v>-33.19497143128811</c:v>
                </c:pt>
                <c:pt idx="132">
                  <c:v>-33.23629019418933</c:v>
                </c:pt>
                <c:pt idx="133">
                  <c:v>-33.282679770918698</c:v>
                </c:pt>
                <c:pt idx="134">
                  <c:v>-33.344401177205988</c:v>
                </c:pt>
                <c:pt idx="135">
                  <c:v>-33.443709704098495</c:v>
                </c:pt>
                <c:pt idx="136">
                  <c:v>-33.635925191082684</c:v>
                </c:pt>
                <c:pt idx="137">
                  <c:v>-34.058657121642035</c:v>
                </c:pt>
                <c:pt idx="138">
                  <c:v>-34.951665913028997</c:v>
                </c:pt>
                <c:pt idx="139">
                  <c:v>-36.303460469988856</c:v>
                </c:pt>
                <c:pt idx="140">
                  <c:v>-37.541954143900647</c:v>
                </c:pt>
                <c:pt idx="141">
                  <c:v>-38.350168810628062</c:v>
                </c:pt>
                <c:pt idx="142">
                  <c:v>-38.831382491970558</c:v>
                </c:pt>
                <c:pt idx="143">
                  <c:v>-39.128849561154013</c:v>
                </c:pt>
                <c:pt idx="144">
                  <c:v>-39.329688394588388</c:v>
                </c:pt>
                <c:pt idx="145">
                  <c:v>-39.481423396979253</c:v>
                </c:pt>
                <c:pt idx="146">
                  <c:v>-39.610548322789583</c:v>
                </c:pt>
                <c:pt idx="147">
                  <c:v>-39.732514238740144</c:v>
                </c:pt>
                <c:pt idx="148">
                  <c:v>-39.856654786674973</c:v>
                </c:pt>
                <c:pt idx="149">
                  <c:v>-39.988660661937374</c:v>
                </c:pt>
                <c:pt idx="150">
                  <c:v>-40.131883499684619</c:v>
                </c:pt>
                <c:pt idx="151">
                  <c:v>-40.288064424924968</c:v>
                </c:pt>
                <c:pt idx="152">
                  <c:v>-40.457769229332776</c:v>
                </c:pt>
                <c:pt idx="153">
                  <c:v>-40.640668732242133</c:v>
                </c:pt>
                <c:pt idx="154">
                  <c:v>-40.835735091195787</c:v>
                </c:pt>
                <c:pt idx="155">
                  <c:v>-41.041391438681053</c:v>
                </c:pt>
                <c:pt idx="156">
                  <c:v>-41.255635068797126</c:v>
                </c:pt>
                <c:pt idx="157">
                  <c:v>-41.476145221877459</c:v>
                </c:pt>
                <c:pt idx="158">
                  <c:v>-41.700381420033153</c:v>
                </c:pt>
                <c:pt idx="159">
                  <c:v>-41.925675382640911</c:v>
                </c:pt>
                <c:pt idx="160">
                  <c:v>-42.149317827185904</c:v>
                </c:pt>
                <c:pt idx="161">
                  <c:v>-42.368640426507994</c:v>
                </c:pt>
                <c:pt idx="162">
                  <c:v>-42.581092570093212</c:v>
                </c:pt>
                <c:pt idx="163">
                  <c:v>-42.78431220781826</c:v>
                </c:pt>
                <c:pt idx="164">
                  <c:v>-42.976189847794132</c:v>
                </c:pt>
                <c:pt idx="165">
                  <c:v>-43.154924679549737</c:v>
                </c:pt>
                <c:pt idx="166">
                  <c:v>-43.319071763304599</c:v>
                </c:pt>
                <c:pt idx="167">
                  <c:v>-43.467579239996908</c:v>
                </c:pt>
                <c:pt idx="168">
                  <c:v>-43.599814555797082</c:v>
                </c:pt>
                <c:pt idx="169">
                  <c:v>-43.715578744170841</c:v>
                </c:pt>
                <c:pt idx="170">
                  <c:v>-43.815107858995681</c:v>
                </c:pt>
                <c:pt idx="171">
                  <c:v>-43.89906070761328</c:v>
                </c:pt>
                <c:pt idx="172">
                  <c:v>-43.968492131187048</c:v>
                </c:pt>
                <c:pt idx="173">
                  <c:v>-44.024811351227946</c:v>
                </c:pt>
                <c:pt idx="174">
                  <c:v>-44.069725720811874</c:v>
                </c:pt>
                <c:pt idx="175">
                  <c:v>-44.105172626298078</c:v>
                </c:pt>
                <c:pt idx="176">
                  <c:v>-44.133249166467976</c:v>
                </c:pt>
                <c:pt idx="177">
                  <c:v>-44.156168803281766</c:v>
                </c:pt>
                <c:pt idx="178">
                  <c:v>-44.176330709345429</c:v>
                </c:pt>
                <c:pt idx="179">
                  <c:v>-44.196756160284536</c:v>
                </c:pt>
                <c:pt idx="180">
                  <c:v>-44.222669761306022</c:v>
                </c:pt>
                <c:pt idx="181">
                  <c:v>-44.266675667821232</c:v>
                </c:pt>
                <c:pt idx="182">
                  <c:v>-44.365096134012617</c:v>
                </c:pt>
                <c:pt idx="183">
                  <c:v>-44.62329323867727</c:v>
                </c:pt>
                <c:pt idx="184">
                  <c:v>-45.27362856457723</c:v>
                </c:pt>
                <c:pt idx="185">
                  <c:v>-46.445403051753871</c:v>
                </c:pt>
                <c:pt idx="186">
                  <c:v>-47.681464427644357</c:v>
                </c:pt>
                <c:pt idx="187">
                  <c:v>-48.551679939794859</c:v>
                </c:pt>
                <c:pt idx="188">
                  <c:v>-49.083840993905419</c:v>
                </c:pt>
                <c:pt idx="189">
                  <c:v>-49.413514146016141</c:v>
                </c:pt>
                <c:pt idx="190">
                  <c:v>-49.633721889374222</c:v>
                </c:pt>
                <c:pt idx="191">
                  <c:v>-49.797095824729965</c:v>
                </c:pt>
                <c:pt idx="192">
                  <c:v>-49.93325526396994</c:v>
                </c:pt>
                <c:pt idx="193">
                  <c:v>-50.059409964143057</c:v>
                </c:pt>
                <c:pt idx="194">
                  <c:v>-50.185827620567295</c:v>
                </c:pt>
                <c:pt idx="195">
                  <c:v>-50.318644318868436</c:v>
                </c:pt>
                <c:pt idx="196">
                  <c:v>-50.461367372201359</c:v>
                </c:pt>
                <c:pt idx="197">
                  <c:v>-50.615723997091358</c:v>
                </c:pt>
                <c:pt idx="198">
                  <c:v>-50.782171855431699</c:v>
                </c:pt>
                <c:pt idx="199">
                  <c:v>-50.960228714413432</c:v>
                </c:pt>
                <c:pt idx="200">
                  <c:v>-51.148702233231845</c:v>
                </c:pt>
                <c:pt idx="201">
                  <c:v>-51.345862964881555</c:v>
                </c:pt>
                <c:pt idx="202">
                  <c:v>-51.549584057158107</c:v>
                </c:pt>
                <c:pt idx="203">
                  <c:v>-51.75746061032779</c:v>
                </c:pt>
                <c:pt idx="204">
                  <c:v>-51.966915794544015</c:v>
                </c:pt>
                <c:pt idx="205">
                  <c:v>-52.175297472271282</c:v>
                </c:pt>
                <c:pt idx="206">
                  <c:v>-52.379967096746583</c:v>
                </c:pt>
                <c:pt idx="207">
                  <c:v>-52.578381477717038</c:v>
                </c:pt>
                <c:pt idx="208">
                  <c:v>-52.768167297780963</c:v>
                </c:pt>
                <c:pt idx="209">
                  <c:v>-52.947187843709507</c:v>
                </c:pt>
                <c:pt idx="210">
                  <c:v>-53.113601179087475</c:v>
                </c:pt>
                <c:pt idx="211">
                  <c:v>-53.265908860137721</c:v>
                </c:pt>
                <c:pt idx="212">
                  <c:v>-53.402994240243665</c:v>
                </c:pt>
                <c:pt idx="213">
                  <c:v>-53.524149386049309</c:v>
                </c:pt>
                <c:pt idx="214">
                  <c:v>-53.629089608828743</c:v>
                </c:pt>
                <c:pt idx="215">
                  <c:v>-53.717954568079449</c:v>
                </c:pt>
                <c:pt idx="216">
                  <c:v>-53.791294794533584</c:v>
                </c:pt>
                <c:pt idx="217">
                  <c:v>-53.850042264857301</c:v>
                </c:pt>
                <c:pt idx="218">
                  <c:v>-53.895463293975205</c:v>
                </c:pt>
                <c:pt idx="219">
                  <c:v>-53.92909146126717</c:v>
                </c:pt>
                <c:pt idx="220">
                  <c:v>-53.952637604995324</c:v>
                </c:pt>
                <c:pt idx="221">
                  <c:v>-53.967873465655295</c:v>
                </c:pt>
                <c:pt idx="222">
                  <c:v>-53.976486724018692</c:v>
                </c:pt>
                <c:pt idx="223">
                  <c:v>-53.979912699841051</c:v>
                </c:pt>
                <c:pt idx="224">
                  <c:v>-53.979177591622296</c:v>
                </c:pt>
                <c:pt idx="225">
                  <c:v>-53.974892922426442</c:v>
                </c:pt>
                <c:pt idx="226">
                  <c:v>-53.967905306701638</c:v>
                </c:pt>
                <c:pt idx="227">
                  <c:v>-53.962384207525247</c:v>
                </c:pt>
                <c:pt idx="228">
                  <c:v>-53.97751283219538</c:v>
                </c:pt>
                <c:pt idx="229">
                  <c:v>-54.085835679856963</c:v>
                </c:pt>
                <c:pt idx="230">
                  <c:v>-54.490705375790533</c:v>
                </c:pt>
                <c:pt idx="231">
                  <c:v>-55.421530296041979</c:v>
                </c:pt>
                <c:pt idx="232">
                  <c:v>-56.587005355184424</c:v>
                </c:pt>
                <c:pt idx="233">
                  <c:v>-57.487837053523251</c:v>
                </c:pt>
                <c:pt idx="234">
                  <c:v>-58.058393860790552</c:v>
                </c:pt>
                <c:pt idx="235">
                  <c:v>-58.414000904005903</c:v>
                </c:pt>
                <c:pt idx="236">
                  <c:v>-58.649528322869322</c:v>
                </c:pt>
                <c:pt idx="237">
                  <c:v>-58.821365094900855</c:v>
                </c:pt>
                <c:pt idx="238">
                  <c:v>-58.961706930514076</c:v>
                </c:pt>
                <c:pt idx="239">
                  <c:v>-59.089252749200611</c:v>
                </c:pt>
                <c:pt idx="240">
                  <c:v>-59.215055393198931</c:v>
                </c:pt>
                <c:pt idx="241">
                  <c:v>-59.345610554518835</c:v>
                </c:pt>
                <c:pt idx="242">
                  <c:v>-59.484533971365515</c:v>
                </c:pt>
                <c:pt idx="243">
                  <c:v>-59.633517996920602</c:v>
                </c:pt>
                <c:pt idx="244">
                  <c:v>-59.792910538204232</c:v>
                </c:pt>
                <c:pt idx="245">
                  <c:v>-59.96208952138641</c:v>
                </c:pt>
                <c:pt idx="246">
                  <c:v>-60.139722913153648</c:v>
                </c:pt>
                <c:pt idx="247">
                  <c:v>-60.323962516106839</c:v>
                </c:pt>
                <c:pt idx="248">
                  <c:v>-60.512597990210409</c:v>
                </c:pt>
                <c:pt idx="249">
                  <c:v>-60.703185817086748</c:v>
                </c:pt>
                <c:pt idx="250">
                  <c:v>-60.893161385279839</c:v>
                </c:pt>
                <c:pt idx="251">
                  <c:v>-61.079938624752124</c:v>
                </c:pt>
                <c:pt idx="252">
                  <c:v>-61.260999418394505</c:v>
                </c:pt>
                <c:pt idx="253">
                  <c:v>-61.433973707783338</c:v>
                </c:pt>
                <c:pt idx="254">
                  <c:v>-61.596710427095253</c:v>
                </c:pt>
                <c:pt idx="255">
                  <c:v>-61.747338936278631</c:v>
                </c:pt>
                <c:pt idx="256">
                  <c:v>-61.88432035938343</c:v>
                </c:pt>
                <c:pt idx="257">
                  <c:v>-62.006488088907439</c:v>
                </c:pt>
                <c:pt idx="258">
                  <c:v>-62.11307663876984</c:v>
                </c:pt>
                <c:pt idx="259">
                  <c:v>-62.203737975035921</c:v>
                </c:pt>
                <c:pt idx="260">
                  <c:v>-62.278544385335032</c:v>
                </c:pt>
                <c:pt idx="261">
                  <c:v>-62.337976820797259</c:v>
                </c:pt>
                <c:pt idx="262">
                  <c:v>-62.382897401331576</c:v>
                </c:pt>
                <c:pt idx="263">
                  <c:v>-62.414504336592195</c:v>
                </c:pt>
                <c:pt idx="264">
                  <c:v>-62.434266765994117</c:v>
                </c:pt>
                <c:pt idx="265">
                  <c:v>-62.44383579757573</c:v>
                </c:pt>
                <c:pt idx="266">
                  <c:v>-62.444926113266682</c:v>
                </c:pt>
                <c:pt idx="267">
                  <c:v>-62.439159709411804</c:v>
                </c:pt>
                <c:pt idx="268">
                  <c:v>-62.427859809670856</c:v>
                </c:pt>
                <c:pt idx="269">
                  <c:v>-62.41178055789171</c:v>
                </c:pt>
                <c:pt idx="270">
                  <c:v>-62.390765281114739</c:v>
                </c:pt>
                <c:pt idx="271">
                  <c:v>-62.363376851059925</c:v>
                </c:pt>
                <c:pt idx="272">
                  <c:v>-62.326769469134</c:v>
                </c:pt>
                <c:pt idx="273">
                  <c:v>-62.277982667090292</c:v>
                </c:pt>
                <c:pt idx="274">
                  <c:v>-62.221356605436021</c:v>
                </c:pt>
                <c:pt idx="275">
                  <c:v>-62.198442691267346</c:v>
                </c:pt>
                <c:pt idx="276">
                  <c:v>-62.369903325437974</c:v>
                </c:pt>
                <c:pt idx="277">
                  <c:v>-63.018179338374736</c:v>
                </c:pt>
                <c:pt idx="278">
                  <c:v>-64.041991621171377</c:v>
                </c:pt>
                <c:pt idx="279">
                  <c:v>-64.933851628042348</c:v>
                </c:pt>
                <c:pt idx="280">
                  <c:v>-65.525914303973863</c:v>
                </c:pt>
                <c:pt idx="281">
                  <c:v>-65.899140868670202</c:v>
                </c:pt>
                <c:pt idx="282">
                  <c:v>-66.144936342161671</c:v>
                </c:pt>
                <c:pt idx="283">
                  <c:v>-66.321564250458977</c:v>
                </c:pt>
                <c:pt idx="284">
                  <c:v>-66.463013624995909</c:v>
                </c:pt>
                <c:pt idx="285">
                  <c:v>-66.589090442784837</c:v>
                </c:pt>
                <c:pt idx="286">
                  <c:v>-66.711425792223537</c:v>
                </c:pt>
                <c:pt idx="287">
                  <c:v>-66.836758276837287</c:v>
                </c:pt>
                <c:pt idx="288">
                  <c:v>-66.968748340145979</c:v>
                </c:pt>
                <c:pt idx="289">
                  <c:v>-67.109024101412402</c:v>
                </c:pt>
                <c:pt idx="290">
                  <c:v>-67.25781822127783</c:v>
                </c:pt>
                <c:pt idx="291">
                  <c:v>-67.414380630888346</c:v>
                </c:pt>
                <c:pt idx="292">
                  <c:v>-67.577264283687697</c:v>
                </c:pt>
                <c:pt idx="293">
                  <c:v>-67.744536362892646</c:v>
                </c:pt>
                <c:pt idx="294">
                  <c:v>-67.913943897019976</c:v>
                </c:pt>
                <c:pt idx="295">
                  <c:v>-68.083050012776454</c:v>
                </c:pt>
                <c:pt idx="296">
                  <c:v>-68.249349947624523</c:v>
                </c:pt>
                <c:pt idx="297">
                  <c:v>-68.410371866487708</c:v>
                </c:pt>
                <c:pt idx="298">
                  <c:v>-68.563765137120285</c:v>
                </c:pt>
                <c:pt idx="299">
                  <c:v>-68.707377299156605</c:v>
                </c:pt>
                <c:pt idx="300">
                  <c:v>-68.839320116340687</c:v>
                </c:pt>
                <c:pt idx="301">
                  <c:v>-68.958024603030765</c:v>
                </c:pt>
                <c:pt idx="302">
                  <c:v>-69.062284629234256</c:v>
                </c:pt>
                <c:pt idx="303">
                  <c:v>-69.151288547128658</c:v>
                </c:pt>
                <c:pt idx="304">
                  <c:v>-69.224638186303139</c:v>
                </c:pt>
                <c:pt idx="305">
                  <c:v>-69.282354486571606</c:v>
                </c:pt>
                <c:pt idx="306">
                  <c:v>-69.324868929418258</c:v>
                </c:pt>
                <c:pt idx="307">
                  <c:v>-69.352999737335892</c:v>
                </c:pt>
                <c:pt idx="308">
                  <c:v>-69.367911460850578</c:v>
                </c:pt>
                <c:pt idx="309">
                  <c:v>-69.371055957186101</c:v>
                </c:pt>
                <c:pt idx="310">
                  <c:v>-69.364091713660272</c:v>
                </c:pt>
                <c:pt idx="311">
                  <c:v>-69.348776715586354</c:v>
                </c:pt>
                <c:pt idx="312">
                  <c:v>-69.326827180049222</c:v>
                </c:pt>
                <c:pt idx="313">
                  <c:v>-69.299729834049188</c:v>
                </c:pt>
                <c:pt idx="314">
                  <c:v>-69.268488175157302</c:v>
                </c:pt>
                <c:pt idx="315">
                  <c:v>-69.233272812124639</c:v>
                </c:pt>
                <c:pt idx="316">
                  <c:v>-69.192935138551178</c:v>
                </c:pt>
                <c:pt idx="317">
                  <c:v>-69.144350184964793</c:v>
                </c:pt>
                <c:pt idx="318">
                  <c:v>-69.081663970650169</c:v>
                </c:pt>
                <c:pt idx="319">
                  <c:v>-68.996107922318984</c:v>
                </c:pt>
                <c:pt idx="320">
                  <c:v>-68.879685028760875</c:v>
                </c:pt>
                <c:pt idx="321">
                  <c:v>-68.746379630646388</c:v>
                </c:pt>
                <c:pt idx="322">
                  <c:v>-68.707826165777917</c:v>
                </c:pt>
                <c:pt idx="323">
                  <c:v>-69.054240736508788</c:v>
                </c:pt>
                <c:pt idx="324">
                  <c:v>-69.868884731177388</c:v>
                </c:pt>
                <c:pt idx="325">
                  <c:v>-70.70493819718007</c:v>
                </c:pt>
                <c:pt idx="326">
                  <c:v>-71.297044993168413</c:v>
                </c:pt>
                <c:pt idx="327">
                  <c:v>-71.677382630623484</c:v>
                </c:pt>
                <c:pt idx="328">
                  <c:v>-71.927338189889639</c:v>
                </c:pt>
                <c:pt idx="329">
                  <c:v>-72.104586198301789</c:v>
                </c:pt>
                <c:pt idx="330">
                  <c:v>-72.243868089006739</c:v>
                </c:pt>
                <c:pt idx="331">
                  <c:v>-72.365591674037944</c:v>
                </c:pt>
                <c:pt idx="332">
                  <c:v>-72.481696634935844</c:v>
                </c:pt>
                <c:pt idx="333">
                  <c:v>-72.599014573327736</c:v>
                </c:pt>
                <c:pt idx="334">
                  <c:v>-72.721169173492058</c:v>
                </c:pt>
                <c:pt idx="335">
                  <c:v>-72.849685662531755</c:v>
                </c:pt>
                <c:pt idx="336">
                  <c:v>-72.984671351200234</c:v>
                </c:pt>
                <c:pt idx="337">
                  <c:v>-73.125257913378519</c:v>
                </c:pt>
                <c:pt idx="338">
                  <c:v>-73.269907051725653</c:v>
                </c:pt>
                <c:pt idx="339">
                  <c:v>-73.416634913052178</c:v>
                </c:pt>
                <c:pt idx="340">
                  <c:v>-73.563186045553195</c:v>
                </c:pt>
                <c:pt idx="341">
                  <c:v>-73.707174287064021</c:v>
                </c:pt>
                <c:pt idx="342">
                  <c:v>-73.846200459253907</c:v>
                </c:pt>
                <c:pt idx="343">
                  <c:v>-73.977952425158151</c:v>
                </c:pt>
                <c:pt idx="344">
                  <c:v>-74.100290538341881</c:v>
                </c:pt>
                <c:pt idx="345">
                  <c:v>-74.211320012965004</c:v>
                </c:pt>
                <c:pt idx="346">
                  <c:v>-74.309450853950111</c:v>
                </c:pt>
                <c:pt idx="347">
                  <c:v>-74.393445463282504</c:v>
                </c:pt>
                <c:pt idx="348">
                  <c:v>-74.462453736975334</c:v>
                </c:pt>
                <c:pt idx="349">
                  <c:v>-74.516035294808319</c:v>
                </c:pt>
                <c:pt idx="350">
                  <c:v>-74.554168376581146</c:v>
                </c:pt>
                <c:pt idx="351">
                  <c:v>-74.577244841422328</c:v>
                </c:pt>
                <c:pt idx="352">
                  <c:v>-74.586050568556033</c:v>
                </c:pt>
                <c:pt idx="353">
                  <c:v>-74.581730316708018</c:v>
                </c:pt>
                <c:pt idx="354">
                  <c:v>-74.565735669256924</c:v>
                </c:pt>
                <c:pt idx="355">
                  <c:v>-74.539753943394985</c:v>
                </c:pt>
                <c:pt idx="356">
                  <c:v>-74.505614666021984</c:v>
                </c:pt>
                <c:pt idx="357">
                  <c:v>-74.465168073095953</c:v>
                </c:pt>
                <c:pt idx="358">
                  <c:v>-74.420126494684283</c:v>
                </c:pt>
                <c:pt idx="359">
                  <c:v>-74.371853473149613</c:v>
                </c:pt>
                <c:pt idx="360">
                  <c:v>-74.321075442085061</c:v>
                </c:pt>
                <c:pt idx="361">
                  <c:v>-74.267474458465827</c:v>
                </c:pt>
                <c:pt idx="362">
                  <c:v>-74.209095773578255</c:v>
                </c:pt>
                <c:pt idx="363">
                  <c:v>-74.141475998194707</c:v>
                </c:pt>
                <c:pt idx="364">
                  <c:v>-74.056413309813934</c:v>
                </c:pt>
                <c:pt idx="365">
                  <c:v>-73.940615048432861</c:v>
                </c:pt>
                <c:pt idx="366">
                  <c:v>-73.776287140883667</c:v>
                </c:pt>
                <c:pt idx="367">
                  <c:v>-73.554195977749572</c:v>
                </c:pt>
                <c:pt idx="368">
                  <c:v>-73.336620448972141</c:v>
                </c:pt>
                <c:pt idx="369">
                  <c:v>-73.384249670702914</c:v>
                </c:pt>
                <c:pt idx="370">
                  <c:v>-73.932805302010422</c:v>
                </c:pt>
                <c:pt idx="371">
                  <c:v>-74.660982689980457</c:v>
                </c:pt>
                <c:pt idx="372">
                  <c:v>-75.227100770130889</c:v>
                </c:pt>
                <c:pt idx="373">
                  <c:v>-75.601751917790608</c:v>
                </c:pt>
                <c:pt idx="374">
                  <c:v>-75.848670698857021</c:v>
                </c:pt>
                <c:pt idx="375">
                  <c:v>-76.021873828879095</c:v>
                </c:pt>
                <c:pt idx="376">
                  <c:v>-76.155538283813001</c:v>
                </c:pt>
                <c:pt idx="377">
                  <c:v>-76.270037240390508</c:v>
                </c:pt>
                <c:pt idx="378">
                  <c:v>-76.377283099833988</c:v>
                </c:pt>
                <c:pt idx="379">
                  <c:v>-76.484015779210566</c:v>
                </c:pt>
                <c:pt idx="380">
                  <c:v>-76.593722172899135</c:v>
                </c:pt>
                <c:pt idx="381">
                  <c:v>-76.707776074820018</c:v>
                </c:pt>
                <c:pt idx="382">
                  <c:v>-76.826144152038395</c:v>
                </c:pt>
                <c:pt idx="383">
                  <c:v>-76.947846809242535</c:v>
                </c:pt>
                <c:pt idx="384">
                  <c:v>-77.071276618169833</c:v>
                </c:pt>
                <c:pt idx="385">
                  <c:v>-77.194430920304214</c:v>
                </c:pt>
                <c:pt idx="386">
                  <c:v>-77.315090366552084</c:v>
                </c:pt>
                <c:pt idx="387">
                  <c:v>-77.430961477291461</c:v>
                </c:pt>
                <c:pt idx="388">
                  <c:v>-77.539793594287303</c:v>
                </c:pt>
                <c:pt idx="389">
                  <c:v>-77.639476153010023</c:v>
                </c:pt>
                <c:pt idx="390">
                  <c:v>-77.72811960015845</c:v>
                </c:pt>
                <c:pt idx="391">
                  <c:v>-77.804121740147679</c:v>
                </c:pt>
                <c:pt idx="392">
                  <c:v>-77.866220381950086</c:v>
                </c:pt>
                <c:pt idx="393">
                  <c:v>-77.91353262321411</c:v>
                </c:pt>
                <c:pt idx="394">
                  <c:v>-77.945580800929207</c:v>
                </c:pt>
                <c:pt idx="395">
                  <c:v>-77.962304960292556</c:v>
                </c:pt>
                <c:pt idx="396">
                  <c:v>-77.964061577604241</c:v>
                </c:pt>
                <c:pt idx="397">
                  <c:v>-77.951608163091791</c:v>
                </c:pt>
                <c:pt idx="398">
                  <c:v>-77.926073210003693</c:v>
                </c:pt>
                <c:pt idx="399">
                  <c:v>-77.88891068014803</c:v>
                </c:pt>
                <c:pt idx="400">
                  <c:v>-77.841837729699321</c:v>
                </c:pt>
                <c:pt idx="401">
                  <c:v>-77.786753538772274</c:v>
                </c:pt>
                <c:pt idx="402">
                  <c:v>-77.72563567994456</c:v>
                </c:pt>
                <c:pt idx="403">
                  <c:v>-77.660408049254201</c:v>
                </c:pt>
                <c:pt idx="404">
                  <c:v>-77.592770303273724</c:v>
                </c:pt>
                <c:pt idx="405">
                  <c:v>-77.523971792634171</c:v>
                </c:pt>
                <c:pt idx="406">
                  <c:v>-77.454501033003737</c:v>
                </c:pt>
                <c:pt idx="407">
                  <c:v>-77.38364117539723</c:v>
                </c:pt>
                <c:pt idx="408">
                  <c:v>-77.308807180263727</c:v>
                </c:pt>
                <c:pt idx="409">
                  <c:v>-77.224526558336947</c:v>
                </c:pt>
                <c:pt idx="410">
                  <c:v>-77.12086893634995</c:v>
                </c:pt>
                <c:pt idx="411">
                  <c:v>-76.981223268879361</c:v>
                </c:pt>
                <c:pt idx="412">
                  <c:v>-76.780443462784874</c:v>
                </c:pt>
                <c:pt idx="413">
                  <c:v>-76.490810202518375</c:v>
                </c:pt>
                <c:pt idx="414">
                  <c:v>-76.129296081431036</c:v>
                </c:pt>
                <c:pt idx="415">
                  <c:v>-75.901127169744214</c:v>
                </c:pt>
                <c:pt idx="416">
                  <c:v>-76.143725877508842</c:v>
                </c:pt>
                <c:pt idx="417">
                  <c:v>-76.709916523853536</c:v>
                </c:pt>
                <c:pt idx="418">
                  <c:v>-77.219777341631058</c:v>
                </c:pt>
                <c:pt idx="419">
                  <c:v>-77.573643272089328</c:v>
                </c:pt>
                <c:pt idx="420">
                  <c:v>-77.809236780878081</c:v>
                </c:pt>
                <c:pt idx="421">
                  <c:v>-77.973253926621382</c:v>
                </c:pt>
                <c:pt idx="422">
                  <c:v>-78.097705226149273</c:v>
                </c:pt>
                <c:pt idx="423">
                  <c:v>-78.202156795760644</c:v>
                </c:pt>
                <c:pt idx="424">
                  <c:v>-78.298089907448698</c:v>
                </c:pt>
                <c:pt idx="425">
                  <c:v>-78.391932754028531</c:v>
                </c:pt>
                <c:pt idx="426">
                  <c:v>-78.486916590731028</c:v>
                </c:pt>
                <c:pt idx="427">
                  <c:v>-78.58420510359295</c:v>
                </c:pt>
                <c:pt idx="428">
                  <c:v>-78.683603465928627</c:v>
                </c:pt>
                <c:pt idx="429">
                  <c:v>-78.784024545321799</c:v>
                </c:pt>
                <c:pt idx="430">
                  <c:v>-78.883811625955929</c:v>
                </c:pt>
                <c:pt idx="431">
                  <c:v>-78.980973389546506</c:v>
                </c:pt>
                <c:pt idx="432">
                  <c:v>-79.073362804423141</c:v>
                </c:pt>
                <c:pt idx="433">
                  <c:v>-79.158818117349981</c:v>
                </c:pt>
                <c:pt idx="434">
                  <c:v>-79.235276493596814</c:v>
                </c:pt>
                <c:pt idx="435">
                  <c:v>-79.300866423498974</c:v>
                </c:pt>
                <c:pt idx="436">
                  <c:v>-79.353982414612616</c:v>
                </c:pt>
                <c:pt idx="437">
                  <c:v>-79.393343951233405</c:v>
                </c:pt>
                <c:pt idx="438">
                  <c:v>-79.41803979529702</c:v>
                </c:pt>
                <c:pt idx="439">
                  <c:v>-79.427558173077529</c:v>
                </c:pt>
                <c:pt idx="440">
                  <c:v>-79.421803088281479</c:v>
                </c:pt>
                <c:pt idx="441">
                  <c:v>-79.40109682605916</c:v>
                </c:pt>
                <c:pt idx="442">
                  <c:v>-79.366168594653985</c:v>
                </c:pt>
                <c:pt idx="443">
                  <c:v>-79.318129134766892</c:v>
                </c:pt>
                <c:pt idx="444">
                  <c:v>-79.258430954158115</c:v>
                </c:pt>
                <c:pt idx="445">
                  <c:v>-79.18881354731819</c:v>
                </c:pt>
                <c:pt idx="446">
                  <c:v>-79.111232439745649</c:v>
                </c:pt>
                <c:pt idx="447">
                  <c:v>-79.027770002473588</c:v>
                </c:pt>
                <c:pt idx="448">
                  <c:v>-78.940524466704161</c:v>
                </c:pt>
                <c:pt idx="449">
                  <c:v>-78.85147100589576</c:v>
                </c:pt>
                <c:pt idx="450">
                  <c:v>-78.762284394633753</c:v>
                </c:pt>
                <c:pt idx="451">
                  <c:v>-78.674105249837936</c:v>
                </c:pt>
                <c:pt idx="452">
                  <c:v>-78.587218738222759</c:v>
                </c:pt>
                <c:pt idx="453">
                  <c:v>-78.500591366438087</c:v>
                </c:pt>
                <c:pt idx="454">
                  <c:v>-78.4111700515504</c:v>
                </c:pt>
                <c:pt idx="455">
                  <c:v>-78.312775901590825</c:v>
                </c:pt>
                <c:pt idx="456">
                  <c:v>-78.194315847726287</c:v>
                </c:pt>
                <c:pt idx="457">
                  <c:v>-78.036959628008802</c:v>
                </c:pt>
                <c:pt idx="458">
                  <c:v>-77.810469294568264</c:v>
                </c:pt>
                <c:pt idx="459">
                  <c:v>-77.473352927215686</c:v>
                </c:pt>
                <c:pt idx="460">
                  <c:v>-77.004095928768379</c:v>
                </c:pt>
                <c:pt idx="461">
                  <c:v>-76.538670020377083</c:v>
                </c:pt>
                <c:pt idx="462">
                  <c:v>-76.457293904312607</c:v>
                </c:pt>
                <c:pt idx="463">
                  <c:v>-76.809677878089772</c:v>
                </c:pt>
                <c:pt idx="464">
                  <c:v>-77.229558722215373</c:v>
                </c:pt>
                <c:pt idx="465">
                  <c:v>-77.545342157604608</c:v>
                </c:pt>
                <c:pt idx="466">
                  <c:v>-77.760267166686702</c:v>
                </c:pt>
                <c:pt idx="467">
                  <c:v>-77.909515097169319</c:v>
                </c:pt>
                <c:pt idx="468">
                  <c:v>-78.02104636168562</c:v>
                </c:pt>
                <c:pt idx="469">
                  <c:v>-78.112711544174289</c:v>
                </c:pt>
                <c:pt idx="470">
                  <c:v>-78.195089391749207</c:v>
                </c:pt>
                <c:pt idx="471">
                  <c:v>-78.274041569207895</c:v>
                </c:pt>
                <c:pt idx="472">
                  <c:v>-78.352406454611156</c:v>
                </c:pt>
                <c:pt idx="473">
                  <c:v>-78.431068977058288</c:v>
                </c:pt>
                <c:pt idx="474">
                  <c:v>-78.509646299234717</c:v>
                </c:pt>
                <c:pt idx="475">
                  <c:v>-78.586943888267413</c:v>
                </c:pt>
                <c:pt idx="476">
                  <c:v>-78.661272791503123</c:v>
                </c:pt>
                <c:pt idx="477">
                  <c:v>-78.730680450301861</c:v>
                </c:pt>
                <c:pt idx="478">
                  <c:v>-78.793125280090706</c:v>
                </c:pt>
                <c:pt idx="479">
                  <c:v>-78.846612620909866</c:v>
                </c:pt>
                <c:pt idx="480">
                  <c:v>-78.889302388741882</c:v>
                </c:pt>
                <c:pt idx="481">
                  <c:v>-78.919594514590344</c:v>
                </c:pt>
                <c:pt idx="482">
                  <c:v>-78.93619575766985</c:v>
                </c:pt>
                <c:pt idx="483">
                  <c:v>-78.938169999305259</c:v>
                </c:pt>
                <c:pt idx="484">
                  <c:v>-78.924973252540482</c:v>
                </c:pt>
                <c:pt idx="485">
                  <c:v>-78.896474116479226</c:v>
                </c:pt>
                <c:pt idx="486">
                  <c:v>-78.852960115851502</c:v>
                </c:pt>
                <c:pt idx="487">
                  <c:v>-78.795130199225426</c:v>
                </c:pt>
                <c:pt idx="488">
                  <c:v>-78.724073555255188</c:v>
                </c:pt>
                <c:pt idx="489">
                  <c:v>-78.641234788838688</c:v>
                </c:pt>
                <c:pt idx="490">
                  <c:v>-78.54836532132542</c:v>
                </c:pt>
                <c:pt idx="491">
                  <c:v>-78.447460571835194</c:v>
                </c:pt>
                <c:pt idx="492">
                  <c:v>-78.340681942531077</c:v>
                </c:pt>
                <c:pt idx="493">
                  <c:v>-78.23026171697137</c:v>
                </c:pt>
                <c:pt idx="494">
                  <c:v>-78.118387435246447</c:v>
                </c:pt>
                <c:pt idx="495">
                  <c:v>-78.007059697344758</c:v>
                </c:pt>
                <c:pt idx="496">
                  <c:v>-77.897912891736368</c:v>
                </c:pt>
                <c:pt idx="497">
                  <c:v>-77.791980629876548</c:v>
                </c:pt>
                <c:pt idx="498">
                  <c:v>-77.689374030457728</c:v>
                </c:pt>
                <c:pt idx="499">
                  <c:v>-77.588816386785794</c:v>
                </c:pt>
                <c:pt idx="500">
                  <c:v>-77.486932599757296</c:v>
                </c:pt>
                <c:pt idx="501">
                  <c:v>-77.377108907449553</c:v>
                </c:pt>
                <c:pt idx="502">
                  <c:v>-77.247593731411243</c:v>
                </c:pt>
                <c:pt idx="503">
                  <c:v>-77.078312308162225</c:v>
                </c:pt>
                <c:pt idx="504">
                  <c:v>-76.835952777926551</c:v>
                </c:pt>
                <c:pt idx="505">
                  <c:v>-76.469665498193308</c:v>
                </c:pt>
                <c:pt idx="506">
                  <c:v>-75.927652267300786</c:v>
                </c:pt>
                <c:pt idx="507">
                  <c:v>-75.273733996409305</c:v>
                </c:pt>
                <c:pt idx="508">
                  <c:v>-74.874453014214751</c:v>
                </c:pt>
                <c:pt idx="509">
                  <c:v>-74.968686508494372</c:v>
                </c:pt>
                <c:pt idx="510">
                  <c:v>-75.262748698802412</c:v>
                </c:pt>
                <c:pt idx="511">
                  <c:v>-75.52120834177677</c:v>
                </c:pt>
                <c:pt idx="512">
                  <c:v>-75.705154688167298</c:v>
                </c:pt>
                <c:pt idx="513">
                  <c:v>-75.83366242698915</c:v>
                </c:pt>
                <c:pt idx="514">
                  <c:v>-75.928497407554872</c:v>
                </c:pt>
                <c:pt idx="515">
                  <c:v>-76.004756068161271</c:v>
                </c:pt>
                <c:pt idx="516">
                  <c:v>-76.071578816965541</c:v>
                </c:pt>
                <c:pt idx="517">
                  <c:v>-76.133973222840453</c:v>
                </c:pt>
                <c:pt idx="518">
                  <c:v>-76.194230384270668</c:v>
                </c:pt>
                <c:pt idx="519">
                  <c:v>-76.252878482216943</c:v>
                </c:pt>
                <c:pt idx="520">
                  <c:v>-76.309314669667188</c:v>
                </c:pt>
                <c:pt idx="521">
                  <c:v>-76.362233410715817</c:v>
                </c:pt>
                <c:pt idx="522">
                  <c:v>-76.409927398996075</c:v>
                </c:pt>
                <c:pt idx="523">
                  <c:v>-76.450507001822089</c:v>
                </c:pt>
                <c:pt idx="524">
                  <c:v>-76.482065512124322</c:v>
                </c:pt>
                <c:pt idx="525">
                  <c:v>-76.502806404977051</c:v>
                </c:pt>
                <c:pt idx="526">
                  <c:v>-76.51114226003304</c:v>
                </c:pt>
                <c:pt idx="527">
                  <c:v>-76.505771146532183</c:v>
                </c:pt>
                <c:pt idx="528">
                  <c:v>-76.485733973565758</c:v>
                </c:pt>
                <c:pt idx="529">
                  <c:v>-76.450454947748582</c:v>
                </c:pt>
                <c:pt idx="530">
                  <c:v>-76.399766480889383</c:v>
                </c:pt>
                <c:pt idx="531">
                  <c:v>-76.333919429107581</c:v>
                </c:pt>
                <c:pt idx="532">
                  <c:v>-76.253579284404964</c:v>
                </c:pt>
                <c:pt idx="533">
                  <c:v>-76.159808789762394</c:v>
                </c:pt>
                <c:pt idx="534">
                  <c:v>-76.054037344510377</c:v>
                </c:pt>
                <c:pt idx="535">
                  <c:v>-75.938017453955851</c:v>
                </c:pt>
                <c:pt idx="536">
                  <c:v>-75.813768301437207</c:v>
                </c:pt>
                <c:pt idx="537">
                  <c:v>-75.683506215245828</c:v>
                </c:pt>
                <c:pt idx="538">
                  <c:v>-75.549561272183851</c:v>
                </c:pt>
                <c:pt idx="539">
                  <c:v>-75.414278375232328</c:v>
                </c:pt>
                <c:pt idx="540">
                  <c:v>-75.279899617574259</c:v>
                </c:pt>
                <c:pt idx="541">
                  <c:v>-75.148422169813387</c:v>
                </c:pt>
                <c:pt idx="542">
                  <c:v>-75.021421531051999</c:v>
                </c:pt>
                <c:pt idx="543">
                  <c:v>-74.899822342075524</c:v>
                </c:pt>
                <c:pt idx="544">
                  <c:v>-74.783585360771326</c:v>
                </c:pt>
                <c:pt idx="545">
                  <c:v>-74.671254377034487</c:v>
                </c:pt>
                <c:pt idx="546">
                  <c:v>-74.559260420018347</c:v>
                </c:pt>
                <c:pt idx="547">
                  <c:v>-74.44079243625616</c:v>
                </c:pt>
                <c:pt idx="548">
                  <c:v>-74.30387816967189</c:v>
                </c:pt>
                <c:pt idx="549">
                  <c:v>-74.128039132429365</c:v>
                </c:pt>
                <c:pt idx="550">
                  <c:v>-73.87863377853914</c:v>
                </c:pt>
                <c:pt idx="551">
                  <c:v>-73.499394975178689</c:v>
                </c:pt>
                <c:pt idx="552">
                  <c:v>-72.916751171676779</c:v>
                </c:pt>
                <c:pt idx="553">
                  <c:v>-72.127910560885041</c:v>
                </c:pt>
                <c:pt idx="554">
                  <c:v>-71.440124232688291</c:v>
                </c:pt>
                <c:pt idx="555">
                  <c:v>-71.24481556593382</c:v>
                </c:pt>
                <c:pt idx="556">
                  <c:v>-71.377086771700661</c:v>
                </c:pt>
                <c:pt idx="557">
                  <c:v>-71.557485764144502</c:v>
                </c:pt>
                <c:pt idx="558">
                  <c:v>-71.699327717051119</c:v>
                </c:pt>
                <c:pt idx="559">
                  <c:v>-71.800815844409939</c:v>
                </c:pt>
                <c:pt idx="560">
                  <c:v>-71.875159793389912</c:v>
                </c:pt>
                <c:pt idx="561">
                  <c:v>-71.933546583438925</c:v>
                </c:pt>
                <c:pt idx="562">
                  <c:v>-71.983084436323637</c:v>
                </c:pt>
                <c:pt idx="563">
                  <c:v>-72.027610130232517</c:v>
                </c:pt>
                <c:pt idx="564">
                  <c:v>-72.068698044141499</c:v>
                </c:pt>
                <c:pt idx="565">
                  <c:v>-72.106433439770868</c:v>
                </c:pt>
                <c:pt idx="566">
                  <c:v>-72.139956493886402</c:v>
                </c:pt>
                <c:pt idx="567">
                  <c:v>-72.167843402539503</c:v>
                </c:pt>
                <c:pt idx="568">
                  <c:v>-72.188379007697066</c:v>
                </c:pt>
                <c:pt idx="569">
                  <c:v>-72.199757120471929</c:v>
                </c:pt>
                <c:pt idx="570">
                  <c:v>-72.200231147195595</c:v>
                </c:pt>
                <c:pt idx="571">
                  <c:v>-72.188228882912227</c:v>
                </c:pt>
                <c:pt idx="572">
                  <c:v>-72.162439951221359</c:v>
                </c:pt>
                <c:pt idx="573">
                  <c:v>-72.121881102803783</c:v>
                </c:pt>
                <c:pt idx="574">
                  <c:v>-72.065942618739655</c:v>
                </c:pt>
                <c:pt idx="575">
                  <c:v>-71.994417892171867</c:v>
                </c:pt>
                <c:pt idx="576">
                  <c:v>-71.907517574138993</c:v>
                </c:pt>
                <c:pt idx="577">
                  <c:v>-71.805869276482426</c:v>
                </c:pt>
                <c:pt idx="578">
                  <c:v>-71.6905036063539</c:v>
                </c:pt>
                <c:pt idx="579">
                  <c:v>-71.562827182745806</c:v>
                </c:pt>
                <c:pt idx="580">
                  <c:v>-71.424583196911144</c:v>
                </c:pt>
                <c:pt idx="581">
                  <c:v>-71.277799975868064</c:v>
                </c:pt>
                <c:pt idx="582">
                  <c:v>-71.124727840631536</c:v>
                </c:pt>
                <c:pt idx="583">
                  <c:v>-70.967764255677707</c:v>
                </c:pt>
                <c:pt idx="584">
                  <c:v>-70.809366753841005</c:v>
                </c:pt>
                <c:pt idx="585">
                  <c:v>-70.651952250563212</c:v>
                </c:pt>
                <c:pt idx="586">
                  <c:v>-70.497779897968272</c:v>
                </c:pt>
                <c:pt idx="587">
                  <c:v>-70.348812162553884</c:v>
                </c:pt>
                <c:pt idx="588">
                  <c:v>-70.206544599978585</c:v>
                </c:pt>
                <c:pt idx="589">
                  <c:v>-70.071787466703583</c:v>
                </c:pt>
                <c:pt idx="590">
                  <c:v>-69.94436920098191</c:v>
                </c:pt>
                <c:pt idx="591">
                  <c:v>-69.822707689918502</c:v>
                </c:pt>
                <c:pt idx="592">
                  <c:v>-69.703149539299901</c:v>
                </c:pt>
                <c:pt idx="593">
                  <c:v>-69.578888760393355</c:v>
                </c:pt>
                <c:pt idx="594">
                  <c:v>-69.438102186217478</c:v>
                </c:pt>
                <c:pt idx="595">
                  <c:v>-69.260611722251681</c:v>
                </c:pt>
                <c:pt idx="596">
                  <c:v>-69.011905111699122</c:v>
                </c:pt>
                <c:pt idx="597">
                  <c:v>-68.633667780631583</c:v>
                </c:pt>
                <c:pt idx="598">
                  <c:v>-68.038611219829818</c:v>
                </c:pt>
                <c:pt idx="599">
                  <c:v>-67.168412242008884</c:v>
                </c:pt>
                <c:pt idx="600">
                  <c:v>-66.241243904982696</c:v>
                </c:pt>
                <c:pt idx="601">
                  <c:v>-65.742914258507014</c:v>
                </c:pt>
                <c:pt idx="602">
                  <c:v>-65.67994663658412</c:v>
                </c:pt>
                <c:pt idx="603">
                  <c:v>-65.760739524653658</c:v>
                </c:pt>
                <c:pt idx="604">
                  <c:v>-65.848764610150411</c:v>
                </c:pt>
                <c:pt idx="605">
                  <c:v>-65.916754286617774</c:v>
                </c:pt>
                <c:pt idx="606">
                  <c:v>-65.966855895194911</c:v>
                </c:pt>
                <c:pt idx="607">
                  <c:v>-66.005097929555504</c:v>
                </c:pt>
                <c:pt idx="608">
                  <c:v>-66.035914777380384</c:v>
                </c:pt>
                <c:pt idx="609">
                  <c:v>-66.061632108304565</c:v>
                </c:pt>
                <c:pt idx="610">
                  <c:v>-66.082926233604667</c:v>
                </c:pt>
                <c:pt idx="611">
                  <c:v>-66.099346886390123</c:v>
                </c:pt>
                <c:pt idx="612">
                  <c:v>-66.109736206625414</c:v>
                </c:pt>
                <c:pt idx="613">
                  <c:v>-66.112541512123684</c:v>
                </c:pt>
                <c:pt idx="614">
                  <c:v>-66.106046878381179</c:v>
                </c:pt>
                <c:pt idx="615">
                  <c:v>-66.088546180500657</c:v>
                </c:pt>
                <c:pt idx="616">
                  <c:v>-66.058473616887127</c:v>
                </c:pt>
                <c:pt idx="617">
                  <c:v>-66.014502227968734</c:v>
                </c:pt>
                <c:pt idx="618">
                  <c:v>-65.955617141305652</c:v>
                </c:pt>
                <c:pt idx="619">
                  <c:v>-65.88116784684324</c:v>
                </c:pt>
                <c:pt idx="620">
                  <c:v>-65.790902299968323</c:v>
                </c:pt>
                <c:pt idx="621">
                  <c:v>-65.684984740186309</c:v>
                </c:pt>
                <c:pt idx="622">
                  <c:v>-65.563998580391896</c:v>
                </c:pt>
                <c:pt idx="623">
                  <c:v>-65.428935422166404</c:v>
                </c:pt>
                <c:pt idx="624">
                  <c:v>-65.281171091131398</c:v>
                </c:pt>
                <c:pt idx="625">
                  <c:v>-65.122429497232986</c:v>
                </c:pt>
                <c:pt idx="626">
                  <c:v>-64.954735058138851</c:v>
                </c:pt>
                <c:pt idx="627">
                  <c:v>-64.780354336368291</c:v>
                </c:pt>
                <c:pt idx="628">
                  <c:v>-64.601727387012176</c:v>
                </c:pt>
                <c:pt idx="629">
                  <c:v>-64.421389036102738</c:v>
                </c:pt>
                <c:pt idx="630">
                  <c:v>-64.241879827892106</c:v>
                </c:pt>
                <c:pt idx="631">
                  <c:v>-64.065645562958167</c:v>
                </c:pt>
                <c:pt idx="632">
                  <c:v>-63.894922980836313</c:v>
                </c:pt>
                <c:pt idx="633">
                  <c:v>-63.731606840243089</c:v>
                </c:pt>
                <c:pt idx="634">
                  <c:v>-63.57708972662364</c:v>
                </c:pt>
                <c:pt idx="635">
                  <c:v>-63.432059076696504</c:v>
                </c:pt>
                <c:pt idx="636">
                  <c:v>-63.29622364767939</c:v>
                </c:pt>
                <c:pt idx="637">
                  <c:v>-63.167918969070989</c:v>
                </c:pt>
                <c:pt idx="638">
                  <c:v>-63.043497901132014</c:v>
                </c:pt>
                <c:pt idx="639">
                  <c:v>-62.916326679264976</c:v>
                </c:pt>
                <c:pt idx="640">
                  <c:v>-62.775033651892507</c:v>
                </c:pt>
                <c:pt idx="641">
                  <c:v>-62.600311136126415</c:v>
                </c:pt>
                <c:pt idx="642">
                  <c:v>-62.358953266980016</c:v>
                </c:pt>
                <c:pt idx="643">
                  <c:v>-61.993363045050302</c:v>
                </c:pt>
                <c:pt idx="644">
                  <c:v>-61.409659505992373</c:v>
                </c:pt>
                <c:pt idx="645">
                  <c:v>-60.507878354563182</c:v>
                </c:pt>
                <c:pt idx="646">
                  <c:v>-59.404410264522447</c:v>
                </c:pt>
                <c:pt idx="647">
                  <c:v>-58.611017029689336</c:v>
                </c:pt>
                <c:pt idx="648">
                  <c:v>-58.325155265402344</c:v>
                </c:pt>
                <c:pt idx="649">
                  <c:v>-58.28495627111274</c:v>
                </c:pt>
                <c:pt idx="650">
                  <c:v>-58.307186265141738</c:v>
                </c:pt>
                <c:pt idx="651">
                  <c:v>-58.335142890397577</c:v>
                </c:pt>
                <c:pt idx="652">
                  <c:v>-58.357369283034622</c:v>
                </c:pt>
                <c:pt idx="653">
                  <c:v>-58.373426575903672</c:v>
                </c:pt>
                <c:pt idx="654">
                  <c:v>-58.38440056967174</c:v>
                </c:pt>
                <c:pt idx="655">
                  <c:v>-58.390749475639872</c:v>
                </c:pt>
                <c:pt idx="656">
                  <c:v>-58.392062500546281</c:v>
                </c:pt>
                <c:pt idx="657">
                  <c:v>-58.387257161324563</c:v>
                </c:pt>
                <c:pt idx="658">
                  <c:v>-58.37483365918861</c:v>
                </c:pt>
                <c:pt idx="659">
                  <c:v>-58.353097049873647</c:v>
                </c:pt>
                <c:pt idx="660">
                  <c:v>-58.320334464166713</c:v>
                </c:pt>
                <c:pt idx="661">
                  <c:v>-58.274952471340342</c:v>
                </c:pt>
                <c:pt idx="662">
                  <c:v>-58.21558196323749</c:v>
                </c:pt>
                <c:pt idx="663">
                  <c:v>-58.141156627209767</c:v>
                </c:pt>
                <c:pt idx="664">
                  <c:v>-58.050969386013463</c:v>
                </c:pt>
                <c:pt idx="665">
                  <c:v>-57.944709852054892</c:v>
                </c:pt>
                <c:pt idx="666">
                  <c:v>-57.822484938434798</c:v>
                </c:pt>
                <c:pt idx="667">
                  <c:v>-57.684824201341485</c:v>
                </c:pt>
                <c:pt idx="668">
                  <c:v>-57.532671155801083</c:v>
                </c:pt>
                <c:pt idx="669">
                  <c:v>-57.367361627034086</c:v>
                </c:pt>
                <c:pt idx="670">
                  <c:v>-57.190590110767523</c:v>
                </c:pt>
                <c:pt idx="671">
                  <c:v>-57.004365070995917</c:v>
                </c:pt>
                <c:pt idx="672">
                  <c:v>-56.810954064890552</c:v>
                </c:pt>
                <c:pt idx="673">
                  <c:v>-56.612819516734135</c:v>
                </c:pt>
                <c:pt idx="674">
                  <c:v>-56.412545827509113</c:v>
                </c:pt>
                <c:pt idx="675">
                  <c:v>-56.212758254551048</c:v>
                </c:pt>
                <c:pt idx="676">
                  <c:v>-56.01603355391844</c:v>
                </c:pt>
                <c:pt idx="677">
                  <c:v>-55.824801631126334</c:v>
                </c:pt>
                <c:pt idx="678">
                  <c:v>-55.64123619845742</c:v>
                </c:pt>
                <c:pt idx="679">
                  <c:v>-55.467130345911762</c:v>
                </c:pt>
                <c:pt idx="680">
                  <c:v>-55.303749372451882</c:v>
                </c:pt>
                <c:pt idx="681">
                  <c:v>-55.151647015841618</c:v>
                </c:pt>
                <c:pt idx="682">
                  <c:v>-55.010420065960162</c:v>
                </c:pt>
                <c:pt idx="683">
                  <c:v>-54.878355615833705</c:v>
                </c:pt>
                <c:pt idx="684">
                  <c:v>-54.751885238543778</c:v>
                </c:pt>
                <c:pt idx="685">
                  <c:v>-54.624680451954454</c:v>
                </c:pt>
                <c:pt idx="686">
                  <c:v>-54.486058873278132</c:v>
                </c:pt>
                <c:pt idx="687">
                  <c:v>-54.318025706300283</c:v>
                </c:pt>
                <c:pt idx="688">
                  <c:v>-54.089590786053456</c:v>
                </c:pt>
                <c:pt idx="689">
                  <c:v>-53.746043099705986</c:v>
                </c:pt>
                <c:pt idx="690">
                  <c:v>-53.192851682262052</c:v>
                </c:pt>
                <c:pt idx="691">
                  <c:v>-52.302880908920223</c:v>
                </c:pt>
                <c:pt idx="692">
                  <c:v>-51.093271052637931</c:v>
                </c:pt>
                <c:pt idx="693">
                  <c:v>-50.035461023627477</c:v>
                </c:pt>
                <c:pt idx="694">
                  <c:v>-49.508513177668483</c:v>
                </c:pt>
                <c:pt idx="695">
                  <c:v>-49.32737937061313</c:v>
                </c:pt>
                <c:pt idx="696">
                  <c:v>-49.271998272904796</c:v>
                </c:pt>
                <c:pt idx="697">
                  <c:v>-49.253514612202665</c:v>
                </c:pt>
                <c:pt idx="698">
                  <c:v>-49.244441287706778</c:v>
                </c:pt>
                <c:pt idx="699">
                  <c:v>-49.236550940364303</c:v>
                </c:pt>
                <c:pt idx="700">
                  <c:v>-49.226892701782091</c:v>
                </c:pt>
                <c:pt idx="701">
                  <c:v>-49.213694826304781</c:v>
                </c:pt>
                <c:pt idx="702">
                  <c:v>-49.195268071916317</c:v>
                </c:pt>
                <c:pt idx="703">
                  <c:v>-49.169799978287386</c:v>
                </c:pt>
                <c:pt idx="704">
                  <c:v>-49.135403707635149</c:v>
                </c:pt>
                <c:pt idx="705">
                  <c:v>-49.090226728727316</c:v>
                </c:pt>
                <c:pt idx="706">
                  <c:v>-49.03256013462132</c:v>
                </c:pt>
                <c:pt idx="707">
                  <c:v>-48.960931899632783</c:v>
                </c:pt>
                <c:pt idx="708">
                  <c:v>-48.874180661956487</c:v>
                </c:pt>
                <c:pt idx="709">
                  <c:v>-48.77151051343462</c:v>
                </c:pt>
                <c:pt idx="710">
                  <c:v>-48.652528189987699</c:v>
                </c:pt>
                <c:pt idx="711">
                  <c:v>-48.517264091095306</c:v>
                </c:pt>
                <c:pt idx="712">
                  <c:v>-48.366178399179219</c:v>
                </c:pt>
                <c:pt idx="713">
                  <c:v>-48.200153425558149</c:v>
                </c:pt>
                <c:pt idx="714">
                  <c:v>-48.020473224048295</c:v>
                </c:pt>
                <c:pt idx="715">
                  <c:v>-47.828791480275505</c:v>
                </c:pt>
                <c:pt idx="716">
                  <c:v>-47.627088684121667</c:v>
                </c:pt>
                <c:pt idx="717">
                  <c:v>-47.417619601526731</c:v>
                </c:pt>
                <c:pt idx="718">
                  <c:v>-47.202852056819395</c:v>
                </c:pt>
                <c:pt idx="719">
                  <c:v>-46.985397992864449</c:v>
                </c:pt>
                <c:pt idx="720">
                  <c:v>-46.76793766348716</c:v>
                </c:pt>
                <c:pt idx="721">
                  <c:v>-46.55313758980607</c:v>
                </c:pt>
                <c:pt idx="722">
                  <c:v>-46.34356251742377</c:v>
                </c:pt>
                <c:pt idx="723">
                  <c:v>-46.141580944875109</c:v>
                </c:pt>
                <c:pt idx="724">
                  <c:v>-45.949262685240605</c:v>
                </c:pt>
                <c:pt idx="725">
                  <c:v>-45.76826507159624</c:v>
                </c:pt>
                <c:pt idx="726">
                  <c:v>-45.59970127216009</c:v>
                </c:pt>
                <c:pt idx="727">
                  <c:v>-45.44397869927473</c:v>
                </c:pt>
                <c:pt idx="728">
                  <c:v>-45.300585631907843</c:v>
                </c:pt>
                <c:pt idx="729">
                  <c:v>-45.167785765667261</c:v>
                </c:pt>
                <c:pt idx="730">
                  <c:v>-45.042144688783281</c:v>
                </c:pt>
                <c:pt idx="731">
                  <c:v>-44.917740112885674</c:v>
                </c:pt>
                <c:pt idx="732">
                  <c:v>-44.784756167495722</c:v>
                </c:pt>
                <c:pt idx="733">
                  <c:v>-44.626835326249932</c:v>
                </c:pt>
                <c:pt idx="734">
                  <c:v>-44.415865989479748</c:v>
                </c:pt>
                <c:pt idx="735">
                  <c:v>-44.101632453504699</c:v>
                </c:pt>
                <c:pt idx="736">
                  <c:v>-43.5936335311306</c:v>
                </c:pt>
                <c:pt idx="737">
                  <c:v>-42.751020756444923</c:v>
                </c:pt>
                <c:pt idx="738">
                  <c:v>-41.505627991281401</c:v>
                </c:pt>
                <c:pt idx="739">
                  <c:v>-40.235209550388326</c:v>
                </c:pt>
                <c:pt idx="740">
                  <c:v>-39.462141784869054</c:v>
                </c:pt>
                <c:pt idx="741">
                  <c:v>-39.12318411658881</c:v>
                </c:pt>
                <c:pt idx="742">
                  <c:v>-38.979086802598559</c:v>
                </c:pt>
                <c:pt idx="743">
                  <c:v>-38.908110066855393</c:v>
                </c:pt>
                <c:pt idx="744">
                  <c:v>-38.864627453138318</c:v>
                </c:pt>
                <c:pt idx="745">
                  <c:v>-38.8313525046119</c:v>
                </c:pt>
                <c:pt idx="746">
                  <c:v>-38.800621728761094</c:v>
                </c:pt>
                <c:pt idx="747">
                  <c:v>-38.768077127698213</c:v>
                </c:pt>
                <c:pt idx="748">
                  <c:v>-38.730563951548042</c:v>
                </c:pt>
                <c:pt idx="749">
                  <c:v>-38.685444587900825</c:v>
                </c:pt>
                <c:pt idx="750">
                  <c:v>-38.630400894949382</c:v>
                </c:pt>
                <c:pt idx="751">
                  <c:v>-38.563406580971055</c:v>
                </c:pt>
                <c:pt idx="752">
                  <c:v>-38.482755237371663</c:v>
                </c:pt>
                <c:pt idx="753">
                  <c:v>-38.387101270231696</c:v>
                </c:pt>
                <c:pt idx="754">
                  <c:v>-38.275497348550061</c:v>
                </c:pt>
                <c:pt idx="755">
                  <c:v>-38.147422108637343</c:v>
                </c:pt>
                <c:pt idx="756">
                  <c:v>-38.002795885361181</c:v>
                </c:pt>
                <c:pt idx="757">
                  <c:v>-37.841983912889617</c:v>
                </c:pt>
                <c:pt idx="758">
                  <c:v>-37.665787174620966</c:v>
                </c:pt>
                <c:pt idx="759">
                  <c:v>-37.475421443418334</c:v>
                </c:pt>
                <c:pt idx="760">
                  <c:v>-37.272485261095625</c:v>
                </c:pt>
                <c:pt idx="761">
                  <c:v>-37.058917746569563</c:v>
                </c:pt>
                <c:pt idx="762">
                  <c:v>-36.836947225203808</c:v>
                </c:pt>
                <c:pt idx="763">
                  <c:v>-36.609031743415088</c:v>
                </c:pt>
                <c:pt idx="764">
                  <c:v>-36.3777925668184</c:v>
                </c:pt>
                <c:pt idx="765">
                  <c:v>-36.145941743949123</c:v>
                </c:pt>
                <c:pt idx="766">
                  <c:v>-35.916204730292073</c:v>
                </c:pt>
                <c:pt idx="767">
                  <c:v>-35.691238877352902</c:v>
                </c:pt>
                <c:pt idx="768">
                  <c:v>-35.473548248625903</c:v>
                </c:pt>
                <c:pt idx="769">
                  <c:v>-35.265394645375508</c:v>
                </c:pt>
                <c:pt idx="770">
                  <c:v>-35.068703766960077</c:v>
                </c:pt>
                <c:pt idx="771">
                  <c:v>-34.884963837708334</c:v>
                </c:pt>
                <c:pt idx="772">
                  <c:v>-34.715111334741422</c:v>
                </c:pt>
                <c:pt idx="773">
                  <c:v>-34.559393752364812</c:v>
                </c:pt>
                <c:pt idx="774">
                  <c:v>-34.417190869918983</c:v>
                </c:pt>
                <c:pt idx="775">
                  <c:v>-34.286760127730282</c:v>
                </c:pt>
                <c:pt idx="776">
                  <c:v>-34.164840740980551</c:v>
                </c:pt>
                <c:pt idx="777">
                  <c:v>-34.045987992478722</c:v>
                </c:pt>
                <c:pt idx="778">
                  <c:v>-33.921374516803667</c:v>
                </c:pt>
                <c:pt idx="779">
                  <c:v>-33.776497766336625</c:v>
                </c:pt>
                <c:pt idx="780">
                  <c:v>-33.586567019571795</c:v>
                </c:pt>
                <c:pt idx="781">
                  <c:v>-33.306967604267726</c:v>
                </c:pt>
                <c:pt idx="782">
                  <c:v>-32.854681207618022</c:v>
                </c:pt>
                <c:pt idx="783">
                  <c:v>-32.086623285176138</c:v>
                </c:pt>
                <c:pt idx="784">
                  <c:v>-30.870097312932568</c:v>
                </c:pt>
                <c:pt idx="785">
                  <c:v>-29.455724117992812</c:v>
                </c:pt>
                <c:pt idx="786">
                  <c:v>-28.447831653789201</c:v>
                </c:pt>
                <c:pt idx="787">
                  <c:v>-27.939130262725261</c:v>
                </c:pt>
                <c:pt idx="788">
                  <c:v>-27.696602468880531</c:v>
                </c:pt>
                <c:pt idx="789">
                  <c:v>-27.567709122863924</c:v>
                </c:pt>
                <c:pt idx="790">
                  <c:v>-27.487147046976219</c:v>
                </c:pt>
                <c:pt idx="791">
                  <c:v>-27.427430733607373</c:v>
                </c:pt>
                <c:pt idx="792">
                  <c:v>-27.375551916294139</c:v>
                </c:pt>
                <c:pt idx="793">
                  <c:v>-27.324231211254521</c:v>
                </c:pt>
                <c:pt idx="794">
                  <c:v>-27.268673412436787</c:v>
                </c:pt>
                <c:pt idx="795">
                  <c:v>-27.205327473766097</c:v>
                </c:pt>
                <c:pt idx="796">
                  <c:v>-27.131402931072778</c:v>
                </c:pt>
                <c:pt idx="797">
                  <c:v>-27.04468405216328</c:v>
                </c:pt>
                <c:pt idx="798">
                  <c:v>-26.943463824513348</c:v>
                </c:pt>
                <c:pt idx="799">
                  <c:v>-26.826524824359378</c:v>
                </c:pt>
                <c:pt idx="800">
                  <c:v>-26.693135496468035</c:v>
                </c:pt>
                <c:pt idx="801">
                  <c:v>-26.543047715267072</c:v>
                </c:pt>
                <c:pt idx="802">
                  <c:v>-26.376489152846208</c:v>
                </c:pt>
                <c:pt idx="803">
                  <c:v>-26.194147552764665</c:v>
                </c:pt>
                <c:pt idx="804">
                  <c:v>-25.99714578306088</c:v>
                </c:pt>
                <c:pt idx="805">
                  <c:v>-25.78700748802196</c:v>
                </c:pt>
                <c:pt idx="806">
                  <c:v>-25.565613704183285</c:v>
                </c:pt>
                <c:pt idx="807">
                  <c:v>-25.335151145497747</c:v>
                </c:pt>
                <c:pt idx="808">
                  <c:v>-25.098053084169784</c:v>
                </c:pt>
                <c:pt idx="809">
                  <c:v>-24.856933896438814</c:v>
                </c:pt>
                <c:pt idx="810">
                  <c:v>-24.614518421071594</c:v>
                </c:pt>
                <c:pt idx="811">
                  <c:v>-24.373567292872902</c:v>
                </c:pt>
                <c:pt idx="812">
                  <c:v>-24.136799354044161</c:v>
                </c:pt>
                <c:pt idx="813">
                  <c:v>-23.906812091242632</c:v>
                </c:pt>
                <c:pt idx="814">
                  <c:v>-23.6860007577238</c:v>
                </c:pt>
                <c:pt idx="815">
                  <c:v>-23.47647635222518</c:v>
                </c:pt>
                <c:pt idx="816">
                  <c:v>-23.279981823636597</c:v>
                </c:pt>
                <c:pt idx="817">
                  <c:v>-23.097804544385532</c:v>
                </c:pt>
                <c:pt idx="818">
                  <c:v>-22.930680858063461</c:v>
                </c:pt>
                <c:pt idx="819">
                  <c:v>-22.778684613553079</c:v>
                </c:pt>
                <c:pt idx="820">
                  <c:v>-22.641084567904016</c:v>
                </c:pt>
                <c:pt idx="821">
                  <c:v>-22.516142313555459</c:v>
                </c:pt>
                <c:pt idx="822">
                  <c:v>-22.400796375815464</c:v>
                </c:pt>
                <c:pt idx="823">
                  <c:v>-22.290124540549606</c:v>
                </c:pt>
                <c:pt idx="824">
                  <c:v>-22.176360692190876</c:v>
                </c:pt>
                <c:pt idx="825">
                  <c:v>-22.046980906452863</c:v>
                </c:pt>
                <c:pt idx="826">
                  <c:v>-21.880765392155681</c:v>
                </c:pt>
                <c:pt idx="827">
                  <c:v>-21.639367710265859</c:v>
                </c:pt>
                <c:pt idx="828">
                  <c:v>-21.249587937936511</c:v>
                </c:pt>
                <c:pt idx="829">
                  <c:v>-20.575147010125796</c:v>
                </c:pt>
                <c:pt idx="830">
                  <c:v>-19.442099926224525</c:v>
                </c:pt>
                <c:pt idx="831">
                  <c:v>-17.962719374667419</c:v>
                </c:pt>
                <c:pt idx="832">
                  <c:v>-16.749615093793018</c:v>
                </c:pt>
                <c:pt idx="833">
                  <c:v>-16.066358924229622</c:v>
                </c:pt>
                <c:pt idx="834">
                  <c:v>-15.717893280095035</c:v>
                </c:pt>
                <c:pt idx="835">
                  <c:v>-15.526614144428157</c:v>
                </c:pt>
                <c:pt idx="836">
                  <c:v>-15.406884986945462</c:v>
                </c:pt>
                <c:pt idx="837">
                  <c:v>-15.320110903294493</c:v>
                </c:pt>
                <c:pt idx="838">
                  <c:v>-15.247388843064755</c:v>
                </c:pt>
                <c:pt idx="839">
                  <c:v>-15.178221709265804</c:v>
                </c:pt>
                <c:pt idx="840">
                  <c:v>-15.106020048886734</c:v>
                </c:pt>
                <c:pt idx="841">
                  <c:v>-15.026242918631409</c:v>
                </c:pt>
                <c:pt idx="842">
                  <c:v>-14.935592523319487</c:v>
                </c:pt>
                <c:pt idx="843">
                  <c:v>-14.831650076176112</c:v>
                </c:pt>
                <c:pt idx="844">
                  <c:v>-14.712704127818627</c:v>
                </c:pt>
                <c:pt idx="845">
                  <c:v>-14.577664422009542</c:v>
                </c:pt>
                <c:pt idx="846">
                  <c:v>-14.426012756104333</c:v>
                </c:pt>
                <c:pt idx="847">
                  <c:v>-14.257767800602291</c:v>
                </c:pt>
                <c:pt idx="848">
                  <c:v>-14.073452578346815</c:v>
                </c:pt>
                <c:pt idx="849">
                  <c:v>-13.874059024336846</c:v>
                </c:pt>
                <c:pt idx="850">
                  <c:v>-13.66100699130261</c:v>
                </c:pt>
                <c:pt idx="851">
                  <c:v>-13.436096670057534</c:v>
                </c:pt>
                <c:pt idx="852">
                  <c:v>-13.201454318582206</c:v>
                </c:pt>
                <c:pt idx="853">
                  <c:v>-12.959471755500564</c:v>
                </c:pt>
                <c:pt idx="854">
                  <c:v>-12.712740426856239</c:v>
                </c:pt>
                <c:pt idx="855">
                  <c:v>-12.463981076687739</c:v>
                </c:pt>
                <c:pt idx="856">
                  <c:v>-12.215970178959768</c:v>
                </c:pt>
                <c:pt idx="857">
                  <c:v>-11.971464336252014</c:v>
                </c:pt>
                <c:pt idx="858">
                  <c:v>-11.733123820485309</c:v>
                </c:pt>
                <c:pt idx="859">
                  <c:v>-11.503436312029226</c:v>
                </c:pt>
                <c:pt idx="860">
                  <c:v>-11.284641660219213</c:v>
                </c:pt>
                <c:pt idx="861">
                  <c:v>-11.078658092255896</c:v>
                </c:pt>
                <c:pt idx="862">
                  <c:v>-10.887009650394935</c:v>
                </c:pt>
                <c:pt idx="863">
                  <c:v>-10.710753576787123</c:v>
                </c:pt>
                <c:pt idx="864">
                  <c:v>-10.550404585206808</c:v>
                </c:pt>
                <c:pt idx="865">
                  <c:v>-10.405849864956647</c:v>
                </c:pt>
                <c:pt idx="866">
                  <c:v>-10.27624306022591</c:v>
                </c:pt>
                <c:pt idx="867">
                  <c:v>-10.159854863916381</c:v>
                </c:pt>
                <c:pt idx="868">
                  <c:v>-10.053836825265414</c:v>
                </c:pt>
                <c:pt idx="869">
                  <c:v>-9.9538111161466176</c:v>
                </c:pt>
                <c:pt idx="870">
                  <c:v>-9.8531028078924177</c:v>
                </c:pt>
                <c:pt idx="871">
                  <c:v>-9.7412093472423358</c:v>
                </c:pt>
                <c:pt idx="872">
                  <c:v>-9.6005687207562787</c:v>
                </c:pt>
                <c:pt idx="873">
                  <c:v>-9.3993999635342469</c:v>
                </c:pt>
                <c:pt idx="874">
                  <c:v>-9.075688387734326</c:v>
                </c:pt>
                <c:pt idx="875">
                  <c:v>-8.5064955059166714</c:v>
                </c:pt>
                <c:pt idx="876">
                  <c:v>-7.4989814057471085</c:v>
                </c:pt>
                <c:pt idx="877">
                  <c:v>-6.0360613981449891</c:v>
                </c:pt>
                <c:pt idx="878">
                  <c:v>-4.6658345446156995</c:v>
                </c:pt>
                <c:pt idx="879">
                  <c:v>-3.8125280026097133</c:v>
                </c:pt>
                <c:pt idx="880">
                  <c:v>-3.3537707247902504</c:v>
                </c:pt>
                <c:pt idx="881">
                  <c:v>-3.0969670536507863</c:v>
                </c:pt>
                <c:pt idx="882">
                  <c:v>-2.9367276284898645</c:v>
                </c:pt>
                <c:pt idx="883">
                  <c:v>-2.8227859345068693</c:v>
                </c:pt>
                <c:pt idx="884">
                  <c:v>-2.7299215135561856</c:v>
                </c:pt>
                <c:pt idx="885">
                  <c:v>-2.644182369340677</c:v>
                </c:pt>
                <c:pt idx="886">
                  <c:v>-2.5570623829346792</c:v>
                </c:pt>
                <c:pt idx="887">
                  <c:v>-2.4629715572128847</c:v>
                </c:pt>
                <c:pt idx="888">
                  <c:v>-2.3580788399043424</c:v>
                </c:pt>
                <c:pt idx="889">
                  <c:v>-2.2397526141751669</c:v>
                </c:pt>
                <c:pt idx="890">
                  <c:v>-2.1062734923837581</c:v>
                </c:pt>
                <c:pt idx="891">
                  <c:v>-1.95667532629922</c:v>
                </c:pt>
                <c:pt idx="892">
                  <c:v>-1.7906471771644792</c:v>
                </c:pt>
                <c:pt idx="893">
                  <c:v>-1.6084633744450045</c:v>
                </c:pt>
                <c:pt idx="894">
                  <c:v>-1.4109250324001081</c:v>
                </c:pt>
                <c:pt idx="895">
                  <c:v>-1.1993044737971077</c:v>
                </c:pt>
                <c:pt idx="896">
                  <c:v>-0.9752882386806444</c:v>
                </c:pt>
                <c:pt idx="897">
                  <c:v>-0.74091668064301031</c:v>
                </c:pt>
                <c:pt idx="898">
                  <c:v>-0.49851949211608743</c:v>
                </c:pt>
                <c:pt idx="899">
                  <c:v>-0.25064730387627243</c:v>
                </c:pt>
                <c:pt idx="900">
                  <c:v>-2.1105339694654777E-12</c:v>
                </c:pt>
                <c:pt idx="901">
                  <c:v>0.25064730387207435</c:v>
                </c:pt>
                <c:pt idx="902">
                  <c:v>0.4985194921119826</c:v>
                </c:pt>
                <c:pt idx="903">
                  <c:v>0.74091668063899485</c:v>
                </c:pt>
                <c:pt idx="904">
                  <c:v>0.97528823867678249</c:v>
                </c:pt>
                <c:pt idx="905">
                  <c:v>1.1993044737934377</c:v>
                </c:pt>
                <c:pt idx="906">
                  <c:v>1.4109250323966867</c:v>
                </c:pt>
                <c:pt idx="907">
                  <c:v>1.6084633744418295</c:v>
                </c:pt>
                <c:pt idx="908">
                  <c:v>1.790647177161568</c:v>
                </c:pt>
                <c:pt idx="909">
                  <c:v>1.9566753262965817</c:v>
                </c:pt>
                <c:pt idx="910">
                  <c:v>2.1062734923813906</c:v>
                </c:pt>
                <c:pt idx="911">
                  <c:v>2.2397526141730628</c:v>
                </c:pt>
                <c:pt idx="912">
                  <c:v>2.358078839902479</c:v>
                </c:pt>
                <c:pt idx="913">
                  <c:v>2.4629715572112238</c:v>
                </c:pt>
                <c:pt idx="914">
                  <c:v>2.5570623829331671</c:v>
                </c:pt>
                <c:pt idx="915">
                  <c:v>2.6441823693392399</c:v>
                </c:pt>
                <c:pt idx="916">
                  <c:v>2.7299215135547099</c:v>
                </c:pt>
                <c:pt idx="917">
                  <c:v>2.8227859345051907</c:v>
                </c:pt>
                <c:pt idx="918">
                  <c:v>2.9367276284876649</c:v>
                </c:pt>
                <c:pt idx="919">
                  <c:v>3.0969670536474889</c:v>
                </c:pt>
                <c:pt idx="920">
                  <c:v>3.3537707247846589</c:v>
                </c:pt>
                <c:pt idx="921">
                  <c:v>3.8125280025992869</c:v>
                </c:pt>
                <c:pt idx="922">
                  <c:v>4.6658345445968417</c:v>
                </c:pt>
                <c:pt idx="923">
                  <c:v>6.0360613981190987</c:v>
                </c:pt>
                <c:pt idx="924">
                  <c:v>7.4989814057256545</c:v>
                </c:pt>
                <c:pt idx="925">
                  <c:v>8.5064955059039224</c:v>
                </c:pt>
                <c:pt idx="926">
                  <c:v>9.0756883877272934</c:v>
                </c:pt>
                <c:pt idx="927">
                  <c:v>9.3993999635300813</c:v>
                </c:pt>
                <c:pt idx="928">
                  <c:v>9.6005687207535324</c:v>
                </c:pt>
                <c:pt idx="929">
                  <c:v>9.7412093472402859</c:v>
                </c:pt>
                <c:pt idx="930">
                  <c:v>9.8531028078906768</c:v>
                </c:pt>
                <c:pt idx="931">
                  <c:v>9.9538111161449603</c:v>
                </c:pt>
                <c:pt idx="932">
                  <c:v>10.053836825263703</c:v>
                </c:pt>
                <c:pt idx="933">
                  <c:v>10.159854863914546</c:v>
                </c:pt>
                <c:pt idx="934">
                  <c:v>10.276243060223855</c:v>
                </c:pt>
                <c:pt idx="935">
                  <c:v>10.40584986495435</c:v>
                </c:pt>
                <c:pt idx="936">
                  <c:v>10.550404585204255</c:v>
                </c:pt>
                <c:pt idx="937">
                  <c:v>10.710753576784303</c:v>
                </c:pt>
                <c:pt idx="938">
                  <c:v>10.88700965039185</c:v>
                </c:pt>
                <c:pt idx="939">
                  <c:v>11.078658092252558</c:v>
                </c:pt>
                <c:pt idx="940">
                  <c:v>11.284641660215646</c:v>
                </c:pt>
                <c:pt idx="941">
                  <c:v>11.503436312025482</c:v>
                </c:pt>
                <c:pt idx="942">
                  <c:v>11.733123820481348</c:v>
                </c:pt>
                <c:pt idx="943">
                  <c:v>11.971464336247902</c:v>
                </c:pt>
                <c:pt idx="944">
                  <c:v>12.215970178955622</c:v>
                </c:pt>
                <c:pt idx="945">
                  <c:v>12.463981076683535</c:v>
                </c:pt>
                <c:pt idx="946">
                  <c:v>12.712740426852072</c:v>
                </c:pt>
                <c:pt idx="947">
                  <c:v>12.959471755496427</c:v>
                </c:pt>
                <c:pt idx="948">
                  <c:v>13.201454318578172</c:v>
                </c:pt>
                <c:pt idx="949">
                  <c:v>13.436096670053665</c:v>
                </c:pt>
                <c:pt idx="950">
                  <c:v>13.661006991298903</c:v>
                </c:pt>
                <c:pt idx="951">
                  <c:v>13.874059024333379</c:v>
                </c:pt>
                <c:pt idx="952">
                  <c:v>14.07345257834359</c:v>
                </c:pt>
                <c:pt idx="953">
                  <c:v>14.257767800599311</c:v>
                </c:pt>
                <c:pt idx="954">
                  <c:v>14.426012756101656</c:v>
                </c:pt>
                <c:pt idx="955">
                  <c:v>14.577664422007127</c:v>
                </c:pt>
                <c:pt idx="956">
                  <c:v>14.712704127816522</c:v>
                </c:pt>
                <c:pt idx="957">
                  <c:v>14.831650076174252</c:v>
                </c:pt>
                <c:pt idx="958">
                  <c:v>14.935592523317869</c:v>
                </c:pt>
                <c:pt idx="959">
                  <c:v>15.026242918629983</c:v>
                </c:pt>
                <c:pt idx="960">
                  <c:v>15.106020048885462</c:v>
                </c:pt>
                <c:pt idx="961">
                  <c:v>15.178221709264633</c:v>
                </c:pt>
                <c:pt idx="962">
                  <c:v>15.247388843063575</c:v>
                </c:pt>
                <c:pt idx="963">
                  <c:v>15.320110903293179</c:v>
                </c:pt>
                <c:pt idx="964">
                  <c:v>15.406884986943789</c:v>
                </c:pt>
                <c:pt idx="965">
                  <c:v>15.526614144425695</c:v>
                </c:pt>
                <c:pt idx="966">
                  <c:v>15.717893280090795</c:v>
                </c:pt>
                <c:pt idx="967">
                  <c:v>16.066358924221532</c:v>
                </c:pt>
                <c:pt idx="968">
                  <c:v>16.749615093777315</c:v>
                </c:pt>
                <c:pt idx="969">
                  <c:v>17.962719374642802</c:v>
                </c:pt>
                <c:pt idx="970">
                  <c:v>19.442099926201312</c:v>
                </c:pt>
                <c:pt idx="971">
                  <c:v>20.575147010110967</c:v>
                </c:pt>
                <c:pt idx="972">
                  <c:v>21.249587937927988</c:v>
                </c:pt>
                <c:pt idx="973">
                  <c:v>21.639367710260807</c:v>
                </c:pt>
                <c:pt idx="974">
                  <c:v>21.880765392152369</c:v>
                </c:pt>
                <c:pt idx="975">
                  <c:v>22.04698090645044</c:v>
                </c:pt>
                <c:pt idx="976">
                  <c:v>22.176360692188862</c:v>
                </c:pt>
                <c:pt idx="977">
                  <c:v>22.290124540547755</c:v>
                </c:pt>
                <c:pt idx="978">
                  <c:v>22.400796375813574</c:v>
                </c:pt>
                <c:pt idx="979">
                  <c:v>22.516142313553473</c:v>
                </c:pt>
                <c:pt idx="980">
                  <c:v>22.641084567901821</c:v>
                </c:pt>
                <c:pt idx="981">
                  <c:v>22.778684613550677</c:v>
                </c:pt>
                <c:pt idx="982">
                  <c:v>22.930680858060789</c:v>
                </c:pt>
                <c:pt idx="983">
                  <c:v>23.097804544382598</c:v>
                </c:pt>
                <c:pt idx="984">
                  <c:v>23.279981823633442</c:v>
                </c:pt>
                <c:pt idx="985">
                  <c:v>23.476476352221777</c:v>
                </c:pt>
                <c:pt idx="986">
                  <c:v>23.686000757720159</c:v>
                </c:pt>
                <c:pt idx="987">
                  <c:v>23.906812091238869</c:v>
                </c:pt>
                <c:pt idx="988">
                  <c:v>24.136799354040239</c:v>
                </c:pt>
                <c:pt idx="989">
                  <c:v>24.373567292868859</c:v>
                </c:pt>
                <c:pt idx="990">
                  <c:v>24.614518421067508</c:v>
                </c:pt>
                <c:pt idx="991">
                  <c:v>24.8569338964347</c:v>
                </c:pt>
                <c:pt idx="992">
                  <c:v>25.098053084165741</c:v>
                </c:pt>
                <c:pt idx="993">
                  <c:v>25.335151145493771</c:v>
                </c:pt>
                <c:pt idx="994">
                  <c:v>25.565613704179444</c:v>
                </c:pt>
                <c:pt idx="995">
                  <c:v>25.787007488018315</c:v>
                </c:pt>
                <c:pt idx="996">
                  <c:v>25.997145783057423</c:v>
                </c:pt>
                <c:pt idx="997">
                  <c:v>26.194147552761464</c:v>
                </c:pt>
                <c:pt idx="998">
                  <c:v>26.376489152843266</c:v>
                </c:pt>
                <c:pt idx="999">
                  <c:v>26.543047715264386</c:v>
                </c:pt>
                <c:pt idx="1000">
                  <c:v>26.693135496465647</c:v>
                </c:pt>
                <c:pt idx="1001">
                  <c:v>26.826524824357268</c:v>
                </c:pt>
                <c:pt idx="1002">
                  <c:v>26.943463824511539</c:v>
                </c:pt>
                <c:pt idx="1003">
                  <c:v>27.044684052161706</c:v>
                </c:pt>
                <c:pt idx="1004">
                  <c:v>27.131402931071449</c:v>
                </c:pt>
                <c:pt idx="1005">
                  <c:v>27.20532747376496</c:v>
                </c:pt>
                <c:pt idx="1006">
                  <c:v>27.268673412435803</c:v>
                </c:pt>
                <c:pt idx="1007">
                  <c:v>27.324231211253643</c:v>
                </c:pt>
                <c:pt idx="1008">
                  <c:v>27.375551916293301</c:v>
                </c:pt>
                <c:pt idx="1009">
                  <c:v>27.427430733606464</c:v>
                </c:pt>
                <c:pt idx="1010">
                  <c:v>27.4871470469751</c:v>
                </c:pt>
                <c:pt idx="1011">
                  <c:v>27.567709122862286</c:v>
                </c:pt>
                <c:pt idx="1012">
                  <c:v>27.696602468877686</c:v>
                </c:pt>
                <c:pt idx="1013">
                  <c:v>27.939130262719509</c:v>
                </c:pt>
                <c:pt idx="1014">
                  <c:v>28.447831653777037</c:v>
                </c:pt>
                <c:pt idx="1015">
                  <c:v>29.455724117971009</c:v>
                </c:pt>
                <c:pt idx="1016">
                  <c:v>30.870097312908797</c:v>
                </c:pt>
                <c:pt idx="1017">
                  <c:v>32.086623285159583</c:v>
                </c:pt>
                <c:pt idx="1018">
                  <c:v>32.854681207608188</c:v>
                </c:pt>
                <c:pt idx="1019">
                  <c:v>33.306967604261871</c:v>
                </c:pt>
                <c:pt idx="1020">
                  <c:v>33.586567019567994</c:v>
                </c:pt>
                <c:pt idx="1021">
                  <c:v>33.776497766333897</c:v>
                </c:pt>
                <c:pt idx="1022">
                  <c:v>33.921374516801443</c:v>
                </c:pt>
                <c:pt idx="1023">
                  <c:v>34.045987992476711</c:v>
                </c:pt>
                <c:pt idx="1024">
                  <c:v>34.164840740978541</c:v>
                </c:pt>
                <c:pt idx="1025">
                  <c:v>34.286760127728201</c:v>
                </c:pt>
                <c:pt idx="1026">
                  <c:v>34.417190869916709</c:v>
                </c:pt>
                <c:pt idx="1027">
                  <c:v>34.559393752362332</c:v>
                </c:pt>
                <c:pt idx="1028">
                  <c:v>34.715111334738694</c:v>
                </c:pt>
                <c:pt idx="1029">
                  <c:v>34.884963837705357</c:v>
                </c:pt>
                <c:pt idx="1030">
                  <c:v>35.068703766956929</c:v>
                </c:pt>
                <c:pt idx="1031">
                  <c:v>35.265394645372091</c:v>
                </c:pt>
                <c:pt idx="1032">
                  <c:v>35.473548248622322</c:v>
                </c:pt>
                <c:pt idx="1033">
                  <c:v>35.691238877349193</c:v>
                </c:pt>
                <c:pt idx="1034">
                  <c:v>35.916204730288278</c:v>
                </c:pt>
                <c:pt idx="1035">
                  <c:v>36.145941743945251</c:v>
                </c:pt>
                <c:pt idx="1036">
                  <c:v>36.37779256681452</c:v>
                </c:pt>
                <c:pt idx="1037">
                  <c:v>36.609031743411187</c:v>
                </c:pt>
                <c:pt idx="1038">
                  <c:v>36.836947225200028</c:v>
                </c:pt>
                <c:pt idx="1039">
                  <c:v>37.058917746565861</c:v>
                </c:pt>
                <c:pt idx="1040">
                  <c:v>37.272485261092115</c:v>
                </c:pt>
                <c:pt idx="1041">
                  <c:v>37.475421443415009</c:v>
                </c:pt>
                <c:pt idx="1042">
                  <c:v>37.665787174617876</c:v>
                </c:pt>
                <c:pt idx="1043">
                  <c:v>37.841983912886768</c:v>
                </c:pt>
                <c:pt idx="1044">
                  <c:v>38.002795885358609</c:v>
                </c:pt>
                <c:pt idx="1045">
                  <c:v>38.147422108635041</c:v>
                </c:pt>
                <c:pt idx="1046">
                  <c:v>38.275497348548058</c:v>
                </c:pt>
                <c:pt idx="1047">
                  <c:v>38.387101270229955</c:v>
                </c:pt>
                <c:pt idx="1048">
                  <c:v>38.482755237370185</c:v>
                </c:pt>
                <c:pt idx="1049">
                  <c:v>38.563406580969826</c:v>
                </c:pt>
                <c:pt idx="1050">
                  <c:v>38.630400894948373</c:v>
                </c:pt>
                <c:pt idx="1051">
                  <c:v>38.685444587899994</c:v>
                </c:pt>
                <c:pt idx="1052">
                  <c:v>38.730563951547353</c:v>
                </c:pt>
                <c:pt idx="1053">
                  <c:v>38.768077127697644</c:v>
                </c:pt>
                <c:pt idx="1054">
                  <c:v>38.800621728760575</c:v>
                </c:pt>
                <c:pt idx="1055">
                  <c:v>38.831352504611388</c:v>
                </c:pt>
                <c:pt idx="1056">
                  <c:v>38.864627453137714</c:v>
                </c:pt>
                <c:pt idx="1057">
                  <c:v>38.908110066854505</c:v>
                </c:pt>
                <c:pt idx="1058">
                  <c:v>38.97908680259696</c:v>
                </c:pt>
                <c:pt idx="1059">
                  <c:v>39.123184116585286</c:v>
                </c:pt>
                <c:pt idx="1060">
                  <c:v>39.462141784860478</c:v>
                </c:pt>
                <c:pt idx="1061">
                  <c:v>40.23520955037035</c:v>
                </c:pt>
                <c:pt idx="1062">
                  <c:v>41.505627991258372</c:v>
                </c:pt>
                <c:pt idx="1063">
                  <c:v>42.751020756427252</c:v>
                </c:pt>
                <c:pt idx="1064">
                  <c:v>43.593633531119607</c:v>
                </c:pt>
                <c:pt idx="1065">
                  <c:v>44.101632453498112</c:v>
                </c:pt>
                <c:pt idx="1066">
                  <c:v>44.415865989475506</c:v>
                </c:pt>
                <c:pt idx="1067">
                  <c:v>44.626835326246912</c:v>
                </c:pt>
                <c:pt idx="1068">
                  <c:v>44.78475616749332</c:v>
                </c:pt>
                <c:pt idx="1069">
                  <c:v>44.917740112883543</c:v>
                </c:pt>
                <c:pt idx="1070">
                  <c:v>45.042144688781185</c:v>
                </c:pt>
                <c:pt idx="1071">
                  <c:v>45.167785765665059</c:v>
                </c:pt>
                <c:pt idx="1072">
                  <c:v>45.300585631905541</c:v>
                </c:pt>
                <c:pt idx="1073">
                  <c:v>45.44397869927225</c:v>
                </c:pt>
                <c:pt idx="1074">
                  <c:v>45.599701272157382</c:v>
                </c:pt>
                <c:pt idx="1075">
                  <c:v>45.768265071593291</c:v>
                </c:pt>
                <c:pt idx="1076">
                  <c:v>45.949262685237507</c:v>
                </c:pt>
                <c:pt idx="1077">
                  <c:v>46.141580944871819</c:v>
                </c:pt>
                <c:pt idx="1078">
                  <c:v>46.34356251742031</c:v>
                </c:pt>
                <c:pt idx="1079">
                  <c:v>46.553137589802525</c:v>
                </c:pt>
                <c:pt idx="1080">
                  <c:v>46.767937663483544</c:v>
                </c:pt>
                <c:pt idx="1081">
                  <c:v>46.98539799286084</c:v>
                </c:pt>
                <c:pt idx="1082">
                  <c:v>47.202852056815786</c:v>
                </c:pt>
                <c:pt idx="1083">
                  <c:v>47.417619601523157</c:v>
                </c:pt>
                <c:pt idx="1084">
                  <c:v>47.627088684118227</c:v>
                </c:pt>
                <c:pt idx="1085">
                  <c:v>47.828791480272187</c:v>
                </c:pt>
                <c:pt idx="1086">
                  <c:v>48.020473224045148</c:v>
                </c:pt>
                <c:pt idx="1087">
                  <c:v>48.200153425555257</c:v>
                </c:pt>
                <c:pt idx="1088">
                  <c:v>48.36617839917654</c:v>
                </c:pt>
                <c:pt idx="1089">
                  <c:v>48.517264091092905</c:v>
                </c:pt>
                <c:pt idx="1090">
                  <c:v>48.652528189985553</c:v>
                </c:pt>
                <c:pt idx="1091">
                  <c:v>48.771510513432737</c:v>
                </c:pt>
                <c:pt idx="1092">
                  <c:v>48.874180661954888</c:v>
                </c:pt>
                <c:pt idx="1093">
                  <c:v>48.96093189963144</c:v>
                </c:pt>
                <c:pt idx="1094">
                  <c:v>49.032560134620219</c:v>
                </c:pt>
                <c:pt idx="1095">
                  <c:v>49.090226728726456</c:v>
                </c:pt>
                <c:pt idx="1096">
                  <c:v>49.135403707634488</c:v>
                </c:pt>
                <c:pt idx="1097">
                  <c:v>49.169799978286882</c:v>
                </c:pt>
                <c:pt idx="1098">
                  <c:v>49.195268071915969</c:v>
                </c:pt>
                <c:pt idx="1099">
                  <c:v>49.213694826304533</c:v>
                </c:pt>
                <c:pt idx="1100">
                  <c:v>49.226892701781921</c:v>
                </c:pt>
                <c:pt idx="1101">
                  <c:v>49.236550940364161</c:v>
                </c:pt>
                <c:pt idx="1102">
                  <c:v>49.244441287706664</c:v>
                </c:pt>
                <c:pt idx="1103">
                  <c:v>49.253514612202473</c:v>
                </c:pt>
                <c:pt idx="1104">
                  <c:v>49.271998272904305</c:v>
                </c:pt>
                <c:pt idx="1105">
                  <c:v>49.327379370611538</c:v>
                </c:pt>
                <c:pt idx="1106">
                  <c:v>49.508513177663417</c:v>
                </c:pt>
                <c:pt idx="1107">
                  <c:v>50.035461023614111</c:v>
                </c:pt>
                <c:pt idx="1108">
                  <c:v>51.093271052617013</c:v>
                </c:pt>
                <c:pt idx="1109">
                  <c:v>52.30288090890209</c:v>
                </c:pt>
                <c:pt idx="1110">
                  <c:v>53.1928516822502</c:v>
                </c:pt>
                <c:pt idx="1111">
                  <c:v>53.746043099698781</c:v>
                </c:pt>
                <c:pt idx="1112">
                  <c:v>54.089590786048831</c:v>
                </c:pt>
                <c:pt idx="1113">
                  <c:v>54.318025706297057</c:v>
                </c:pt>
                <c:pt idx="1114">
                  <c:v>54.486058873275603</c:v>
                </c:pt>
                <c:pt idx="1115">
                  <c:v>54.624680451952237</c:v>
                </c:pt>
                <c:pt idx="1116">
                  <c:v>54.751885238541647</c:v>
                </c:pt>
                <c:pt idx="1117">
                  <c:v>54.878355615831509</c:v>
                </c:pt>
                <c:pt idx="1118">
                  <c:v>55.010420065957867</c:v>
                </c:pt>
                <c:pt idx="1119">
                  <c:v>55.151647015839174</c:v>
                </c:pt>
                <c:pt idx="1120">
                  <c:v>55.303749372449246</c:v>
                </c:pt>
                <c:pt idx="1121">
                  <c:v>55.467130345908899</c:v>
                </c:pt>
                <c:pt idx="1122">
                  <c:v>55.641236198454443</c:v>
                </c:pt>
                <c:pt idx="1123">
                  <c:v>55.824801631123179</c:v>
                </c:pt>
                <c:pt idx="1124">
                  <c:v>56.016033553915214</c:v>
                </c:pt>
                <c:pt idx="1125">
                  <c:v>56.212758254547715</c:v>
                </c:pt>
                <c:pt idx="1126">
                  <c:v>56.412545827505753</c:v>
                </c:pt>
                <c:pt idx="1127">
                  <c:v>56.612819516730809</c:v>
                </c:pt>
                <c:pt idx="1128">
                  <c:v>56.810954064887248</c:v>
                </c:pt>
                <c:pt idx="1129">
                  <c:v>57.004365070992705</c:v>
                </c:pt>
                <c:pt idx="1130">
                  <c:v>57.190590110764497</c:v>
                </c:pt>
                <c:pt idx="1131">
                  <c:v>57.367361627031194</c:v>
                </c:pt>
                <c:pt idx="1132">
                  <c:v>57.532671155798383</c:v>
                </c:pt>
                <c:pt idx="1133">
                  <c:v>57.684824201339048</c:v>
                </c:pt>
                <c:pt idx="1134">
                  <c:v>57.822484938432602</c:v>
                </c:pt>
                <c:pt idx="1135">
                  <c:v>57.944709852052974</c:v>
                </c:pt>
                <c:pt idx="1136">
                  <c:v>58.050969386011801</c:v>
                </c:pt>
                <c:pt idx="1137">
                  <c:v>58.141156627208382</c:v>
                </c:pt>
                <c:pt idx="1138">
                  <c:v>58.215581963236367</c:v>
                </c:pt>
                <c:pt idx="1139">
                  <c:v>58.274952471339461</c:v>
                </c:pt>
                <c:pt idx="1140">
                  <c:v>58.320334464166059</c:v>
                </c:pt>
                <c:pt idx="1141">
                  <c:v>58.353097049873199</c:v>
                </c:pt>
                <c:pt idx="1142">
                  <c:v>58.374833659188326</c:v>
                </c:pt>
                <c:pt idx="1143">
                  <c:v>58.387257161324413</c:v>
                </c:pt>
                <c:pt idx="1144">
                  <c:v>58.392062500546238</c:v>
                </c:pt>
                <c:pt idx="1145">
                  <c:v>58.390749475639929</c:v>
                </c:pt>
                <c:pt idx="1146">
                  <c:v>58.38440056967189</c:v>
                </c:pt>
                <c:pt idx="1147">
                  <c:v>58.373426575903892</c:v>
                </c:pt>
                <c:pt idx="1148">
                  <c:v>58.357369283034934</c:v>
                </c:pt>
                <c:pt idx="1149">
                  <c:v>58.335142890398004</c:v>
                </c:pt>
                <c:pt idx="1150">
                  <c:v>58.307186265142221</c:v>
                </c:pt>
                <c:pt idx="1151">
                  <c:v>58.284956271112861</c:v>
                </c:pt>
                <c:pt idx="1152">
                  <c:v>58.325155265400376</c:v>
                </c:pt>
                <c:pt idx="1153">
                  <c:v>58.611017029680738</c:v>
                </c:pt>
                <c:pt idx="1154">
                  <c:v>59.404410264504811</c:v>
                </c:pt>
                <c:pt idx="1155">
                  <c:v>60.507878354545454</c:v>
                </c:pt>
                <c:pt idx="1156">
                  <c:v>61.409659505980137</c:v>
                </c:pt>
                <c:pt idx="1157">
                  <c:v>61.993363045042649</c:v>
                </c:pt>
                <c:pt idx="1158">
                  <c:v>62.358953266975135</c:v>
                </c:pt>
                <c:pt idx="1159">
                  <c:v>62.600311136123068</c:v>
                </c:pt>
                <c:pt idx="1160">
                  <c:v>62.775033651889935</c:v>
                </c:pt>
                <c:pt idx="1161">
                  <c:v>62.91632667926276</c:v>
                </c:pt>
                <c:pt idx="1162">
                  <c:v>63.043497901129918</c:v>
                </c:pt>
                <c:pt idx="1163">
                  <c:v>63.167918969068864</c:v>
                </c:pt>
                <c:pt idx="1164">
                  <c:v>63.296223647677124</c:v>
                </c:pt>
                <c:pt idx="1165">
                  <c:v>63.432059076694131</c:v>
                </c:pt>
                <c:pt idx="1166">
                  <c:v>63.577089726621061</c:v>
                </c:pt>
                <c:pt idx="1167">
                  <c:v>63.731606840240339</c:v>
                </c:pt>
                <c:pt idx="1168">
                  <c:v>63.894922980833428</c:v>
                </c:pt>
                <c:pt idx="1169">
                  <c:v>64.06564556295514</c:v>
                </c:pt>
                <c:pt idx="1170">
                  <c:v>64.241879827888994</c:v>
                </c:pt>
                <c:pt idx="1171">
                  <c:v>64.421389036099583</c:v>
                </c:pt>
                <c:pt idx="1172">
                  <c:v>64.601727387009007</c:v>
                </c:pt>
                <c:pt idx="1173">
                  <c:v>64.780354336365164</c:v>
                </c:pt>
                <c:pt idx="1174">
                  <c:v>64.954735058135796</c:v>
                </c:pt>
                <c:pt idx="1175">
                  <c:v>65.12242949723003</c:v>
                </c:pt>
                <c:pt idx="1176">
                  <c:v>65.281171091128641</c:v>
                </c:pt>
                <c:pt idx="1177">
                  <c:v>65.428935422163846</c:v>
                </c:pt>
                <c:pt idx="1178">
                  <c:v>65.563998580389608</c:v>
                </c:pt>
                <c:pt idx="1179">
                  <c:v>65.684984740184234</c:v>
                </c:pt>
                <c:pt idx="1180">
                  <c:v>65.790902299966504</c:v>
                </c:pt>
                <c:pt idx="1181">
                  <c:v>65.881167846841748</c:v>
                </c:pt>
                <c:pt idx="1182">
                  <c:v>65.95561714130443</c:v>
                </c:pt>
                <c:pt idx="1183">
                  <c:v>66.014502227967782</c:v>
                </c:pt>
                <c:pt idx="1184">
                  <c:v>66.058473616886459</c:v>
                </c:pt>
                <c:pt idx="1185">
                  <c:v>66.088546180500231</c:v>
                </c:pt>
                <c:pt idx="1186">
                  <c:v>66.10604687838098</c:v>
                </c:pt>
                <c:pt idx="1187">
                  <c:v>66.112541512123641</c:v>
                </c:pt>
                <c:pt idx="1188">
                  <c:v>66.109736206625584</c:v>
                </c:pt>
                <c:pt idx="1189">
                  <c:v>66.099346886390393</c:v>
                </c:pt>
                <c:pt idx="1190">
                  <c:v>66.082926233605036</c:v>
                </c:pt>
                <c:pt idx="1191">
                  <c:v>66.061632108305034</c:v>
                </c:pt>
                <c:pt idx="1192">
                  <c:v>66.035914777380924</c:v>
                </c:pt>
                <c:pt idx="1193">
                  <c:v>66.005097929556158</c:v>
                </c:pt>
                <c:pt idx="1194">
                  <c:v>65.966855895195749</c:v>
                </c:pt>
                <c:pt idx="1195">
                  <c:v>65.916754286618897</c:v>
                </c:pt>
                <c:pt idx="1196">
                  <c:v>65.848764610151946</c:v>
                </c:pt>
                <c:pt idx="1197">
                  <c:v>65.76073952465552</c:v>
                </c:pt>
                <c:pt idx="1198">
                  <c:v>65.679946636585058</c:v>
                </c:pt>
                <c:pt idx="1199">
                  <c:v>65.742914258502537</c:v>
                </c:pt>
                <c:pt idx="1200">
                  <c:v>66.241243904967291</c:v>
                </c:pt>
                <c:pt idx="1201">
                  <c:v>67.168412241989643</c:v>
                </c:pt>
                <c:pt idx="1202">
                  <c:v>68.038611219815422</c:v>
                </c:pt>
                <c:pt idx="1203">
                  <c:v>68.633667780622275</c:v>
                </c:pt>
                <c:pt idx="1204">
                  <c:v>69.011905111693167</c:v>
                </c:pt>
                <c:pt idx="1205">
                  <c:v>69.260611722247589</c:v>
                </c:pt>
                <c:pt idx="1206">
                  <c:v>69.438102186214394</c:v>
                </c:pt>
                <c:pt idx="1207">
                  <c:v>69.578888760390754</c:v>
                </c:pt>
                <c:pt idx="1208">
                  <c:v>69.70314953929747</c:v>
                </c:pt>
                <c:pt idx="1209">
                  <c:v>69.822707689916115</c:v>
                </c:pt>
                <c:pt idx="1210">
                  <c:v>69.944369200979381</c:v>
                </c:pt>
                <c:pt idx="1211">
                  <c:v>70.071787466700968</c:v>
                </c:pt>
                <c:pt idx="1212">
                  <c:v>70.206544599975715</c:v>
                </c:pt>
                <c:pt idx="1213">
                  <c:v>70.348812162550914</c:v>
                </c:pt>
                <c:pt idx="1214">
                  <c:v>70.497779897965145</c:v>
                </c:pt>
                <c:pt idx="1215">
                  <c:v>70.651952250560001</c:v>
                </c:pt>
                <c:pt idx="1216">
                  <c:v>70.809366753837722</c:v>
                </c:pt>
                <c:pt idx="1217">
                  <c:v>70.967764255674425</c:v>
                </c:pt>
                <c:pt idx="1218">
                  <c:v>71.124727840628253</c:v>
                </c:pt>
                <c:pt idx="1219">
                  <c:v>71.277799975864951</c:v>
                </c:pt>
                <c:pt idx="1220">
                  <c:v>71.424583196908102</c:v>
                </c:pt>
                <c:pt idx="1221">
                  <c:v>71.562827182743007</c:v>
                </c:pt>
                <c:pt idx="1222">
                  <c:v>71.690503606351299</c:v>
                </c:pt>
                <c:pt idx="1223">
                  <c:v>71.805869276480124</c:v>
                </c:pt>
                <c:pt idx="1224">
                  <c:v>71.907517574136975</c:v>
                </c:pt>
                <c:pt idx="1225">
                  <c:v>71.994417892170176</c:v>
                </c:pt>
                <c:pt idx="1226">
                  <c:v>72.065942618738291</c:v>
                </c:pt>
                <c:pt idx="1227">
                  <c:v>72.12188110280276</c:v>
                </c:pt>
                <c:pt idx="1228">
                  <c:v>72.162439951220634</c:v>
                </c:pt>
                <c:pt idx="1229">
                  <c:v>72.188228882911815</c:v>
                </c:pt>
                <c:pt idx="1230">
                  <c:v>72.200231147195481</c:v>
                </c:pt>
                <c:pt idx="1231">
                  <c:v>72.199757120472057</c:v>
                </c:pt>
                <c:pt idx="1232">
                  <c:v>72.188379007697435</c:v>
                </c:pt>
                <c:pt idx="1233">
                  <c:v>72.167843402540001</c:v>
                </c:pt>
                <c:pt idx="1234">
                  <c:v>72.139956493887098</c:v>
                </c:pt>
                <c:pt idx="1235">
                  <c:v>72.106433439771621</c:v>
                </c:pt>
                <c:pt idx="1236">
                  <c:v>72.068698044142394</c:v>
                </c:pt>
                <c:pt idx="1237">
                  <c:v>72.027610130233455</c:v>
                </c:pt>
                <c:pt idx="1238">
                  <c:v>71.983084436324674</c:v>
                </c:pt>
                <c:pt idx="1239">
                  <c:v>71.933546583440105</c:v>
                </c:pt>
                <c:pt idx="1240">
                  <c:v>71.875159793391376</c:v>
                </c:pt>
                <c:pt idx="1241">
                  <c:v>71.800815844411886</c:v>
                </c:pt>
                <c:pt idx="1242">
                  <c:v>71.699327717053848</c:v>
                </c:pt>
                <c:pt idx="1243">
                  <c:v>71.557485764148268</c:v>
                </c:pt>
                <c:pt idx="1244">
                  <c:v>71.377086771704896</c:v>
                </c:pt>
                <c:pt idx="1245">
                  <c:v>71.244815565934488</c:v>
                </c:pt>
                <c:pt idx="1246">
                  <c:v>71.440124232677562</c:v>
                </c:pt>
                <c:pt idx="1247">
                  <c:v>72.127910560866027</c:v>
                </c:pt>
                <c:pt idx="1248">
                  <c:v>72.916751171660422</c:v>
                </c:pt>
                <c:pt idx="1249">
                  <c:v>73.499394975167931</c:v>
                </c:pt>
                <c:pt idx="1250">
                  <c:v>73.878633778532148</c:v>
                </c:pt>
                <c:pt idx="1251">
                  <c:v>74.128039132424618</c:v>
                </c:pt>
                <c:pt idx="1252">
                  <c:v>74.303878169668366</c:v>
                </c:pt>
                <c:pt idx="1253">
                  <c:v>74.440792436253247</c:v>
                </c:pt>
                <c:pt idx="1254">
                  <c:v>74.559260420015718</c:v>
                </c:pt>
                <c:pt idx="1255">
                  <c:v>74.671254377031872</c:v>
                </c:pt>
                <c:pt idx="1256">
                  <c:v>74.783585360768626</c:v>
                </c:pt>
                <c:pt idx="1257">
                  <c:v>74.899822342072724</c:v>
                </c:pt>
                <c:pt idx="1258">
                  <c:v>75.021421531049072</c:v>
                </c:pt>
                <c:pt idx="1259">
                  <c:v>75.148422169810317</c:v>
                </c:pt>
                <c:pt idx="1260">
                  <c:v>75.279899617571104</c:v>
                </c:pt>
                <c:pt idx="1261">
                  <c:v>75.414278375229088</c:v>
                </c:pt>
                <c:pt idx="1262">
                  <c:v>75.54956127218064</c:v>
                </c:pt>
                <c:pt idx="1263">
                  <c:v>75.683506215242659</c:v>
                </c:pt>
                <c:pt idx="1264">
                  <c:v>75.813768301434095</c:v>
                </c:pt>
                <c:pt idx="1265">
                  <c:v>75.938017453952952</c:v>
                </c:pt>
                <c:pt idx="1266">
                  <c:v>76.054037344507648</c:v>
                </c:pt>
                <c:pt idx="1267">
                  <c:v>76.159808789759936</c:v>
                </c:pt>
                <c:pt idx="1268">
                  <c:v>76.253579284402832</c:v>
                </c:pt>
                <c:pt idx="1269">
                  <c:v>76.333919429105805</c:v>
                </c:pt>
                <c:pt idx="1270">
                  <c:v>76.399766480887962</c:v>
                </c:pt>
                <c:pt idx="1271">
                  <c:v>76.450454947747502</c:v>
                </c:pt>
                <c:pt idx="1272">
                  <c:v>76.485733973565061</c:v>
                </c:pt>
                <c:pt idx="1273">
                  <c:v>76.505771146531885</c:v>
                </c:pt>
                <c:pt idx="1274">
                  <c:v>76.511142260033083</c:v>
                </c:pt>
                <c:pt idx="1275">
                  <c:v>76.50280640497742</c:v>
                </c:pt>
                <c:pt idx="1276">
                  <c:v>76.482065512124976</c:v>
                </c:pt>
                <c:pt idx="1277">
                  <c:v>76.450507001823013</c:v>
                </c:pt>
                <c:pt idx="1278">
                  <c:v>76.409927398997169</c:v>
                </c:pt>
                <c:pt idx="1279">
                  <c:v>76.362233410717081</c:v>
                </c:pt>
                <c:pt idx="1280">
                  <c:v>76.309314669668566</c:v>
                </c:pt>
                <c:pt idx="1281">
                  <c:v>76.252878482218392</c:v>
                </c:pt>
                <c:pt idx="1282">
                  <c:v>76.194230384272174</c:v>
                </c:pt>
                <c:pt idx="1283">
                  <c:v>76.133973222842002</c:v>
                </c:pt>
                <c:pt idx="1284">
                  <c:v>76.071578816967175</c:v>
                </c:pt>
                <c:pt idx="1285">
                  <c:v>76.004756068163076</c:v>
                </c:pt>
                <c:pt idx="1286">
                  <c:v>75.928497407557032</c:v>
                </c:pt>
                <c:pt idx="1287">
                  <c:v>75.833662426991935</c:v>
                </c:pt>
                <c:pt idx="1288">
                  <c:v>75.70515468817122</c:v>
                </c:pt>
                <c:pt idx="1289">
                  <c:v>75.521208341782412</c:v>
                </c:pt>
                <c:pt idx="1290">
                  <c:v>75.262748698810029</c:v>
                </c:pt>
                <c:pt idx="1291">
                  <c:v>74.968686508500994</c:v>
                </c:pt>
                <c:pt idx="1292">
                  <c:v>74.874453014211213</c:v>
                </c:pt>
                <c:pt idx="1293">
                  <c:v>75.273733996393389</c:v>
                </c:pt>
                <c:pt idx="1294">
                  <c:v>75.927652267284316</c:v>
                </c:pt>
                <c:pt idx="1295">
                  <c:v>76.469665498181513</c:v>
                </c:pt>
                <c:pt idx="1296">
                  <c:v>76.835952777918791</c:v>
                </c:pt>
                <c:pt idx="1297">
                  <c:v>77.078312308156967</c:v>
                </c:pt>
                <c:pt idx="1298">
                  <c:v>77.247593731407406</c:v>
                </c:pt>
                <c:pt idx="1299">
                  <c:v>77.377108907446441</c:v>
                </c:pt>
                <c:pt idx="1300">
                  <c:v>77.486932599754525</c:v>
                </c:pt>
                <c:pt idx="1301">
                  <c:v>77.588816386783122</c:v>
                </c:pt>
                <c:pt idx="1302">
                  <c:v>77.689374030455014</c:v>
                </c:pt>
                <c:pt idx="1303">
                  <c:v>77.791980629873763</c:v>
                </c:pt>
                <c:pt idx="1304">
                  <c:v>77.897912891733455</c:v>
                </c:pt>
                <c:pt idx="1305">
                  <c:v>78.007059697341759</c:v>
                </c:pt>
                <c:pt idx="1306">
                  <c:v>78.118387435243406</c:v>
                </c:pt>
                <c:pt idx="1307">
                  <c:v>78.230261716968329</c:v>
                </c:pt>
                <c:pt idx="1308">
                  <c:v>78.340681942528121</c:v>
                </c:pt>
                <c:pt idx="1309">
                  <c:v>78.447460571832352</c:v>
                </c:pt>
                <c:pt idx="1310">
                  <c:v>78.548365321322748</c:v>
                </c:pt>
                <c:pt idx="1311">
                  <c:v>78.641234788836272</c:v>
                </c:pt>
                <c:pt idx="1312">
                  <c:v>78.724073555253057</c:v>
                </c:pt>
                <c:pt idx="1313">
                  <c:v>78.795130199223649</c:v>
                </c:pt>
                <c:pt idx="1314">
                  <c:v>78.852960115850095</c:v>
                </c:pt>
                <c:pt idx="1315">
                  <c:v>78.896474116478217</c:v>
                </c:pt>
                <c:pt idx="1316">
                  <c:v>78.9249732525399</c:v>
                </c:pt>
                <c:pt idx="1317">
                  <c:v>78.938169999305117</c:v>
                </c:pt>
                <c:pt idx="1318">
                  <c:v>78.93619575767012</c:v>
                </c:pt>
                <c:pt idx="1319">
                  <c:v>78.919594514591026</c:v>
                </c:pt>
                <c:pt idx="1320">
                  <c:v>78.889302388742905</c:v>
                </c:pt>
                <c:pt idx="1321">
                  <c:v>78.846612620911245</c:v>
                </c:pt>
                <c:pt idx="1322">
                  <c:v>78.793125280092369</c:v>
                </c:pt>
                <c:pt idx="1323">
                  <c:v>78.730680450303737</c:v>
                </c:pt>
                <c:pt idx="1324">
                  <c:v>78.661272791505155</c:v>
                </c:pt>
                <c:pt idx="1325">
                  <c:v>78.586943888269559</c:v>
                </c:pt>
                <c:pt idx="1326">
                  <c:v>78.509646299236962</c:v>
                </c:pt>
                <c:pt idx="1327">
                  <c:v>78.431068977060505</c:v>
                </c:pt>
                <c:pt idx="1328">
                  <c:v>78.352406454613401</c:v>
                </c:pt>
                <c:pt idx="1329">
                  <c:v>78.274041569210155</c:v>
                </c:pt>
                <c:pt idx="1330">
                  <c:v>78.195089391751523</c:v>
                </c:pt>
                <c:pt idx="1331">
                  <c:v>78.112711544176776</c:v>
                </c:pt>
                <c:pt idx="1332">
                  <c:v>78.021046361688491</c:v>
                </c:pt>
                <c:pt idx="1333">
                  <c:v>77.909515097172985</c:v>
                </c:pt>
                <c:pt idx="1334">
                  <c:v>77.760267166691818</c:v>
                </c:pt>
                <c:pt idx="1335">
                  <c:v>77.545342157612197</c:v>
                </c:pt>
                <c:pt idx="1336">
                  <c:v>77.229558722226315</c:v>
                </c:pt>
                <c:pt idx="1337">
                  <c:v>76.809677878102605</c:v>
                </c:pt>
                <c:pt idx="1338">
                  <c:v>76.457293904318107</c:v>
                </c:pt>
                <c:pt idx="1339">
                  <c:v>76.538670020367107</c:v>
                </c:pt>
                <c:pt idx="1340">
                  <c:v>77.004095928753259</c:v>
                </c:pt>
                <c:pt idx="1341">
                  <c:v>77.473352927203706</c:v>
                </c:pt>
                <c:pt idx="1342">
                  <c:v>77.81046929456015</c:v>
                </c:pt>
                <c:pt idx="1343">
                  <c:v>78.036959628003288</c:v>
                </c:pt>
                <c:pt idx="1344">
                  <c:v>78.194315847722308</c:v>
                </c:pt>
                <c:pt idx="1345">
                  <c:v>78.312775901587642</c:v>
                </c:pt>
                <c:pt idx="1346">
                  <c:v>78.411170051547614</c:v>
                </c:pt>
                <c:pt idx="1347">
                  <c:v>78.500591366435458</c:v>
                </c:pt>
                <c:pt idx="1348">
                  <c:v>78.58721873822013</c:v>
                </c:pt>
                <c:pt idx="1349">
                  <c:v>78.674105249835293</c:v>
                </c:pt>
                <c:pt idx="1350">
                  <c:v>78.762284394631052</c:v>
                </c:pt>
                <c:pt idx="1351">
                  <c:v>78.85147100589306</c:v>
                </c:pt>
                <c:pt idx="1352">
                  <c:v>78.940524466701504</c:v>
                </c:pt>
                <c:pt idx="1353">
                  <c:v>79.027770002470959</c:v>
                </c:pt>
                <c:pt idx="1354">
                  <c:v>79.111232439743162</c:v>
                </c:pt>
                <c:pt idx="1355">
                  <c:v>79.188813547315931</c:v>
                </c:pt>
                <c:pt idx="1356">
                  <c:v>79.258430954156111</c:v>
                </c:pt>
                <c:pt idx="1357">
                  <c:v>79.318129134765258</c:v>
                </c:pt>
                <c:pt idx="1358">
                  <c:v>79.366168594652706</c:v>
                </c:pt>
                <c:pt idx="1359">
                  <c:v>79.401096826058307</c:v>
                </c:pt>
                <c:pt idx="1360">
                  <c:v>79.421803088281081</c:v>
                </c:pt>
                <c:pt idx="1361">
                  <c:v>79.427558173077585</c:v>
                </c:pt>
                <c:pt idx="1362">
                  <c:v>79.418039795297545</c:v>
                </c:pt>
                <c:pt idx="1363">
                  <c:v>79.393343951234385</c:v>
                </c:pt>
                <c:pt idx="1364">
                  <c:v>79.35398241461408</c:v>
                </c:pt>
                <c:pt idx="1365">
                  <c:v>79.300866423500835</c:v>
                </c:pt>
                <c:pt idx="1366">
                  <c:v>79.235276493599017</c:v>
                </c:pt>
                <c:pt idx="1367">
                  <c:v>79.158818117352524</c:v>
                </c:pt>
                <c:pt idx="1368">
                  <c:v>79.073362804425898</c:v>
                </c:pt>
                <c:pt idx="1369">
                  <c:v>78.980973389549519</c:v>
                </c:pt>
                <c:pt idx="1370">
                  <c:v>78.883811625959055</c:v>
                </c:pt>
                <c:pt idx="1371">
                  <c:v>78.784024545324996</c:v>
                </c:pt>
                <c:pt idx="1372">
                  <c:v>78.683603465931796</c:v>
                </c:pt>
                <c:pt idx="1373">
                  <c:v>78.584205103596076</c:v>
                </c:pt>
                <c:pt idx="1374">
                  <c:v>78.486916590734054</c:v>
                </c:pt>
                <c:pt idx="1375">
                  <c:v>78.391932754031544</c:v>
                </c:pt>
                <c:pt idx="1376">
                  <c:v>78.298089907451683</c:v>
                </c:pt>
                <c:pt idx="1377">
                  <c:v>78.202156795763813</c:v>
                </c:pt>
                <c:pt idx="1378">
                  <c:v>78.097705226152854</c:v>
                </c:pt>
                <c:pt idx="1379">
                  <c:v>77.973253926625901</c:v>
                </c:pt>
                <c:pt idx="1380">
                  <c:v>77.809236780884305</c:v>
                </c:pt>
                <c:pt idx="1381">
                  <c:v>77.573643272098607</c:v>
                </c:pt>
                <c:pt idx="1382">
                  <c:v>77.219777341644971</c:v>
                </c:pt>
                <c:pt idx="1383">
                  <c:v>76.709916523872252</c:v>
                </c:pt>
                <c:pt idx="1384">
                  <c:v>76.143725877524517</c:v>
                </c:pt>
                <c:pt idx="1385">
                  <c:v>75.901127169743262</c:v>
                </c:pt>
                <c:pt idx="1386">
                  <c:v>76.12929608141954</c:v>
                </c:pt>
                <c:pt idx="1387">
                  <c:v>76.490810202507291</c:v>
                </c:pt>
                <c:pt idx="1388">
                  <c:v>76.780443462776958</c:v>
                </c:pt>
                <c:pt idx="1389">
                  <c:v>76.981223268873904</c:v>
                </c:pt>
                <c:pt idx="1390">
                  <c:v>77.120868936346071</c:v>
                </c:pt>
                <c:pt idx="1391">
                  <c:v>77.224526558333878</c:v>
                </c:pt>
                <c:pt idx="1392">
                  <c:v>77.308807180261155</c:v>
                </c:pt>
                <c:pt idx="1393">
                  <c:v>77.383641175394814</c:v>
                </c:pt>
                <c:pt idx="1394">
                  <c:v>77.454501033001421</c:v>
                </c:pt>
                <c:pt idx="1395">
                  <c:v>77.523971792631826</c:v>
                </c:pt>
                <c:pt idx="1396">
                  <c:v>77.59277030327145</c:v>
                </c:pt>
                <c:pt idx="1397">
                  <c:v>77.660408049251942</c:v>
                </c:pt>
                <c:pt idx="1398">
                  <c:v>77.725635679942457</c:v>
                </c:pt>
                <c:pt idx="1399">
                  <c:v>77.786753538770299</c:v>
                </c:pt>
                <c:pt idx="1400">
                  <c:v>77.841837729697602</c:v>
                </c:pt>
                <c:pt idx="1401">
                  <c:v>77.888910680146566</c:v>
                </c:pt>
                <c:pt idx="1402">
                  <c:v>77.926073210002627</c:v>
                </c:pt>
                <c:pt idx="1403">
                  <c:v>77.951608163091137</c:v>
                </c:pt>
                <c:pt idx="1404">
                  <c:v>77.964061577604056</c:v>
                </c:pt>
                <c:pt idx="1405">
                  <c:v>77.962304960292869</c:v>
                </c:pt>
                <c:pt idx="1406">
                  <c:v>77.945580800930031</c:v>
                </c:pt>
                <c:pt idx="1407">
                  <c:v>77.913532623215474</c:v>
                </c:pt>
                <c:pt idx="1408">
                  <c:v>77.866220381951962</c:v>
                </c:pt>
                <c:pt idx="1409">
                  <c:v>77.804121740150066</c:v>
                </c:pt>
                <c:pt idx="1410">
                  <c:v>77.728119600161307</c:v>
                </c:pt>
                <c:pt idx="1411">
                  <c:v>77.639476153013291</c:v>
                </c:pt>
                <c:pt idx="1412">
                  <c:v>77.539793594290884</c:v>
                </c:pt>
                <c:pt idx="1413">
                  <c:v>77.430961477295341</c:v>
                </c:pt>
                <c:pt idx="1414">
                  <c:v>77.315090366556177</c:v>
                </c:pt>
                <c:pt idx="1415">
                  <c:v>77.194430920308477</c:v>
                </c:pt>
                <c:pt idx="1416">
                  <c:v>77.07127661817411</c:v>
                </c:pt>
                <c:pt idx="1417">
                  <c:v>76.947846809246784</c:v>
                </c:pt>
                <c:pt idx="1418">
                  <c:v>76.826144152042588</c:v>
                </c:pt>
                <c:pt idx="1419">
                  <c:v>76.707776074824054</c:v>
                </c:pt>
                <c:pt idx="1420">
                  <c:v>76.593722172903028</c:v>
                </c:pt>
                <c:pt idx="1421">
                  <c:v>76.484015779214374</c:v>
                </c:pt>
                <c:pt idx="1422">
                  <c:v>76.377283099837712</c:v>
                </c:pt>
                <c:pt idx="1423">
                  <c:v>76.270037240394359</c:v>
                </c:pt>
                <c:pt idx="1424">
                  <c:v>76.155538283817307</c:v>
                </c:pt>
                <c:pt idx="1425">
                  <c:v>76.021873828884367</c:v>
                </c:pt>
                <c:pt idx="1426">
                  <c:v>75.848670698864225</c:v>
                </c:pt>
                <c:pt idx="1427">
                  <c:v>75.601751917801295</c:v>
                </c:pt>
                <c:pt idx="1428">
                  <c:v>75.227100770147302</c:v>
                </c:pt>
                <c:pt idx="1429">
                  <c:v>74.660982690004417</c:v>
                </c:pt>
                <c:pt idx="1430">
                  <c:v>73.932805302036428</c:v>
                </c:pt>
                <c:pt idx="1431">
                  <c:v>73.384249670713729</c:v>
                </c:pt>
                <c:pt idx="1432">
                  <c:v>73.336620448966841</c:v>
                </c:pt>
                <c:pt idx="1433">
                  <c:v>73.554195977740847</c:v>
                </c:pt>
                <c:pt idx="1434">
                  <c:v>73.776287140876661</c:v>
                </c:pt>
                <c:pt idx="1435">
                  <c:v>73.940615048427901</c:v>
                </c:pt>
                <c:pt idx="1436">
                  <c:v>74.056413309810424</c:v>
                </c:pt>
                <c:pt idx="1437">
                  <c:v>74.141475998191993</c:v>
                </c:pt>
                <c:pt idx="1438">
                  <c:v>74.20909577357601</c:v>
                </c:pt>
                <c:pt idx="1439">
                  <c:v>74.267474458463823</c:v>
                </c:pt>
                <c:pt idx="1440">
                  <c:v>74.321075442083185</c:v>
                </c:pt>
                <c:pt idx="1441">
                  <c:v>74.371853473147794</c:v>
                </c:pt>
                <c:pt idx="1442">
                  <c:v>74.420126494682577</c:v>
                </c:pt>
                <c:pt idx="1443">
                  <c:v>74.465168073094361</c:v>
                </c:pt>
                <c:pt idx="1444">
                  <c:v>74.50561466602062</c:v>
                </c:pt>
                <c:pt idx="1445">
                  <c:v>74.539753943393862</c:v>
                </c:pt>
                <c:pt idx="1446">
                  <c:v>74.565735669256156</c:v>
                </c:pt>
                <c:pt idx="1447">
                  <c:v>74.58173031670762</c:v>
                </c:pt>
                <c:pt idx="1448">
                  <c:v>74.586050568556132</c:v>
                </c:pt>
                <c:pt idx="1449">
                  <c:v>74.57724484142291</c:v>
                </c:pt>
                <c:pt idx="1450">
                  <c:v>74.554168376582282</c:v>
                </c:pt>
                <c:pt idx="1451">
                  <c:v>74.516035294810024</c:v>
                </c:pt>
                <c:pt idx="1452">
                  <c:v>74.462453736977608</c:v>
                </c:pt>
                <c:pt idx="1453">
                  <c:v>74.393445463285389</c:v>
                </c:pt>
                <c:pt idx="1454">
                  <c:v>74.309450853953535</c:v>
                </c:pt>
                <c:pt idx="1455">
                  <c:v>74.211320012968969</c:v>
                </c:pt>
                <c:pt idx="1456">
                  <c:v>74.100290538346314</c:v>
                </c:pt>
                <c:pt idx="1457">
                  <c:v>73.977952425162954</c:v>
                </c:pt>
                <c:pt idx="1458">
                  <c:v>73.84620045925908</c:v>
                </c:pt>
                <c:pt idx="1459">
                  <c:v>73.707174287069407</c:v>
                </c:pt>
                <c:pt idx="1460">
                  <c:v>73.563186045558709</c:v>
                </c:pt>
                <c:pt idx="1461">
                  <c:v>73.416634913057763</c:v>
                </c:pt>
                <c:pt idx="1462">
                  <c:v>73.269907051731224</c:v>
                </c:pt>
                <c:pt idx="1463">
                  <c:v>73.125257913383976</c:v>
                </c:pt>
                <c:pt idx="1464">
                  <c:v>72.984671351205506</c:v>
                </c:pt>
                <c:pt idx="1465">
                  <c:v>72.849685662536785</c:v>
                </c:pt>
                <c:pt idx="1466">
                  <c:v>72.721169173496861</c:v>
                </c:pt>
                <c:pt idx="1467">
                  <c:v>72.599014573332312</c:v>
                </c:pt>
                <c:pt idx="1468">
                  <c:v>72.481696634940292</c:v>
                </c:pt>
                <c:pt idx="1469">
                  <c:v>72.365591674042449</c:v>
                </c:pt>
                <c:pt idx="1470">
                  <c:v>72.24386808901167</c:v>
                </c:pt>
                <c:pt idx="1471">
                  <c:v>72.104586198307729</c:v>
                </c:pt>
                <c:pt idx="1472">
                  <c:v>71.927338189897625</c:v>
                </c:pt>
                <c:pt idx="1473">
                  <c:v>71.677382630635293</c:v>
                </c:pt>
                <c:pt idx="1474">
                  <c:v>71.297044993186788</c:v>
                </c:pt>
                <c:pt idx="1475">
                  <c:v>70.704938197208179</c:v>
                </c:pt>
                <c:pt idx="1476">
                  <c:v>69.868884731212887</c:v>
                </c:pt>
                <c:pt idx="1477">
                  <c:v>69.054240736533231</c:v>
                </c:pt>
                <c:pt idx="1478">
                  <c:v>68.707826165781668</c:v>
                </c:pt>
                <c:pt idx="1479">
                  <c:v>68.746379630641712</c:v>
                </c:pt>
                <c:pt idx="1480">
                  <c:v>68.879685028755702</c:v>
                </c:pt>
                <c:pt idx="1481">
                  <c:v>68.996107922315034</c:v>
                </c:pt>
                <c:pt idx="1482">
                  <c:v>69.081663970647313</c:v>
                </c:pt>
                <c:pt idx="1483">
                  <c:v>69.144350184962619</c:v>
                </c:pt>
                <c:pt idx="1484">
                  <c:v>69.192935138549444</c:v>
                </c:pt>
                <c:pt idx="1485">
                  <c:v>69.233272812123147</c:v>
                </c:pt>
                <c:pt idx="1486">
                  <c:v>69.268488175155994</c:v>
                </c:pt>
                <c:pt idx="1487">
                  <c:v>69.299729834048023</c:v>
                </c:pt>
                <c:pt idx="1488">
                  <c:v>69.326827180048227</c:v>
                </c:pt>
                <c:pt idx="1489">
                  <c:v>69.348776715585601</c:v>
                </c:pt>
                <c:pt idx="1490">
                  <c:v>69.364091713659803</c:v>
                </c:pt>
                <c:pt idx="1491">
                  <c:v>69.371055957185987</c:v>
                </c:pt>
                <c:pt idx="1492">
                  <c:v>69.367911460850934</c:v>
                </c:pt>
                <c:pt idx="1493">
                  <c:v>69.352999737336773</c:v>
                </c:pt>
                <c:pt idx="1494">
                  <c:v>69.324868929419679</c:v>
                </c:pt>
                <c:pt idx="1495">
                  <c:v>69.282354486573638</c:v>
                </c:pt>
                <c:pt idx="1496">
                  <c:v>69.22463818630581</c:v>
                </c:pt>
                <c:pt idx="1497">
                  <c:v>69.151288547131955</c:v>
                </c:pt>
                <c:pt idx="1498">
                  <c:v>69.062284629238206</c:v>
                </c:pt>
                <c:pt idx="1499">
                  <c:v>68.958024603035327</c:v>
                </c:pt>
                <c:pt idx="1500">
                  <c:v>68.839320116345817</c:v>
                </c:pt>
                <c:pt idx="1501">
                  <c:v>68.70737729916226</c:v>
                </c:pt>
                <c:pt idx="1502">
                  <c:v>68.563765137126367</c:v>
                </c:pt>
                <c:pt idx="1503">
                  <c:v>68.410371866494202</c:v>
                </c:pt>
                <c:pt idx="1504">
                  <c:v>68.249349947631288</c:v>
                </c:pt>
                <c:pt idx="1505">
                  <c:v>68.083050012783374</c:v>
                </c:pt>
                <c:pt idx="1506">
                  <c:v>67.913943897026996</c:v>
                </c:pt>
                <c:pt idx="1507">
                  <c:v>67.744536362899581</c:v>
                </c:pt>
                <c:pt idx="1508">
                  <c:v>67.577264283694518</c:v>
                </c:pt>
                <c:pt idx="1509">
                  <c:v>67.414380630894982</c:v>
                </c:pt>
                <c:pt idx="1510">
                  <c:v>67.257818221284197</c:v>
                </c:pt>
                <c:pt idx="1511">
                  <c:v>67.109024101418385</c:v>
                </c:pt>
                <c:pt idx="1512">
                  <c:v>66.968748340151635</c:v>
                </c:pt>
                <c:pt idx="1513">
                  <c:v>66.836758276842644</c:v>
                </c:pt>
                <c:pt idx="1514">
                  <c:v>66.711425792228681</c:v>
                </c:pt>
                <c:pt idx="1515">
                  <c:v>66.589090442789967</c:v>
                </c:pt>
                <c:pt idx="1516">
                  <c:v>66.463013625001395</c:v>
                </c:pt>
                <c:pt idx="1517">
                  <c:v>66.321564250465471</c:v>
                </c:pt>
                <c:pt idx="1518">
                  <c:v>66.144936342170254</c:v>
                </c:pt>
                <c:pt idx="1519">
                  <c:v>65.899140868682707</c:v>
                </c:pt>
                <c:pt idx="1520">
                  <c:v>65.525914303993474</c:v>
                </c:pt>
                <c:pt idx="1521">
                  <c:v>64.933851628073398</c:v>
                </c:pt>
                <c:pt idx="1522">
                  <c:v>64.041991621214848</c:v>
                </c:pt>
                <c:pt idx="1523">
                  <c:v>63.018179338413518</c:v>
                </c:pt>
                <c:pt idx="1524">
                  <c:v>62.369903325453656</c:v>
                </c:pt>
                <c:pt idx="1525">
                  <c:v>62.198442691268681</c:v>
                </c:pt>
                <c:pt idx="1526">
                  <c:v>62.221356605433769</c:v>
                </c:pt>
                <c:pt idx="1527">
                  <c:v>62.27798266708794</c:v>
                </c:pt>
                <c:pt idx="1528">
                  <c:v>62.326769469132188</c:v>
                </c:pt>
                <c:pt idx="1529">
                  <c:v>62.363376851058561</c:v>
                </c:pt>
                <c:pt idx="1530">
                  <c:v>62.390765281113694</c:v>
                </c:pt>
                <c:pt idx="1531">
                  <c:v>62.411780557890907</c:v>
                </c:pt>
                <c:pt idx="1532">
                  <c:v>62.427859809670252</c:v>
                </c:pt>
                <c:pt idx="1533">
                  <c:v>62.439159709411406</c:v>
                </c:pt>
                <c:pt idx="1534">
                  <c:v>62.444926113266561</c:v>
                </c:pt>
                <c:pt idx="1535">
                  <c:v>62.443835797575936</c:v>
                </c:pt>
                <c:pt idx="1536">
                  <c:v>62.434266765994735</c:v>
                </c:pt>
                <c:pt idx="1537">
                  <c:v>62.414504336593296</c:v>
                </c:pt>
                <c:pt idx="1538">
                  <c:v>62.382897401333224</c:v>
                </c:pt>
                <c:pt idx="1539">
                  <c:v>62.337976820799511</c:v>
                </c:pt>
                <c:pt idx="1540">
                  <c:v>62.278544385337952</c:v>
                </c:pt>
                <c:pt idx="1541">
                  <c:v>62.203737975039552</c:v>
                </c:pt>
                <c:pt idx="1542">
                  <c:v>62.113076638774174</c:v>
                </c:pt>
                <c:pt idx="1543">
                  <c:v>62.006488088912469</c:v>
                </c:pt>
                <c:pt idx="1544">
                  <c:v>61.884320359389164</c:v>
                </c:pt>
                <c:pt idx="1545">
                  <c:v>61.74733893628499</c:v>
                </c:pt>
                <c:pt idx="1546">
                  <c:v>61.596710427102188</c:v>
                </c:pt>
                <c:pt idx="1547">
                  <c:v>61.433973707790798</c:v>
                </c:pt>
                <c:pt idx="1548">
                  <c:v>61.260999418402349</c:v>
                </c:pt>
                <c:pt idx="1549">
                  <c:v>61.079938624760324</c:v>
                </c:pt>
                <c:pt idx="1550">
                  <c:v>60.893161385288266</c:v>
                </c:pt>
                <c:pt idx="1551">
                  <c:v>60.703185817095239</c:v>
                </c:pt>
                <c:pt idx="1552">
                  <c:v>60.512597990218907</c:v>
                </c:pt>
                <c:pt idx="1553">
                  <c:v>60.323962516115216</c:v>
                </c:pt>
                <c:pt idx="1554">
                  <c:v>60.139722913161712</c:v>
                </c:pt>
                <c:pt idx="1555">
                  <c:v>59.962089521394134</c:v>
                </c:pt>
                <c:pt idx="1556">
                  <c:v>59.792910538211608</c:v>
                </c:pt>
                <c:pt idx="1557">
                  <c:v>59.63351799692748</c:v>
                </c:pt>
                <c:pt idx="1558">
                  <c:v>59.484533971371974</c:v>
                </c:pt>
                <c:pt idx="1559">
                  <c:v>59.345610554524875</c:v>
                </c:pt>
                <c:pt idx="1560">
                  <c:v>59.215055393204658</c:v>
                </c:pt>
                <c:pt idx="1561">
                  <c:v>59.089252749206253</c:v>
                </c:pt>
                <c:pt idx="1562">
                  <c:v>58.961706930520016</c:v>
                </c:pt>
                <c:pt idx="1563">
                  <c:v>58.821365094907726</c:v>
                </c:pt>
                <c:pt idx="1564">
                  <c:v>58.649528322878226</c:v>
                </c:pt>
                <c:pt idx="1565">
                  <c:v>58.414000904018771</c:v>
                </c:pt>
                <c:pt idx="1566">
                  <c:v>58.058393860810696</c:v>
                </c:pt>
                <c:pt idx="1567">
                  <c:v>57.487837053555957</c:v>
                </c:pt>
                <c:pt idx="1568">
                  <c:v>56.5870053552337</c:v>
                </c:pt>
                <c:pt idx="1569">
                  <c:v>55.421530296094573</c:v>
                </c:pt>
                <c:pt idx="1570">
                  <c:v>54.49070537582049</c:v>
                </c:pt>
                <c:pt idx="1571">
                  <c:v>54.085835679866541</c:v>
                </c:pt>
                <c:pt idx="1572">
                  <c:v>53.97751283219727</c:v>
                </c:pt>
                <c:pt idx="1573">
                  <c:v>53.962384207525218</c:v>
                </c:pt>
                <c:pt idx="1574">
                  <c:v>53.967905306701269</c:v>
                </c:pt>
                <c:pt idx="1575">
                  <c:v>53.9748929224262</c:v>
                </c:pt>
                <c:pt idx="1576">
                  <c:v>53.979177591622147</c:v>
                </c:pt>
                <c:pt idx="1577">
                  <c:v>53.979912699841137</c:v>
                </c:pt>
                <c:pt idx="1578">
                  <c:v>53.97648672401894</c:v>
                </c:pt>
                <c:pt idx="1579">
                  <c:v>53.967873465655849</c:v>
                </c:pt>
                <c:pt idx="1580">
                  <c:v>53.952637604996205</c:v>
                </c:pt>
                <c:pt idx="1581">
                  <c:v>53.929091461268513</c:v>
                </c:pt>
                <c:pt idx="1582">
                  <c:v>53.895463293977031</c:v>
                </c:pt>
                <c:pt idx="1583">
                  <c:v>53.850042264859745</c:v>
                </c:pt>
                <c:pt idx="1584">
                  <c:v>53.791294794536647</c:v>
                </c:pt>
                <c:pt idx="1585">
                  <c:v>53.717954568083265</c:v>
                </c:pt>
                <c:pt idx="1586">
                  <c:v>53.62908960883329</c:v>
                </c:pt>
                <c:pt idx="1587">
                  <c:v>53.52414938605461</c:v>
                </c:pt>
                <c:pt idx="1588">
                  <c:v>53.402994240249761</c:v>
                </c:pt>
                <c:pt idx="1589">
                  <c:v>53.265908860144549</c:v>
                </c:pt>
                <c:pt idx="1590">
                  <c:v>53.113601179095028</c:v>
                </c:pt>
                <c:pt idx="1591">
                  <c:v>52.9471878437177</c:v>
                </c:pt>
                <c:pt idx="1592">
                  <c:v>52.768167297789738</c:v>
                </c:pt>
                <c:pt idx="1593">
                  <c:v>52.578381477726253</c:v>
                </c:pt>
                <c:pt idx="1594">
                  <c:v>52.379967096756204</c:v>
                </c:pt>
                <c:pt idx="1595">
                  <c:v>52.175297472281123</c:v>
                </c:pt>
                <c:pt idx="1596">
                  <c:v>51.966915794554041</c:v>
                </c:pt>
                <c:pt idx="1597">
                  <c:v>51.757460610337752</c:v>
                </c:pt>
                <c:pt idx="1598">
                  <c:v>51.549584057168012</c:v>
                </c:pt>
                <c:pt idx="1599">
                  <c:v>51.345862964891182</c:v>
                </c:pt>
                <c:pt idx="1600">
                  <c:v>51.148702233241131</c:v>
                </c:pt>
                <c:pt idx="1601">
                  <c:v>50.960228714422257</c:v>
                </c:pt>
                <c:pt idx="1602">
                  <c:v>50.782171855439969</c:v>
                </c:pt>
                <c:pt idx="1603">
                  <c:v>50.615723997099039</c:v>
                </c:pt>
                <c:pt idx="1604">
                  <c:v>50.461367372208485</c:v>
                </c:pt>
                <c:pt idx="1605">
                  <c:v>50.318644318875066</c:v>
                </c:pt>
                <c:pt idx="1606">
                  <c:v>50.185827620573505</c:v>
                </c:pt>
                <c:pt idx="1607">
                  <c:v>50.059409964149097</c:v>
                </c:pt>
                <c:pt idx="1608">
                  <c:v>49.933255263976172</c:v>
                </c:pt>
                <c:pt idx="1609">
                  <c:v>49.797095824737035</c:v>
                </c:pt>
                <c:pt idx="1610">
                  <c:v>49.633721889383224</c:v>
                </c:pt>
                <c:pt idx="1611">
                  <c:v>49.413514146028973</c:v>
                </c:pt>
                <c:pt idx="1612">
                  <c:v>49.083840993925442</c:v>
                </c:pt>
                <c:pt idx="1613">
                  <c:v>48.551679939827856</c:v>
                </c:pt>
                <c:pt idx="1614">
                  <c:v>47.681464427696994</c:v>
                </c:pt>
                <c:pt idx="1615">
                  <c:v>46.445403051818239</c:v>
                </c:pt>
                <c:pt idx="1616">
                  <c:v>45.27362856462301</c:v>
                </c:pt>
                <c:pt idx="1617">
                  <c:v>44.623293238697201</c:v>
                </c:pt>
                <c:pt idx="1618">
                  <c:v>44.365096134020057</c:v>
                </c:pt>
                <c:pt idx="1619">
                  <c:v>44.266675667824295</c:v>
                </c:pt>
                <c:pt idx="1620">
                  <c:v>44.2226697613076</c:v>
                </c:pt>
                <c:pt idx="1621">
                  <c:v>44.196756160285645</c:v>
                </c:pt>
                <c:pt idx="1622">
                  <c:v>44.176330709346409</c:v>
                </c:pt>
                <c:pt idx="1623">
                  <c:v>44.156168803282817</c:v>
                </c:pt>
                <c:pt idx="1624">
                  <c:v>44.133249166469234</c:v>
                </c:pt>
                <c:pt idx="1625">
                  <c:v>44.105172626299655</c:v>
                </c:pt>
                <c:pt idx="1626">
                  <c:v>44.069725720813864</c:v>
                </c:pt>
                <c:pt idx="1627">
                  <c:v>44.024811351230461</c:v>
                </c:pt>
                <c:pt idx="1628">
                  <c:v>43.968492131190182</c:v>
                </c:pt>
                <c:pt idx="1629">
                  <c:v>43.899060707617117</c:v>
                </c:pt>
                <c:pt idx="1630">
                  <c:v>43.815107859000264</c:v>
                </c:pt>
                <c:pt idx="1631">
                  <c:v>43.715578744176234</c:v>
                </c:pt>
                <c:pt idx="1632">
                  <c:v>43.599814555803292</c:v>
                </c:pt>
                <c:pt idx="1633">
                  <c:v>43.467579240003978</c:v>
                </c:pt>
                <c:pt idx="1634">
                  <c:v>43.319071763312479</c:v>
                </c:pt>
                <c:pt idx="1635">
                  <c:v>43.154924679558377</c:v>
                </c:pt>
                <c:pt idx="1636">
                  <c:v>42.976189847803511</c:v>
                </c:pt>
                <c:pt idx="1637">
                  <c:v>42.784312207828293</c:v>
                </c:pt>
                <c:pt idx="1638">
                  <c:v>42.581092570103756</c:v>
                </c:pt>
                <c:pt idx="1639">
                  <c:v>42.368640426518972</c:v>
                </c:pt>
                <c:pt idx="1640">
                  <c:v>42.149317827197166</c:v>
                </c:pt>
                <c:pt idx="1641">
                  <c:v>41.925675382652344</c:v>
                </c:pt>
                <c:pt idx="1642">
                  <c:v>41.700381420044636</c:v>
                </c:pt>
                <c:pt idx="1643">
                  <c:v>41.4761452218888</c:v>
                </c:pt>
                <c:pt idx="1644">
                  <c:v>41.255635068808239</c:v>
                </c:pt>
                <c:pt idx="1645">
                  <c:v>41.041391438691818</c:v>
                </c:pt>
                <c:pt idx="1646">
                  <c:v>40.83573509120604</c:v>
                </c:pt>
                <c:pt idx="1647">
                  <c:v>40.640668732251825</c:v>
                </c:pt>
                <c:pt idx="1648">
                  <c:v>40.457769229341793</c:v>
                </c:pt>
                <c:pt idx="1649">
                  <c:v>40.288064424933296</c:v>
                </c:pt>
                <c:pt idx="1650">
                  <c:v>40.131883499692286</c:v>
                </c:pt>
                <c:pt idx="1651">
                  <c:v>39.988660661944408</c:v>
                </c:pt>
                <c:pt idx="1652">
                  <c:v>39.856654786681496</c:v>
                </c:pt>
                <c:pt idx="1653">
                  <c:v>39.732514238746397</c:v>
                </c:pt>
                <c:pt idx="1654">
                  <c:v>39.610548322795928</c:v>
                </c:pt>
                <c:pt idx="1655">
                  <c:v>39.481423396986308</c:v>
                </c:pt>
                <c:pt idx="1656">
                  <c:v>39.32968839459717</c:v>
                </c:pt>
                <c:pt idx="1657">
                  <c:v>39.128849561166319</c:v>
                </c:pt>
                <c:pt idx="1658">
                  <c:v>38.831382491989665</c:v>
                </c:pt>
                <c:pt idx="1659">
                  <c:v>38.350168810659987</c:v>
                </c:pt>
                <c:pt idx="1660">
                  <c:v>37.541954143953696</c:v>
                </c:pt>
                <c:pt idx="1661">
                  <c:v>36.303460470061353</c:v>
                </c:pt>
                <c:pt idx="1662">
                  <c:v>34.95166591309038</c:v>
                </c:pt>
                <c:pt idx="1663">
                  <c:v>34.058657121674031</c:v>
                </c:pt>
                <c:pt idx="1664">
                  <c:v>33.635925191096916</c:v>
                </c:pt>
                <c:pt idx="1665">
                  <c:v>33.443709704105373</c:v>
                </c:pt>
                <c:pt idx="1666">
                  <c:v>33.344401177209896</c:v>
                </c:pt>
                <c:pt idx="1667">
                  <c:v>33.282679770921398</c:v>
                </c:pt>
                <c:pt idx="1668">
                  <c:v>33.236290194191561</c:v>
                </c:pt>
                <c:pt idx="1669">
                  <c:v>33.194971431290256</c:v>
                </c:pt>
                <c:pt idx="1670">
                  <c:v>33.152944702967751</c:v>
                </c:pt>
                <c:pt idx="1671">
                  <c:v>33.106255803542773</c:v>
                </c:pt>
                <c:pt idx="1672">
                  <c:v>33.051820822705899</c:v>
                </c:pt>
                <c:pt idx="1673">
                  <c:v>32.987090277786706</c:v>
                </c:pt>
                <c:pt idx="1674">
                  <c:v>32.909945027078479</c:v>
                </c:pt>
                <c:pt idx="1675">
                  <c:v>32.818678816675749</c:v>
                </c:pt>
                <c:pt idx="1676">
                  <c:v>32.712010106267911</c:v>
                </c:pt>
                <c:pt idx="1677">
                  <c:v>32.58909950543304</c:v>
                </c:pt>
                <c:pt idx="1678">
                  <c:v>32.449562762674105</c:v>
                </c:pt>
                <c:pt idx="1679">
                  <c:v>32.293475031111861</c:v>
                </c:pt>
                <c:pt idx="1680">
                  <c:v>32.121364725263646</c:v>
                </c:pt>
                <c:pt idx="1681">
                  <c:v>31.934196521735604</c:v>
                </c:pt>
                <c:pt idx="1682">
                  <c:v>31.733343700860928</c:v>
                </c:pt>
                <c:pt idx="1683">
                  <c:v>31.520550397789656</c:v>
                </c:pt>
                <c:pt idx="1684">
                  <c:v>31.297884568430472</c:v>
                </c:pt>
                <c:pt idx="1685">
                  <c:v>31.067682636215821</c:v>
                </c:pt>
                <c:pt idx="1686">
                  <c:v>30.832486891815559</c:v>
                </c:pt>
                <c:pt idx="1687">
                  <c:v>30.594976773679779</c:v>
                </c:pt>
                <c:pt idx="1688">
                  <c:v>30.357895156088485</c:v>
                </c:pt>
                <c:pt idx="1689">
                  <c:v>30.123970697755738</c:v>
                </c:pt>
                <c:pt idx="1690">
                  <c:v>29.895837131349793</c:v>
                </c:pt>
                <c:pt idx="1691">
                  <c:v>29.675950058412184</c:v>
                </c:pt>
                <c:pt idx="1692">
                  <c:v>29.4665012805857</c:v>
                </c:pt>
                <c:pt idx="1693">
                  <c:v>29.269329817349067</c:v>
                </c:pt>
                <c:pt idx="1694">
                  <c:v>29.085827300634854</c:v>
                </c:pt>
                <c:pt idx="1695">
                  <c:v>28.916832968626437</c:v>
                </c:pt>
                <c:pt idx="1696">
                  <c:v>28.762509184109447</c:v>
                </c:pt>
                <c:pt idx="1697">
                  <c:v>28.622180651596693</c:v>
                </c:pt>
                <c:pt idx="1698">
                  <c:v>28.494105958548381</c:v>
                </c:pt>
                <c:pt idx="1699">
                  <c:v>28.375121560487635</c:v>
                </c:pt>
                <c:pt idx="1700">
                  <c:v>28.26003989798183</c:v>
                </c:pt>
                <c:pt idx="1701">
                  <c:v>28.140557967092505</c:v>
                </c:pt>
                <c:pt idx="1702">
                  <c:v>28.003152443713319</c:v>
                </c:pt>
                <c:pt idx="1703">
                  <c:v>27.824797695971736</c:v>
                </c:pt>
                <c:pt idx="1704">
                  <c:v>27.56395450504041</c:v>
                </c:pt>
                <c:pt idx="1705">
                  <c:v>27.142286127611207</c:v>
                </c:pt>
                <c:pt idx="1706">
                  <c:v>26.41913908968462</c:v>
                </c:pt>
                <c:pt idx="1707">
                  <c:v>25.238272972857729</c:v>
                </c:pt>
                <c:pt idx="1708">
                  <c:v>23.781181961647977</c:v>
                </c:pt>
                <c:pt idx="1709">
                  <c:v>22.665805599614121</c:v>
                </c:pt>
                <c:pt idx="1710">
                  <c:v>22.069897016558684</c:v>
                </c:pt>
                <c:pt idx="1711">
                  <c:v>21.775165242079591</c:v>
                </c:pt>
                <c:pt idx="1712">
                  <c:v>21.615563902118776</c:v>
                </c:pt>
                <c:pt idx="1713">
                  <c:v>21.515636720692186</c:v>
                </c:pt>
                <c:pt idx="1714">
                  <c:v>21.442438534279383</c:v>
                </c:pt>
                <c:pt idx="1715">
                  <c:v>21.380075616209286</c:v>
                </c:pt>
                <c:pt idx="1716">
                  <c:v>21.319693578424346</c:v>
                </c:pt>
                <c:pt idx="1717">
                  <c:v>21.255617607009643</c:v>
                </c:pt>
                <c:pt idx="1718">
                  <c:v>21.183810318313895</c:v>
                </c:pt>
                <c:pt idx="1719">
                  <c:v>21.101231466379325</c:v>
                </c:pt>
                <c:pt idx="1720">
                  <c:v>21.005565297220048</c:v>
                </c:pt>
                <c:pt idx="1721">
                  <c:v>20.895103064809611</c:v>
                </c:pt>
                <c:pt idx="1722">
                  <c:v>20.768691200545081</c:v>
                </c:pt>
                <c:pt idx="1723">
                  <c:v>20.625705370703141</c:v>
                </c:pt>
                <c:pt idx="1724">
                  <c:v>20.46603195821417</c:v>
                </c:pt>
                <c:pt idx="1725">
                  <c:v>20.290048150435208</c:v>
                </c:pt>
                <c:pt idx="1726">
                  <c:v>20.09859643253402</c:v>
                </c:pt>
                <c:pt idx="1727">
                  <c:v>19.892951629808948</c:v>
                </c:pt>
                <c:pt idx="1728">
                  <c:v>19.674779908686844</c:v>
                </c:pt>
                <c:pt idx="1729">
                  <c:v>19.446089876764901</c:v>
                </c:pt>
                <c:pt idx="1730">
                  <c:v>19.209176370134625</c:v>
                </c:pt>
                <c:pt idx="1731">
                  <c:v>18.966557802086683</c:v>
                </c:pt>
                <c:pt idx="1732">
                  <c:v>18.720908128617257</c:v>
                </c:pt>
                <c:pt idx="1733">
                  <c:v>18.474984588434356</c:v>
                </c:pt>
                <c:pt idx="1734">
                  <c:v>18.231552406088944</c:v>
                </c:pt>
                <c:pt idx="1735">
                  <c:v>17.993307601914093</c:v>
                </c:pt>
                <c:pt idx="1736">
                  <c:v>17.762798915436505</c:v>
                </c:pt>
                <c:pt idx="1737">
                  <c:v>17.542349588048296</c:v>
                </c:pt>
                <c:pt idx="1738">
                  <c:v>17.333979308957989</c:v>
                </c:pt>
                <c:pt idx="1739">
                  <c:v>17.139325903902893</c:v>
                </c:pt>
                <c:pt idx="1740">
                  <c:v>16.959565153417657</c:v>
                </c:pt>
                <c:pt idx="1741">
                  <c:v>16.795325119949045</c:v>
                </c:pt>
                <c:pt idx="1742">
                  <c:v>16.646587871871883</c:v>
                </c:pt>
                <c:pt idx="1743">
                  <c:v>16.512565180758664</c:v>
                </c:pt>
                <c:pt idx="1744">
                  <c:v>16.391522860232083</c:v>
                </c:pt>
                <c:pt idx="1745">
                  <c:v>16.280504901401205</c:v>
                </c:pt>
                <c:pt idx="1746">
                  <c:v>16.174859850353144</c:v>
                </c:pt>
                <c:pt idx="1747">
                  <c:v>16.067365860359477</c:v>
                </c:pt>
                <c:pt idx="1748">
                  <c:v>15.946508886645656</c:v>
                </c:pt>
                <c:pt idx="1749">
                  <c:v>15.792896242043115</c:v>
                </c:pt>
                <c:pt idx="1750">
                  <c:v>15.571447513414583</c:v>
                </c:pt>
                <c:pt idx="1751">
                  <c:v>15.214438704094547</c:v>
                </c:pt>
                <c:pt idx="1752">
                  <c:v>14.591595906323725</c:v>
                </c:pt>
                <c:pt idx="1753">
                  <c:v>13.516893531272427</c:v>
                </c:pt>
                <c:pt idx="1754">
                  <c:v>12.035713968247522</c:v>
                </c:pt>
                <c:pt idx="1755">
                  <c:v>10.736937211422543</c:v>
                </c:pt>
                <c:pt idx="1756">
                  <c:v>9.9674272657339991</c:v>
                </c:pt>
                <c:pt idx="1757">
                  <c:v>9.5641227191071074</c:v>
                </c:pt>
                <c:pt idx="1758">
                  <c:v>9.3403744500784569</c:v>
                </c:pt>
                <c:pt idx="1759">
                  <c:v>9.2005047082883742</c:v>
                </c:pt>
                <c:pt idx="1760">
                  <c:v>9.1001261415011729</c:v>
                </c:pt>
                <c:pt idx="1761">
                  <c:v>9.0172199041773151</c:v>
                </c:pt>
                <c:pt idx="1762">
                  <c:v>8.9395865351950352</c:v>
                </c:pt>
                <c:pt idx="1763">
                  <c:v>8.8596911611652587</c:v>
                </c:pt>
                <c:pt idx="1764">
                  <c:v>8.7724743964663663</c:v>
                </c:pt>
                <c:pt idx="1765">
                  <c:v>8.6743743630792416</c:v>
                </c:pt>
                <c:pt idx="1766">
                  <c:v>8.5628667672684742</c:v>
                </c:pt>
                <c:pt idx="1767">
                  <c:v>8.4362365623029945</c:v>
                </c:pt>
                <c:pt idx="1768">
                  <c:v>8.2934560268683146</c:v>
                </c:pt>
                <c:pt idx="1769">
                  <c:v>8.1341115575223313</c:v>
                </c:pt>
                <c:pt idx="1770">
                  <c:v>7.9583513193130093</c:v>
                </c:pt>
                <c:pt idx="1771">
                  <c:v>7.7668398468199884</c:v>
                </c:pt>
                <c:pt idx="1772">
                  <c:v>7.5607125642205517</c:v>
                </c:pt>
                <c:pt idx="1773">
                  <c:v>7.341526766447716</c:v>
                </c:pt>
                <c:pt idx="1774">
                  <c:v>7.1112075606137219</c:v>
                </c:pt>
                <c:pt idx="1775">
                  <c:v>6.8719883949524281</c:v>
                </c:pt>
                <c:pt idx="1776">
                  <c:v>6.6263464830215586</c:v>
                </c:pt>
                <c:pt idx="1777">
                  <c:v>6.3769338543303649</c:v>
                </c:pt>
                <c:pt idx="1778">
                  <c:v>6.1265050259763951</c:v>
                </c:pt>
                <c:pt idx="1779">
                  <c:v>5.877842442573967</c:v>
                </c:pt>
                <c:pt idx="1780">
                  <c:v>5.6336808969570864</c:v>
                </c:pt>
                <c:pt idx="1781">
                  <c:v>5.3966321290387542</c:v>
                </c:pt>
                <c:pt idx="1782">
                  <c:v>5.1691106993393126</c:v>
                </c:pt>
                <c:pt idx="1783">
                  <c:v>4.9532620277217845</c:v>
                </c:pt>
                <c:pt idx="1784">
                  <c:v>4.7508931369659564</c:v>
                </c:pt>
                <c:pt idx="1785">
                  <c:v>4.563406070073845</c:v>
                </c:pt>
                <c:pt idx="1786">
                  <c:v>4.3917330195974662</c:v>
                </c:pt>
                <c:pt idx="1787">
                  <c:v>4.2362706504397094</c:v>
                </c:pt>
                <c:pt idx="1788">
                  <c:v>4.096808393361731</c:v>
                </c:pt>
                <c:pt idx="1789">
                  <c:v>3.9724405803211917</c:v>
                </c:pt>
                <c:pt idx="1790">
                  <c:v>3.8614429673842667</c:v>
                </c:pt>
                <c:pt idx="1791">
                  <c:v>3.7610755816204366</c:v>
                </c:pt>
                <c:pt idx="1792">
                  <c:v>3.6672347619258092</c:v>
                </c:pt>
                <c:pt idx="1793">
                  <c:v>3.5737908308444752</c:v>
                </c:pt>
                <c:pt idx="1794">
                  <c:v>3.4712462910303072</c:v>
                </c:pt>
                <c:pt idx="1795">
                  <c:v>3.3438574356441659</c:v>
                </c:pt>
                <c:pt idx="1796">
                  <c:v>3.1631405015640892</c:v>
                </c:pt>
                <c:pt idx="1797">
                  <c:v>2.8729282560034592</c:v>
                </c:pt>
                <c:pt idx="1798">
                  <c:v>2.3586645832908935</c:v>
                </c:pt>
                <c:pt idx="1799">
                  <c:v>1.4254979835775874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F2-4FA4-8A13-24203DEBF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[mm]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 [mm]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초기 틈새 분포 </a:t>
            </a:r>
            <a:r>
              <a:rPr lang="en-US" altLang="ko-KR"/>
              <a:t>(</a:t>
            </a:r>
            <a:r>
              <a:rPr lang="ko-KR" altLang="en-US"/>
              <a:t>논문 </a:t>
            </a:r>
            <a:r>
              <a:rPr lang="en-US"/>
              <a:t>B </a:t>
            </a:r>
            <a:r>
              <a:rPr lang="ko-KR" altLang="en-US"/>
              <a:t>식</a:t>
            </a:r>
            <a:r>
              <a:rPr lang="en-US" altLang="ko-KR"/>
              <a:t>20 / </a:t>
            </a:r>
            <a:r>
              <a:rPr lang="en-US"/>
              <a:t>Fig.11 </a:t>
            </a:r>
            <a:r>
              <a:rPr lang="ko-KR" altLang="en-US"/>
              <a:t>대응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초기 틈새</c:v>
          </c:tx>
          <c:spPr>
            <a:ln w="18000">
              <a:prstDash val="solid"/>
            </a:ln>
          </c:spPr>
          <c:marker>
            <c:symbol val="none"/>
          </c:marker>
          <c:xVal>
            <c:numRef>
              <c:f>'2.치형좌표'!$A$6:$A$905</c:f>
              <c:numCache>
                <c:formatCode>0.00000</c:formatCode>
                <c:ptCount val="9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  <c:pt idx="101">
                  <c:v>20.19999999999996</c:v>
                </c:pt>
                <c:pt idx="102">
                  <c:v>20.399999999999959</c:v>
                </c:pt>
                <c:pt idx="103">
                  <c:v>20.599999999999959</c:v>
                </c:pt>
                <c:pt idx="104">
                  <c:v>20.799999999999958</c:v>
                </c:pt>
                <c:pt idx="105">
                  <c:v>20.999999999999957</c:v>
                </c:pt>
                <c:pt idx="106">
                  <c:v>21.199999999999957</c:v>
                </c:pt>
                <c:pt idx="107">
                  <c:v>21.399999999999956</c:v>
                </c:pt>
                <c:pt idx="108">
                  <c:v>21.599999999999955</c:v>
                </c:pt>
                <c:pt idx="109">
                  <c:v>21.799999999999955</c:v>
                </c:pt>
                <c:pt idx="110">
                  <c:v>21.999999999999954</c:v>
                </c:pt>
                <c:pt idx="111">
                  <c:v>22.199999999999953</c:v>
                </c:pt>
                <c:pt idx="112">
                  <c:v>22.399999999999952</c:v>
                </c:pt>
                <c:pt idx="113">
                  <c:v>22.599999999999952</c:v>
                </c:pt>
                <c:pt idx="114">
                  <c:v>22.799999999999951</c:v>
                </c:pt>
                <c:pt idx="115">
                  <c:v>22.99999999999995</c:v>
                </c:pt>
                <c:pt idx="116">
                  <c:v>23.19999999999995</c:v>
                </c:pt>
                <c:pt idx="117">
                  <c:v>23.399999999999949</c:v>
                </c:pt>
                <c:pt idx="118">
                  <c:v>23.599999999999948</c:v>
                </c:pt>
                <c:pt idx="119">
                  <c:v>23.799999999999947</c:v>
                </c:pt>
                <c:pt idx="120">
                  <c:v>23.999999999999947</c:v>
                </c:pt>
                <c:pt idx="121">
                  <c:v>24.199999999999946</c:v>
                </c:pt>
                <c:pt idx="122">
                  <c:v>24.399999999999945</c:v>
                </c:pt>
                <c:pt idx="123">
                  <c:v>24.599999999999945</c:v>
                </c:pt>
                <c:pt idx="124">
                  <c:v>24.799999999999944</c:v>
                </c:pt>
                <c:pt idx="125">
                  <c:v>24.999999999999943</c:v>
                </c:pt>
                <c:pt idx="126">
                  <c:v>25.199999999999942</c:v>
                </c:pt>
                <c:pt idx="127">
                  <c:v>25.399999999999942</c:v>
                </c:pt>
                <c:pt idx="128">
                  <c:v>25.599999999999941</c:v>
                </c:pt>
                <c:pt idx="129">
                  <c:v>25.79999999999994</c:v>
                </c:pt>
                <c:pt idx="130">
                  <c:v>25.99999999999994</c:v>
                </c:pt>
                <c:pt idx="131">
                  <c:v>26.199999999999939</c:v>
                </c:pt>
                <c:pt idx="132">
                  <c:v>26.399999999999938</c:v>
                </c:pt>
                <c:pt idx="133">
                  <c:v>26.599999999999937</c:v>
                </c:pt>
                <c:pt idx="134">
                  <c:v>26.799999999999937</c:v>
                </c:pt>
                <c:pt idx="135">
                  <c:v>26.999999999999936</c:v>
                </c:pt>
                <c:pt idx="136">
                  <c:v>27.199999999999935</c:v>
                </c:pt>
                <c:pt idx="137">
                  <c:v>27.399999999999935</c:v>
                </c:pt>
                <c:pt idx="138">
                  <c:v>27.599999999999934</c:v>
                </c:pt>
                <c:pt idx="139">
                  <c:v>27.799999999999933</c:v>
                </c:pt>
                <c:pt idx="140">
                  <c:v>27.999999999999932</c:v>
                </c:pt>
                <c:pt idx="141">
                  <c:v>28.199999999999932</c:v>
                </c:pt>
                <c:pt idx="142">
                  <c:v>28.399999999999931</c:v>
                </c:pt>
                <c:pt idx="143">
                  <c:v>28.59999999999993</c:v>
                </c:pt>
                <c:pt idx="144">
                  <c:v>28.79999999999993</c:v>
                </c:pt>
                <c:pt idx="145">
                  <c:v>28.999999999999929</c:v>
                </c:pt>
                <c:pt idx="146">
                  <c:v>29.199999999999928</c:v>
                </c:pt>
                <c:pt idx="147">
                  <c:v>29.399999999999928</c:v>
                </c:pt>
                <c:pt idx="148">
                  <c:v>29.599999999999927</c:v>
                </c:pt>
                <c:pt idx="149">
                  <c:v>29.799999999999926</c:v>
                </c:pt>
                <c:pt idx="150">
                  <c:v>29.999999999999925</c:v>
                </c:pt>
                <c:pt idx="151">
                  <c:v>30.199999999999925</c:v>
                </c:pt>
                <c:pt idx="152">
                  <c:v>30.399999999999924</c:v>
                </c:pt>
                <c:pt idx="153">
                  <c:v>30.599999999999923</c:v>
                </c:pt>
                <c:pt idx="154">
                  <c:v>30.799999999999923</c:v>
                </c:pt>
                <c:pt idx="155">
                  <c:v>30.999999999999922</c:v>
                </c:pt>
                <c:pt idx="156">
                  <c:v>31.199999999999921</c:v>
                </c:pt>
                <c:pt idx="157">
                  <c:v>31.39999999999992</c:v>
                </c:pt>
                <c:pt idx="158">
                  <c:v>31.59999999999992</c:v>
                </c:pt>
                <c:pt idx="159">
                  <c:v>31.799999999999919</c:v>
                </c:pt>
                <c:pt idx="160">
                  <c:v>31.999999999999918</c:v>
                </c:pt>
                <c:pt idx="161">
                  <c:v>32.199999999999918</c:v>
                </c:pt>
                <c:pt idx="162">
                  <c:v>32.39999999999992</c:v>
                </c:pt>
                <c:pt idx="163">
                  <c:v>32.599999999999923</c:v>
                </c:pt>
                <c:pt idx="164">
                  <c:v>32.799999999999926</c:v>
                </c:pt>
                <c:pt idx="165">
                  <c:v>32.999999999999929</c:v>
                </c:pt>
                <c:pt idx="166">
                  <c:v>33.199999999999932</c:v>
                </c:pt>
                <c:pt idx="167">
                  <c:v>33.399999999999935</c:v>
                </c:pt>
                <c:pt idx="168">
                  <c:v>33.599999999999937</c:v>
                </c:pt>
                <c:pt idx="169">
                  <c:v>33.79999999999994</c:v>
                </c:pt>
                <c:pt idx="170">
                  <c:v>33.999999999999943</c:v>
                </c:pt>
                <c:pt idx="171">
                  <c:v>34.199999999999946</c:v>
                </c:pt>
                <c:pt idx="172">
                  <c:v>34.399999999999949</c:v>
                </c:pt>
                <c:pt idx="173">
                  <c:v>34.599999999999952</c:v>
                </c:pt>
                <c:pt idx="174">
                  <c:v>34.799999999999955</c:v>
                </c:pt>
                <c:pt idx="175">
                  <c:v>34.999999999999957</c:v>
                </c:pt>
                <c:pt idx="176">
                  <c:v>35.19999999999996</c:v>
                </c:pt>
                <c:pt idx="177">
                  <c:v>35.399999999999963</c:v>
                </c:pt>
                <c:pt idx="178">
                  <c:v>35.599999999999966</c:v>
                </c:pt>
                <c:pt idx="179">
                  <c:v>35.799999999999969</c:v>
                </c:pt>
                <c:pt idx="180">
                  <c:v>35.999999999999972</c:v>
                </c:pt>
                <c:pt idx="181">
                  <c:v>36.199999999999974</c:v>
                </c:pt>
                <c:pt idx="182">
                  <c:v>36.399999999999977</c:v>
                </c:pt>
                <c:pt idx="183">
                  <c:v>36.59999999999998</c:v>
                </c:pt>
                <c:pt idx="184">
                  <c:v>36.799999999999983</c:v>
                </c:pt>
                <c:pt idx="185">
                  <c:v>36.999999999999986</c:v>
                </c:pt>
                <c:pt idx="186">
                  <c:v>37.199999999999989</c:v>
                </c:pt>
                <c:pt idx="187">
                  <c:v>37.399999999999991</c:v>
                </c:pt>
                <c:pt idx="188">
                  <c:v>37.599999999999994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38.400000000000006</c:v>
                </c:pt>
                <c:pt idx="193">
                  <c:v>38.600000000000009</c:v>
                </c:pt>
                <c:pt idx="194">
                  <c:v>38.800000000000011</c:v>
                </c:pt>
                <c:pt idx="195">
                  <c:v>39.000000000000014</c:v>
                </c:pt>
                <c:pt idx="196">
                  <c:v>39.200000000000017</c:v>
                </c:pt>
                <c:pt idx="197">
                  <c:v>39.40000000000002</c:v>
                </c:pt>
                <c:pt idx="198">
                  <c:v>39.600000000000023</c:v>
                </c:pt>
                <c:pt idx="199">
                  <c:v>39.800000000000026</c:v>
                </c:pt>
                <c:pt idx="200">
                  <c:v>40.000000000000028</c:v>
                </c:pt>
                <c:pt idx="201">
                  <c:v>40.200000000000031</c:v>
                </c:pt>
                <c:pt idx="202">
                  <c:v>40.400000000000034</c:v>
                </c:pt>
                <c:pt idx="203">
                  <c:v>40.600000000000037</c:v>
                </c:pt>
                <c:pt idx="204">
                  <c:v>40.80000000000004</c:v>
                </c:pt>
                <c:pt idx="205">
                  <c:v>41.000000000000043</c:v>
                </c:pt>
                <c:pt idx="206">
                  <c:v>41.200000000000045</c:v>
                </c:pt>
                <c:pt idx="207">
                  <c:v>41.400000000000048</c:v>
                </c:pt>
                <c:pt idx="208">
                  <c:v>41.600000000000051</c:v>
                </c:pt>
                <c:pt idx="209">
                  <c:v>41.800000000000054</c:v>
                </c:pt>
                <c:pt idx="210">
                  <c:v>42.000000000000057</c:v>
                </c:pt>
                <c:pt idx="211">
                  <c:v>42.20000000000006</c:v>
                </c:pt>
                <c:pt idx="212">
                  <c:v>42.400000000000063</c:v>
                </c:pt>
                <c:pt idx="213">
                  <c:v>42.600000000000065</c:v>
                </c:pt>
                <c:pt idx="214">
                  <c:v>42.800000000000068</c:v>
                </c:pt>
                <c:pt idx="215">
                  <c:v>43.000000000000071</c:v>
                </c:pt>
                <c:pt idx="216">
                  <c:v>43.200000000000074</c:v>
                </c:pt>
                <c:pt idx="217">
                  <c:v>43.400000000000077</c:v>
                </c:pt>
                <c:pt idx="218">
                  <c:v>43.60000000000008</c:v>
                </c:pt>
                <c:pt idx="219">
                  <c:v>43.800000000000082</c:v>
                </c:pt>
                <c:pt idx="220">
                  <c:v>44.000000000000085</c:v>
                </c:pt>
                <c:pt idx="221">
                  <c:v>44.200000000000088</c:v>
                </c:pt>
                <c:pt idx="222">
                  <c:v>44.400000000000091</c:v>
                </c:pt>
                <c:pt idx="223">
                  <c:v>44.600000000000094</c:v>
                </c:pt>
                <c:pt idx="224">
                  <c:v>44.800000000000097</c:v>
                </c:pt>
                <c:pt idx="225">
                  <c:v>45.000000000000099</c:v>
                </c:pt>
                <c:pt idx="226">
                  <c:v>45.200000000000102</c:v>
                </c:pt>
                <c:pt idx="227">
                  <c:v>45.400000000000105</c:v>
                </c:pt>
                <c:pt idx="228">
                  <c:v>45.600000000000108</c:v>
                </c:pt>
                <c:pt idx="229">
                  <c:v>45.800000000000111</c:v>
                </c:pt>
                <c:pt idx="230">
                  <c:v>46.000000000000114</c:v>
                </c:pt>
                <c:pt idx="231">
                  <c:v>46.200000000000117</c:v>
                </c:pt>
                <c:pt idx="232">
                  <c:v>46.400000000000119</c:v>
                </c:pt>
                <c:pt idx="233">
                  <c:v>46.600000000000122</c:v>
                </c:pt>
                <c:pt idx="234">
                  <c:v>46.800000000000125</c:v>
                </c:pt>
                <c:pt idx="235">
                  <c:v>47.000000000000128</c:v>
                </c:pt>
                <c:pt idx="236">
                  <c:v>47.200000000000131</c:v>
                </c:pt>
                <c:pt idx="237">
                  <c:v>47.400000000000134</c:v>
                </c:pt>
                <c:pt idx="238">
                  <c:v>47.600000000000136</c:v>
                </c:pt>
                <c:pt idx="239">
                  <c:v>47.800000000000139</c:v>
                </c:pt>
                <c:pt idx="240">
                  <c:v>48.000000000000142</c:v>
                </c:pt>
                <c:pt idx="241">
                  <c:v>48.200000000000145</c:v>
                </c:pt>
                <c:pt idx="242">
                  <c:v>48.400000000000148</c:v>
                </c:pt>
                <c:pt idx="243">
                  <c:v>48.600000000000151</c:v>
                </c:pt>
                <c:pt idx="244">
                  <c:v>48.800000000000153</c:v>
                </c:pt>
                <c:pt idx="245">
                  <c:v>49.000000000000156</c:v>
                </c:pt>
                <c:pt idx="246">
                  <c:v>49.200000000000159</c:v>
                </c:pt>
                <c:pt idx="247">
                  <c:v>49.400000000000162</c:v>
                </c:pt>
                <c:pt idx="248">
                  <c:v>49.600000000000165</c:v>
                </c:pt>
                <c:pt idx="249">
                  <c:v>49.800000000000168</c:v>
                </c:pt>
                <c:pt idx="250">
                  <c:v>50.000000000000171</c:v>
                </c:pt>
                <c:pt idx="251">
                  <c:v>50.200000000000173</c:v>
                </c:pt>
                <c:pt idx="252">
                  <c:v>50.400000000000176</c:v>
                </c:pt>
                <c:pt idx="253">
                  <c:v>50.600000000000179</c:v>
                </c:pt>
                <c:pt idx="254">
                  <c:v>50.800000000000182</c:v>
                </c:pt>
                <c:pt idx="255">
                  <c:v>51.000000000000185</c:v>
                </c:pt>
                <c:pt idx="256">
                  <c:v>51.200000000000188</c:v>
                </c:pt>
                <c:pt idx="257">
                  <c:v>51.40000000000019</c:v>
                </c:pt>
                <c:pt idx="258">
                  <c:v>51.600000000000193</c:v>
                </c:pt>
                <c:pt idx="259">
                  <c:v>51.800000000000196</c:v>
                </c:pt>
                <c:pt idx="260">
                  <c:v>52.000000000000199</c:v>
                </c:pt>
                <c:pt idx="261">
                  <c:v>52.200000000000202</c:v>
                </c:pt>
                <c:pt idx="262">
                  <c:v>52.400000000000205</c:v>
                </c:pt>
                <c:pt idx="263">
                  <c:v>52.600000000000207</c:v>
                </c:pt>
                <c:pt idx="264">
                  <c:v>52.80000000000021</c:v>
                </c:pt>
                <c:pt idx="265">
                  <c:v>53.000000000000213</c:v>
                </c:pt>
                <c:pt idx="266">
                  <c:v>53.200000000000216</c:v>
                </c:pt>
                <c:pt idx="267">
                  <c:v>53.400000000000219</c:v>
                </c:pt>
                <c:pt idx="268">
                  <c:v>53.600000000000222</c:v>
                </c:pt>
                <c:pt idx="269">
                  <c:v>53.800000000000225</c:v>
                </c:pt>
                <c:pt idx="270">
                  <c:v>54.000000000000227</c:v>
                </c:pt>
                <c:pt idx="271">
                  <c:v>54.20000000000023</c:v>
                </c:pt>
                <c:pt idx="272">
                  <c:v>54.400000000000233</c:v>
                </c:pt>
                <c:pt idx="273">
                  <c:v>54.600000000000236</c:v>
                </c:pt>
                <c:pt idx="274">
                  <c:v>54.800000000000239</c:v>
                </c:pt>
                <c:pt idx="275">
                  <c:v>55.000000000000242</c:v>
                </c:pt>
                <c:pt idx="276">
                  <c:v>55.200000000000244</c:v>
                </c:pt>
                <c:pt idx="277">
                  <c:v>55.400000000000247</c:v>
                </c:pt>
                <c:pt idx="278">
                  <c:v>55.60000000000025</c:v>
                </c:pt>
                <c:pt idx="279">
                  <c:v>55.800000000000253</c:v>
                </c:pt>
                <c:pt idx="280">
                  <c:v>56.000000000000256</c:v>
                </c:pt>
                <c:pt idx="281">
                  <c:v>56.200000000000259</c:v>
                </c:pt>
                <c:pt idx="282">
                  <c:v>56.400000000000261</c:v>
                </c:pt>
                <c:pt idx="283">
                  <c:v>56.600000000000264</c:v>
                </c:pt>
                <c:pt idx="284">
                  <c:v>56.800000000000267</c:v>
                </c:pt>
                <c:pt idx="285">
                  <c:v>57.00000000000027</c:v>
                </c:pt>
                <c:pt idx="286">
                  <c:v>57.200000000000273</c:v>
                </c:pt>
                <c:pt idx="287">
                  <c:v>57.400000000000276</c:v>
                </c:pt>
                <c:pt idx="288">
                  <c:v>57.600000000000279</c:v>
                </c:pt>
                <c:pt idx="289">
                  <c:v>57.800000000000281</c:v>
                </c:pt>
                <c:pt idx="290">
                  <c:v>58.000000000000284</c:v>
                </c:pt>
                <c:pt idx="291">
                  <c:v>58.200000000000287</c:v>
                </c:pt>
                <c:pt idx="292">
                  <c:v>58.40000000000029</c:v>
                </c:pt>
                <c:pt idx="293">
                  <c:v>58.600000000000293</c:v>
                </c:pt>
                <c:pt idx="294">
                  <c:v>58.800000000000296</c:v>
                </c:pt>
                <c:pt idx="295">
                  <c:v>59.000000000000298</c:v>
                </c:pt>
                <c:pt idx="296">
                  <c:v>59.200000000000301</c:v>
                </c:pt>
                <c:pt idx="297">
                  <c:v>59.400000000000304</c:v>
                </c:pt>
                <c:pt idx="298">
                  <c:v>59.600000000000307</c:v>
                </c:pt>
                <c:pt idx="299">
                  <c:v>59.80000000000031</c:v>
                </c:pt>
                <c:pt idx="300">
                  <c:v>60.000000000000313</c:v>
                </c:pt>
                <c:pt idx="301">
                  <c:v>60.200000000000315</c:v>
                </c:pt>
                <c:pt idx="302">
                  <c:v>60.400000000000318</c:v>
                </c:pt>
                <c:pt idx="303">
                  <c:v>60.600000000000321</c:v>
                </c:pt>
                <c:pt idx="304">
                  <c:v>60.800000000000324</c:v>
                </c:pt>
                <c:pt idx="305">
                  <c:v>61.000000000000327</c:v>
                </c:pt>
                <c:pt idx="306">
                  <c:v>61.20000000000033</c:v>
                </c:pt>
                <c:pt idx="307">
                  <c:v>61.400000000000333</c:v>
                </c:pt>
                <c:pt idx="308">
                  <c:v>61.600000000000335</c:v>
                </c:pt>
                <c:pt idx="309">
                  <c:v>61.800000000000338</c:v>
                </c:pt>
                <c:pt idx="310">
                  <c:v>62.000000000000341</c:v>
                </c:pt>
                <c:pt idx="311">
                  <c:v>62.200000000000344</c:v>
                </c:pt>
                <c:pt idx="312">
                  <c:v>62.400000000000347</c:v>
                </c:pt>
                <c:pt idx="313">
                  <c:v>62.60000000000035</c:v>
                </c:pt>
                <c:pt idx="314">
                  <c:v>62.800000000000352</c:v>
                </c:pt>
                <c:pt idx="315">
                  <c:v>63.000000000000355</c:v>
                </c:pt>
                <c:pt idx="316">
                  <c:v>63.200000000000358</c:v>
                </c:pt>
                <c:pt idx="317">
                  <c:v>63.400000000000361</c:v>
                </c:pt>
                <c:pt idx="318">
                  <c:v>63.600000000000364</c:v>
                </c:pt>
                <c:pt idx="319">
                  <c:v>63.800000000000367</c:v>
                </c:pt>
                <c:pt idx="320">
                  <c:v>64.000000000000369</c:v>
                </c:pt>
                <c:pt idx="321">
                  <c:v>64.200000000000372</c:v>
                </c:pt>
                <c:pt idx="322">
                  <c:v>64.400000000000375</c:v>
                </c:pt>
                <c:pt idx="323">
                  <c:v>64.600000000000378</c:v>
                </c:pt>
                <c:pt idx="324">
                  <c:v>64.800000000000381</c:v>
                </c:pt>
                <c:pt idx="325">
                  <c:v>65.000000000000384</c:v>
                </c:pt>
                <c:pt idx="326">
                  <c:v>65.200000000000387</c:v>
                </c:pt>
                <c:pt idx="327">
                  <c:v>65.400000000000389</c:v>
                </c:pt>
                <c:pt idx="328">
                  <c:v>65.600000000000392</c:v>
                </c:pt>
                <c:pt idx="329">
                  <c:v>65.800000000000395</c:v>
                </c:pt>
                <c:pt idx="330">
                  <c:v>66.000000000000398</c:v>
                </c:pt>
                <c:pt idx="331">
                  <c:v>66.200000000000401</c:v>
                </c:pt>
                <c:pt idx="332">
                  <c:v>66.400000000000404</c:v>
                </c:pt>
                <c:pt idx="333">
                  <c:v>66.600000000000406</c:v>
                </c:pt>
                <c:pt idx="334">
                  <c:v>66.800000000000409</c:v>
                </c:pt>
                <c:pt idx="335">
                  <c:v>67.000000000000412</c:v>
                </c:pt>
                <c:pt idx="336">
                  <c:v>67.200000000000415</c:v>
                </c:pt>
                <c:pt idx="337">
                  <c:v>67.400000000000418</c:v>
                </c:pt>
                <c:pt idx="338">
                  <c:v>67.600000000000421</c:v>
                </c:pt>
                <c:pt idx="339">
                  <c:v>67.800000000000423</c:v>
                </c:pt>
                <c:pt idx="340">
                  <c:v>68.000000000000426</c:v>
                </c:pt>
                <c:pt idx="341">
                  <c:v>68.200000000000429</c:v>
                </c:pt>
                <c:pt idx="342">
                  <c:v>68.400000000000432</c:v>
                </c:pt>
                <c:pt idx="343">
                  <c:v>68.600000000000435</c:v>
                </c:pt>
                <c:pt idx="344">
                  <c:v>68.800000000000438</c:v>
                </c:pt>
                <c:pt idx="345">
                  <c:v>69.000000000000441</c:v>
                </c:pt>
                <c:pt idx="346">
                  <c:v>69.200000000000443</c:v>
                </c:pt>
                <c:pt idx="347">
                  <c:v>69.400000000000446</c:v>
                </c:pt>
                <c:pt idx="348">
                  <c:v>69.600000000000449</c:v>
                </c:pt>
                <c:pt idx="349">
                  <c:v>69.800000000000452</c:v>
                </c:pt>
                <c:pt idx="350">
                  <c:v>70.000000000000455</c:v>
                </c:pt>
                <c:pt idx="351">
                  <c:v>70.200000000000458</c:v>
                </c:pt>
                <c:pt idx="352">
                  <c:v>70.40000000000046</c:v>
                </c:pt>
                <c:pt idx="353">
                  <c:v>70.600000000000463</c:v>
                </c:pt>
                <c:pt idx="354">
                  <c:v>70.800000000000466</c:v>
                </c:pt>
                <c:pt idx="355">
                  <c:v>71.000000000000469</c:v>
                </c:pt>
                <c:pt idx="356">
                  <c:v>71.200000000000472</c:v>
                </c:pt>
                <c:pt idx="357">
                  <c:v>71.400000000000475</c:v>
                </c:pt>
                <c:pt idx="358">
                  <c:v>71.600000000000477</c:v>
                </c:pt>
                <c:pt idx="359">
                  <c:v>71.80000000000048</c:v>
                </c:pt>
                <c:pt idx="360">
                  <c:v>72.000000000000483</c:v>
                </c:pt>
                <c:pt idx="361">
                  <c:v>72.200000000000486</c:v>
                </c:pt>
                <c:pt idx="362">
                  <c:v>72.400000000000489</c:v>
                </c:pt>
                <c:pt idx="363">
                  <c:v>72.600000000000492</c:v>
                </c:pt>
                <c:pt idx="364">
                  <c:v>72.800000000000495</c:v>
                </c:pt>
                <c:pt idx="365">
                  <c:v>73.000000000000497</c:v>
                </c:pt>
                <c:pt idx="366">
                  <c:v>73.2000000000005</c:v>
                </c:pt>
                <c:pt idx="367">
                  <c:v>73.400000000000503</c:v>
                </c:pt>
                <c:pt idx="368">
                  <c:v>73.600000000000506</c:v>
                </c:pt>
                <c:pt idx="369">
                  <c:v>73.800000000000509</c:v>
                </c:pt>
                <c:pt idx="370">
                  <c:v>74.000000000000512</c:v>
                </c:pt>
                <c:pt idx="371">
                  <c:v>74.200000000000514</c:v>
                </c:pt>
                <c:pt idx="372">
                  <c:v>74.400000000000517</c:v>
                </c:pt>
                <c:pt idx="373">
                  <c:v>74.60000000000052</c:v>
                </c:pt>
                <c:pt idx="374">
                  <c:v>74.800000000000523</c:v>
                </c:pt>
                <c:pt idx="375">
                  <c:v>75.000000000000526</c:v>
                </c:pt>
                <c:pt idx="376">
                  <c:v>75.200000000000529</c:v>
                </c:pt>
                <c:pt idx="377">
                  <c:v>75.400000000000531</c:v>
                </c:pt>
                <c:pt idx="378">
                  <c:v>75.600000000000534</c:v>
                </c:pt>
                <c:pt idx="379">
                  <c:v>75.800000000000537</c:v>
                </c:pt>
                <c:pt idx="380">
                  <c:v>76.00000000000054</c:v>
                </c:pt>
                <c:pt idx="381">
                  <c:v>76.200000000000543</c:v>
                </c:pt>
                <c:pt idx="382">
                  <c:v>76.400000000000546</c:v>
                </c:pt>
                <c:pt idx="383">
                  <c:v>76.600000000000549</c:v>
                </c:pt>
                <c:pt idx="384">
                  <c:v>76.800000000000551</c:v>
                </c:pt>
                <c:pt idx="385">
                  <c:v>77.000000000000554</c:v>
                </c:pt>
                <c:pt idx="386">
                  <c:v>77.200000000000557</c:v>
                </c:pt>
                <c:pt idx="387">
                  <c:v>77.40000000000056</c:v>
                </c:pt>
                <c:pt idx="388">
                  <c:v>77.600000000000563</c:v>
                </c:pt>
                <c:pt idx="389">
                  <c:v>77.800000000000566</c:v>
                </c:pt>
                <c:pt idx="390">
                  <c:v>78.000000000000568</c:v>
                </c:pt>
                <c:pt idx="391">
                  <c:v>78.200000000000571</c:v>
                </c:pt>
                <c:pt idx="392">
                  <c:v>78.400000000000574</c:v>
                </c:pt>
                <c:pt idx="393">
                  <c:v>78.600000000000577</c:v>
                </c:pt>
                <c:pt idx="394">
                  <c:v>78.80000000000058</c:v>
                </c:pt>
                <c:pt idx="395">
                  <c:v>79.000000000000583</c:v>
                </c:pt>
                <c:pt idx="396">
                  <c:v>79.200000000000585</c:v>
                </c:pt>
                <c:pt idx="397">
                  <c:v>79.400000000000588</c:v>
                </c:pt>
                <c:pt idx="398">
                  <c:v>79.600000000000591</c:v>
                </c:pt>
                <c:pt idx="399">
                  <c:v>79.800000000000594</c:v>
                </c:pt>
                <c:pt idx="400">
                  <c:v>80.000000000000597</c:v>
                </c:pt>
                <c:pt idx="401">
                  <c:v>80.2000000000006</c:v>
                </c:pt>
                <c:pt idx="402">
                  <c:v>80.400000000000603</c:v>
                </c:pt>
                <c:pt idx="403">
                  <c:v>80.600000000000605</c:v>
                </c:pt>
                <c:pt idx="404">
                  <c:v>80.800000000000608</c:v>
                </c:pt>
                <c:pt idx="405">
                  <c:v>81.000000000000611</c:v>
                </c:pt>
                <c:pt idx="406">
                  <c:v>81.200000000000614</c:v>
                </c:pt>
                <c:pt idx="407">
                  <c:v>81.400000000000617</c:v>
                </c:pt>
                <c:pt idx="408">
                  <c:v>81.60000000000062</c:v>
                </c:pt>
                <c:pt idx="409">
                  <c:v>81.800000000000622</c:v>
                </c:pt>
                <c:pt idx="410">
                  <c:v>82.000000000000625</c:v>
                </c:pt>
                <c:pt idx="411">
                  <c:v>82.200000000000628</c:v>
                </c:pt>
                <c:pt idx="412">
                  <c:v>82.400000000000631</c:v>
                </c:pt>
                <c:pt idx="413">
                  <c:v>82.600000000000634</c:v>
                </c:pt>
                <c:pt idx="414">
                  <c:v>82.800000000000637</c:v>
                </c:pt>
                <c:pt idx="415">
                  <c:v>83.000000000000639</c:v>
                </c:pt>
                <c:pt idx="416">
                  <c:v>83.200000000000642</c:v>
                </c:pt>
                <c:pt idx="417">
                  <c:v>83.400000000000645</c:v>
                </c:pt>
                <c:pt idx="418">
                  <c:v>83.600000000000648</c:v>
                </c:pt>
                <c:pt idx="419">
                  <c:v>83.800000000000651</c:v>
                </c:pt>
                <c:pt idx="420">
                  <c:v>84.000000000000654</c:v>
                </c:pt>
                <c:pt idx="421">
                  <c:v>84.200000000000657</c:v>
                </c:pt>
                <c:pt idx="422">
                  <c:v>84.400000000000659</c:v>
                </c:pt>
                <c:pt idx="423">
                  <c:v>84.600000000000662</c:v>
                </c:pt>
                <c:pt idx="424">
                  <c:v>84.800000000000665</c:v>
                </c:pt>
                <c:pt idx="425">
                  <c:v>85.000000000000668</c:v>
                </c:pt>
                <c:pt idx="426">
                  <c:v>85.200000000000671</c:v>
                </c:pt>
                <c:pt idx="427">
                  <c:v>85.400000000000674</c:v>
                </c:pt>
                <c:pt idx="428">
                  <c:v>85.600000000000676</c:v>
                </c:pt>
                <c:pt idx="429">
                  <c:v>85.800000000000679</c:v>
                </c:pt>
                <c:pt idx="430">
                  <c:v>86.000000000000682</c:v>
                </c:pt>
                <c:pt idx="431">
                  <c:v>86.200000000000685</c:v>
                </c:pt>
                <c:pt idx="432">
                  <c:v>86.400000000000688</c:v>
                </c:pt>
                <c:pt idx="433">
                  <c:v>86.600000000000691</c:v>
                </c:pt>
                <c:pt idx="434">
                  <c:v>86.800000000000693</c:v>
                </c:pt>
                <c:pt idx="435">
                  <c:v>87.000000000000696</c:v>
                </c:pt>
                <c:pt idx="436">
                  <c:v>87.200000000000699</c:v>
                </c:pt>
                <c:pt idx="437">
                  <c:v>87.400000000000702</c:v>
                </c:pt>
                <c:pt idx="438">
                  <c:v>87.600000000000705</c:v>
                </c:pt>
                <c:pt idx="439">
                  <c:v>87.800000000000708</c:v>
                </c:pt>
                <c:pt idx="440">
                  <c:v>88.000000000000711</c:v>
                </c:pt>
                <c:pt idx="441">
                  <c:v>88.200000000000713</c:v>
                </c:pt>
                <c:pt idx="442">
                  <c:v>88.400000000000716</c:v>
                </c:pt>
                <c:pt idx="443">
                  <c:v>88.600000000000719</c:v>
                </c:pt>
                <c:pt idx="444">
                  <c:v>88.800000000000722</c:v>
                </c:pt>
                <c:pt idx="445">
                  <c:v>89.000000000000725</c:v>
                </c:pt>
                <c:pt idx="446">
                  <c:v>89.200000000000728</c:v>
                </c:pt>
                <c:pt idx="447">
                  <c:v>89.40000000000073</c:v>
                </c:pt>
                <c:pt idx="448">
                  <c:v>89.600000000000733</c:v>
                </c:pt>
                <c:pt idx="449">
                  <c:v>89.800000000000736</c:v>
                </c:pt>
                <c:pt idx="450">
                  <c:v>90.000000000000739</c:v>
                </c:pt>
                <c:pt idx="451">
                  <c:v>90.200000000000742</c:v>
                </c:pt>
                <c:pt idx="452">
                  <c:v>90.400000000000745</c:v>
                </c:pt>
                <c:pt idx="453">
                  <c:v>90.600000000000747</c:v>
                </c:pt>
                <c:pt idx="454">
                  <c:v>90.80000000000075</c:v>
                </c:pt>
                <c:pt idx="455">
                  <c:v>91.000000000000753</c:v>
                </c:pt>
                <c:pt idx="456">
                  <c:v>91.200000000000756</c:v>
                </c:pt>
                <c:pt idx="457">
                  <c:v>91.400000000000759</c:v>
                </c:pt>
                <c:pt idx="458">
                  <c:v>91.600000000000762</c:v>
                </c:pt>
                <c:pt idx="459">
                  <c:v>91.800000000000765</c:v>
                </c:pt>
                <c:pt idx="460">
                  <c:v>92.000000000000767</c:v>
                </c:pt>
                <c:pt idx="461">
                  <c:v>92.20000000000077</c:v>
                </c:pt>
                <c:pt idx="462">
                  <c:v>92.400000000000773</c:v>
                </c:pt>
                <c:pt idx="463">
                  <c:v>92.600000000000776</c:v>
                </c:pt>
                <c:pt idx="464">
                  <c:v>92.800000000000779</c:v>
                </c:pt>
                <c:pt idx="465">
                  <c:v>93.000000000000782</c:v>
                </c:pt>
                <c:pt idx="466">
                  <c:v>93.200000000000784</c:v>
                </c:pt>
                <c:pt idx="467">
                  <c:v>93.400000000000787</c:v>
                </c:pt>
                <c:pt idx="468">
                  <c:v>93.60000000000079</c:v>
                </c:pt>
                <c:pt idx="469">
                  <c:v>93.800000000000793</c:v>
                </c:pt>
                <c:pt idx="470">
                  <c:v>94.000000000000796</c:v>
                </c:pt>
                <c:pt idx="471">
                  <c:v>94.200000000000799</c:v>
                </c:pt>
                <c:pt idx="472">
                  <c:v>94.400000000000801</c:v>
                </c:pt>
                <c:pt idx="473">
                  <c:v>94.600000000000804</c:v>
                </c:pt>
                <c:pt idx="474">
                  <c:v>94.800000000000807</c:v>
                </c:pt>
                <c:pt idx="475">
                  <c:v>95.00000000000081</c:v>
                </c:pt>
                <c:pt idx="476">
                  <c:v>95.200000000000813</c:v>
                </c:pt>
                <c:pt idx="477">
                  <c:v>95.400000000000816</c:v>
                </c:pt>
                <c:pt idx="478">
                  <c:v>95.600000000000819</c:v>
                </c:pt>
                <c:pt idx="479">
                  <c:v>95.800000000000821</c:v>
                </c:pt>
                <c:pt idx="480">
                  <c:v>96.000000000000824</c:v>
                </c:pt>
                <c:pt idx="481">
                  <c:v>96.200000000000827</c:v>
                </c:pt>
                <c:pt idx="482">
                  <c:v>96.40000000000083</c:v>
                </c:pt>
                <c:pt idx="483">
                  <c:v>96.600000000000833</c:v>
                </c:pt>
                <c:pt idx="484">
                  <c:v>96.800000000000836</c:v>
                </c:pt>
                <c:pt idx="485">
                  <c:v>97.000000000000838</c:v>
                </c:pt>
                <c:pt idx="486">
                  <c:v>97.200000000000841</c:v>
                </c:pt>
                <c:pt idx="487">
                  <c:v>97.400000000000844</c:v>
                </c:pt>
                <c:pt idx="488">
                  <c:v>97.600000000000847</c:v>
                </c:pt>
                <c:pt idx="489">
                  <c:v>97.80000000000085</c:v>
                </c:pt>
                <c:pt idx="490">
                  <c:v>98.000000000000853</c:v>
                </c:pt>
                <c:pt idx="491">
                  <c:v>98.200000000000855</c:v>
                </c:pt>
                <c:pt idx="492">
                  <c:v>98.400000000000858</c:v>
                </c:pt>
                <c:pt idx="493">
                  <c:v>98.600000000000861</c:v>
                </c:pt>
                <c:pt idx="494">
                  <c:v>98.800000000000864</c:v>
                </c:pt>
                <c:pt idx="495">
                  <c:v>99.000000000000867</c:v>
                </c:pt>
                <c:pt idx="496">
                  <c:v>99.20000000000087</c:v>
                </c:pt>
                <c:pt idx="497">
                  <c:v>99.400000000000873</c:v>
                </c:pt>
                <c:pt idx="498">
                  <c:v>99.600000000000875</c:v>
                </c:pt>
                <c:pt idx="499">
                  <c:v>99.800000000000878</c:v>
                </c:pt>
                <c:pt idx="500">
                  <c:v>100.00000000000088</c:v>
                </c:pt>
                <c:pt idx="501">
                  <c:v>100.20000000000088</c:v>
                </c:pt>
                <c:pt idx="502">
                  <c:v>100.40000000000089</c:v>
                </c:pt>
                <c:pt idx="503">
                  <c:v>100.60000000000089</c:v>
                </c:pt>
                <c:pt idx="504">
                  <c:v>100.80000000000089</c:v>
                </c:pt>
                <c:pt idx="505">
                  <c:v>101.0000000000009</c:v>
                </c:pt>
                <c:pt idx="506">
                  <c:v>101.2000000000009</c:v>
                </c:pt>
                <c:pt idx="507">
                  <c:v>101.4000000000009</c:v>
                </c:pt>
                <c:pt idx="508">
                  <c:v>101.6000000000009</c:v>
                </c:pt>
                <c:pt idx="509">
                  <c:v>101.80000000000091</c:v>
                </c:pt>
                <c:pt idx="510">
                  <c:v>102.00000000000091</c:v>
                </c:pt>
                <c:pt idx="511">
                  <c:v>102.20000000000091</c:v>
                </c:pt>
                <c:pt idx="512">
                  <c:v>102.40000000000092</c:v>
                </c:pt>
                <c:pt idx="513">
                  <c:v>102.60000000000092</c:v>
                </c:pt>
                <c:pt idx="514">
                  <c:v>102.80000000000092</c:v>
                </c:pt>
                <c:pt idx="515">
                  <c:v>103.00000000000092</c:v>
                </c:pt>
                <c:pt idx="516">
                  <c:v>103.20000000000093</c:v>
                </c:pt>
                <c:pt idx="517">
                  <c:v>103.40000000000093</c:v>
                </c:pt>
                <c:pt idx="518">
                  <c:v>103.60000000000093</c:v>
                </c:pt>
                <c:pt idx="519">
                  <c:v>103.80000000000094</c:v>
                </c:pt>
                <c:pt idx="520">
                  <c:v>104.00000000000094</c:v>
                </c:pt>
                <c:pt idx="521">
                  <c:v>104.20000000000094</c:v>
                </c:pt>
                <c:pt idx="522">
                  <c:v>104.40000000000094</c:v>
                </c:pt>
                <c:pt idx="523">
                  <c:v>104.60000000000095</c:v>
                </c:pt>
                <c:pt idx="524">
                  <c:v>104.80000000000095</c:v>
                </c:pt>
                <c:pt idx="525">
                  <c:v>105.00000000000095</c:v>
                </c:pt>
                <c:pt idx="526">
                  <c:v>105.20000000000095</c:v>
                </c:pt>
                <c:pt idx="527">
                  <c:v>105.40000000000096</c:v>
                </c:pt>
                <c:pt idx="528">
                  <c:v>105.60000000000096</c:v>
                </c:pt>
                <c:pt idx="529">
                  <c:v>105.80000000000096</c:v>
                </c:pt>
                <c:pt idx="530">
                  <c:v>106.00000000000097</c:v>
                </c:pt>
                <c:pt idx="531">
                  <c:v>106.20000000000097</c:v>
                </c:pt>
                <c:pt idx="532">
                  <c:v>106.40000000000097</c:v>
                </c:pt>
                <c:pt idx="533">
                  <c:v>106.60000000000097</c:v>
                </c:pt>
                <c:pt idx="534">
                  <c:v>106.80000000000098</c:v>
                </c:pt>
                <c:pt idx="535">
                  <c:v>107.00000000000098</c:v>
                </c:pt>
                <c:pt idx="536">
                  <c:v>107.20000000000098</c:v>
                </c:pt>
                <c:pt idx="537">
                  <c:v>107.40000000000099</c:v>
                </c:pt>
                <c:pt idx="538">
                  <c:v>107.60000000000099</c:v>
                </c:pt>
                <c:pt idx="539">
                  <c:v>107.80000000000099</c:v>
                </c:pt>
                <c:pt idx="540">
                  <c:v>108.00000000000099</c:v>
                </c:pt>
                <c:pt idx="541">
                  <c:v>108.200000000001</c:v>
                </c:pt>
                <c:pt idx="542">
                  <c:v>108.400000000001</c:v>
                </c:pt>
                <c:pt idx="543">
                  <c:v>108.600000000001</c:v>
                </c:pt>
                <c:pt idx="544">
                  <c:v>108.80000000000101</c:v>
                </c:pt>
                <c:pt idx="545">
                  <c:v>109.00000000000101</c:v>
                </c:pt>
                <c:pt idx="546">
                  <c:v>109.20000000000101</c:v>
                </c:pt>
                <c:pt idx="547">
                  <c:v>109.40000000000101</c:v>
                </c:pt>
                <c:pt idx="548">
                  <c:v>109.60000000000102</c:v>
                </c:pt>
                <c:pt idx="549">
                  <c:v>109.80000000000102</c:v>
                </c:pt>
                <c:pt idx="550">
                  <c:v>110.00000000000102</c:v>
                </c:pt>
                <c:pt idx="551">
                  <c:v>110.20000000000103</c:v>
                </c:pt>
                <c:pt idx="552">
                  <c:v>110.40000000000103</c:v>
                </c:pt>
                <c:pt idx="553">
                  <c:v>110.60000000000103</c:v>
                </c:pt>
                <c:pt idx="554">
                  <c:v>110.80000000000103</c:v>
                </c:pt>
                <c:pt idx="555">
                  <c:v>111.00000000000104</c:v>
                </c:pt>
                <c:pt idx="556">
                  <c:v>111.20000000000104</c:v>
                </c:pt>
                <c:pt idx="557">
                  <c:v>111.40000000000104</c:v>
                </c:pt>
                <c:pt idx="558">
                  <c:v>111.60000000000105</c:v>
                </c:pt>
                <c:pt idx="559">
                  <c:v>111.80000000000105</c:v>
                </c:pt>
                <c:pt idx="560">
                  <c:v>112.00000000000105</c:v>
                </c:pt>
                <c:pt idx="561">
                  <c:v>112.20000000000105</c:v>
                </c:pt>
                <c:pt idx="562">
                  <c:v>112.40000000000106</c:v>
                </c:pt>
                <c:pt idx="563">
                  <c:v>112.60000000000106</c:v>
                </c:pt>
                <c:pt idx="564">
                  <c:v>112.80000000000106</c:v>
                </c:pt>
                <c:pt idx="565">
                  <c:v>113.00000000000107</c:v>
                </c:pt>
                <c:pt idx="566">
                  <c:v>113.20000000000107</c:v>
                </c:pt>
                <c:pt idx="567">
                  <c:v>113.40000000000107</c:v>
                </c:pt>
                <c:pt idx="568">
                  <c:v>113.60000000000107</c:v>
                </c:pt>
                <c:pt idx="569">
                  <c:v>113.80000000000108</c:v>
                </c:pt>
                <c:pt idx="570">
                  <c:v>114.00000000000108</c:v>
                </c:pt>
                <c:pt idx="571">
                  <c:v>114.20000000000108</c:v>
                </c:pt>
                <c:pt idx="572">
                  <c:v>114.40000000000109</c:v>
                </c:pt>
                <c:pt idx="573">
                  <c:v>114.60000000000109</c:v>
                </c:pt>
                <c:pt idx="574">
                  <c:v>114.80000000000109</c:v>
                </c:pt>
                <c:pt idx="575">
                  <c:v>115.00000000000109</c:v>
                </c:pt>
                <c:pt idx="576">
                  <c:v>115.2000000000011</c:v>
                </c:pt>
                <c:pt idx="577">
                  <c:v>115.4000000000011</c:v>
                </c:pt>
                <c:pt idx="578">
                  <c:v>115.6000000000011</c:v>
                </c:pt>
                <c:pt idx="579">
                  <c:v>115.80000000000111</c:v>
                </c:pt>
                <c:pt idx="580">
                  <c:v>116.00000000000111</c:v>
                </c:pt>
                <c:pt idx="581">
                  <c:v>116.20000000000111</c:v>
                </c:pt>
                <c:pt idx="582">
                  <c:v>116.40000000000111</c:v>
                </c:pt>
                <c:pt idx="583">
                  <c:v>116.60000000000112</c:v>
                </c:pt>
                <c:pt idx="584">
                  <c:v>116.80000000000112</c:v>
                </c:pt>
                <c:pt idx="585">
                  <c:v>117.00000000000112</c:v>
                </c:pt>
                <c:pt idx="586">
                  <c:v>117.20000000000113</c:v>
                </c:pt>
                <c:pt idx="587">
                  <c:v>117.40000000000113</c:v>
                </c:pt>
                <c:pt idx="588">
                  <c:v>117.60000000000113</c:v>
                </c:pt>
                <c:pt idx="589">
                  <c:v>117.80000000000113</c:v>
                </c:pt>
                <c:pt idx="590">
                  <c:v>118.00000000000114</c:v>
                </c:pt>
                <c:pt idx="591">
                  <c:v>118.20000000000114</c:v>
                </c:pt>
                <c:pt idx="592">
                  <c:v>118.40000000000114</c:v>
                </c:pt>
                <c:pt idx="593">
                  <c:v>118.60000000000115</c:v>
                </c:pt>
                <c:pt idx="594">
                  <c:v>118.80000000000115</c:v>
                </c:pt>
                <c:pt idx="595">
                  <c:v>119.00000000000115</c:v>
                </c:pt>
                <c:pt idx="596">
                  <c:v>119.20000000000115</c:v>
                </c:pt>
                <c:pt idx="597">
                  <c:v>119.40000000000116</c:v>
                </c:pt>
                <c:pt idx="598">
                  <c:v>119.60000000000116</c:v>
                </c:pt>
                <c:pt idx="599">
                  <c:v>119.80000000000116</c:v>
                </c:pt>
                <c:pt idx="600">
                  <c:v>120.00000000000117</c:v>
                </c:pt>
                <c:pt idx="601">
                  <c:v>120.20000000000117</c:v>
                </c:pt>
                <c:pt idx="602">
                  <c:v>120.40000000000117</c:v>
                </c:pt>
                <c:pt idx="603">
                  <c:v>120.60000000000117</c:v>
                </c:pt>
                <c:pt idx="604">
                  <c:v>120.80000000000118</c:v>
                </c:pt>
                <c:pt idx="605">
                  <c:v>121.00000000000118</c:v>
                </c:pt>
                <c:pt idx="606">
                  <c:v>121.20000000000118</c:v>
                </c:pt>
                <c:pt idx="607">
                  <c:v>121.40000000000119</c:v>
                </c:pt>
                <c:pt idx="608">
                  <c:v>121.60000000000119</c:v>
                </c:pt>
                <c:pt idx="609">
                  <c:v>121.80000000000119</c:v>
                </c:pt>
                <c:pt idx="610">
                  <c:v>122.00000000000119</c:v>
                </c:pt>
                <c:pt idx="611">
                  <c:v>122.2000000000012</c:v>
                </c:pt>
                <c:pt idx="612">
                  <c:v>122.4000000000012</c:v>
                </c:pt>
                <c:pt idx="613">
                  <c:v>122.6000000000012</c:v>
                </c:pt>
                <c:pt idx="614">
                  <c:v>122.80000000000121</c:v>
                </c:pt>
                <c:pt idx="615">
                  <c:v>123.00000000000121</c:v>
                </c:pt>
                <c:pt idx="616">
                  <c:v>123.20000000000121</c:v>
                </c:pt>
                <c:pt idx="617">
                  <c:v>123.40000000000121</c:v>
                </c:pt>
                <c:pt idx="618">
                  <c:v>123.60000000000122</c:v>
                </c:pt>
                <c:pt idx="619">
                  <c:v>123.80000000000122</c:v>
                </c:pt>
                <c:pt idx="620">
                  <c:v>124.00000000000122</c:v>
                </c:pt>
                <c:pt idx="621">
                  <c:v>124.20000000000122</c:v>
                </c:pt>
                <c:pt idx="622">
                  <c:v>124.40000000000123</c:v>
                </c:pt>
                <c:pt idx="623">
                  <c:v>124.60000000000123</c:v>
                </c:pt>
                <c:pt idx="624">
                  <c:v>124.80000000000123</c:v>
                </c:pt>
                <c:pt idx="625">
                  <c:v>125.00000000000124</c:v>
                </c:pt>
                <c:pt idx="626">
                  <c:v>125.20000000000124</c:v>
                </c:pt>
                <c:pt idx="627">
                  <c:v>125.40000000000124</c:v>
                </c:pt>
                <c:pt idx="628">
                  <c:v>125.60000000000124</c:v>
                </c:pt>
                <c:pt idx="629">
                  <c:v>125.80000000000125</c:v>
                </c:pt>
                <c:pt idx="630">
                  <c:v>126.00000000000125</c:v>
                </c:pt>
                <c:pt idx="631">
                  <c:v>126.20000000000125</c:v>
                </c:pt>
                <c:pt idx="632">
                  <c:v>126.40000000000126</c:v>
                </c:pt>
                <c:pt idx="633">
                  <c:v>126.60000000000126</c:v>
                </c:pt>
                <c:pt idx="634">
                  <c:v>126.80000000000126</c:v>
                </c:pt>
                <c:pt idx="635">
                  <c:v>127.00000000000126</c:v>
                </c:pt>
                <c:pt idx="636">
                  <c:v>127.20000000000127</c:v>
                </c:pt>
                <c:pt idx="637">
                  <c:v>127.40000000000127</c:v>
                </c:pt>
                <c:pt idx="638">
                  <c:v>127.60000000000127</c:v>
                </c:pt>
                <c:pt idx="639">
                  <c:v>127.80000000000128</c:v>
                </c:pt>
                <c:pt idx="640">
                  <c:v>128.00000000000128</c:v>
                </c:pt>
                <c:pt idx="641">
                  <c:v>128.20000000000127</c:v>
                </c:pt>
                <c:pt idx="642">
                  <c:v>128.40000000000126</c:v>
                </c:pt>
                <c:pt idx="643">
                  <c:v>128.60000000000124</c:v>
                </c:pt>
                <c:pt idx="644">
                  <c:v>128.80000000000123</c:v>
                </c:pt>
                <c:pt idx="645">
                  <c:v>129.00000000000122</c:v>
                </c:pt>
                <c:pt idx="646">
                  <c:v>129.20000000000121</c:v>
                </c:pt>
                <c:pt idx="647">
                  <c:v>129.4000000000012</c:v>
                </c:pt>
                <c:pt idx="648">
                  <c:v>129.60000000000119</c:v>
                </c:pt>
                <c:pt idx="649">
                  <c:v>129.80000000000118</c:v>
                </c:pt>
                <c:pt idx="650">
                  <c:v>130.00000000000117</c:v>
                </c:pt>
                <c:pt idx="651">
                  <c:v>130.20000000000115</c:v>
                </c:pt>
                <c:pt idx="652">
                  <c:v>130.40000000000114</c:v>
                </c:pt>
                <c:pt idx="653">
                  <c:v>130.60000000000113</c:v>
                </c:pt>
                <c:pt idx="654">
                  <c:v>130.80000000000112</c:v>
                </c:pt>
                <c:pt idx="655">
                  <c:v>131.00000000000111</c:v>
                </c:pt>
                <c:pt idx="656">
                  <c:v>131.2000000000011</c:v>
                </c:pt>
                <c:pt idx="657">
                  <c:v>131.40000000000109</c:v>
                </c:pt>
                <c:pt idx="658">
                  <c:v>131.60000000000107</c:v>
                </c:pt>
                <c:pt idx="659">
                  <c:v>131.80000000000106</c:v>
                </c:pt>
                <c:pt idx="660">
                  <c:v>132.00000000000105</c:v>
                </c:pt>
                <c:pt idx="661">
                  <c:v>132.20000000000104</c:v>
                </c:pt>
                <c:pt idx="662">
                  <c:v>132.40000000000103</c:v>
                </c:pt>
                <c:pt idx="663">
                  <c:v>132.60000000000102</c:v>
                </c:pt>
                <c:pt idx="664">
                  <c:v>132.80000000000101</c:v>
                </c:pt>
                <c:pt idx="665">
                  <c:v>133.00000000000099</c:v>
                </c:pt>
                <c:pt idx="666">
                  <c:v>133.20000000000098</c:v>
                </c:pt>
                <c:pt idx="667">
                  <c:v>133.40000000000097</c:v>
                </c:pt>
                <c:pt idx="668">
                  <c:v>133.60000000000096</c:v>
                </c:pt>
                <c:pt idx="669">
                  <c:v>133.80000000000095</c:v>
                </c:pt>
                <c:pt idx="670">
                  <c:v>134.00000000000094</c:v>
                </c:pt>
                <c:pt idx="671">
                  <c:v>134.20000000000093</c:v>
                </c:pt>
                <c:pt idx="672">
                  <c:v>134.40000000000092</c:v>
                </c:pt>
                <c:pt idx="673">
                  <c:v>134.6000000000009</c:v>
                </c:pt>
                <c:pt idx="674">
                  <c:v>134.80000000000089</c:v>
                </c:pt>
                <c:pt idx="675">
                  <c:v>135.00000000000088</c:v>
                </c:pt>
                <c:pt idx="676">
                  <c:v>135.20000000000087</c:v>
                </c:pt>
                <c:pt idx="677">
                  <c:v>135.40000000000086</c:v>
                </c:pt>
                <c:pt idx="678">
                  <c:v>135.60000000000085</c:v>
                </c:pt>
                <c:pt idx="679">
                  <c:v>135.80000000000084</c:v>
                </c:pt>
                <c:pt idx="680">
                  <c:v>136.00000000000082</c:v>
                </c:pt>
                <c:pt idx="681">
                  <c:v>136.20000000000081</c:v>
                </c:pt>
                <c:pt idx="682">
                  <c:v>136.4000000000008</c:v>
                </c:pt>
                <c:pt idx="683">
                  <c:v>136.60000000000079</c:v>
                </c:pt>
                <c:pt idx="684">
                  <c:v>136.80000000000078</c:v>
                </c:pt>
                <c:pt idx="685">
                  <c:v>137.00000000000077</c:v>
                </c:pt>
                <c:pt idx="686">
                  <c:v>137.20000000000076</c:v>
                </c:pt>
                <c:pt idx="687">
                  <c:v>137.40000000000074</c:v>
                </c:pt>
                <c:pt idx="688">
                  <c:v>137.60000000000073</c:v>
                </c:pt>
                <c:pt idx="689">
                  <c:v>137.80000000000072</c:v>
                </c:pt>
                <c:pt idx="690">
                  <c:v>138.00000000000071</c:v>
                </c:pt>
                <c:pt idx="691">
                  <c:v>138.2000000000007</c:v>
                </c:pt>
                <c:pt idx="692">
                  <c:v>138.40000000000069</c:v>
                </c:pt>
                <c:pt idx="693">
                  <c:v>138.60000000000068</c:v>
                </c:pt>
                <c:pt idx="694">
                  <c:v>138.80000000000067</c:v>
                </c:pt>
                <c:pt idx="695">
                  <c:v>139.00000000000065</c:v>
                </c:pt>
                <c:pt idx="696">
                  <c:v>139.20000000000064</c:v>
                </c:pt>
                <c:pt idx="697">
                  <c:v>139.40000000000063</c:v>
                </c:pt>
                <c:pt idx="698">
                  <c:v>139.60000000000062</c:v>
                </c:pt>
                <c:pt idx="699">
                  <c:v>139.80000000000061</c:v>
                </c:pt>
                <c:pt idx="700">
                  <c:v>140.0000000000006</c:v>
                </c:pt>
                <c:pt idx="701">
                  <c:v>140.20000000000059</c:v>
                </c:pt>
                <c:pt idx="702">
                  <c:v>140.40000000000057</c:v>
                </c:pt>
                <c:pt idx="703">
                  <c:v>140.60000000000056</c:v>
                </c:pt>
                <c:pt idx="704">
                  <c:v>140.80000000000055</c:v>
                </c:pt>
                <c:pt idx="705">
                  <c:v>141.00000000000054</c:v>
                </c:pt>
                <c:pt idx="706">
                  <c:v>141.20000000000053</c:v>
                </c:pt>
                <c:pt idx="707">
                  <c:v>141.40000000000052</c:v>
                </c:pt>
                <c:pt idx="708">
                  <c:v>141.60000000000051</c:v>
                </c:pt>
                <c:pt idx="709">
                  <c:v>141.80000000000049</c:v>
                </c:pt>
                <c:pt idx="710">
                  <c:v>142.00000000000048</c:v>
                </c:pt>
                <c:pt idx="711">
                  <c:v>142.20000000000047</c:v>
                </c:pt>
                <c:pt idx="712">
                  <c:v>142.40000000000046</c:v>
                </c:pt>
                <c:pt idx="713">
                  <c:v>142.60000000000045</c:v>
                </c:pt>
                <c:pt idx="714">
                  <c:v>142.80000000000044</c:v>
                </c:pt>
                <c:pt idx="715">
                  <c:v>143.00000000000043</c:v>
                </c:pt>
                <c:pt idx="716">
                  <c:v>143.20000000000041</c:v>
                </c:pt>
                <c:pt idx="717">
                  <c:v>143.4000000000004</c:v>
                </c:pt>
                <c:pt idx="718">
                  <c:v>143.60000000000039</c:v>
                </c:pt>
                <c:pt idx="719">
                  <c:v>143.80000000000038</c:v>
                </c:pt>
                <c:pt idx="720">
                  <c:v>144.00000000000037</c:v>
                </c:pt>
                <c:pt idx="721">
                  <c:v>144.20000000000036</c:v>
                </c:pt>
                <c:pt idx="722">
                  <c:v>144.40000000000035</c:v>
                </c:pt>
                <c:pt idx="723">
                  <c:v>144.60000000000034</c:v>
                </c:pt>
                <c:pt idx="724">
                  <c:v>144.80000000000032</c:v>
                </c:pt>
                <c:pt idx="725">
                  <c:v>145.00000000000031</c:v>
                </c:pt>
                <c:pt idx="726">
                  <c:v>145.2000000000003</c:v>
                </c:pt>
                <c:pt idx="727">
                  <c:v>145.40000000000029</c:v>
                </c:pt>
                <c:pt idx="728">
                  <c:v>145.60000000000028</c:v>
                </c:pt>
                <c:pt idx="729">
                  <c:v>145.80000000000027</c:v>
                </c:pt>
                <c:pt idx="730">
                  <c:v>146.00000000000026</c:v>
                </c:pt>
                <c:pt idx="731">
                  <c:v>146.20000000000024</c:v>
                </c:pt>
                <c:pt idx="732">
                  <c:v>146.40000000000023</c:v>
                </c:pt>
                <c:pt idx="733">
                  <c:v>146.60000000000022</c:v>
                </c:pt>
                <c:pt idx="734">
                  <c:v>146.80000000000021</c:v>
                </c:pt>
                <c:pt idx="735">
                  <c:v>147.0000000000002</c:v>
                </c:pt>
                <c:pt idx="736">
                  <c:v>147.20000000000019</c:v>
                </c:pt>
                <c:pt idx="737">
                  <c:v>147.40000000000018</c:v>
                </c:pt>
                <c:pt idx="738">
                  <c:v>147.60000000000016</c:v>
                </c:pt>
                <c:pt idx="739">
                  <c:v>147.80000000000015</c:v>
                </c:pt>
                <c:pt idx="740">
                  <c:v>148.00000000000014</c:v>
                </c:pt>
                <c:pt idx="741">
                  <c:v>148.20000000000013</c:v>
                </c:pt>
                <c:pt idx="742">
                  <c:v>148.40000000000012</c:v>
                </c:pt>
                <c:pt idx="743">
                  <c:v>148.60000000000011</c:v>
                </c:pt>
                <c:pt idx="744">
                  <c:v>148.8000000000001</c:v>
                </c:pt>
                <c:pt idx="745">
                  <c:v>149.00000000000009</c:v>
                </c:pt>
                <c:pt idx="746">
                  <c:v>149.20000000000007</c:v>
                </c:pt>
                <c:pt idx="747">
                  <c:v>149.40000000000006</c:v>
                </c:pt>
                <c:pt idx="748">
                  <c:v>149.60000000000005</c:v>
                </c:pt>
                <c:pt idx="749">
                  <c:v>149.80000000000004</c:v>
                </c:pt>
                <c:pt idx="750">
                  <c:v>150.00000000000003</c:v>
                </c:pt>
                <c:pt idx="751">
                  <c:v>150.20000000000002</c:v>
                </c:pt>
                <c:pt idx="752">
                  <c:v>150.4</c:v>
                </c:pt>
                <c:pt idx="753">
                  <c:v>150.6</c:v>
                </c:pt>
                <c:pt idx="754">
                  <c:v>150.79999999999998</c:v>
                </c:pt>
                <c:pt idx="755">
                  <c:v>150.99999999999997</c:v>
                </c:pt>
                <c:pt idx="756">
                  <c:v>151.19999999999996</c:v>
                </c:pt>
                <c:pt idx="757">
                  <c:v>151.39999999999995</c:v>
                </c:pt>
                <c:pt idx="758">
                  <c:v>151.59999999999994</c:v>
                </c:pt>
                <c:pt idx="759">
                  <c:v>151.79999999999993</c:v>
                </c:pt>
                <c:pt idx="760">
                  <c:v>151.99999999999991</c:v>
                </c:pt>
                <c:pt idx="761">
                  <c:v>152.1999999999999</c:v>
                </c:pt>
                <c:pt idx="762">
                  <c:v>152.39999999999989</c:v>
                </c:pt>
                <c:pt idx="763">
                  <c:v>152.59999999999988</c:v>
                </c:pt>
                <c:pt idx="764">
                  <c:v>152.79999999999987</c:v>
                </c:pt>
                <c:pt idx="765">
                  <c:v>152.99999999999986</c:v>
                </c:pt>
                <c:pt idx="766">
                  <c:v>153.19999999999985</c:v>
                </c:pt>
                <c:pt idx="767">
                  <c:v>153.39999999999984</c:v>
                </c:pt>
                <c:pt idx="768">
                  <c:v>153.59999999999982</c:v>
                </c:pt>
                <c:pt idx="769">
                  <c:v>153.79999999999981</c:v>
                </c:pt>
                <c:pt idx="770">
                  <c:v>153.9999999999998</c:v>
                </c:pt>
                <c:pt idx="771">
                  <c:v>154.19999999999979</c:v>
                </c:pt>
                <c:pt idx="772">
                  <c:v>154.39999999999978</c:v>
                </c:pt>
                <c:pt idx="773">
                  <c:v>154.59999999999977</c:v>
                </c:pt>
                <c:pt idx="774">
                  <c:v>154.79999999999976</c:v>
                </c:pt>
                <c:pt idx="775">
                  <c:v>154.99999999999974</c:v>
                </c:pt>
                <c:pt idx="776">
                  <c:v>155.19999999999973</c:v>
                </c:pt>
                <c:pt idx="777">
                  <c:v>155.39999999999972</c:v>
                </c:pt>
                <c:pt idx="778">
                  <c:v>155.59999999999971</c:v>
                </c:pt>
                <c:pt idx="779">
                  <c:v>155.7999999999997</c:v>
                </c:pt>
                <c:pt idx="780">
                  <c:v>155.99999999999969</c:v>
                </c:pt>
                <c:pt idx="781">
                  <c:v>156.19999999999968</c:v>
                </c:pt>
                <c:pt idx="782">
                  <c:v>156.39999999999966</c:v>
                </c:pt>
                <c:pt idx="783">
                  <c:v>156.59999999999965</c:v>
                </c:pt>
                <c:pt idx="784">
                  <c:v>156.79999999999964</c:v>
                </c:pt>
                <c:pt idx="785">
                  <c:v>156.99999999999963</c:v>
                </c:pt>
                <c:pt idx="786">
                  <c:v>157.19999999999962</c:v>
                </c:pt>
                <c:pt idx="787">
                  <c:v>157.39999999999961</c:v>
                </c:pt>
                <c:pt idx="788">
                  <c:v>157.5999999999996</c:v>
                </c:pt>
                <c:pt idx="789">
                  <c:v>157.79999999999959</c:v>
                </c:pt>
                <c:pt idx="790">
                  <c:v>157.99999999999957</c:v>
                </c:pt>
                <c:pt idx="791">
                  <c:v>158.19999999999956</c:v>
                </c:pt>
                <c:pt idx="792">
                  <c:v>158.39999999999955</c:v>
                </c:pt>
                <c:pt idx="793">
                  <c:v>158.59999999999954</c:v>
                </c:pt>
                <c:pt idx="794">
                  <c:v>158.79999999999953</c:v>
                </c:pt>
                <c:pt idx="795">
                  <c:v>158.99999999999952</c:v>
                </c:pt>
                <c:pt idx="796">
                  <c:v>159.19999999999951</c:v>
                </c:pt>
                <c:pt idx="797">
                  <c:v>159.39999999999949</c:v>
                </c:pt>
                <c:pt idx="798">
                  <c:v>159.59999999999948</c:v>
                </c:pt>
                <c:pt idx="799">
                  <c:v>159.79999999999947</c:v>
                </c:pt>
                <c:pt idx="800">
                  <c:v>159.99999999999946</c:v>
                </c:pt>
                <c:pt idx="801">
                  <c:v>160.19999999999945</c:v>
                </c:pt>
                <c:pt idx="802">
                  <c:v>160.39999999999944</c:v>
                </c:pt>
                <c:pt idx="803">
                  <c:v>160.59999999999943</c:v>
                </c:pt>
                <c:pt idx="804">
                  <c:v>160.79999999999941</c:v>
                </c:pt>
                <c:pt idx="805">
                  <c:v>160.9999999999994</c:v>
                </c:pt>
                <c:pt idx="806">
                  <c:v>161.19999999999939</c:v>
                </c:pt>
                <c:pt idx="807">
                  <c:v>161.39999999999938</c:v>
                </c:pt>
                <c:pt idx="808">
                  <c:v>161.59999999999937</c:v>
                </c:pt>
                <c:pt idx="809">
                  <c:v>161.79999999999936</c:v>
                </c:pt>
                <c:pt idx="810">
                  <c:v>161.99999999999935</c:v>
                </c:pt>
                <c:pt idx="811">
                  <c:v>162.19999999999933</c:v>
                </c:pt>
                <c:pt idx="812">
                  <c:v>162.39999999999932</c:v>
                </c:pt>
                <c:pt idx="813">
                  <c:v>162.59999999999931</c:v>
                </c:pt>
                <c:pt idx="814">
                  <c:v>162.7999999999993</c:v>
                </c:pt>
                <c:pt idx="815">
                  <c:v>162.99999999999929</c:v>
                </c:pt>
                <c:pt idx="816">
                  <c:v>163.19999999999928</c:v>
                </c:pt>
                <c:pt idx="817">
                  <c:v>163.39999999999927</c:v>
                </c:pt>
                <c:pt idx="818">
                  <c:v>163.59999999999926</c:v>
                </c:pt>
                <c:pt idx="819">
                  <c:v>163.79999999999924</c:v>
                </c:pt>
                <c:pt idx="820">
                  <c:v>163.99999999999923</c:v>
                </c:pt>
                <c:pt idx="821">
                  <c:v>164.19999999999922</c:v>
                </c:pt>
                <c:pt idx="822">
                  <c:v>164.39999999999921</c:v>
                </c:pt>
                <c:pt idx="823">
                  <c:v>164.5999999999992</c:v>
                </c:pt>
                <c:pt idx="824">
                  <c:v>164.79999999999919</c:v>
                </c:pt>
                <c:pt idx="825">
                  <c:v>164.99999999999918</c:v>
                </c:pt>
                <c:pt idx="826">
                  <c:v>165.19999999999916</c:v>
                </c:pt>
                <c:pt idx="827">
                  <c:v>165.39999999999915</c:v>
                </c:pt>
                <c:pt idx="828">
                  <c:v>165.59999999999914</c:v>
                </c:pt>
                <c:pt idx="829">
                  <c:v>165.79999999999913</c:v>
                </c:pt>
                <c:pt idx="830">
                  <c:v>165.99999999999912</c:v>
                </c:pt>
                <c:pt idx="831">
                  <c:v>166.19999999999911</c:v>
                </c:pt>
                <c:pt idx="832">
                  <c:v>166.3999999999991</c:v>
                </c:pt>
                <c:pt idx="833">
                  <c:v>166.59999999999908</c:v>
                </c:pt>
                <c:pt idx="834">
                  <c:v>166.79999999999907</c:v>
                </c:pt>
                <c:pt idx="835">
                  <c:v>166.99999999999906</c:v>
                </c:pt>
                <c:pt idx="836">
                  <c:v>167.19999999999905</c:v>
                </c:pt>
                <c:pt idx="837">
                  <c:v>167.39999999999904</c:v>
                </c:pt>
                <c:pt idx="838">
                  <c:v>167.59999999999903</c:v>
                </c:pt>
                <c:pt idx="839">
                  <c:v>167.79999999999902</c:v>
                </c:pt>
                <c:pt idx="840">
                  <c:v>167.99999999999901</c:v>
                </c:pt>
                <c:pt idx="841">
                  <c:v>168.19999999999899</c:v>
                </c:pt>
                <c:pt idx="842">
                  <c:v>168.39999999999898</c:v>
                </c:pt>
                <c:pt idx="843">
                  <c:v>168.59999999999897</c:v>
                </c:pt>
                <c:pt idx="844">
                  <c:v>168.79999999999896</c:v>
                </c:pt>
                <c:pt idx="845">
                  <c:v>168.99999999999895</c:v>
                </c:pt>
                <c:pt idx="846">
                  <c:v>169.19999999999894</c:v>
                </c:pt>
                <c:pt idx="847">
                  <c:v>169.39999999999893</c:v>
                </c:pt>
                <c:pt idx="848">
                  <c:v>169.59999999999891</c:v>
                </c:pt>
                <c:pt idx="849">
                  <c:v>169.7999999999989</c:v>
                </c:pt>
                <c:pt idx="850">
                  <c:v>169.99999999999889</c:v>
                </c:pt>
                <c:pt idx="851">
                  <c:v>170.19999999999888</c:v>
                </c:pt>
                <c:pt idx="852">
                  <c:v>170.39999999999887</c:v>
                </c:pt>
                <c:pt idx="853">
                  <c:v>170.59999999999886</c:v>
                </c:pt>
                <c:pt idx="854">
                  <c:v>170.79999999999885</c:v>
                </c:pt>
                <c:pt idx="855">
                  <c:v>170.99999999999883</c:v>
                </c:pt>
                <c:pt idx="856">
                  <c:v>171.19999999999882</c:v>
                </c:pt>
                <c:pt idx="857">
                  <c:v>171.39999999999881</c:v>
                </c:pt>
                <c:pt idx="858">
                  <c:v>171.5999999999988</c:v>
                </c:pt>
                <c:pt idx="859">
                  <c:v>171.79999999999879</c:v>
                </c:pt>
                <c:pt idx="860">
                  <c:v>171.99999999999878</c:v>
                </c:pt>
                <c:pt idx="861">
                  <c:v>172.19999999999877</c:v>
                </c:pt>
                <c:pt idx="862">
                  <c:v>172.39999999999876</c:v>
                </c:pt>
                <c:pt idx="863">
                  <c:v>172.59999999999874</c:v>
                </c:pt>
                <c:pt idx="864">
                  <c:v>172.79999999999873</c:v>
                </c:pt>
                <c:pt idx="865">
                  <c:v>172.99999999999872</c:v>
                </c:pt>
                <c:pt idx="866">
                  <c:v>173.19999999999871</c:v>
                </c:pt>
                <c:pt idx="867">
                  <c:v>173.3999999999987</c:v>
                </c:pt>
                <c:pt idx="868">
                  <c:v>173.59999999999869</c:v>
                </c:pt>
                <c:pt idx="869">
                  <c:v>173.79999999999868</c:v>
                </c:pt>
                <c:pt idx="870">
                  <c:v>173.99999999999866</c:v>
                </c:pt>
                <c:pt idx="871">
                  <c:v>174.19999999999865</c:v>
                </c:pt>
                <c:pt idx="872">
                  <c:v>174.39999999999864</c:v>
                </c:pt>
                <c:pt idx="873">
                  <c:v>174.59999999999863</c:v>
                </c:pt>
                <c:pt idx="874">
                  <c:v>174.79999999999862</c:v>
                </c:pt>
                <c:pt idx="875">
                  <c:v>174.99999999999861</c:v>
                </c:pt>
                <c:pt idx="876">
                  <c:v>175.1999999999986</c:v>
                </c:pt>
                <c:pt idx="877">
                  <c:v>175.39999999999858</c:v>
                </c:pt>
                <c:pt idx="878">
                  <c:v>175.59999999999857</c:v>
                </c:pt>
                <c:pt idx="879">
                  <c:v>175.79999999999856</c:v>
                </c:pt>
                <c:pt idx="880">
                  <c:v>175.99999999999855</c:v>
                </c:pt>
                <c:pt idx="881">
                  <c:v>176.19999999999854</c:v>
                </c:pt>
                <c:pt idx="882">
                  <c:v>176.39999999999853</c:v>
                </c:pt>
                <c:pt idx="883">
                  <c:v>176.59999999999852</c:v>
                </c:pt>
                <c:pt idx="884">
                  <c:v>176.79999999999851</c:v>
                </c:pt>
                <c:pt idx="885">
                  <c:v>176.99999999999849</c:v>
                </c:pt>
                <c:pt idx="886">
                  <c:v>177.19999999999848</c:v>
                </c:pt>
                <c:pt idx="887">
                  <c:v>177.39999999999847</c:v>
                </c:pt>
                <c:pt idx="888">
                  <c:v>177.59999999999846</c:v>
                </c:pt>
                <c:pt idx="889">
                  <c:v>177.79999999999845</c:v>
                </c:pt>
                <c:pt idx="890">
                  <c:v>177.99999999999844</c:v>
                </c:pt>
                <c:pt idx="891">
                  <c:v>178.19999999999843</c:v>
                </c:pt>
                <c:pt idx="892">
                  <c:v>178.39999999999841</c:v>
                </c:pt>
                <c:pt idx="893">
                  <c:v>178.5999999999984</c:v>
                </c:pt>
                <c:pt idx="894">
                  <c:v>178.79999999999839</c:v>
                </c:pt>
                <c:pt idx="895">
                  <c:v>178.99999999999838</c:v>
                </c:pt>
                <c:pt idx="896">
                  <c:v>179.19999999999837</c:v>
                </c:pt>
                <c:pt idx="897">
                  <c:v>179.39999999999836</c:v>
                </c:pt>
                <c:pt idx="898">
                  <c:v>179.59999999999835</c:v>
                </c:pt>
                <c:pt idx="899">
                  <c:v>179.79999999999833</c:v>
                </c:pt>
              </c:numCache>
            </c:numRef>
          </c:xVal>
          <c:yVal>
            <c:numRef>
              <c:f>'2.치형좌표'!$K$6:$K$905</c:f>
              <c:numCache>
                <c:formatCode>0.000000</c:formatCode>
                <c:ptCount val="900"/>
                <c:pt idx="0">
                  <c:v>1.1199999999999998E-2</c:v>
                </c:pt>
                <c:pt idx="1">
                  <c:v>1.1066977623391986E-2</c:v>
                </c:pt>
                <c:pt idx="2">
                  <c:v>1.0933725409071331E-2</c:v>
                </c:pt>
                <c:pt idx="3">
                  <c:v>1.0800294781499516E-2</c:v>
                </c:pt>
                <c:pt idx="4">
                  <c:v>1.0666737328815942E-2</c:v>
                </c:pt>
                <c:pt idx="5">
                  <c:v>1.0533104706578752E-2</c:v>
                </c:pt>
                <c:pt idx="6">
                  <c:v>1.0399448541628782E-2</c:v>
                </c:pt>
                <c:pt idx="7">
                  <c:v>1.0265820336493906E-2</c:v>
                </c:pt>
                <c:pt idx="8">
                  <c:v>1.0132271374744808E-2</c:v>
                </c:pt>
                <c:pt idx="9">
                  <c:v>9.9988526277040891E-3</c:v>
                </c:pt>
                <c:pt idx="10">
                  <c:v>9.8656146628982224E-3</c:v>
                </c:pt>
                <c:pt idx="11">
                  <c:v>9.7326075546268296E-3</c:v>
                </c:pt>
                <c:pt idx="12">
                  <c:v>9.5998807970057859E-3</c:v>
                </c:pt>
                <c:pt idx="13">
                  <c:v>9.4674832198206101E-3</c:v>
                </c:pt>
                <c:pt idx="14">
                  <c:v>9.3354629075039809E-3</c:v>
                </c:pt>
                <c:pt idx="15">
                  <c:v>9.203867121526918E-3</c:v>
                </c:pt>
                <c:pt idx="16">
                  <c:v>9.0727422264671488E-3</c:v>
                </c:pt>
                <c:pt idx="17">
                  <c:v>8.9421336199908153E-3</c:v>
                </c:pt>
                <c:pt idx="18">
                  <c:v>8.8120856669552661E-3</c:v>
                </c:pt>
                <c:pt idx="19">
                  <c:v>8.6826416378115046E-3</c:v>
                </c:pt>
                <c:pt idx="20">
                  <c:v>8.5538436514553673E-3</c:v>
                </c:pt>
                <c:pt idx="21">
                  <c:v>8.4257326226466478E-3</c:v>
                </c:pt>
                <c:pt idx="22">
                  <c:v>8.2983482140859613E-3</c:v>
                </c:pt>
                <c:pt idx="23">
                  <c:v>8.1717287932098343E-3</c:v>
                </c:pt>
                <c:pt idx="24">
                  <c:v>8.0459113937361142E-3</c:v>
                </c:pt>
                <c:pt idx="25">
                  <c:v>7.9209316819641822E-3</c:v>
                </c:pt>
                <c:pt idx="26">
                  <c:v>7.7968239278079395E-3</c:v>
                </c:pt>
                <c:pt idx="27">
                  <c:v>7.6736209805144621E-3</c:v>
                </c:pt>
                <c:pt idx="28">
                  <c:v>7.5513542489974812E-3</c:v>
                </c:pt>
                <c:pt idx="29">
                  <c:v>7.4300536866927658E-3</c:v>
                </c:pt>
                <c:pt idx="30">
                  <c:v>7.3097477808221978E-3</c:v>
                </c:pt>
                <c:pt idx="31">
                  <c:v>7.1904635459346996E-3</c:v>
                </c:pt>
                <c:pt idx="32">
                  <c:v>7.0722265215756551E-3</c:v>
                </c:pt>
                <c:pt idx="33">
                  <c:v>6.9550607739215214E-3</c:v>
                </c:pt>
                <c:pt idx="34">
                  <c:v>6.8389889012037183E-3</c:v>
                </c:pt>
                <c:pt idx="35">
                  <c:v>6.7240320427347875E-3</c:v>
                </c:pt>
                <c:pt idx="36">
                  <c:v>6.6102098913409426E-3</c:v>
                </c:pt>
                <c:pt idx="37">
                  <c:v>6.4975407089978982E-3</c:v>
                </c:pt>
                <c:pt idx="38">
                  <c:v>6.3860413454614427E-3</c:v>
                </c:pt>
                <c:pt idx="39">
                  <c:v>6.2757272596806815E-3</c:v>
                </c:pt>
                <c:pt idx="40">
                  <c:v>6.1666125437796664E-3</c:v>
                </c:pt>
                <c:pt idx="41">
                  <c:v>6.0587099493927335E-3</c:v>
                </c:pt>
                <c:pt idx="42">
                  <c:v>5.9520309161396508E-3</c:v>
                </c:pt>
                <c:pt idx="43">
                  <c:v>5.8465856020290122E-3</c:v>
                </c:pt>
                <c:pt idx="44">
                  <c:v>5.7423829155815436E-3</c:v>
                </c:pt>
                <c:pt idx="45">
                  <c:v>5.6394305494696919E-3</c:v>
                </c:pt>
                <c:pt idx="46">
                  <c:v>5.5377350154749913E-3</c:v>
                </c:pt>
                <c:pt idx="47">
                  <c:v>5.4373016805712472E-3</c:v>
                </c:pt>
                <c:pt idx="48">
                  <c:v>5.3381348039485098E-3</c:v>
                </c:pt>
                <c:pt idx="49">
                  <c:v>5.2402375748002378E-3</c:v>
                </c:pt>
                <c:pt idx="50">
                  <c:v>5.1436121507044599E-3</c:v>
                </c:pt>
                <c:pt idx="51">
                  <c:v>5.0482596964380282E-3</c:v>
                </c:pt>
                <c:pt idx="52">
                  <c:v>4.9541804230720339E-3</c:v>
                </c:pt>
                <c:pt idx="53">
                  <c:v>4.8613736272053558E-3</c:v>
                </c:pt>
                <c:pt idx="54">
                  <c:v>4.769837730202663E-3</c:v>
                </c:pt>
                <c:pt idx="55">
                  <c:v>4.6795703173122235E-3</c:v>
                </c:pt>
                <c:pt idx="56">
                  <c:v>4.5905681765482358E-3</c:v>
                </c:pt>
                <c:pt idx="57">
                  <c:v>4.5028273372314208E-3</c:v>
                </c:pt>
                <c:pt idx="58">
                  <c:v>4.4163431080906299E-3</c:v>
                </c:pt>
                <c:pt idx="59">
                  <c:v>4.3311101148370001E-3</c:v>
                </c:pt>
                <c:pt idx="60">
                  <c:v>4.2471223371308708E-3</c:v>
                </c:pt>
                <c:pt idx="61">
                  <c:v>4.1643731448696786E-3</c:v>
                </c:pt>
                <c:pt idx="62">
                  <c:v>4.0828553337333671E-3</c:v>
                </c:pt>
                <c:pt idx="63">
                  <c:v>4.0025611599313043E-3</c:v>
                </c:pt>
                <c:pt idx="64">
                  <c:v>3.9234823741020886E-3</c:v>
                </c:pt>
                <c:pt idx="65">
                  <c:v>3.845610254324487E-3</c:v>
                </c:pt>
                <c:pt idx="66">
                  <c:v>3.7689356382044981E-3</c:v>
                </c:pt>
                <c:pt idx="67">
                  <c:v>3.6934489540095435E-3</c:v>
                </c:pt>
                <c:pt idx="68">
                  <c:v>3.6191402508266796E-3</c:v>
                </c:pt>
                <c:pt idx="69">
                  <c:v>3.5459992277271932E-3</c:v>
                </c:pt>
                <c:pt idx="70">
                  <c:v>3.4740152619248906E-3</c:v>
                </c:pt>
                <c:pt idx="71">
                  <c:v>3.4031774359201644E-3</c:v>
                </c:pt>
                <c:pt idx="72">
                  <c:v>3.3334745636261019E-3</c:v>
                </c:pt>
                <c:pt idx="73">
                  <c:v>3.264895215476963E-3</c:v>
                </c:pt>
                <c:pt idx="74">
                  <c:v>3.1974277425228879E-3</c:v>
                </c:pt>
                <c:pt idx="75">
                  <c:v>3.1310602995179683E-3</c:v>
                </c:pt>
                <c:pt idx="76">
                  <c:v>3.0657808670117807E-3</c:v>
                </c:pt>
                <c:pt idx="77">
                  <c:v>3.0015772724570232E-3</c:v>
                </c:pt>
                <c:pt idx="78">
                  <c:v>2.9384372103484829E-3</c:v>
                </c:pt>
                <c:pt idx="79">
                  <c:v>2.8763482614102818E-3</c:v>
                </c:pt>
                <c:pt idx="80">
                  <c:v>2.8152979108505079E-3</c:v>
                </c:pt>
                <c:pt idx="81">
                  <c:v>2.7552735657036635E-3</c:v>
                </c:pt>
                <c:pt idx="82">
                  <c:v>2.6962625712828227E-3</c:v>
                </c:pt>
                <c:pt idx="83">
                  <c:v>2.6382522267645145E-3</c:v>
                </c:pt>
                <c:pt idx="84">
                  <c:v>2.581229799930224E-3</c:v>
                </c:pt>
                <c:pt idx="85">
                  <c:v>2.5251825410891882E-3</c:v>
                </c:pt>
                <c:pt idx="86">
                  <c:v>2.4700976962077673E-3</c:v>
                </c:pt>
                <c:pt idx="87">
                  <c:v>2.41596251927106E-3</c:v>
                </c:pt>
                <c:pt idx="88">
                  <c:v>2.3627642839026937E-3</c:v>
                </c:pt>
                <c:pt idx="89">
                  <c:v>2.3104902942690051E-3</c:v>
                </c:pt>
                <c:pt idx="90">
                  <c:v>2.2591278952936982E-3</c:v>
                </c:pt>
                <c:pt idx="91">
                  <c:v>2.2086644822090816E-3</c:v>
                </c:pt>
                <c:pt idx="92">
                  <c:v>2.1590875094699138E-3</c:v>
                </c:pt>
                <c:pt idx="93">
                  <c:v>2.1103844990554496E-3</c:v>
                </c:pt>
                <c:pt idx="94">
                  <c:v>2.0625430481851594E-3</c:v>
                </c:pt>
                <c:pt idx="95">
                  <c:v>2.0155508364730914E-3</c:v>
                </c:pt>
                <c:pt idx="96">
                  <c:v>1.9693956325454319E-3</c:v>
                </c:pt>
                <c:pt idx="97">
                  <c:v>1.9240653001453855E-3</c:v>
                </c:pt>
                <c:pt idx="98">
                  <c:v>1.8795478037488978E-3</c:v>
                </c:pt>
                <c:pt idx="99">
                  <c:v>1.8358312137141974E-3</c:v>
                </c:pt>
                <c:pt idx="100">
                  <c:v>1.7929037109875815E-3</c:v>
                </c:pt>
                <c:pt idx="101">
                  <c:v>1.7507535913871917E-3</c:v>
                </c:pt>
                <c:pt idx="102">
                  <c:v>1.7093692694858998E-3</c:v>
                </c:pt>
                <c:pt idx="103">
                  <c:v>1.6687392821138772E-3</c:v>
                </c:pt>
                <c:pt idx="104">
                  <c:v>1.6288522915005182E-3</c:v>
                </c:pt>
                <c:pt idx="105">
                  <c:v>1.5896970880750552E-3</c:v>
                </c:pt>
                <c:pt idx="106">
                  <c:v>1.5512625929441682E-3</c:v>
                </c:pt>
                <c:pt idx="107">
                  <c:v>1.513537860064546E-3</c:v>
                </c:pt>
                <c:pt idx="108">
                  <c:v>1.4765120781274701E-3</c:v>
                </c:pt>
                <c:pt idx="109">
                  <c:v>1.4401745721719426E-3</c:v>
                </c:pt>
                <c:pt idx="110">
                  <c:v>1.4045148049421647E-3</c:v>
                </c:pt>
                <c:pt idx="111">
                  <c:v>1.3695223780045638E-3</c:v>
                </c:pt>
                <c:pt idx="112">
                  <c:v>1.3351870326389094E-3</c:v>
                </c:pt>
                <c:pt idx="113">
                  <c:v>1.3014986505174725E-3</c:v>
                </c:pt>
                <c:pt idx="114">
                  <c:v>1.2684472541855346E-3</c:v>
                </c:pt>
                <c:pt idx="115">
                  <c:v>1.2360230073559253E-3</c:v>
                </c:pt>
                <c:pt idx="116">
                  <c:v>1.2042162150298419E-3</c:v>
                </c:pt>
                <c:pt idx="117">
                  <c:v>1.1730173234554141E-3</c:v>
                </c:pt>
                <c:pt idx="118">
                  <c:v>1.1424169199351309E-3</c:v>
                </c:pt>
                <c:pt idx="119">
                  <c:v>1.1124057324925977E-3</c:v>
                </c:pt>
                <c:pt idx="120">
                  <c:v>1.0829746294086365E-3</c:v>
                </c:pt>
                <c:pt idx="121">
                  <c:v>1.054114618636204E-3</c:v>
                </c:pt>
                <c:pt idx="122">
                  <c:v>1.0258168471031269E-3</c:v>
                </c:pt>
                <c:pt idx="123">
                  <c:v>9.9807259991126348E-4</c:v>
                </c:pt>
                <c:pt idx="124">
                  <c:v>9.7087329944017895E-4</c:v>
                </c:pt>
                <c:pt idx="125">
                  <c:v>9.4421050436293143E-4</c:v>
                </c:pt>
                <c:pt idx="126">
                  <c:v>9.1807590858138327E-4</c:v>
                </c:pt>
                <c:pt idx="127">
                  <c:v>8.9246134008781315E-4</c:v>
                </c:pt>
                <c:pt idx="128">
                  <c:v>8.6735875975933524E-4</c:v>
                </c:pt>
                <c:pt idx="129">
                  <c:v>8.4276026009126896E-4</c:v>
                </c:pt>
                <c:pt idx="130">
                  <c:v>8.1865806387526802E-4</c:v>
                </c:pt>
                <c:pt idx="131">
                  <c:v>7.9504452282763553E-4</c:v>
                </c:pt>
                <c:pt idx="132">
                  <c:v>7.7191211617295692E-4</c:v>
                </c:pt>
                <c:pt idx="133">
                  <c:v>7.4925344918790624E-4</c:v>
                </c:pt>
                <c:pt idx="134">
                  <c:v>7.2706125170974992E-4</c:v>
                </c:pt>
                <c:pt idx="135">
                  <c:v>7.0532837661384966E-4</c:v>
                </c:pt>
                <c:pt idx="136">
                  <c:v>6.8404779826412214E-4</c:v>
                </c:pt>
                <c:pt idx="137">
                  <c:v>6.6321261094026641E-4</c:v>
                </c:pt>
                <c:pt idx="138">
                  <c:v>6.4281602724522945E-4</c:v>
                </c:pt>
                <c:pt idx="139">
                  <c:v>6.2285137649626624E-4</c:v>
                </c:pt>
                <c:pt idx="140">
                  <c:v>6.0331210310260192E-4</c:v>
                </c:pt>
                <c:pt idx="141">
                  <c:v>5.8419176493262068E-4</c:v>
                </c:pt>
                <c:pt idx="142">
                  <c:v>5.6548403167327001E-4</c:v>
                </c:pt>
                <c:pt idx="143">
                  <c:v>5.4718268318413893E-4</c:v>
                </c:pt>
                <c:pt idx="144">
                  <c:v>5.292816078485761E-4</c:v>
                </c:pt>
                <c:pt idx="145">
                  <c:v>5.1177480092400745E-4</c:v>
                </c:pt>
                <c:pt idx="146">
                  <c:v>4.9465636289342104E-4</c:v>
                </c:pt>
                <c:pt idx="147">
                  <c:v>4.7792049781994429E-4</c:v>
                </c:pt>
                <c:pt idx="148">
                  <c:v>4.6156151170617145E-4</c:v>
                </c:pt>
                <c:pt idx="149">
                  <c:v>4.4557381085989539E-4</c:v>
                </c:pt>
                <c:pt idx="150">
                  <c:v>4.2995190026763174E-4</c:v>
                </c:pt>
                <c:pt idx="151">
                  <c:v>4.1469038197735307E-4</c:v>
                </c:pt>
                <c:pt idx="152">
                  <c:v>3.9978395349167344E-4</c:v>
                </c:pt>
                <c:pt idx="153">
                  <c:v>3.8522740617255233E-4</c:v>
                </c:pt>
                <c:pt idx="154">
                  <c:v>3.7101562365861578E-4</c:v>
                </c:pt>
                <c:pt idx="155">
                  <c:v>3.571435802960241E-4</c:v>
                </c:pt>
                <c:pt idx="156">
                  <c:v>3.4360633958375932E-4</c:v>
                </c:pt>
                <c:pt idx="157">
                  <c:v>3.3039905263407602E-4</c:v>
                </c:pt>
                <c:pt idx="158">
                  <c:v>3.1751695664883063E-4</c:v>
                </c:pt>
                <c:pt idx="159">
                  <c:v>3.0495537341235679E-4</c:v>
                </c:pt>
                <c:pt idx="160">
                  <c:v>2.9270970780140803E-4</c:v>
                </c:pt>
                <c:pt idx="161">
                  <c:v>2.8077544631265728E-4</c:v>
                </c:pt>
                <c:pt idx="162">
                  <c:v>2.6914815560824984E-4</c:v>
                </c:pt>
                <c:pt idx="163">
                  <c:v>2.5782348107973954E-4</c:v>
                </c:pt>
                <c:pt idx="164">
                  <c:v>2.4679714543076638E-4</c:v>
                </c:pt>
                <c:pt idx="165">
                  <c:v>2.360649472787772E-4</c:v>
                </c:pt>
                <c:pt idx="166">
                  <c:v>2.2562275977599589E-4</c:v>
                </c:pt>
                <c:pt idx="167">
                  <c:v>2.1546652924984663E-4</c:v>
                </c:pt>
                <c:pt idx="168">
                  <c:v>2.0559227386304535E-4</c:v>
                </c:pt>
                <c:pt idx="169">
                  <c:v>1.9599608229339913E-4</c:v>
                </c:pt>
                <c:pt idx="170">
                  <c:v>1.866741124334521E-4</c:v>
                </c:pt>
                <c:pt idx="171">
                  <c:v>1.7762259011004303E-4</c:v>
                </c:pt>
                <c:pt idx="172">
                  <c:v>1.6883780782377811E-4</c:v>
                </c:pt>
                <c:pt idx="173">
                  <c:v>1.6031612350841883E-4</c:v>
                </c:pt>
                <c:pt idx="174">
                  <c:v>1.520539593101998E-4</c:v>
                </c:pt>
                <c:pt idx="175">
                  <c:v>1.440478003869837E-4</c:v>
                </c:pt>
                <c:pt idx="176">
                  <c:v>1.3629419372720509E-4</c:v>
                </c:pt>
                <c:pt idx="177">
                  <c:v>1.2878974698853575E-4</c:v>
                </c:pt>
                <c:pt idx="178">
                  <c:v>1.2153112735614478E-4</c:v>
                </c:pt>
                <c:pt idx="179">
                  <c:v>1.145150604204111E-4</c:v>
                </c:pt>
                <c:pt idx="180">
                  <c:v>1.0773832907400521E-4</c:v>
                </c:pt>
                <c:pt idx="181">
                  <c:v>1.0119777242816241E-4</c:v>
                </c:pt>
                <c:pt idx="182">
                  <c:v>9.4890284747952127E-5</c:v>
                </c:pt>
                <c:pt idx="183">
                  <c:v>8.8812814406437622E-5</c:v>
                </c:pt>
                <c:pt idx="184">
                  <c:v>8.2962362857471239E-5</c:v>
                </c:pt>
                <c:pt idx="185">
                  <c:v>7.7335983627014953E-5</c:v>
                </c:pt>
                <c:pt idx="186">
                  <c:v>7.1930781322664713E-5</c:v>
                </c:pt>
                <c:pt idx="187">
                  <c:v>6.6743910661289861E-5</c:v>
                </c:pt>
                <c:pt idx="188">
                  <c:v>6.1772575514509073E-5</c:v>
                </c:pt>
                <c:pt idx="189">
                  <c:v>5.7014027971789347E-5</c:v>
                </c:pt>
                <c:pt idx="190">
                  <c:v>5.2465567420927769E-5</c:v>
                </c:pt>
                <c:pt idx="191">
                  <c:v>4.8124539645733402E-5</c:v>
                </c:pt>
                <c:pt idx="192">
                  <c:v>4.3988335940623768E-5</c:v>
                </c:pt>
                <c:pt idx="193">
                  <c:v>4.0054392241892137E-5</c:v>
                </c:pt>
                <c:pt idx="194">
                  <c:v>3.632018827548127E-5</c:v>
                </c:pt>
                <c:pt idx="195">
                  <c:v>3.2783246720920008E-5</c:v>
                </c:pt>
                <c:pt idx="196">
                  <c:v>2.9441132391248258E-5</c:v>
                </c:pt>
                <c:pt idx="197">
                  <c:v>2.6291451428658248E-5</c:v>
                </c:pt>
                <c:pt idx="198">
                  <c:v>2.3331850515611851E-5</c:v>
                </c:pt>
                <c:pt idx="199">
                  <c:v>2.0560016101167328E-5</c:v>
                </c:pt>
                <c:pt idx="200">
                  <c:v>1.7973673642314344E-5</c:v>
                </c:pt>
                <c:pt idx="201">
                  <c:v>1.5570586860012278E-5</c:v>
                </c:pt>
                <c:pt idx="202">
                  <c:v>1.3348557009741067E-5</c:v>
                </c:pt>
                <c:pt idx="203">
                  <c:v>1.1305422166274155E-5</c:v>
                </c:pt>
                <c:pt idx="204">
                  <c:v>9.4390565224517282E-6</c:v>
                </c:pt>
                <c:pt idx="205">
                  <c:v>7.7473697017161255E-6</c:v>
                </c:pt>
                <c:pt idx="206">
                  <c:v>6.2283060841606082E-6</c:v>
                </c:pt>
                <c:pt idx="207">
                  <c:v>4.8798441458317141E-6</c:v>
                </c:pt>
                <c:pt idx="208">
                  <c:v>3.6999958110898375E-6</c:v>
                </c:pt>
                <c:pt idx="209">
                  <c:v>2.6868058177668868E-6</c:v>
                </c:pt>
                <c:pt idx="210">
                  <c:v>1.8383510948655168E-6</c:v>
                </c:pt>
                <c:pt idx="211">
                  <c:v>1.1527401526277547E-6</c:v>
                </c:pt>
                <c:pt idx="212">
                  <c:v>6.2811248468521581E-7</c:v>
                </c:pt>
                <c:pt idx="213">
                  <c:v>2.6263798210251196E-7</c:v>
                </c:pt>
                <c:pt idx="214">
                  <c:v>5.4516359081450333E-8</c:v>
                </c:pt>
                <c:pt idx="215">
                  <c:v>1.9765900745649358E-9</c:v>
                </c:pt>
                <c:pt idx="216">
                  <c:v>1.0327635816277729E-7</c:v>
                </c:pt>
                <c:pt idx="217">
                  <c:v>3.5670151438598232E-7</c:v>
                </c:pt>
                <c:pt idx="218">
                  <c:v>7.6056554790409992E-7</c:v>
                </c:pt>
                <c:pt idx="219">
                  <c:v>1.3132090667304482E-6</c:v>
                </c:pt>
                <c:pt idx="220">
                  <c:v>2.0129992888320455E-6</c:v>
                </c:pt>
                <c:pt idx="221">
                  <c:v>2.8583295434056449E-6</c:v>
                </c:pt>
                <c:pt idx="222">
                  <c:v>3.8476187821410564E-6</c:v>
                </c:pt>
                <c:pt idx="223">
                  <c:v>4.979311100247176E-6</c:v>
                </c:pt>
                <c:pt idx="224">
                  <c:v>6.2518752670707692E-6</c:v>
                </c:pt>
                <c:pt idx="225">
                  <c:v>7.6638042661010318E-6</c:v>
                </c:pt>
                <c:pt idx="226">
                  <c:v>9.2136148441829856E-6</c:v>
                </c:pt>
                <c:pt idx="227">
                  <c:v>1.089984706974786E-5</c:v>
                </c:pt>
                <c:pt idx="228">
                  <c:v>1.2721063899902179E-5</c:v>
                </c:pt>
                <c:pt idx="229">
                  <c:v>1.4675850756146749E-5</c:v>
                </c:pt>
                <c:pt idx="230">
                  <c:v>1.6762815108607563E-5</c:v>
                </c:pt>
                <c:pt idx="231">
                  <c:v>1.8980586068572766E-5</c:v>
                </c:pt>
                <c:pt idx="232">
                  <c:v>2.132781398918479E-5</c:v>
                </c:pt>
                <c:pt idx="233">
                  <c:v>2.3803170074085842E-5</c:v>
                </c:pt>
                <c:pt idx="234">
                  <c:v>2.6405345993925007E-5</c:v>
                </c:pt>
                <c:pt idx="235">
                  <c:v>2.9133053510488718E-5</c:v>
                </c:pt>
                <c:pt idx="236">
                  <c:v>3.1985024108328574E-5</c:v>
                </c:pt>
                <c:pt idx="237">
                  <c:v>3.4960008633781492E-5</c:v>
                </c:pt>
                <c:pt idx="238">
                  <c:v>3.8056776941121739E-5</c:v>
                </c:pt>
                <c:pt idx="239">
                  <c:v>4.1274117545821768E-5</c:v>
                </c:pt>
                <c:pt idx="240">
                  <c:v>4.4610837284674856E-5</c:v>
                </c:pt>
                <c:pt idx="241">
                  <c:v>4.8065760982697837E-5</c:v>
                </c:pt>
                <c:pt idx="242">
                  <c:v>5.1637731126645954E-5</c:v>
                </c:pt>
                <c:pt idx="243">
                  <c:v>5.5325607545023109E-5</c:v>
                </c:pt>
                <c:pt idx="244">
                  <c:v>5.9128267094424113E-5</c:v>
                </c:pt>
                <c:pt idx="245">
                  <c:v>6.3044603352118892E-5</c:v>
                </c:pt>
                <c:pt idx="246">
                  <c:v>6.7073526314697065E-5</c:v>
                </c:pt>
                <c:pt idx="247">
                  <c:v>7.1213962102702978E-5</c:v>
                </c:pt>
                <c:pt idx="248">
                  <c:v>7.5464852671098341E-5</c:v>
                </c:pt>
                <c:pt idx="249">
                  <c:v>7.9825155525430969E-5</c:v>
                </c:pt>
                <c:pt idx="250">
                  <c:v>8.4293843443627672E-5</c:v>
                </c:pt>
                <c:pt idx="251">
                  <c:v>8.8869904203245608E-5</c:v>
                </c:pt>
                <c:pt idx="252">
                  <c:v>9.3552340314110498E-5</c:v>
                </c:pt>
                <c:pt idx="253">
                  <c:v>9.8340168756197856E-5</c:v>
                </c:pt>
                <c:pt idx="254">
                  <c:v>1.0323242072266889E-4</c:v>
                </c:pt>
                <c:pt idx="255">
                  <c:v>1.0822814136794455E-4</c:v>
                </c:pt>
                <c:pt idx="256">
                  <c:v>1.1332638956072175E-4</c:v>
                </c:pt>
                <c:pt idx="257">
                  <c:v>1.185262376417988E-4</c:v>
                </c:pt>
                <c:pt idx="258">
                  <c:v>1.2382677118666862E-4</c:v>
                </c:pt>
                <c:pt idx="259">
                  <c:v>1.292270887727182E-4</c:v>
                </c:pt>
                <c:pt idx="260">
                  <c:v>1.3472630175097197E-4</c:v>
                </c:pt>
                <c:pt idx="261">
                  <c:v>1.4032353402227419E-4</c:v>
                </c:pt>
                <c:pt idx="262">
                  <c:v>1.4601792181784061E-4</c:v>
                </c:pt>
                <c:pt idx="263">
                  <c:v>1.518086134840418E-4</c:v>
                </c:pt>
                <c:pt idx="264">
                  <c:v>1.5769476927137666E-4</c:v>
                </c:pt>
                <c:pt idx="265">
                  <c:v>1.6367556112752255E-4</c:v>
                </c:pt>
                <c:pt idx="266">
                  <c:v>1.6975017249438697E-4</c:v>
                </c:pt>
                <c:pt idx="267">
                  <c:v>1.7591779810908418E-4</c:v>
                </c:pt>
                <c:pt idx="268">
                  <c:v>1.8217764380872191E-4</c:v>
                </c:pt>
                <c:pt idx="269">
                  <c:v>1.8852892633898044E-4</c:v>
                </c:pt>
                <c:pt idx="270">
                  <c:v>1.9497087316633029E-4</c:v>
                </c:pt>
                <c:pt idx="271">
                  <c:v>2.0150272229388822E-4</c:v>
                </c:pt>
                <c:pt idx="272">
                  <c:v>2.0812372208076928E-4</c:v>
                </c:pt>
                <c:pt idx="273">
                  <c:v>2.148331310649138E-4</c:v>
                </c:pt>
                <c:pt idx="274">
                  <c:v>2.216302177892878E-4</c:v>
                </c:pt>
                <c:pt idx="275">
                  <c:v>2.2851426063140369E-4</c:v>
                </c:pt>
                <c:pt idx="276">
                  <c:v>2.3548454763606469E-4</c:v>
                </c:pt>
                <c:pt idx="277">
                  <c:v>2.4254037635132331E-4</c:v>
                </c:pt>
                <c:pt idx="278">
                  <c:v>2.4968105366751501E-4</c:v>
                </c:pt>
                <c:pt idx="279">
                  <c:v>2.5690589565935905E-4</c:v>
                </c:pt>
                <c:pt idx="280">
                  <c:v>2.6421422743104061E-4</c:v>
                </c:pt>
                <c:pt idx="281">
                  <c:v>2.716053829642281E-4</c:v>
                </c:pt>
                <c:pt idx="282">
                  <c:v>2.7907870496892529E-4</c:v>
                </c:pt>
                <c:pt idx="283">
                  <c:v>2.8663354473715925E-4</c:v>
                </c:pt>
                <c:pt idx="284">
                  <c:v>2.942692619994073E-4</c:v>
                </c:pt>
                <c:pt idx="285">
                  <c:v>3.0198522478369746E-4</c:v>
                </c:pt>
                <c:pt idx="286">
                  <c:v>3.0978080927737017E-4</c:v>
                </c:pt>
                <c:pt idx="287">
                  <c:v>3.1765539969141719E-4</c:v>
                </c:pt>
                <c:pt idx="288">
                  <c:v>3.2560838812733563E-4</c:v>
                </c:pt>
                <c:pt idx="289">
                  <c:v>3.3363917444646985E-4</c:v>
                </c:pt>
                <c:pt idx="290">
                  <c:v>3.4174716614179758E-4</c:v>
                </c:pt>
                <c:pt idx="291">
                  <c:v>3.4993177821206027E-4</c:v>
                </c:pt>
                <c:pt idx="292">
                  <c:v>3.5819243303825794E-4</c:v>
                </c:pt>
                <c:pt idx="293">
                  <c:v>3.6652856026240025E-4</c:v>
                </c:pt>
                <c:pt idx="294">
                  <c:v>3.7493959666851583E-4</c:v>
                </c:pt>
                <c:pt idx="295">
                  <c:v>3.8342498606584252E-4</c:v>
                </c:pt>
                <c:pt idx="296">
                  <c:v>3.9198417917415973E-4</c:v>
                </c:pt>
                <c:pt idx="297">
                  <c:v>4.0061663351124234E-4</c:v>
                </c:pt>
                <c:pt idx="298">
                  <c:v>4.0932181328235691E-4</c:v>
                </c:pt>
                <c:pt idx="299">
                  <c:v>4.1809918927179063E-4</c:v>
                </c:pt>
                <c:pt idx="300">
                  <c:v>4.2694823873635254E-4</c:v>
                </c:pt>
                <c:pt idx="301">
                  <c:v>4.3586844530082872E-4</c:v>
                </c:pt>
                <c:pt idx="302">
                  <c:v>4.4485929885531813E-4</c:v>
                </c:pt>
                <c:pt idx="303">
                  <c:v>4.5392029545444034E-4</c:v>
                </c:pt>
                <c:pt idx="304">
                  <c:v>4.630509372183883E-4</c:v>
                </c:pt>
                <c:pt idx="305">
                  <c:v>4.7225073223572443E-4</c:v>
                </c:pt>
                <c:pt idx="306">
                  <c:v>4.8151919446798682E-4</c:v>
                </c:pt>
                <c:pt idx="307">
                  <c:v>4.9085584365596844E-4</c:v>
                </c:pt>
                <c:pt idx="308">
                  <c:v>5.0026020522770504E-4</c:v>
                </c:pt>
                <c:pt idx="309">
                  <c:v>5.0973181020811081E-4</c:v>
                </c:pt>
                <c:pt idx="310">
                  <c:v>5.1927019513022541E-4</c:v>
                </c:pt>
                <c:pt idx="311">
                  <c:v>5.2887490194805588E-4</c:v>
                </c:pt>
                <c:pt idx="312">
                  <c:v>5.3854547795097163E-4</c:v>
                </c:pt>
                <c:pt idx="313">
                  <c:v>5.4828147567962011E-4</c:v>
                </c:pt>
                <c:pt idx="314">
                  <c:v>5.5808245284333976E-4</c:v>
                </c:pt>
                <c:pt idx="315">
                  <c:v>5.6794797223904314E-4</c:v>
                </c:pt>
                <c:pt idx="316">
                  <c:v>5.7787760167152984E-4</c:v>
                </c:pt>
                <c:pt idx="317">
                  <c:v>5.8787091387520858E-4</c:v>
                </c:pt>
                <c:pt idx="318">
                  <c:v>5.9792748643720329E-4</c:v>
                </c:pt>
                <c:pt idx="319">
                  <c:v>6.0804690172181158E-4</c:v>
                </c:pt>
                <c:pt idx="320">
                  <c:v>6.1822874679628992E-4</c:v>
                </c:pt>
                <c:pt idx="321">
                  <c:v>6.284726133579439E-4</c:v>
                </c:pt>
                <c:pt idx="322">
                  <c:v>6.3877809766248802E-4</c:v>
                </c:pt>
                <c:pt idx="323">
                  <c:v>6.4914480045366455E-4</c:v>
                </c:pt>
                <c:pt idx="324">
                  <c:v>6.595723268940835E-4</c:v>
                </c:pt>
                <c:pt idx="325">
                  <c:v>6.700602864972736E-4</c:v>
                </c:pt>
                <c:pt idx="326">
                  <c:v>6.8060829306090798E-4</c:v>
                </c:pt>
                <c:pt idx="327">
                  <c:v>6.9121596460118356E-4</c:v>
                </c:pt>
                <c:pt idx="328">
                  <c:v>7.018829232883501E-4</c:v>
                </c:pt>
                <c:pt idx="329">
                  <c:v>7.1260879538333492E-4</c:v>
                </c:pt>
                <c:pt idx="330">
                  <c:v>7.2339321117547621E-4</c:v>
                </c:pt>
                <c:pt idx="331">
                  <c:v>7.3423580492131533E-4</c:v>
                </c:pt>
                <c:pt idx="332">
                  <c:v>7.4513621478444758E-4</c:v>
                </c:pt>
                <c:pt idx="333">
                  <c:v>7.5609408277639665E-4</c:v>
                </c:pt>
                <c:pt idx="334">
                  <c:v>7.6710905469851176E-4</c:v>
                </c:pt>
                <c:pt idx="335">
                  <c:v>7.7818078008484303E-4</c:v>
                </c:pt>
                <c:pt idx="336">
                  <c:v>7.8930891214599552E-4</c:v>
                </c:pt>
                <c:pt idx="337">
                  <c:v>8.0049310771394713E-4</c:v>
                </c:pt>
                <c:pt idx="338">
                  <c:v>8.1173302718778959E-4</c:v>
                </c:pt>
                <c:pt idx="339">
                  <c:v>8.2302833448038518E-4</c:v>
                </c:pt>
                <c:pt idx="340">
                  <c:v>8.343786969659474E-4</c:v>
                </c:pt>
                <c:pt idx="341">
                  <c:v>8.4578378542848832E-4</c:v>
                </c:pt>
                <c:pt idx="342">
                  <c:v>8.572432740111297E-4</c:v>
                </c:pt>
                <c:pt idx="343">
                  <c:v>8.6875684016628424E-4</c:v>
                </c:pt>
                <c:pt idx="344">
                  <c:v>8.8032416460665137E-4</c:v>
                </c:pt>
                <c:pt idx="345">
                  <c:v>8.9194493125705691E-4</c:v>
                </c:pt>
                <c:pt idx="346">
                  <c:v>9.0361882720707077E-4</c:v>
                </c:pt>
                <c:pt idx="347">
                  <c:v>9.1534554266444563E-4</c:v>
                </c:pt>
                <c:pt idx="348">
                  <c:v>9.2712477090929287E-4</c:v>
                </c:pt>
                <c:pt idx="349">
                  <c:v>9.3895620824905549E-4</c:v>
                </c:pt>
                <c:pt idx="350">
                  <c:v>9.508395539742072E-4</c:v>
                </c:pt>
                <c:pt idx="351">
                  <c:v>9.6277451031469123E-4</c:v>
                </c:pt>
                <c:pt idx="352">
                  <c:v>9.7476078239706995E-4</c:v>
                </c:pt>
                <c:pt idx="353">
                  <c:v>9.8679807820239909E-4</c:v>
                </c:pt>
                <c:pt idx="354">
                  <c:v>9.9888610852476994E-4</c:v>
                </c:pt>
                <c:pt idx="355">
                  <c:v>1.011024586930557E-3</c:v>
                </c:pt>
                <c:pt idx="356">
                  <c:v>1.023213229718316E-3</c:v>
                </c:pt>
                <c:pt idx="357">
                  <c:v>1.035451755879343E-3</c:v>
                </c:pt>
                <c:pt idx="358">
                  <c:v>1.0477398870588832E-3</c:v>
                </c:pt>
                <c:pt idx="359">
                  <c:v>1.0600773475179558E-3</c:v>
                </c:pt>
                <c:pt idx="360">
                  <c:v>1.0724638640958236E-3</c:v>
                </c:pt>
                <c:pt idx="361">
                  <c:v>1.0848991661730483E-3</c:v>
                </c:pt>
                <c:pt idx="362">
                  <c:v>1.0973829856351567E-3</c:v>
                </c:pt>
                <c:pt idx="363">
                  <c:v>1.1099150568368915E-3</c:v>
                </c:pt>
                <c:pt idx="364">
                  <c:v>1.1224951165670375E-3</c:v>
                </c:pt>
                <c:pt idx="365">
                  <c:v>1.1351229040138197E-3</c:v>
                </c:pt>
                <c:pt idx="366">
                  <c:v>1.1477981607308453E-3</c:v>
                </c:pt>
                <c:pt idx="367">
                  <c:v>1.1605206306036127E-3</c:v>
                </c:pt>
                <c:pt idx="368">
                  <c:v>1.1732900598165289E-3</c:v>
                </c:pt>
                <c:pt idx="369">
                  <c:v>1.1861061968204772E-3</c:v>
                </c:pt>
                <c:pt idx="370">
                  <c:v>1.1989687923008936E-3</c:v>
                </c:pt>
                <c:pt idx="371">
                  <c:v>1.211877599146355E-3</c:v>
                </c:pt>
                <c:pt idx="372">
                  <c:v>1.2248323724176511E-3</c:v>
                </c:pt>
                <c:pt idx="373">
                  <c:v>1.2378328693173745E-3</c:v>
                </c:pt>
                <c:pt idx="374">
                  <c:v>1.250878849159958E-3</c:v>
                </c:pt>
                <c:pt idx="375">
                  <c:v>1.2639700733422248E-3</c:v>
                </c:pt>
                <c:pt idx="376">
                  <c:v>1.2771063053143626E-3</c:v>
                </c:pt>
                <c:pt idx="377">
                  <c:v>1.290287310551386E-3</c:v>
                </c:pt>
                <c:pt idx="378">
                  <c:v>1.3035128565250294E-3</c:v>
                </c:pt>
                <c:pt idx="379">
                  <c:v>1.3167827126760831E-3</c:v>
                </c:pt>
                <c:pt idx="380">
                  <c:v>1.3300966503871723E-3</c:v>
                </c:pt>
                <c:pt idx="381">
                  <c:v>1.3434544429559473E-3</c:v>
                </c:pt>
                <c:pt idx="382">
                  <c:v>1.3568558655687049E-3</c:v>
                </c:pt>
                <c:pt idx="383">
                  <c:v>1.370300695274403E-3</c:v>
                </c:pt>
                <c:pt idx="384">
                  <c:v>1.3837887109591027E-3</c:v>
                </c:pt>
                <c:pt idx="385">
                  <c:v>1.3973196933207801E-3</c:v>
                </c:pt>
                <c:pt idx="386">
                  <c:v>1.4108934248445479E-3</c:v>
                </c:pt>
                <c:pt idx="387">
                  <c:v>1.4245096897782541E-3</c:v>
                </c:pt>
                <c:pt idx="388">
                  <c:v>1.4381682741084474E-3</c:v>
                </c:pt>
                <c:pt idx="389">
                  <c:v>1.4518689655367263E-3</c:v>
                </c:pt>
                <c:pt idx="390">
                  <c:v>1.4656115534564459E-3</c:v>
                </c:pt>
                <c:pt idx="391">
                  <c:v>1.479395828929775E-3</c:v>
                </c:pt>
                <c:pt idx="392">
                  <c:v>1.4932215846651157E-3</c:v>
                </c:pt>
                <c:pt idx="393">
                  <c:v>1.5070886149948571E-3</c:v>
                </c:pt>
                <c:pt idx="394">
                  <c:v>1.5209967158534812E-3</c:v>
                </c:pt>
                <c:pt idx="395">
                  <c:v>1.5349456847559857E-3</c:v>
                </c:pt>
                <c:pt idx="396">
                  <c:v>1.5489353207766426E-3</c:v>
                </c:pt>
                <c:pt idx="397">
                  <c:v>1.5629654245280882E-3</c:v>
                </c:pt>
                <c:pt idx="398">
                  <c:v>1.5770357981407105E-3</c:v>
                </c:pt>
                <c:pt idx="399">
                  <c:v>1.5911462452423567E-3</c:v>
                </c:pt>
                <c:pt idx="400">
                  <c:v>1.6052965709383569E-3</c:v>
                </c:pt>
                <c:pt idx="401">
                  <c:v>1.6194865817918283E-3</c:v>
                </c:pt>
                <c:pt idx="402">
                  <c:v>1.633716085804295E-3</c:v>
                </c:pt>
                <c:pt idx="403">
                  <c:v>1.6479848923965762E-3</c:v>
                </c:pt>
                <c:pt idx="404">
                  <c:v>1.6622928123899894E-3</c:v>
                </c:pt>
                <c:pt idx="405">
                  <c:v>1.6766396579878016E-3</c:v>
                </c:pt>
                <c:pt idx="406">
                  <c:v>1.6910252427569891E-3</c:v>
                </c:pt>
                <c:pt idx="407">
                  <c:v>1.7054493816102418E-3</c:v>
                </c:pt>
                <c:pt idx="408">
                  <c:v>1.7199118907882476E-3</c:v>
                </c:pt>
                <c:pt idx="409">
                  <c:v>1.734412587842245E-3</c:v>
                </c:pt>
                <c:pt idx="410">
                  <c:v>1.7489512916168187E-3</c:v>
                </c:pt>
                <c:pt idx="411">
                  <c:v>1.7635278222329657E-3</c:v>
                </c:pt>
                <c:pt idx="412">
                  <c:v>1.7781420010713964E-3</c:v>
                </c:pt>
                <c:pt idx="413">
                  <c:v>1.7927936507560931E-3</c:v>
                </c:pt>
                <c:pt idx="414">
                  <c:v>1.8074825951381007E-3</c:v>
                </c:pt>
                <c:pt idx="415">
                  <c:v>1.8222086592795672E-3</c:v>
                </c:pt>
                <c:pt idx="416">
                  <c:v>1.8369716694380037E-3</c:v>
                </c:pt>
                <c:pt idx="417">
                  <c:v>1.8517714530507877E-3</c:v>
                </c:pt>
                <c:pt idx="418">
                  <c:v>1.8666078387198793E-3</c:v>
                </c:pt>
                <c:pt idx="419">
                  <c:v>1.881480656196771E-3</c:v>
                </c:pt>
                <c:pt idx="420">
                  <c:v>1.8963897363676535E-3</c:v>
                </c:pt>
                <c:pt idx="421">
                  <c:v>1.9113349112387971E-3</c:v>
                </c:pt>
                <c:pt idx="422">
                  <c:v>1.9263160139221364E-3</c:v>
                </c:pt>
                <c:pt idx="423">
                  <c:v>1.9413328786210757E-3</c:v>
                </c:pt>
                <c:pt idx="424">
                  <c:v>1.9563853406164996E-3</c:v>
                </c:pt>
                <c:pt idx="425">
                  <c:v>1.9714732362529708E-3</c:v>
                </c:pt>
                <c:pt idx="426">
                  <c:v>1.9865964029251383E-3</c:v>
                </c:pt>
                <c:pt idx="427">
                  <c:v>2.0017546790643444E-3</c:v>
                </c:pt>
                <c:pt idx="428">
                  <c:v>2.0169479041254072E-3</c:v>
                </c:pt>
                <c:pt idx="429">
                  <c:v>2.0321759185736154E-3</c:v>
                </c:pt>
                <c:pt idx="430">
                  <c:v>2.0474385638718862E-3</c:v>
                </c:pt>
                <c:pt idx="431">
                  <c:v>2.0627356824681224E-3</c:v>
                </c:pt>
                <c:pt idx="432">
                  <c:v>2.07806711778274E-3</c:v>
                </c:pt>
                <c:pt idx="433">
                  <c:v>2.0934327141963801E-3</c:v>
                </c:pt>
                <c:pt idx="434">
                  <c:v>2.1088323170377929E-3</c:v>
                </c:pt>
                <c:pt idx="435">
                  <c:v>2.1242657725718886E-3</c:v>
                </c:pt>
                <c:pt idx="436">
                  <c:v>2.1397329279879652E-3</c:v>
                </c:pt>
                <c:pt idx="437">
                  <c:v>2.1552336313880971E-3</c:v>
                </c:pt>
                <c:pt idx="438">
                  <c:v>2.1707677317756875E-3</c:v>
                </c:pt>
                <c:pt idx="439">
                  <c:v>2.1863350790441889E-3</c:v>
                </c:pt>
                <c:pt idx="440">
                  <c:v>2.2019355239659725E-3</c:v>
                </c:pt>
                <c:pt idx="441">
                  <c:v>2.217568918181357E-3</c:v>
                </c:pt>
                <c:pt idx="442">
                  <c:v>2.2332351141877973E-3</c:v>
                </c:pt>
                <c:pt idx="443">
                  <c:v>2.2489339653292131E-3</c:v>
                </c:pt>
                <c:pt idx="444">
                  <c:v>2.2646653257854762E-3</c:v>
                </c:pt>
                <c:pt idx="445">
                  <c:v>2.2804290505620429E-3</c:v>
                </c:pt>
                <c:pt idx="446">
                  <c:v>2.2962249954797233E-3</c:v>
                </c:pt>
                <c:pt idx="447">
                  <c:v>2.3120530171646019E-3</c:v>
                </c:pt>
                <c:pt idx="448">
                  <c:v>2.3279129730380895E-3</c:v>
                </c:pt>
                <c:pt idx="449">
                  <c:v>2.3438047213071244E-3</c:v>
                </c:pt>
                <c:pt idx="450">
                  <c:v>2.3597281209544975E-3</c:v>
                </c:pt>
                <c:pt idx="451">
                  <c:v>2.3756830317293158E-3</c:v>
                </c:pt>
                <c:pt idx="452">
                  <c:v>2.3916693141375961E-3</c:v>
                </c:pt>
                <c:pt idx="453">
                  <c:v>2.4076868294329945E-3</c:v>
                </c:pt>
                <c:pt idx="454">
                  <c:v>2.4237354396076513E-3</c:v>
                </c:pt>
                <c:pt idx="455">
                  <c:v>2.4398150073831715E-3</c:v>
                </c:pt>
                <c:pt idx="456">
                  <c:v>2.4559253962017267E-3</c:v>
                </c:pt>
                <c:pt idx="457">
                  <c:v>2.4720664702172724E-3</c:v>
                </c:pt>
                <c:pt idx="458">
                  <c:v>2.488238094286895E-3</c:v>
                </c:pt>
                <c:pt idx="459">
                  <c:v>2.5044401339622711E-3</c:v>
                </c:pt>
                <c:pt idx="460">
                  <c:v>2.520672455481242E-3</c:v>
                </c:pt>
                <c:pt idx="461">
                  <c:v>2.5369349257595058E-3</c:v>
                </c:pt>
                <c:pt idx="462">
                  <c:v>2.5532274123824237E-3</c:v>
                </c:pt>
                <c:pt idx="463">
                  <c:v>2.5695497835969252E-3</c:v>
                </c:pt>
                <c:pt idx="464">
                  <c:v>2.5859019083035437E-3</c:v>
                </c:pt>
                <c:pt idx="465">
                  <c:v>2.602283656048544E-3</c:v>
                </c:pt>
                <c:pt idx="466">
                  <c:v>2.6186948970161545E-3</c:v>
                </c:pt>
                <c:pt idx="467">
                  <c:v>2.6351355020209207E-3</c:v>
                </c:pt>
                <c:pt idx="468">
                  <c:v>2.6516053425001385E-3</c:v>
                </c:pt>
                <c:pt idx="469">
                  <c:v>2.6681042905064107E-3</c:v>
                </c:pt>
                <c:pt idx="470">
                  <c:v>2.6846322187002872E-3</c:v>
                </c:pt>
                <c:pt idx="471">
                  <c:v>2.7011890003430157E-3</c:v>
                </c:pt>
                <c:pt idx="472">
                  <c:v>2.7177745092893781E-3</c:v>
                </c:pt>
                <c:pt idx="473">
                  <c:v>2.7343886199806301E-3</c:v>
                </c:pt>
                <c:pt idx="474">
                  <c:v>2.7510312074375356E-3</c:v>
                </c:pt>
                <c:pt idx="475">
                  <c:v>2.7677021472534888E-3</c:v>
                </c:pt>
                <c:pt idx="476">
                  <c:v>2.7844013155877301E-3</c:v>
                </c:pt>
                <c:pt idx="477">
                  <c:v>2.8011285891586524E-3</c:v>
                </c:pt>
                <c:pt idx="478">
                  <c:v>2.8178838452371929E-3</c:v>
                </c:pt>
                <c:pt idx="479">
                  <c:v>2.8346669616403216E-3</c:v>
                </c:pt>
                <c:pt idx="480">
                  <c:v>2.8514778167246036E-3</c:v>
                </c:pt>
                <c:pt idx="481">
                  <c:v>2.8683162893798518E-3</c:v>
                </c:pt>
                <c:pt idx="482">
                  <c:v>2.8851822590228709E-3</c:v>
                </c:pt>
                <c:pt idx="483">
                  <c:v>2.9020756055912604E-3</c:v>
                </c:pt>
                <c:pt idx="484">
                  <c:v>2.9189962095373372E-3</c:v>
                </c:pt>
                <c:pt idx="485">
                  <c:v>2.9359439518220967E-3</c:v>
                </c:pt>
                <c:pt idx="486">
                  <c:v>2.9529187139092821E-3</c:v>
                </c:pt>
                <c:pt idx="487">
                  <c:v>2.9699203777595164E-3</c:v>
                </c:pt>
                <c:pt idx="488">
                  <c:v>2.9869488258245152E-3</c:v>
                </c:pt>
                <c:pt idx="489">
                  <c:v>3.0040039410413845E-3</c:v>
                </c:pt>
                <c:pt idx="490">
                  <c:v>3.021085606826973E-3</c:v>
                </c:pt>
                <c:pt idx="491">
                  <c:v>3.0381937070723128E-3</c:v>
                </c:pt>
                <c:pt idx="492">
                  <c:v>3.0553281261371306E-3</c:v>
                </c:pt>
                <c:pt idx="493">
                  <c:v>3.0724887488444265E-3</c:v>
                </c:pt>
                <c:pt idx="494">
                  <c:v>3.0896754604751229E-3</c:v>
                </c:pt>
                <c:pt idx="495">
                  <c:v>3.1068881467627889E-3</c:v>
                </c:pt>
                <c:pt idx="496">
                  <c:v>3.1241266938884216E-3</c:v>
                </c:pt>
                <c:pt idx="497">
                  <c:v>3.1413909884753068E-3</c:v>
                </c:pt>
                <c:pt idx="498">
                  <c:v>3.1586809175839395E-3</c:v>
                </c:pt>
                <c:pt idx="499">
                  <c:v>3.1759963687070089E-3</c:v>
                </c:pt>
                <c:pt idx="500">
                  <c:v>3.1933372297644541E-3</c:v>
                </c:pt>
                <c:pt idx="501">
                  <c:v>3.2107033890985733E-3</c:v>
                </c:pt>
                <c:pt idx="502">
                  <c:v>3.2280947354692085E-3</c:v>
                </c:pt>
                <c:pt idx="503">
                  <c:v>3.2455111580489793E-3</c:v>
                </c:pt>
                <c:pt idx="504">
                  <c:v>3.262952546418587E-3</c:v>
                </c:pt>
                <c:pt idx="505">
                  <c:v>3.2804187905621724E-3</c:v>
                </c:pt>
                <c:pt idx="506">
                  <c:v>3.2979097808627407E-3</c:v>
                </c:pt>
                <c:pt idx="507">
                  <c:v>3.315425408097632E-3</c:v>
                </c:pt>
                <c:pt idx="508">
                  <c:v>3.3329655634340653E-3</c:v>
                </c:pt>
                <c:pt idx="509">
                  <c:v>3.3505301384247226E-3</c:v>
                </c:pt>
                <c:pt idx="510">
                  <c:v>3.3681190250034083E-3</c:v>
                </c:pt>
                <c:pt idx="511">
                  <c:v>3.3857321154807424E-3</c:v>
                </c:pt>
                <c:pt idx="512">
                  <c:v>3.4033693025399248E-3</c:v>
                </c:pt>
                <c:pt idx="513">
                  <c:v>3.4210304792325454E-3</c:v>
                </c:pt>
                <c:pt idx="514">
                  <c:v>3.438715538974449E-3</c:v>
                </c:pt>
                <c:pt idx="515">
                  <c:v>3.4564243755416555E-3</c:v>
                </c:pt>
                <c:pt idx="516">
                  <c:v>3.4741568830663262E-3</c:v>
                </c:pt>
                <c:pt idx="517">
                  <c:v>3.4919129560327762E-3</c:v>
                </c:pt>
                <c:pt idx="518">
                  <c:v>3.5096924892735618E-3</c:v>
                </c:pt>
                <c:pt idx="519">
                  <c:v>3.527495377965581E-3</c:v>
                </c:pt>
                <c:pt idx="520">
                  <c:v>3.5453215176262532E-3</c:v>
                </c:pt>
                <c:pt idx="521">
                  <c:v>3.5631708041097307E-3</c:v>
                </c:pt>
                <c:pt idx="522">
                  <c:v>3.5810431336031614E-3</c:v>
                </c:pt>
                <c:pt idx="523">
                  <c:v>3.5989384026230008E-3</c:v>
                </c:pt>
                <c:pt idx="524">
                  <c:v>3.6168565080113668E-3</c:v>
                </c:pt>
                <c:pt idx="525">
                  <c:v>3.6347973469324437E-3</c:v>
                </c:pt>
                <c:pt idx="526">
                  <c:v>3.6527608168689277E-3</c:v>
                </c:pt>
                <c:pt idx="527">
                  <c:v>3.6707468156185158E-3</c:v>
                </c:pt>
                <c:pt idx="528">
                  <c:v>3.6887552412904435E-3</c:v>
                </c:pt>
                <c:pt idx="529">
                  <c:v>3.7067859923020632E-3</c:v>
                </c:pt>
                <c:pt idx="530">
                  <c:v>3.7248389673754621E-3</c:v>
                </c:pt>
                <c:pt idx="531">
                  <c:v>3.742914065534125E-3</c:v>
                </c:pt>
                <c:pt idx="532">
                  <c:v>3.7610111860996382E-3</c:v>
                </c:pt>
                <c:pt idx="533">
                  <c:v>3.779130228688437E-3</c:v>
                </c:pt>
                <c:pt idx="534">
                  <c:v>3.7972710932085846E-3</c:v>
                </c:pt>
                <c:pt idx="535">
                  <c:v>3.8154336798566059E-3</c:v>
                </c:pt>
                <c:pt idx="536">
                  <c:v>3.8336178891143434E-3</c:v>
                </c:pt>
                <c:pt idx="537">
                  <c:v>3.8518236217458613E-3</c:v>
                </c:pt>
                <c:pt idx="538">
                  <c:v>3.8700507787943891E-3</c:v>
                </c:pt>
                <c:pt idx="539">
                  <c:v>3.8882992615792977E-3</c:v>
                </c:pt>
                <c:pt idx="540">
                  <c:v>3.9065689716931201E-3</c:v>
                </c:pt>
                <c:pt idx="541">
                  <c:v>3.9248598109985957E-3</c:v>
                </c:pt>
                <c:pt idx="542">
                  <c:v>3.943171681625765E-3</c:v>
                </c:pt>
                <c:pt idx="543">
                  <c:v>3.9615044859690933E-3</c:v>
                </c:pt>
                <c:pt idx="544">
                  <c:v>3.9798581266846326E-3</c:v>
                </c:pt>
                <c:pt idx="545">
                  <c:v>3.9982325066872087E-3</c:v>
                </c:pt>
                <c:pt idx="546">
                  <c:v>4.0166275291476589E-3</c:v>
                </c:pt>
                <c:pt idx="547">
                  <c:v>4.0350430974900875E-3</c:v>
                </c:pt>
                <c:pt idx="548">
                  <c:v>4.0534791153891692E-3</c:v>
                </c:pt>
                <c:pt idx="549">
                  <c:v>4.0719354867674732E-3</c:v>
                </c:pt>
                <c:pt idx="550">
                  <c:v>4.0904121157928275E-3</c:v>
                </c:pt>
                <c:pt idx="551">
                  <c:v>4.1089089068757157E-3</c:v>
                </c:pt>
                <c:pt idx="552">
                  <c:v>4.1274257646666925E-3</c:v>
                </c:pt>
                <c:pt idx="553">
                  <c:v>4.1459625940538595E-3</c:v>
                </c:pt>
                <c:pt idx="554">
                  <c:v>4.1645193001603334E-3</c:v>
                </c:pt>
                <c:pt idx="555">
                  <c:v>4.1830957883417785E-3</c:v>
                </c:pt>
                <c:pt idx="556">
                  <c:v>4.2016919641839536E-3</c:v>
                </c:pt>
                <c:pt idx="557">
                  <c:v>4.2203077335002817E-3</c:v>
                </c:pt>
                <c:pt idx="558">
                  <c:v>4.238943002329471E-3</c:v>
                </c:pt>
                <c:pt idx="559">
                  <c:v>4.2575976769331451E-3</c:v>
                </c:pt>
                <c:pt idx="560">
                  <c:v>4.2762716637935096E-3</c:v>
                </c:pt>
                <c:pt idx="561">
                  <c:v>4.2949648696110482E-3</c:v>
                </c:pt>
                <c:pt idx="562">
                  <c:v>4.3136772013022389E-3</c:v>
                </c:pt>
                <c:pt idx="563">
                  <c:v>4.3324085659973127E-3</c:v>
                </c:pt>
                <c:pt idx="564">
                  <c:v>4.3511588710380229E-3</c:v>
                </c:pt>
                <c:pt idx="565">
                  <c:v>4.3699280239754557E-3</c:v>
                </c:pt>
                <c:pt idx="566">
                  <c:v>4.3887159325678507E-3</c:v>
                </c:pt>
                <c:pt idx="567">
                  <c:v>4.4075225047784678E-3</c:v>
                </c:pt>
                <c:pt idx="568">
                  <c:v>4.4263476487734592E-3</c:v>
                </c:pt>
                <c:pt idx="569">
                  <c:v>4.4451912729197903E-3</c:v>
                </c:pt>
                <c:pt idx="570">
                  <c:v>4.4640532857831566E-3</c:v>
                </c:pt>
                <c:pt idx="571">
                  <c:v>4.4829335961259608E-3</c:v>
                </c:pt>
                <c:pt idx="572">
                  <c:v>4.5018321129052727E-3</c:v>
                </c:pt>
                <c:pt idx="573">
                  <c:v>4.5207487452708561E-3</c:v>
                </c:pt>
                <c:pt idx="574">
                  <c:v>4.5396834025631903E-3</c:v>
                </c:pt>
                <c:pt idx="575">
                  <c:v>4.5586359943115204E-3</c:v>
                </c:pt>
                <c:pt idx="576">
                  <c:v>4.5776064302319496E-3</c:v>
                </c:pt>
                <c:pt idx="577">
                  <c:v>4.596594620225521E-3</c:v>
                </c:pt>
                <c:pt idx="578">
                  <c:v>4.6156004743763612E-3</c:v>
                </c:pt>
                <c:pt idx="579">
                  <c:v>4.6346239029498061E-3</c:v>
                </c:pt>
                <c:pt idx="580">
                  <c:v>4.6536648163905837E-3</c:v>
                </c:pt>
                <c:pt idx="581">
                  <c:v>4.6727231253210081E-3</c:v>
                </c:pt>
                <c:pt idx="582">
                  <c:v>4.6917987405391695E-3</c:v>
                </c:pt>
                <c:pt idx="583">
                  <c:v>4.7108915730171971E-3</c:v>
                </c:pt>
                <c:pt idx="584">
                  <c:v>4.7300015338994864E-3</c:v>
                </c:pt>
                <c:pt idx="585">
                  <c:v>4.7491285345009904E-3</c:v>
                </c:pt>
                <c:pt idx="586">
                  <c:v>4.7682724863055224E-3</c:v>
                </c:pt>
                <c:pt idx="587">
                  <c:v>4.7874333009640477E-3</c:v>
                </c:pt>
                <c:pt idx="588">
                  <c:v>4.8066108902930478E-3</c:v>
                </c:pt>
                <c:pt idx="589">
                  <c:v>4.825805166272859E-3</c:v>
                </c:pt>
                <c:pt idx="590">
                  <c:v>4.8450160410460508E-3</c:v>
                </c:pt>
                <c:pt idx="591">
                  <c:v>4.8642434269158333E-3</c:v>
                </c:pt>
                <c:pt idx="592">
                  <c:v>4.8834872363444585E-3</c:v>
                </c:pt>
                <c:pt idx="593">
                  <c:v>4.9027473819516628E-3</c:v>
                </c:pt>
                <c:pt idx="594">
                  <c:v>4.9220237765131153E-3</c:v>
                </c:pt>
                <c:pt idx="595">
                  <c:v>4.9413163329588838E-3</c:v>
                </c:pt>
                <c:pt idx="596">
                  <c:v>4.9606249643719385E-3</c:v>
                </c:pt>
                <c:pt idx="597">
                  <c:v>4.9799495839866464E-3</c:v>
                </c:pt>
                <c:pt idx="598">
                  <c:v>4.9992901051873042E-3</c:v>
                </c:pt>
                <c:pt idx="599">
                  <c:v>5.0186464415066722E-3</c:v>
                </c:pt>
                <c:pt idx="600">
                  <c:v>5.0380185066245427E-3</c:v>
                </c:pt>
                <c:pt idx="601">
                  <c:v>5.057406214366315E-3</c:v>
                </c:pt>
                <c:pt idx="602">
                  <c:v>5.0768094787015895E-3</c:v>
                </c:pt>
                <c:pt idx="603">
                  <c:v>5.0962282137427773E-3</c:v>
                </c:pt>
                <c:pt idx="604">
                  <c:v>5.1156623337437314E-3</c:v>
                </c:pt>
                <c:pt idx="605">
                  <c:v>5.1351117530983792E-3</c:v>
                </c:pt>
                <c:pt idx="606">
                  <c:v>5.1545763863394068E-3</c:v>
                </c:pt>
                <c:pt idx="607">
                  <c:v>5.174056148136907E-3</c:v>
                </c:pt>
                <c:pt idx="608">
                  <c:v>5.1935509532970939E-3</c:v>
                </c:pt>
                <c:pt idx="609">
                  <c:v>5.2130607167609946E-3</c:v>
                </c:pt>
                <c:pt idx="610">
                  <c:v>5.2325853536031803E-3</c:v>
                </c:pt>
                <c:pt idx="611">
                  <c:v>5.2521247790305054E-3</c:v>
                </c:pt>
                <c:pt idx="612">
                  <c:v>5.271678908380855E-3</c:v>
                </c:pt>
                <c:pt idx="613">
                  <c:v>5.2912476571219235E-3</c:v>
                </c:pt>
                <c:pt idx="614">
                  <c:v>5.3108309408499838E-3</c:v>
                </c:pt>
                <c:pt idx="615">
                  <c:v>5.3304286752886912E-3</c:v>
                </c:pt>
                <c:pt idx="616">
                  <c:v>5.3500407762879041E-3</c:v>
                </c:pt>
                <c:pt idx="617">
                  <c:v>5.3696671598224919E-3</c:v>
                </c:pt>
                <c:pt idx="618">
                  <c:v>5.3893077419911953E-3</c:v>
                </c:pt>
                <c:pt idx="619">
                  <c:v>5.4089624390154627E-3</c:v>
                </c:pt>
                <c:pt idx="620">
                  <c:v>5.4286311672383228E-3</c:v>
                </c:pt>
                <c:pt idx="621">
                  <c:v>5.4483138431232802E-3</c:v>
                </c:pt>
                <c:pt idx="622">
                  <c:v>5.4680103832531832E-3</c:v>
                </c:pt>
                <c:pt idx="623">
                  <c:v>5.4877207043291625E-3</c:v>
                </c:pt>
                <c:pt idx="624">
                  <c:v>5.507444723169521E-3</c:v>
                </c:pt>
                <c:pt idx="625">
                  <c:v>5.5271823567086932E-3</c:v>
                </c:pt>
                <c:pt idx="626">
                  <c:v>5.5469335219961793E-3</c:v>
                </c:pt>
                <c:pt idx="627">
                  <c:v>5.5666981361955055E-3</c:v>
                </c:pt>
                <c:pt idx="628">
                  <c:v>5.5864761165831979E-3</c:v>
                </c:pt>
                <c:pt idx="629">
                  <c:v>5.606267380547765E-3</c:v>
                </c:pt>
                <c:pt idx="630">
                  <c:v>5.626071845588697E-3</c:v>
                </c:pt>
                <c:pt idx="631">
                  <c:v>5.6458894293154697E-3</c:v>
                </c:pt>
                <c:pt idx="632">
                  <c:v>5.6657200494465701E-3</c:v>
                </c:pt>
                <c:pt idx="633">
                  <c:v>5.685563623808525E-3</c:v>
                </c:pt>
                <c:pt idx="634">
                  <c:v>5.705420070334942E-3</c:v>
                </c:pt>
                <c:pt idx="635">
                  <c:v>5.7252893070655723E-3</c:v>
                </c:pt>
                <c:pt idx="636">
                  <c:v>5.7451712521453717E-3</c:v>
                </c:pt>
                <c:pt idx="637">
                  <c:v>5.7650658238235794E-3</c:v>
                </c:pt>
                <c:pt idx="638">
                  <c:v>5.7849729404528113E-3</c:v>
                </c:pt>
                <c:pt idx="639">
                  <c:v>5.8048925204881542E-3</c:v>
                </c:pt>
                <c:pt idx="640">
                  <c:v>5.8248244824862724E-3</c:v>
                </c:pt>
                <c:pt idx="641">
                  <c:v>5.8447687451045486E-3</c:v>
                </c:pt>
                <c:pt idx="642">
                  <c:v>5.8647252271001975E-3</c:v>
                </c:pt>
                <c:pt idx="643">
                  <c:v>5.8846938473294131E-3</c:v>
                </c:pt>
                <c:pt idx="644">
                  <c:v>5.9046745247465244E-3</c:v>
                </c:pt>
                <c:pt idx="645">
                  <c:v>5.9246671784031627E-3</c:v>
                </c:pt>
                <c:pt idx="646">
                  <c:v>5.9446717274474273E-3</c:v>
                </c:pt>
                <c:pt idx="647">
                  <c:v>5.9646880911230675E-3</c:v>
                </c:pt>
                <c:pt idx="648">
                  <c:v>5.984716188768691E-3</c:v>
                </c:pt>
                <c:pt idx="649">
                  <c:v>6.0047559398169531E-3</c:v>
                </c:pt>
                <c:pt idx="650">
                  <c:v>6.0248072637937708E-3</c:v>
                </c:pt>
                <c:pt idx="651">
                  <c:v>6.0448700803175572E-3</c:v>
                </c:pt>
                <c:pt idx="652">
                  <c:v>6.0649443090984414E-3</c:v>
                </c:pt>
                <c:pt idx="653">
                  <c:v>6.0850298699375131E-3</c:v>
                </c:pt>
                <c:pt idx="654">
                  <c:v>6.1051266827260794E-3</c:v>
                </c:pt>
                <c:pt idx="655">
                  <c:v>6.1252346674449173E-3</c:v>
                </c:pt>
                <c:pt idx="656">
                  <c:v>6.1453537441635469E-3</c:v>
                </c:pt>
                <c:pt idx="657">
                  <c:v>6.16548383303951E-3</c:v>
                </c:pt>
                <c:pt idx="658">
                  <c:v>6.1856248543176564E-3</c:v>
                </c:pt>
                <c:pt idx="659">
                  <c:v>6.2057767283294363E-3</c:v>
                </c:pt>
                <c:pt idx="660">
                  <c:v>6.2259393754922135E-3</c:v>
                </c:pt>
                <c:pt idx="661">
                  <c:v>6.2461127163085687E-3</c:v>
                </c:pt>
                <c:pt idx="662">
                  <c:v>6.2662966713656273E-3</c:v>
                </c:pt>
                <c:pt idx="663">
                  <c:v>6.2864911613343894E-3</c:v>
                </c:pt>
                <c:pt idx="664">
                  <c:v>6.3066961069690609E-3</c:v>
                </c:pt>
                <c:pt idx="665">
                  <c:v>6.3269114291064129E-3</c:v>
                </c:pt>
                <c:pt idx="666">
                  <c:v>6.3471370486651232E-3</c:v>
                </c:pt>
                <c:pt idx="667">
                  <c:v>6.3673728866451458E-3</c:v>
                </c:pt>
                <c:pt idx="668">
                  <c:v>6.387618864127087E-3</c:v>
                </c:pt>
                <c:pt idx="669">
                  <c:v>6.4078749022715674E-3</c:v>
                </c:pt>
                <c:pt idx="670">
                  <c:v>6.4281409223186309E-3</c:v>
                </c:pt>
                <c:pt idx="671">
                  <c:v>6.4484168455871118E-3</c:v>
                </c:pt>
                <c:pt idx="672">
                  <c:v>6.4687025934740613E-3</c:v>
                </c:pt>
                <c:pt idx="673">
                  <c:v>6.4889980874541422E-3</c:v>
                </c:pt>
                <c:pt idx="674">
                  <c:v>6.5093032490790527E-3</c:v>
                </c:pt>
                <c:pt idx="675">
                  <c:v>6.5296179999769438E-3</c:v>
                </c:pt>
                <c:pt idx="676">
                  <c:v>6.5499422618518566E-3</c:v>
                </c:pt>
                <c:pt idx="677">
                  <c:v>6.5702759564831561E-3</c:v>
                </c:pt>
                <c:pt idx="678">
                  <c:v>6.5906190057249776E-3</c:v>
                </c:pt>
                <c:pt idx="679">
                  <c:v>6.610971331505686E-3</c:v>
                </c:pt>
                <c:pt idx="680">
                  <c:v>6.6313328558273267E-3</c:v>
                </c:pt>
                <c:pt idx="681">
                  <c:v>6.651703500765091E-3</c:v>
                </c:pt>
                <c:pt idx="682">
                  <c:v>6.6720831884668017E-3</c:v>
                </c:pt>
                <c:pt idx="683">
                  <c:v>6.6924718411523788E-3</c:v>
                </c:pt>
                <c:pt idx="684">
                  <c:v>6.7128693811133369E-3</c:v>
                </c:pt>
                <c:pt idx="685">
                  <c:v>6.7332757307122723E-3</c:v>
                </c:pt>
                <c:pt idx="686">
                  <c:v>6.7536908123823659E-3</c:v>
                </c:pt>
                <c:pt idx="687">
                  <c:v>6.7741145486268882E-3</c:v>
                </c:pt>
                <c:pt idx="688">
                  <c:v>6.7945468620187102E-3</c:v>
                </c:pt>
                <c:pt idx="689">
                  <c:v>6.8149876751998299E-3</c:v>
                </c:pt>
                <c:pt idx="690">
                  <c:v>6.8354369108808901E-3</c:v>
                </c:pt>
                <c:pt idx="691">
                  <c:v>6.8558944918407083E-3</c:v>
                </c:pt>
                <c:pt idx="692">
                  <c:v>6.8763603409258255E-3</c:v>
                </c:pt>
                <c:pt idx="693">
                  <c:v>6.8968343810500449E-3</c:v>
                </c:pt>
                <c:pt idx="694">
                  <c:v>6.9173165351939635E-3</c:v>
                </c:pt>
                <c:pt idx="695">
                  <c:v>6.9378067264045627E-3</c:v>
                </c:pt>
                <c:pt idx="696">
                  <c:v>6.9583048777947416E-3</c:v>
                </c:pt>
                <c:pt idx="697">
                  <c:v>6.9788109125428974E-3</c:v>
                </c:pt>
                <c:pt idx="698">
                  <c:v>6.999324753892493E-3</c:v>
                </c:pt>
                <c:pt idx="699">
                  <c:v>7.0198463251516414E-3</c:v>
                </c:pt>
                <c:pt idx="700">
                  <c:v>7.04037554969268E-3</c:v>
                </c:pt>
                <c:pt idx="701">
                  <c:v>7.0609123509517754E-3</c:v>
                </c:pt>
                <c:pt idx="702">
                  <c:v>7.0814566524285034E-3</c:v>
                </c:pt>
                <c:pt idx="703">
                  <c:v>7.1020083776854662E-3</c:v>
                </c:pt>
                <c:pt idx="704">
                  <c:v>7.1225674503478786E-3</c:v>
                </c:pt>
                <c:pt idx="705">
                  <c:v>7.1431337941032028E-3</c:v>
                </c:pt>
                <c:pt idx="706">
                  <c:v>7.1637073327007472E-3</c:v>
                </c:pt>
                <c:pt idx="707">
                  <c:v>7.1842879899512956E-3</c:v>
                </c:pt>
                <c:pt idx="708">
                  <c:v>7.204875689726737E-3</c:v>
                </c:pt>
                <c:pt idx="709">
                  <c:v>7.22547035595969E-3</c:v>
                </c:pt>
                <c:pt idx="710">
                  <c:v>7.2460719126431509E-3</c:v>
                </c:pt>
                <c:pt idx="711">
                  <c:v>7.2666802838301323E-3</c:v>
                </c:pt>
                <c:pt idx="712">
                  <c:v>7.2872953936333057E-3</c:v>
                </c:pt>
                <c:pt idx="713">
                  <c:v>7.3079171662246561E-3</c:v>
                </c:pt>
                <c:pt idx="714">
                  <c:v>7.3285455258351468E-3</c:v>
                </c:pt>
                <c:pt idx="715">
                  <c:v>7.3491803967543727E-3</c:v>
                </c:pt>
                <c:pt idx="716">
                  <c:v>7.3698217033302312E-3</c:v>
                </c:pt>
                <c:pt idx="717">
                  <c:v>7.3904693699685959E-3</c:v>
                </c:pt>
                <c:pt idx="718">
                  <c:v>7.4111233211329799E-3</c:v>
                </c:pt>
                <c:pt idx="719">
                  <c:v>7.4317834813442387E-3</c:v>
                </c:pt>
                <c:pt idx="720">
                  <c:v>7.4524497751802359E-3</c:v>
                </c:pt>
                <c:pt idx="721">
                  <c:v>7.4731221272755473E-3</c:v>
                </c:pt>
                <c:pt idx="722">
                  <c:v>7.4938004623211433E-3</c:v>
                </c:pt>
                <c:pt idx="723">
                  <c:v>7.5144847050640983E-3</c:v>
                </c:pt>
                <c:pt idx="724">
                  <c:v>7.5351747803072862E-3</c:v>
                </c:pt>
                <c:pt idx="725">
                  <c:v>7.5558706129090908E-3</c:v>
                </c:pt>
                <c:pt idx="726">
                  <c:v>7.5765721277831228E-3</c:v>
                </c:pt>
                <c:pt idx="727">
                  <c:v>7.5972792498979237E-3</c:v>
                </c:pt>
                <c:pt idx="728">
                  <c:v>7.6179919042766962E-3</c:v>
                </c:pt>
                <c:pt idx="729">
                  <c:v>7.6387100159970344E-3</c:v>
                </c:pt>
                <c:pt idx="730">
                  <c:v>7.6594335101906313E-3</c:v>
                </c:pt>
                <c:pt idx="731">
                  <c:v>7.6801623120430285E-3</c:v>
                </c:pt>
                <c:pt idx="732">
                  <c:v>7.7008963467933532E-3</c:v>
                </c:pt>
                <c:pt idx="733">
                  <c:v>7.7216355397340484E-3</c:v>
                </c:pt>
                <c:pt idx="734">
                  <c:v>7.7423798162106292E-3</c:v>
                </c:pt>
                <c:pt idx="735">
                  <c:v>7.7631291016214202E-3</c:v>
                </c:pt>
                <c:pt idx="736">
                  <c:v>7.7838833214173165E-3</c:v>
                </c:pt>
                <c:pt idx="737">
                  <c:v>7.8046424011015362E-3</c:v>
                </c:pt>
                <c:pt idx="738">
                  <c:v>7.8254062662293788E-3</c:v>
                </c:pt>
                <c:pt idx="739">
                  <c:v>7.8461748424079984E-3</c:v>
                </c:pt>
                <c:pt idx="740">
                  <c:v>7.8669480552961569E-3</c:v>
                </c:pt>
                <c:pt idx="741">
                  <c:v>7.8877258306040074E-3</c:v>
                </c:pt>
                <c:pt idx="742">
                  <c:v>7.9085080940928584E-3</c:v>
                </c:pt>
                <c:pt idx="743">
                  <c:v>7.9292947715749584E-3</c:v>
                </c:pt>
                <c:pt idx="744">
                  <c:v>7.9500857889132897E-3</c:v>
                </c:pt>
                <c:pt idx="745">
                  <c:v>7.9708810720213272E-3</c:v>
                </c:pt>
                <c:pt idx="746">
                  <c:v>7.9916805468628442E-3</c:v>
                </c:pt>
                <c:pt idx="747">
                  <c:v>8.0124841394517161E-3</c:v>
                </c:pt>
                <c:pt idx="748">
                  <c:v>8.0332917758516829E-3</c:v>
                </c:pt>
                <c:pt idx="749">
                  <c:v>8.0541033821761865E-3</c:v>
                </c:pt>
                <c:pt idx="750">
                  <c:v>8.0749188845881427E-3</c:v>
                </c:pt>
                <c:pt idx="751">
                  <c:v>8.0957382092997649E-3</c:v>
                </c:pt>
                <c:pt idx="752">
                  <c:v>8.1165612825723696E-3</c:v>
                </c:pt>
                <c:pt idx="753">
                  <c:v>8.1373880307161854E-3</c:v>
                </c:pt>
                <c:pt idx="754">
                  <c:v>8.1582183800901764E-3</c:v>
                </c:pt>
                <c:pt idx="755">
                  <c:v>8.1790522571018459E-3</c:v>
                </c:pt>
                <c:pt idx="756">
                  <c:v>8.1998895882070804E-3</c:v>
                </c:pt>
                <c:pt idx="757">
                  <c:v>8.2207302999099501E-3</c:v>
                </c:pt>
                <c:pt idx="758">
                  <c:v>8.2415743187625613E-3</c:v>
                </c:pt>
                <c:pt idx="759">
                  <c:v>8.2624215713648676E-3</c:v>
                </c:pt>
                <c:pt idx="760">
                  <c:v>8.283271984364524E-3</c:v>
                </c:pt>
                <c:pt idx="761">
                  <c:v>8.3041254844567029E-3</c:v>
                </c:pt>
                <c:pt idx="762">
                  <c:v>8.3249819983839471E-3</c:v>
                </c:pt>
                <c:pt idx="763">
                  <c:v>8.3458414529360182E-3</c:v>
                </c:pt>
                <c:pt idx="764">
                  <c:v>8.3667037749497308E-3</c:v>
                </c:pt>
                <c:pt idx="765">
                  <c:v>8.3875688913088008E-3</c:v>
                </c:pt>
                <c:pt idx="766">
                  <c:v>8.4084367289437145E-3</c:v>
                </c:pt>
                <c:pt idx="767">
                  <c:v>8.4293072148315627E-3</c:v>
                </c:pt>
                <c:pt idx="768">
                  <c:v>8.4501802759959152E-3</c:v>
                </c:pt>
                <c:pt idx="769">
                  <c:v>8.4710558395066689E-3</c:v>
                </c:pt>
                <c:pt idx="770">
                  <c:v>8.491933832479915E-3</c:v>
                </c:pt>
                <c:pt idx="771">
                  <c:v>8.5128141820778099E-3</c:v>
                </c:pt>
                <c:pt idx="772">
                  <c:v>8.5336968155084354E-3</c:v>
                </c:pt>
                <c:pt idx="773">
                  <c:v>8.5545816600256768E-3</c:v>
                </c:pt>
                <c:pt idx="774">
                  <c:v>8.5754686429290877E-3</c:v>
                </c:pt>
                <c:pt idx="775">
                  <c:v>8.5963576915637791E-3</c:v>
                </c:pt>
                <c:pt idx="776">
                  <c:v>8.6172487333202891E-3</c:v>
                </c:pt>
                <c:pt idx="777">
                  <c:v>8.6381416956344669E-3</c:v>
                </c:pt>
                <c:pt idx="778">
                  <c:v>8.6590365059873529E-3</c:v>
                </c:pt>
                <c:pt idx="779">
                  <c:v>8.6799330919050781E-3</c:v>
                </c:pt>
                <c:pt idx="780">
                  <c:v>8.7008313809587359E-3</c:v>
                </c:pt>
                <c:pt idx="781">
                  <c:v>8.7217313007642867E-3</c:v>
                </c:pt>
                <c:pt idx="782">
                  <c:v>8.742632778982443E-3</c:v>
                </c:pt>
                <c:pt idx="783">
                  <c:v>8.7635357433185762E-3</c:v>
                </c:pt>
                <c:pt idx="784">
                  <c:v>8.784440121522602E-3</c:v>
                </c:pt>
                <c:pt idx="785">
                  <c:v>8.8053458413888917E-3</c:v>
                </c:pt>
                <c:pt idx="786">
                  <c:v>8.8262528307561719E-3</c:v>
                </c:pt>
                <c:pt idx="787">
                  <c:v>8.8471610175074322E-3</c:v>
                </c:pt>
                <c:pt idx="788">
                  <c:v>8.868070329569832E-3</c:v>
                </c:pt>
                <c:pt idx="789">
                  <c:v>8.8889806949145993E-3</c:v>
                </c:pt>
                <c:pt idx="790">
                  <c:v>8.9098920415569688E-3</c:v>
                </c:pt>
                <c:pt idx="791">
                  <c:v>8.9308042975560741E-3</c:v>
                </c:pt>
                <c:pt idx="792">
                  <c:v>8.9517173910148747E-3</c:v>
                </c:pt>
                <c:pt idx="793">
                  <c:v>8.972631250080073E-3</c:v>
                </c:pt>
                <c:pt idx="794">
                  <c:v>8.9935458029420327E-3</c:v>
                </c:pt>
                <c:pt idx="795">
                  <c:v>9.0144609778347092E-3</c:v>
                </c:pt>
                <c:pt idx="796">
                  <c:v>9.0353767030355633E-3</c:v>
                </c:pt>
                <c:pt idx="797">
                  <c:v>9.0562929068655068E-3</c:v>
                </c:pt>
                <c:pt idx="798">
                  <c:v>9.0772095176888078E-3</c:v>
                </c:pt>
                <c:pt idx="799">
                  <c:v>9.0981264639130484E-3</c:v>
                </c:pt>
                <c:pt idx="800">
                  <c:v>9.1190436739890385E-3</c:v>
                </c:pt>
                <c:pt idx="801">
                  <c:v>9.1399610764107599E-3</c:v>
                </c:pt>
                <c:pt idx="802">
                  <c:v>9.160878599715306E-3</c:v>
                </c:pt>
                <c:pt idx="803">
                  <c:v>9.1817961724828118E-3</c:v>
                </c:pt>
                <c:pt idx="804">
                  <c:v>9.2027137233364094E-3</c:v>
                </c:pt>
                <c:pt idx="805">
                  <c:v>9.2236311809421583E-3</c:v>
                </c:pt>
                <c:pt idx="806">
                  <c:v>9.2445484740090005E-3</c:v>
                </c:pt>
                <c:pt idx="807">
                  <c:v>9.2654655312886993E-3</c:v>
                </c:pt>
                <c:pt idx="808">
                  <c:v>9.2863822815757967E-3</c:v>
                </c:pt>
                <c:pt idx="809">
                  <c:v>9.3072986537075589E-3</c:v>
                </c:pt>
                <c:pt idx="810">
                  <c:v>9.3282145765639316E-3</c:v>
                </c:pt>
                <c:pt idx="811">
                  <c:v>9.3491299790674914E-3</c:v>
                </c:pt>
                <c:pt idx="812">
                  <c:v>9.3700447901834093E-3</c:v>
                </c:pt>
                <c:pt idx="813">
                  <c:v>9.3909589389193984E-3</c:v>
                </c:pt>
                <c:pt idx="814">
                  <c:v>9.4118723543256816E-3</c:v>
                </c:pt>
                <c:pt idx="815">
                  <c:v>9.432784965494951E-3</c:v>
                </c:pt>
                <c:pt idx="816">
                  <c:v>9.4536967015623353E-3</c:v>
                </c:pt>
                <c:pt idx="817">
                  <c:v>9.4746074917053565E-3</c:v>
                </c:pt>
                <c:pt idx="818">
                  <c:v>9.4955172651439036E-3</c:v>
                </c:pt>
                <c:pt idx="819">
                  <c:v>9.5164259511401963E-3</c:v>
                </c:pt>
                <c:pt idx="820">
                  <c:v>9.5373334789987593E-3</c:v>
                </c:pt>
                <c:pt idx="821">
                  <c:v>9.5582397780663939E-3</c:v>
                </c:pt>
                <c:pt idx="822">
                  <c:v>9.5791447777321438E-3</c:v>
                </c:pt>
                <c:pt idx="823">
                  <c:v>9.6000484074272828E-3</c:v>
                </c:pt>
                <c:pt idx="824">
                  <c:v>9.6209505966252801E-3</c:v>
                </c:pt>
                <c:pt idx="825">
                  <c:v>9.6418512748417812E-3</c:v>
                </c:pt>
                <c:pt idx="826">
                  <c:v>9.6627503716345958E-3</c:v>
                </c:pt>
                <c:pt idx="827">
                  <c:v>9.6836478166036615E-3</c:v>
                </c:pt>
                <c:pt idx="828">
                  <c:v>9.704543539391047E-3</c:v>
                </c:pt>
                <c:pt idx="829">
                  <c:v>9.7254374696809191E-3</c:v>
                </c:pt>
                <c:pt idx="830">
                  <c:v>9.7463295371995433E-3</c:v>
                </c:pt>
                <c:pt idx="831">
                  <c:v>9.7672196717152535E-3</c:v>
                </c:pt>
                <c:pt idx="832">
                  <c:v>9.7881078030384559E-3</c:v>
                </c:pt>
                <c:pt idx="833">
                  <c:v>9.8089938610216136E-3</c:v>
                </c:pt>
                <c:pt idx="834">
                  <c:v>9.8298777755592374E-3</c:v>
                </c:pt>
                <c:pt idx="835">
                  <c:v>9.8507594765878791E-3</c:v>
                </c:pt>
                <c:pt idx="836">
                  <c:v>9.8716388940861179E-3</c:v>
                </c:pt>
                <c:pt idx="837">
                  <c:v>9.8925159580745773E-3</c:v>
                </c:pt>
                <c:pt idx="838">
                  <c:v>9.9133905986158975E-3</c:v>
                </c:pt>
                <c:pt idx="839">
                  <c:v>9.9342627458147495E-3</c:v>
                </c:pt>
                <c:pt idx="840">
                  <c:v>9.9551323298178312E-3</c:v>
                </c:pt>
                <c:pt idx="841">
                  <c:v>9.9759992808138628E-3</c:v>
                </c:pt>
                <c:pt idx="842">
                  <c:v>9.9968635290335981E-3</c:v>
                </c:pt>
                <c:pt idx="843">
                  <c:v>1.001772500474982E-2</c:v>
                </c:pt>
                <c:pt idx="844">
                  <c:v>1.003858363827735E-2</c:v>
                </c:pt>
                <c:pt idx="845">
                  <c:v>1.005943935997305E-2</c:v>
                </c:pt>
                <c:pt idx="846">
                  <c:v>1.0080292100235838E-2</c:v>
                </c:pt>
                <c:pt idx="847">
                  <c:v>1.010114178950669E-2</c:v>
                </c:pt>
                <c:pt idx="848">
                  <c:v>1.0121988358268649E-2</c:v>
                </c:pt>
                <c:pt idx="849">
                  <c:v>1.0142831737046838E-2</c:v>
                </c:pt>
                <c:pt idx="850">
                  <c:v>1.0163671856408476E-2</c:v>
                </c:pt>
                <c:pt idx="851">
                  <c:v>1.0184508646962886E-2</c:v>
                </c:pt>
                <c:pt idx="852">
                  <c:v>1.020534203936151E-2</c:v>
                </c:pt>
                <c:pt idx="853">
                  <c:v>1.0226171964297925E-2</c:v>
                </c:pt>
                <c:pt idx="854">
                  <c:v>1.0246998352507869E-2</c:v>
                </c:pt>
                <c:pt idx="855">
                  <c:v>1.0267821134769243E-2</c:v>
                </c:pt>
                <c:pt idx="856">
                  <c:v>1.0288640241902139E-2</c:v>
                </c:pt>
                <c:pt idx="857">
                  <c:v>1.0309455604768866E-2</c:v>
                </c:pt>
                <c:pt idx="858">
                  <c:v>1.0330267154273954E-2</c:v>
                </c:pt>
                <c:pt idx="859">
                  <c:v>1.0351074821364201E-2</c:v>
                </c:pt>
                <c:pt idx="860">
                  <c:v>1.0371878537028666E-2</c:v>
                </c:pt>
                <c:pt idx="861">
                  <c:v>1.0392678232298723E-2</c:v>
                </c:pt>
                <c:pt idx="862">
                  <c:v>1.0413473838248071E-2</c:v>
                </c:pt>
                <c:pt idx="863">
                  <c:v>1.0434265285992762E-2</c:v>
                </c:pt>
                <c:pt idx="864">
                  <c:v>1.0455052506691228E-2</c:v>
                </c:pt>
                <c:pt idx="865">
                  <c:v>1.0475835431544315E-2</c:v>
                </c:pt>
                <c:pt idx="866">
                  <c:v>1.0496613991795307E-2</c:v>
                </c:pt>
                <c:pt idx="867">
                  <c:v>1.0517388118729962E-2</c:v>
                </c:pt>
                <c:pt idx="868">
                  <c:v>1.0538157743676536E-2</c:v>
                </c:pt>
                <c:pt idx="869">
                  <c:v>1.0558922798005823E-2</c:v>
                </c:pt>
                <c:pt idx="870">
                  <c:v>1.0579683213131182E-2</c:v>
                </c:pt>
                <c:pt idx="871">
                  <c:v>1.0600438920508581E-2</c:v>
                </c:pt>
                <c:pt idx="872">
                  <c:v>1.0621189851636618E-2</c:v>
                </c:pt>
                <c:pt idx="873">
                  <c:v>1.0641935938056575E-2</c:v>
                </c:pt>
                <c:pt idx="874">
                  <c:v>1.0662677111352433E-2</c:v>
                </c:pt>
                <c:pt idx="875">
                  <c:v>1.0683413303150938E-2</c:v>
                </c:pt>
                <c:pt idx="876">
                  <c:v>1.070414444512161E-2</c:v>
                </c:pt>
                <c:pt idx="877">
                  <c:v>1.0724870468976808E-2</c:v>
                </c:pt>
                <c:pt idx="878">
                  <c:v>1.0745591306471755E-2</c:v>
                </c:pt>
                <c:pt idx="879">
                  <c:v>1.0766306889404584E-2</c:v>
                </c:pt>
                <c:pt idx="880">
                  <c:v>1.0787017149616383E-2</c:v>
                </c:pt>
                <c:pt idx="881">
                  <c:v>1.0807722018991236E-2</c:v>
                </c:pt>
                <c:pt idx="882">
                  <c:v>1.0828421429456267E-2</c:v>
                </c:pt>
                <c:pt idx="883">
                  <c:v>1.0849115312981685E-2</c:v>
                </c:pt>
                <c:pt idx="884">
                  <c:v>1.0869803601580828E-2</c:v>
                </c:pt>
                <c:pt idx="885">
                  <c:v>1.0890486227310207E-2</c:v>
                </c:pt>
                <c:pt idx="886">
                  <c:v>1.0911163122269569E-2</c:v>
                </c:pt>
                <c:pt idx="887">
                  <c:v>1.0931834218601923E-2</c:v>
                </c:pt>
                <c:pt idx="888">
                  <c:v>1.0952499448493597E-2</c:v>
                </c:pt>
                <c:pt idx="889">
                  <c:v>1.0973158744174295E-2</c:v>
                </c:pt>
                <c:pt idx="890">
                  <c:v>1.0993812037917144E-2</c:v>
                </c:pt>
                <c:pt idx="891">
                  <c:v>1.1014459262038732E-2</c:v>
                </c:pt>
                <c:pt idx="892">
                  <c:v>1.1035100348899174E-2</c:v>
                </c:pt>
                <c:pt idx="893">
                  <c:v>1.1055735230902163E-2</c:v>
                </c:pt>
                <c:pt idx="894">
                  <c:v>1.1076363840495016E-2</c:v>
                </c:pt>
                <c:pt idx="895">
                  <c:v>1.109698611016873E-2</c:v>
                </c:pt>
                <c:pt idx="896">
                  <c:v>1.1117601972458042E-2</c:v>
                </c:pt>
                <c:pt idx="897">
                  <c:v>1.1138211359941481E-2</c:v>
                </c:pt>
                <c:pt idx="898">
                  <c:v>1.1158814205241414E-2</c:v>
                </c:pt>
                <c:pt idx="899">
                  <c:v>1.1179410441024117E-2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50-4F61-871F-C6D1DEEAA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phi [deg]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초기 틈새 </a:t>
                </a:r>
                <a:r>
                  <a:rPr lang="en-US" altLang="ko-KR"/>
                  <a:t>[</a:t>
                </a:r>
                <a:r>
                  <a:rPr lang="en-US"/>
                  <a:t>mm]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반경 변화 </a:t>
            </a:r>
            <a:r>
              <a:rPr lang="en-US" altLang="ko-KR"/>
              <a:t>(</a:t>
            </a:r>
            <a:r>
              <a:rPr lang="ko-KR" altLang="en-US"/>
              <a:t>꽃잎 개수 확인용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표준 반경</c:v>
          </c:tx>
          <c:spPr>
            <a:ln w="14000">
              <a:prstDash val="solid"/>
            </a:ln>
          </c:spPr>
          <c:marker>
            <c:symbol val="none"/>
          </c:marker>
          <c:xVal>
            <c:numRef>
              <c:f>'2.치형좌표'!$A$6:$A$1805</c:f>
              <c:numCache>
                <c:formatCode>0.00000</c:formatCode>
                <c:ptCount val="180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  <c:pt idx="101">
                  <c:v>20.19999999999996</c:v>
                </c:pt>
                <c:pt idx="102">
                  <c:v>20.399999999999959</c:v>
                </c:pt>
                <c:pt idx="103">
                  <c:v>20.599999999999959</c:v>
                </c:pt>
                <c:pt idx="104">
                  <c:v>20.799999999999958</c:v>
                </c:pt>
                <c:pt idx="105">
                  <c:v>20.999999999999957</c:v>
                </c:pt>
                <c:pt idx="106">
                  <c:v>21.199999999999957</c:v>
                </c:pt>
                <c:pt idx="107">
                  <c:v>21.399999999999956</c:v>
                </c:pt>
                <c:pt idx="108">
                  <c:v>21.599999999999955</c:v>
                </c:pt>
                <c:pt idx="109">
                  <c:v>21.799999999999955</c:v>
                </c:pt>
                <c:pt idx="110">
                  <c:v>21.999999999999954</c:v>
                </c:pt>
                <c:pt idx="111">
                  <c:v>22.199999999999953</c:v>
                </c:pt>
                <c:pt idx="112">
                  <c:v>22.399999999999952</c:v>
                </c:pt>
                <c:pt idx="113">
                  <c:v>22.599999999999952</c:v>
                </c:pt>
                <c:pt idx="114">
                  <c:v>22.799999999999951</c:v>
                </c:pt>
                <c:pt idx="115">
                  <c:v>22.99999999999995</c:v>
                </c:pt>
                <c:pt idx="116">
                  <c:v>23.19999999999995</c:v>
                </c:pt>
                <c:pt idx="117">
                  <c:v>23.399999999999949</c:v>
                </c:pt>
                <c:pt idx="118">
                  <c:v>23.599999999999948</c:v>
                </c:pt>
                <c:pt idx="119">
                  <c:v>23.799999999999947</c:v>
                </c:pt>
                <c:pt idx="120">
                  <c:v>23.999999999999947</c:v>
                </c:pt>
                <c:pt idx="121">
                  <c:v>24.199999999999946</c:v>
                </c:pt>
                <c:pt idx="122">
                  <c:v>24.399999999999945</c:v>
                </c:pt>
                <c:pt idx="123">
                  <c:v>24.599999999999945</c:v>
                </c:pt>
                <c:pt idx="124">
                  <c:v>24.799999999999944</c:v>
                </c:pt>
                <c:pt idx="125">
                  <c:v>24.999999999999943</c:v>
                </c:pt>
                <c:pt idx="126">
                  <c:v>25.199999999999942</c:v>
                </c:pt>
                <c:pt idx="127">
                  <c:v>25.399999999999942</c:v>
                </c:pt>
                <c:pt idx="128">
                  <c:v>25.599999999999941</c:v>
                </c:pt>
                <c:pt idx="129">
                  <c:v>25.79999999999994</c:v>
                </c:pt>
                <c:pt idx="130">
                  <c:v>25.99999999999994</c:v>
                </c:pt>
                <c:pt idx="131">
                  <c:v>26.199999999999939</c:v>
                </c:pt>
                <c:pt idx="132">
                  <c:v>26.399999999999938</c:v>
                </c:pt>
                <c:pt idx="133">
                  <c:v>26.599999999999937</c:v>
                </c:pt>
                <c:pt idx="134">
                  <c:v>26.799999999999937</c:v>
                </c:pt>
                <c:pt idx="135">
                  <c:v>26.999999999999936</c:v>
                </c:pt>
                <c:pt idx="136">
                  <c:v>27.199999999999935</c:v>
                </c:pt>
                <c:pt idx="137">
                  <c:v>27.399999999999935</c:v>
                </c:pt>
                <c:pt idx="138">
                  <c:v>27.599999999999934</c:v>
                </c:pt>
                <c:pt idx="139">
                  <c:v>27.799999999999933</c:v>
                </c:pt>
                <c:pt idx="140">
                  <c:v>27.999999999999932</c:v>
                </c:pt>
                <c:pt idx="141">
                  <c:v>28.199999999999932</c:v>
                </c:pt>
                <c:pt idx="142">
                  <c:v>28.399999999999931</c:v>
                </c:pt>
                <c:pt idx="143">
                  <c:v>28.59999999999993</c:v>
                </c:pt>
                <c:pt idx="144">
                  <c:v>28.79999999999993</c:v>
                </c:pt>
                <c:pt idx="145">
                  <c:v>28.999999999999929</c:v>
                </c:pt>
                <c:pt idx="146">
                  <c:v>29.199999999999928</c:v>
                </c:pt>
                <c:pt idx="147">
                  <c:v>29.399999999999928</c:v>
                </c:pt>
                <c:pt idx="148">
                  <c:v>29.599999999999927</c:v>
                </c:pt>
                <c:pt idx="149">
                  <c:v>29.799999999999926</c:v>
                </c:pt>
                <c:pt idx="150">
                  <c:v>29.999999999999925</c:v>
                </c:pt>
                <c:pt idx="151">
                  <c:v>30.199999999999925</c:v>
                </c:pt>
                <c:pt idx="152">
                  <c:v>30.399999999999924</c:v>
                </c:pt>
                <c:pt idx="153">
                  <c:v>30.599999999999923</c:v>
                </c:pt>
                <c:pt idx="154">
                  <c:v>30.799999999999923</c:v>
                </c:pt>
                <c:pt idx="155">
                  <c:v>30.999999999999922</c:v>
                </c:pt>
                <c:pt idx="156">
                  <c:v>31.199999999999921</c:v>
                </c:pt>
                <c:pt idx="157">
                  <c:v>31.39999999999992</c:v>
                </c:pt>
                <c:pt idx="158">
                  <c:v>31.59999999999992</c:v>
                </c:pt>
                <c:pt idx="159">
                  <c:v>31.799999999999919</c:v>
                </c:pt>
                <c:pt idx="160">
                  <c:v>31.999999999999918</c:v>
                </c:pt>
                <c:pt idx="161">
                  <c:v>32.199999999999918</c:v>
                </c:pt>
                <c:pt idx="162">
                  <c:v>32.39999999999992</c:v>
                </c:pt>
                <c:pt idx="163">
                  <c:v>32.599999999999923</c:v>
                </c:pt>
                <c:pt idx="164">
                  <c:v>32.799999999999926</c:v>
                </c:pt>
                <c:pt idx="165">
                  <c:v>32.999999999999929</c:v>
                </c:pt>
                <c:pt idx="166">
                  <c:v>33.199999999999932</c:v>
                </c:pt>
                <c:pt idx="167">
                  <c:v>33.399999999999935</c:v>
                </c:pt>
                <c:pt idx="168">
                  <c:v>33.599999999999937</c:v>
                </c:pt>
                <c:pt idx="169">
                  <c:v>33.79999999999994</c:v>
                </c:pt>
                <c:pt idx="170">
                  <c:v>33.999999999999943</c:v>
                </c:pt>
                <c:pt idx="171">
                  <c:v>34.199999999999946</c:v>
                </c:pt>
                <c:pt idx="172">
                  <c:v>34.399999999999949</c:v>
                </c:pt>
                <c:pt idx="173">
                  <c:v>34.599999999999952</c:v>
                </c:pt>
                <c:pt idx="174">
                  <c:v>34.799999999999955</c:v>
                </c:pt>
                <c:pt idx="175">
                  <c:v>34.999999999999957</c:v>
                </c:pt>
                <c:pt idx="176">
                  <c:v>35.19999999999996</c:v>
                </c:pt>
                <c:pt idx="177">
                  <c:v>35.399999999999963</c:v>
                </c:pt>
                <c:pt idx="178">
                  <c:v>35.599999999999966</c:v>
                </c:pt>
                <c:pt idx="179">
                  <c:v>35.799999999999969</c:v>
                </c:pt>
                <c:pt idx="180">
                  <c:v>35.999999999999972</c:v>
                </c:pt>
                <c:pt idx="181">
                  <c:v>36.199999999999974</c:v>
                </c:pt>
                <c:pt idx="182">
                  <c:v>36.399999999999977</c:v>
                </c:pt>
                <c:pt idx="183">
                  <c:v>36.59999999999998</c:v>
                </c:pt>
                <c:pt idx="184">
                  <c:v>36.799999999999983</c:v>
                </c:pt>
                <c:pt idx="185">
                  <c:v>36.999999999999986</c:v>
                </c:pt>
                <c:pt idx="186">
                  <c:v>37.199999999999989</c:v>
                </c:pt>
                <c:pt idx="187">
                  <c:v>37.399999999999991</c:v>
                </c:pt>
                <c:pt idx="188">
                  <c:v>37.599999999999994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38.400000000000006</c:v>
                </c:pt>
                <c:pt idx="193">
                  <c:v>38.600000000000009</c:v>
                </c:pt>
                <c:pt idx="194">
                  <c:v>38.800000000000011</c:v>
                </c:pt>
                <c:pt idx="195">
                  <c:v>39.000000000000014</c:v>
                </c:pt>
                <c:pt idx="196">
                  <c:v>39.200000000000017</c:v>
                </c:pt>
                <c:pt idx="197">
                  <c:v>39.40000000000002</c:v>
                </c:pt>
                <c:pt idx="198">
                  <c:v>39.600000000000023</c:v>
                </c:pt>
                <c:pt idx="199">
                  <c:v>39.800000000000026</c:v>
                </c:pt>
                <c:pt idx="200">
                  <c:v>40.000000000000028</c:v>
                </c:pt>
                <c:pt idx="201">
                  <c:v>40.200000000000031</c:v>
                </c:pt>
                <c:pt idx="202">
                  <c:v>40.400000000000034</c:v>
                </c:pt>
                <c:pt idx="203">
                  <c:v>40.600000000000037</c:v>
                </c:pt>
                <c:pt idx="204">
                  <c:v>40.80000000000004</c:v>
                </c:pt>
                <c:pt idx="205">
                  <c:v>41.000000000000043</c:v>
                </c:pt>
                <c:pt idx="206">
                  <c:v>41.200000000000045</c:v>
                </c:pt>
                <c:pt idx="207">
                  <c:v>41.400000000000048</c:v>
                </c:pt>
                <c:pt idx="208">
                  <c:v>41.600000000000051</c:v>
                </c:pt>
                <c:pt idx="209">
                  <c:v>41.800000000000054</c:v>
                </c:pt>
                <c:pt idx="210">
                  <c:v>42.000000000000057</c:v>
                </c:pt>
                <c:pt idx="211">
                  <c:v>42.20000000000006</c:v>
                </c:pt>
                <c:pt idx="212">
                  <c:v>42.400000000000063</c:v>
                </c:pt>
                <c:pt idx="213">
                  <c:v>42.600000000000065</c:v>
                </c:pt>
                <c:pt idx="214">
                  <c:v>42.800000000000068</c:v>
                </c:pt>
                <c:pt idx="215">
                  <c:v>43.000000000000071</c:v>
                </c:pt>
                <c:pt idx="216">
                  <c:v>43.200000000000074</c:v>
                </c:pt>
                <c:pt idx="217">
                  <c:v>43.400000000000077</c:v>
                </c:pt>
                <c:pt idx="218">
                  <c:v>43.60000000000008</c:v>
                </c:pt>
                <c:pt idx="219">
                  <c:v>43.800000000000082</c:v>
                </c:pt>
                <c:pt idx="220">
                  <c:v>44.000000000000085</c:v>
                </c:pt>
                <c:pt idx="221">
                  <c:v>44.200000000000088</c:v>
                </c:pt>
                <c:pt idx="222">
                  <c:v>44.400000000000091</c:v>
                </c:pt>
                <c:pt idx="223">
                  <c:v>44.600000000000094</c:v>
                </c:pt>
                <c:pt idx="224">
                  <c:v>44.800000000000097</c:v>
                </c:pt>
                <c:pt idx="225">
                  <c:v>45.000000000000099</c:v>
                </c:pt>
                <c:pt idx="226">
                  <c:v>45.200000000000102</c:v>
                </c:pt>
                <c:pt idx="227">
                  <c:v>45.400000000000105</c:v>
                </c:pt>
                <c:pt idx="228">
                  <c:v>45.600000000000108</c:v>
                </c:pt>
                <c:pt idx="229">
                  <c:v>45.800000000000111</c:v>
                </c:pt>
                <c:pt idx="230">
                  <c:v>46.000000000000114</c:v>
                </c:pt>
                <c:pt idx="231">
                  <c:v>46.200000000000117</c:v>
                </c:pt>
                <c:pt idx="232">
                  <c:v>46.400000000000119</c:v>
                </c:pt>
                <c:pt idx="233">
                  <c:v>46.600000000000122</c:v>
                </c:pt>
                <c:pt idx="234">
                  <c:v>46.800000000000125</c:v>
                </c:pt>
                <c:pt idx="235">
                  <c:v>47.000000000000128</c:v>
                </c:pt>
                <c:pt idx="236">
                  <c:v>47.200000000000131</c:v>
                </c:pt>
                <c:pt idx="237">
                  <c:v>47.400000000000134</c:v>
                </c:pt>
                <c:pt idx="238">
                  <c:v>47.600000000000136</c:v>
                </c:pt>
                <c:pt idx="239">
                  <c:v>47.800000000000139</c:v>
                </c:pt>
                <c:pt idx="240">
                  <c:v>48.000000000000142</c:v>
                </c:pt>
                <c:pt idx="241">
                  <c:v>48.200000000000145</c:v>
                </c:pt>
                <c:pt idx="242">
                  <c:v>48.400000000000148</c:v>
                </c:pt>
                <c:pt idx="243">
                  <c:v>48.600000000000151</c:v>
                </c:pt>
                <c:pt idx="244">
                  <c:v>48.800000000000153</c:v>
                </c:pt>
                <c:pt idx="245">
                  <c:v>49.000000000000156</c:v>
                </c:pt>
                <c:pt idx="246">
                  <c:v>49.200000000000159</c:v>
                </c:pt>
                <c:pt idx="247">
                  <c:v>49.400000000000162</c:v>
                </c:pt>
                <c:pt idx="248">
                  <c:v>49.600000000000165</c:v>
                </c:pt>
                <c:pt idx="249">
                  <c:v>49.800000000000168</c:v>
                </c:pt>
                <c:pt idx="250">
                  <c:v>50.000000000000171</c:v>
                </c:pt>
                <c:pt idx="251">
                  <c:v>50.200000000000173</c:v>
                </c:pt>
                <c:pt idx="252">
                  <c:v>50.400000000000176</c:v>
                </c:pt>
                <c:pt idx="253">
                  <c:v>50.600000000000179</c:v>
                </c:pt>
                <c:pt idx="254">
                  <c:v>50.800000000000182</c:v>
                </c:pt>
                <c:pt idx="255">
                  <c:v>51.000000000000185</c:v>
                </c:pt>
                <c:pt idx="256">
                  <c:v>51.200000000000188</c:v>
                </c:pt>
                <c:pt idx="257">
                  <c:v>51.40000000000019</c:v>
                </c:pt>
                <c:pt idx="258">
                  <c:v>51.600000000000193</c:v>
                </c:pt>
                <c:pt idx="259">
                  <c:v>51.800000000000196</c:v>
                </c:pt>
                <c:pt idx="260">
                  <c:v>52.000000000000199</c:v>
                </c:pt>
                <c:pt idx="261">
                  <c:v>52.200000000000202</c:v>
                </c:pt>
                <c:pt idx="262">
                  <c:v>52.400000000000205</c:v>
                </c:pt>
                <c:pt idx="263">
                  <c:v>52.600000000000207</c:v>
                </c:pt>
                <c:pt idx="264">
                  <c:v>52.80000000000021</c:v>
                </c:pt>
                <c:pt idx="265">
                  <c:v>53.000000000000213</c:v>
                </c:pt>
                <c:pt idx="266">
                  <c:v>53.200000000000216</c:v>
                </c:pt>
                <c:pt idx="267">
                  <c:v>53.400000000000219</c:v>
                </c:pt>
                <c:pt idx="268">
                  <c:v>53.600000000000222</c:v>
                </c:pt>
                <c:pt idx="269">
                  <c:v>53.800000000000225</c:v>
                </c:pt>
                <c:pt idx="270">
                  <c:v>54.000000000000227</c:v>
                </c:pt>
                <c:pt idx="271">
                  <c:v>54.20000000000023</c:v>
                </c:pt>
                <c:pt idx="272">
                  <c:v>54.400000000000233</c:v>
                </c:pt>
                <c:pt idx="273">
                  <c:v>54.600000000000236</c:v>
                </c:pt>
                <c:pt idx="274">
                  <c:v>54.800000000000239</c:v>
                </c:pt>
                <c:pt idx="275">
                  <c:v>55.000000000000242</c:v>
                </c:pt>
                <c:pt idx="276">
                  <c:v>55.200000000000244</c:v>
                </c:pt>
                <c:pt idx="277">
                  <c:v>55.400000000000247</c:v>
                </c:pt>
                <c:pt idx="278">
                  <c:v>55.60000000000025</c:v>
                </c:pt>
                <c:pt idx="279">
                  <c:v>55.800000000000253</c:v>
                </c:pt>
                <c:pt idx="280">
                  <c:v>56.000000000000256</c:v>
                </c:pt>
                <c:pt idx="281">
                  <c:v>56.200000000000259</c:v>
                </c:pt>
                <c:pt idx="282">
                  <c:v>56.400000000000261</c:v>
                </c:pt>
                <c:pt idx="283">
                  <c:v>56.600000000000264</c:v>
                </c:pt>
                <c:pt idx="284">
                  <c:v>56.800000000000267</c:v>
                </c:pt>
                <c:pt idx="285">
                  <c:v>57.00000000000027</c:v>
                </c:pt>
                <c:pt idx="286">
                  <c:v>57.200000000000273</c:v>
                </c:pt>
                <c:pt idx="287">
                  <c:v>57.400000000000276</c:v>
                </c:pt>
                <c:pt idx="288">
                  <c:v>57.600000000000279</c:v>
                </c:pt>
                <c:pt idx="289">
                  <c:v>57.800000000000281</c:v>
                </c:pt>
                <c:pt idx="290">
                  <c:v>58.000000000000284</c:v>
                </c:pt>
                <c:pt idx="291">
                  <c:v>58.200000000000287</c:v>
                </c:pt>
                <c:pt idx="292">
                  <c:v>58.40000000000029</c:v>
                </c:pt>
                <c:pt idx="293">
                  <c:v>58.600000000000293</c:v>
                </c:pt>
                <c:pt idx="294">
                  <c:v>58.800000000000296</c:v>
                </c:pt>
                <c:pt idx="295">
                  <c:v>59.000000000000298</c:v>
                </c:pt>
                <c:pt idx="296">
                  <c:v>59.200000000000301</c:v>
                </c:pt>
                <c:pt idx="297">
                  <c:v>59.400000000000304</c:v>
                </c:pt>
                <c:pt idx="298">
                  <c:v>59.600000000000307</c:v>
                </c:pt>
                <c:pt idx="299">
                  <c:v>59.80000000000031</c:v>
                </c:pt>
                <c:pt idx="300">
                  <c:v>60.000000000000313</c:v>
                </c:pt>
                <c:pt idx="301">
                  <c:v>60.200000000000315</c:v>
                </c:pt>
                <c:pt idx="302">
                  <c:v>60.400000000000318</c:v>
                </c:pt>
                <c:pt idx="303">
                  <c:v>60.600000000000321</c:v>
                </c:pt>
                <c:pt idx="304">
                  <c:v>60.800000000000324</c:v>
                </c:pt>
                <c:pt idx="305">
                  <c:v>61.000000000000327</c:v>
                </c:pt>
                <c:pt idx="306">
                  <c:v>61.20000000000033</c:v>
                </c:pt>
                <c:pt idx="307">
                  <c:v>61.400000000000333</c:v>
                </c:pt>
                <c:pt idx="308">
                  <c:v>61.600000000000335</c:v>
                </c:pt>
                <c:pt idx="309">
                  <c:v>61.800000000000338</c:v>
                </c:pt>
                <c:pt idx="310">
                  <c:v>62.000000000000341</c:v>
                </c:pt>
                <c:pt idx="311">
                  <c:v>62.200000000000344</c:v>
                </c:pt>
                <c:pt idx="312">
                  <c:v>62.400000000000347</c:v>
                </c:pt>
                <c:pt idx="313">
                  <c:v>62.60000000000035</c:v>
                </c:pt>
                <c:pt idx="314">
                  <c:v>62.800000000000352</c:v>
                </c:pt>
                <c:pt idx="315">
                  <c:v>63.000000000000355</c:v>
                </c:pt>
                <c:pt idx="316">
                  <c:v>63.200000000000358</c:v>
                </c:pt>
                <c:pt idx="317">
                  <c:v>63.400000000000361</c:v>
                </c:pt>
                <c:pt idx="318">
                  <c:v>63.600000000000364</c:v>
                </c:pt>
                <c:pt idx="319">
                  <c:v>63.800000000000367</c:v>
                </c:pt>
                <c:pt idx="320">
                  <c:v>64.000000000000369</c:v>
                </c:pt>
                <c:pt idx="321">
                  <c:v>64.200000000000372</c:v>
                </c:pt>
                <c:pt idx="322">
                  <c:v>64.400000000000375</c:v>
                </c:pt>
                <c:pt idx="323">
                  <c:v>64.600000000000378</c:v>
                </c:pt>
                <c:pt idx="324">
                  <c:v>64.800000000000381</c:v>
                </c:pt>
                <c:pt idx="325">
                  <c:v>65.000000000000384</c:v>
                </c:pt>
                <c:pt idx="326">
                  <c:v>65.200000000000387</c:v>
                </c:pt>
                <c:pt idx="327">
                  <c:v>65.400000000000389</c:v>
                </c:pt>
                <c:pt idx="328">
                  <c:v>65.600000000000392</c:v>
                </c:pt>
                <c:pt idx="329">
                  <c:v>65.800000000000395</c:v>
                </c:pt>
                <c:pt idx="330">
                  <c:v>66.000000000000398</c:v>
                </c:pt>
                <c:pt idx="331">
                  <c:v>66.200000000000401</c:v>
                </c:pt>
                <c:pt idx="332">
                  <c:v>66.400000000000404</c:v>
                </c:pt>
                <c:pt idx="333">
                  <c:v>66.600000000000406</c:v>
                </c:pt>
                <c:pt idx="334">
                  <c:v>66.800000000000409</c:v>
                </c:pt>
                <c:pt idx="335">
                  <c:v>67.000000000000412</c:v>
                </c:pt>
                <c:pt idx="336">
                  <c:v>67.200000000000415</c:v>
                </c:pt>
                <c:pt idx="337">
                  <c:v>67.400000000000418</c:v>
                </c:pt>
                <c:pt idx="338">
                  <c:v>67.600000000000421</c:v>
                </c:pt>
                <c:pt idx="339">
                  <c:v>67.800000000000423</c:v>
                </c:pt>
                <c:pt idx="340">
                  <c:v>68.000000000000426</c:v>
                </c:pt>
                <c:pt idx="341">
                  <c:v>68.200000000000429</c:v>
                </c:pt>
                <c:pt idx="342">
                  <c:v>68.400000000000432</c:v>
                </c:pt>
                <c:pt idx="343">
                  <c:v>68.600000000000435</c:v>
                </c:pt>
                <c:pt idx="344">
                  <c:v>68.800000000000438</c:v>
                </c:pt>
                <c:pt idx="345">
                  <c:v>69.000000000000441</c:v>
                </c:pt>
                <c:pt idx="346">
                  <c:v>69.200000000000443</c:v>
                </c:pt>
                <c:pt idx="347">
                  <c:v>69.400000000000446</c:v>
                </c:pt>
                <c:pt idx="348">
                  <c:v>69.600000000000449</c:v>
                </c:pt>
                <c:pt idx="349">
                  <c:v>69.800000000000452</c:v>
                </c:pt>
                <c:pt idx="350">
                  <c:v>70.000000000000455</c:v>
                </c:pt>
                <c:pt idx="351">
                  <c:v>70.200000000000458</c:v>
                </c:pt>
                <c:pt idx="352">
                  <c:v>70.40000000000046</c:v>
                </c:pt>
                <c:pt idx="353">
                  <c:v>70.600000000000463</c:v>
                </c:pt>
                <c:pt idx="354">
                  <c:v>70.800000000000466</c:v>
                </c:pt>
                <c:pt idx="355">
                  <c:v>71.000000000000469</c:v>
                </c:pt>
                <c:pt idx="356">
                  <c:v>71.200000000000472</c:v>
                </c:pt>
                <c:pt idx="357">
                  <c:v>71.400000000000475</c:v>
                </c:pt>
                <c:pt idx="358">
                  <c:v>71.600000000000477</c:v>
                </c:pt>
                <c:pt idx="359">
                  <c:v>71.80000000000048</c:v>
                </c:pt>
                <c:pt idx="360">
                  <c:v>72.000000000000483</c:v>
                </c:pt>
                <c:pt idx="361">
                  <c:v>72.200000000000486</c:v>
                </c:pt>
                <c:pt idx="362">
                  <c:v>72.400000000000489</c:v>
                </c:pt>
                <c:pt idx="363">
                  <c:v>72.600000000000492</c:v>
                </c:pt>
                <c:pt idx="364">
                  <c:v>72.800000000000495</c:v>
                </c:pt>
                <c:pt idx="365">
                  <c:v>73.000000000000497</c:v>
                </c:pt>
                <c:pt idx="366">
                  <c:v>73.2000000000005</c:v>
                </c:pt>
                <c:pt idx="367">
                  <c:v>73.400000000000503</c:v>
                </c:pt>
                <c:pt idx="368">
                  <c:v>73.600000000000506</c:v>
                </c:pt>
                <c:pt idx="369">
                  <c:v>73.800000000000509</c:v>
                </c:pt>
                <c:pt idx="370">
                  <c:v>74.000000000000512</c:v>
                </c:pt>
                <c:pt idx="371">
                  <c:v>74.200000000000514</c:v>
                </c:pt>
                <c:pt idx="372">
                  <c:v>74.400000000000517</c:v>
                </c:pt>
                <c:pt idx="373">
                  <c:v>74.60000000000052</c:v>
                </c:pt>
                <c:pt idx="374">
                  <c:v>74.800000000000523</c:v>
                </c:pt>
                <c:pt idx="375">
                  <c:v>75.000000000000526</c:v>
                </c:pt>
                <c:pt idx="376">
                  <c:v>75.200000000000529</c:v>
                </c:pt>
                <c:pt idx="377">
                  <c:v>75.400000000000531</c:v>
                </c:pt>
                <c:pt idx="378">
                  <c:v>75.600000000000534</c:v>
                </c:pt>
                <c:pt idx="379">
                  <c:v>75.800000000000537</c:v>
                </c:pt>
                <c:pt idx="380">
                  <c:v>76.00000000000054</c:v>
                </c:pt>
                <c:pt idx="381">
                  <c:v>76.200000000000543</c:v>
                </c:pt>
                <c:pt idx="382">
                  <c:v>76.400000000000546</c:v>
                </c:pt>
                <c:pt idx="383">
                  <c:v>76.600000000000549</c:v>
                </c:pt>
                <c:pt idx="384">
                  <c:v>76.800000000000551</c:v>
                </c:pt>
                <c:pt idx="385">
                  <c:v>77.000000000000554</c:v>
                </c:pt>
                <c:pt idx="386">
                  <c:v>77.200000000000557</c:v>
                </c:pt>
                <c:pt idx="387">
                  <c:v>77.40000000000056</c:v>
                </c:pt>
                <c:pt idx="388">
                  <c:v>77.600000000000563</c:v>
                </c:pt>
                <c:pt idx="389">
                  <c:v>77.800000000000566</c:v>
                </c:pt>
                <c:pt idx="390">
                  <c:v>78.000000000000568</c:v>
                </c:pt>
                <c:pt idx="391">
                  <c:v>78.200000000000571</c:v>
                </c:pt>
                <c:pt idx="392">
                  <c:v>78.400000000000574</c:v>
                </c:pt>
                <c:pt idx="393">
                  <c:v>78.600000000000577</c:v>
                </c:pt>
                <c:pt idx="394">
                  <c:v>78.80000000000058</c:v>
                </c:pt>
                <c:pt idx="395">
                  <c:v>79.000000000000583</c:v>
                </c:pt>
                <c:pt idx="396">
                  <c:v>79.200000000000585</c:v>
                </c:pt>
                <c:pt idx="397">
                  <c:v>79.400000000000588</c:v>
                </c:pt>
                <c:pt idx="398">
                  <c:v>79.600000000000591</c:v>
                </c:pt>
                <c:pt idx="399">
                  <c:v>79.800000000000594</c:v>
                </c:pt>
                <c:pt idx="400">
                  <c:v>80.000000000000597</c:v>
                </c:pt>
                <c:pt idx="401">
                  <c:v>80.2000000000006</c:v>
                </c:pt>
                <c:pt idx="402">
                  <c:v>80.400000000000603</c:v>
                </c:pt>
                <c:pt idx="403">
                  <c:v>80.600000000000605</c:v>
                </c:pt>
                <c:pt idx="404">
                  <c:v>80.800000000000608</c:v>
                </c:pt>
                <c:pt idx="405">
                  <c:v>81.000000000000611</c:v>
                </c:pt>
                <c:pt idx="406">
                  <c:v>81.200000000000614</c:v>
                </c:pt>
                <c:pt idx="407">
                  <c:v>81.400000000000617</c:v>
                </c:pt>
                <c:pt idx="408">
                  <c:v>81.60000000000062</c:v>
                </c:pt>
                <c:pt idx="409">
                  <c:v>81.800000000000622</c:v>
                </c:pt>
                <c:pt idx="410">
                  <c:v>82.000000000000625</c:v>
                </c:pt>
                <c:pt idx="411">
                  <c:v>82.200000000000628</c:v>
                </c:pt>
                <c:pt idx="412">
                  <c:v>82.400000000000631</c:v>
                </c:pt>
                <c:pt idx="413">
                  <c:v>82.600000000000634</c:v>
                </c:pt>
                <c:pt idx="414">
                  <c:v>82.800000000000637</c:v>
                </c:pt>
                <c:pt idx="415">
                  <c:v>83.000000000000639</c:v>
                </c:pt>
                <c:pt idx="416">
                  <c:v>83.200000000000642</c:v>
                </c:pt>
                <c:pt idx="417">
                  <c:v>83.400000000000645</c:v>
                </c:pt>
                <c:pt idx="418">
                  <c:v>83.600000000000648</c:v>
                </c:pt>
                <c:pt idx="419">
                  <c:v>83.800000000000651</c:v>
                </c:pt>
                <c:pt idx="420">
                  <c:v>84.000000000000654</c:v>
                </c:pt>
                <c:pt idx="421">
                  <c:v>84.200000000000657</c:v>
                </c:pt>
                <c:pt idx="422">
                  <c:v>84.400000000000659</c:v>
                </c:pt>
                <c:pt idx="423">
                  <c:v>84.600000000000662</c:v>
                </c:pt>
                <c:pt idx="424">
                  <c:v>84.800000000000665</c:v>
                </c:pt>
                <c:pt idx="425">
                  <c:v>85.000000000000668</c:v>
                </c:pt>
                <c:pt idx="426">
                  <c:v>85.200000000000671</c:v>
                </c:pt>
                <c:pt idx="427">
                  <c:v>85.400000000000674</c:v>
                </c:pt>
                <c:pt idx="428">
                  <c:v>85.600000000000676</c:v>
                </c:pt>
                <c:pt idx="429">
                  <c:v>85.800000000000679</c:v>
                </c:pt>
                <c:pt idx="430">
                  <c:v>86.000000000000682</c:v>
                </c:pt>
                <c:pt idx="431">
                  <c:v>86.200000000000685</c:v>
                </c:pt>
                <c:pt idx="432">
                  <c:v>86.400000000000688</c:v>
                </c:pt>
                <c:pt idx="433">
                  <c:v>86.600000000000691</c:v>
                </c:pt>
                <c:pt idx="434">
                  <c:v>86.800000000000693</c:v>
                </c:pt>
                <c:pt idx="435">
                  <c:v>87.000000000000696</c:v>
                </c:pt>
                <c:pt idx="436">
                  <c:v>87.200000000000699</c:v>
                </c:pt>
                <c:pt idx="437">
                  <c:v>87.400000000000702</c:v>
                </c:pt>
                <c:pt idx="438">
                  <c:v>87.600000000000705</c:v>
                </c:pt>
                <c:pt idx="439">
                  <c:v>87.800000000000708</c:v>
                </c:pt>
                <c:pt idx="440">
                  <c:v>88.000000000000711</c:v>
                </c:pt>
                <c:pt idx="441">
                  <c:v>88.200000000000713</c:v>
                </c:pt>
                <c:pt idx="442">
                  <c:v>88.400000000000716</c:v>
                </c:pt>
                <c:pt idx="443">
                  <c:v>88.600000000000719</c:v>
                </c:pt>
                <c:pt idx="444">
                  <c:v>88.800000000000722</c:v>
                </c:pt>
                <c:pt idx="445">
                  <c:v>89.000000000000725</c:v>
                </c:pt>
                <c:pt idx="446">
                  <c:v>89.200000000000728</c:v>
                </c:pt>
                <c:pt idx="447">
                  <c:v>89.40000000000073</c:v>
                </c:pt>
                <c:pt idx="448">
                  <c:v>89.600000000000733</c:v>
                </c:pt>
                <c:pt idx="449">
                  <c:v>89.800000000000736</c:v>
                </c:pt>
                <c:pt idx="450">
                  <c:v>90.000000000000739</c:v>
                </c:pt>
                <c:pt idx="451">
                  <c:v>90.200000000000742</c:v>
                </c:pt>
                <c:pt idx="452">
                  <c:v>90.400000000000745</c:v>
                </c:pt>
                <c:pt idx="453">
                  <c:v>90.600000000000747</c:v>
                </c:pt>
                <c:pt idx="454">
                  <c:v>90.80000000000075</c:v>
                </c:pt>
                <c:pt idx="455">
                  <c:v>91.000000000000753</c:v>
                </c:pt>
                <c:pt idx="456">
                  <c:v>91.200000000000756</c:v>
                </c:pt>
                <c:pt idx="457">
                  <c:v>91.400000000000759</c:v>
                </c:pt>
                <c:pt idx="458">
                  <c:v>91.600000000000762</c:v>
                </c:pt>
                <c:pt idx="459">
                  <c:v>91.800000000000765</c:v>
                </c:pt>
                <c:pt idx="460">
                  <c:v>92.000000000000767</c:v>
                </c:pt>
                <c:pt idx="461">
                  <c:v>92.20000000000077</c:v>
                </c:pt>
                <c:pt idx="462">
                  <c:v>92.400000000000773</c:v>
                </c:pt>
                <c:pt idx="463">
                  <c:v>92.600000000000776</c:v>
                </c:pt>
                <c:pt idx="464">
                  <c:v>92.800000000000779</c:v>
                </c:pt>
                <c:pt idx="465">
                  <c:v>93.000000000000782</c:v>
                </c:pt>
                <c:pt idx="466">
                  <c:v>93.200000000000784</c:v>
                </c:pt>
                <c:pt idx="467">
                  <c:v>93.400000000000787</c:v>
                </c:pt>
                <c:pt idx="468">
                  <c:v>93.60000000000079</c:v>
                </c:pt>
                <c:pt idx="469">
                  <c:v>93.800000000000793</c:v>
                </c:pt>
                <c:pt idx="470">
                  <c:v>94.000000000000796</c:v>
                </c:pt>
                <c:pt idx="471">
                  <c:v>94.200000000000799</c:v>
                </c:pt>
                <c:pt idx="472">
                  <c:v>94.400000000000801</c:v>
                </c:pt>
                <c:pt idx="473">
                  <c:v>94.600000000000804</c:v>
                </c:pt>
                <c:pt idx="474">
                  <c:v>94.800000000000807</c:v>
                </c:pt>
                <c:pt idx="475">
                  <c:v>95.00000000000081</c:v>
                </c:pt>
                <c:pt idx="476">
                  <c:v>95.200000000000813</c:v>
                </c:pt>
                <c:pt idx="477">
                  <c:v>95.400000000000816</c:v>
                </c:pt>
                <c:pt idx="478">
                  <c:v>95.600000000000819</c:v>
                </c:pt>
                <c:pt idx="479">
                  <c:v>95.800000000000821</c:v>
                </c:pt>
                <c:pt idx="480">
                  <c:v>96.000000000000824</c:v>
                </c:pt>
                <c:pt idx="481">
                  <c:v>96.200000000000827</c:v>
                </c:pt>
                <c:pt idx="482">
                  <c:v>96.40000000000083</c:v>
                </c:pt>
                <c:pt idx="483">
                  <c:v>96.600000000000833</c:v>
                </c:pt>
                <c:pt idx="484">
                  <c:v>96.800000000000836</c:v>
                </c:pt>
                <c:pt idx="485">
                  <c:v>97.000000000000838</c:v>
                </c:pt>
                <c:pt idx="486">
                  <c:v>97.200000000000841</c:v>
                </c:pt>
                <c:pt idx="487">
                  <c:v>97.400000000000844</c:v>
                </c:pt>
                <c:pt idx="488">
                  <c:v>97.600000000000847</c:v>
                </c:pt>
                <c:pt idx="489">
                  <c:v>97.80000000000085</c:v>
                </c:pt>
                <c:pt idx="490">
                  <c:v>98.000000000000853</c:v>
                </c:pt>
                <c:pt idx="491">
                  <c:v>98.200000000000855</c:v>
                </c:pt>
                <c:pt idx="492">
                  <c:v>98.400000000000858</c:v>
                </c:pt>
                <c:pt idx="493">
                  <c:v>98.600000000000861</c:v>
                </c:pt>
                <c:pt idx="494">
                  <c:v>98.800000000000864</c:v>
                </c:pt>
                <c:pt idx="495">
                  <c:v>99.000000000000867</c:v>
                </c:pt>
                <c:pt idx="496">
                  <c:v>99.20000000000087</c:v>
                </c:pt>
                <c:pt idx="497">
                  <c:v>99.400000000000873</c:v>
                </c:pt>
                <c:pt idx="498">
                  <c:v>99.600000000000875</c:v>
                </c:pt>
                <c:pt idx="499">
                  <c:v>99.800000000000878</c:v>
                </c:pt>
                <c:pt idx="500">
                  <c:v>100.00000000000088</c:v>
                </c:pt>
                <c:pt idx="501">
                  <c:v>100.20000000000088</c:v>
                </c:pt>
                <c:pt idx="502">
                  <c:v>100.40000000000089</c:v>
                </c:pt>
                <c:pt idx="503">
                  <c:v>100.60000000000089</c:v>
                </c:pt>
                <c:pt idx="504">
                  <c:v>100.80000000000089</c:v>
                </c:pt>
                <c:pt idx="505">
                  <c:v>101.0000000000009</c:v>
                </c:pt>
                <c:pt idx="506">
                  <c:v>101.2000000000009</c:v>
                </c:pt>
                <c:pt idx="507">
                  <c:v>101.4000000000009</c:v>
                </c:pt>
                <c:pt idx="508">
                  <c:v>101.6000000000009</c:v>
                </c:pt>
                <c:pt idx="509">
                  <c:v>101.80000000000091</c:v>
                </c:pt>
                <c:pt idx="510">
                  <c:v>102.00000000000091</c:v>
                </c:pt>
                <c:pt idx="511">
                  <c:v>102.20000000000091</c:v>
                </c:pt>
                <c:pt idx="512">
                  <c:v>102.40000000000092</c:v>
                </c:pt>
                <c:pt idx="513">
                  <c:v>102.60000000000092</c:v>
                </c:pt>
                <c:pt idx="514">
                  <c:v>102.80000000000092</c:v>
                </c:pt>
                <c:pt idx="515">
                  <c:v>103.00000000000092</c:v>
                </c:pt>
                <c:pt idx="516">
                  <c:v>103.20000000000093</c:v>
                </c:pt>
                <c:pt idx="517">
                  <c:v>103.40000000000093</c:v>
                </c:pt>
                <c:pt idx="518">
                  <c:v>103.60000000000093</c:v>
                </c:pt>
                <c:pt idx="519">
                  <c:v>103.80000000000094</c:v>
                </c:pt>
                <c:pt idx="520">
                  <c:v>104.00000000000094</c:v>
                </c:pt>
                <c:pt idx="521">
                  <c:v>104.20000000000094</c:v>
                </c:pt>
                <c:pt idx="522">
                  <c:v>104.40000000000094</c:v>
                </c:pt>
                <c:pt idx="523">
                  <c:v>104.60000000000095</c:v>
                </c:pt>
                <c:pt idx="524">
                  <c:v>104.80000000000095</c:v>
                </c:pt>
                <c:pt idx="525">
                  <c:v>105.00000000000095</c:v>
                </c:pt>
                <c:pt idx="526">
                  <c:v>105.20000000000095</c:v>
                </c:pt>
                <c:pt idx="527">
                  <c:v>105.40000000000096</c:v>
                </c:pt>
                <c:pt idx="528">
                  <c:v>105.60000000000096</c:v>
                </c:pt>
                <c:pt idx="529">
                  <c:v>105.80000000000096</c:v>
                </c:pt>
                <c:pt idx="530">
                  <c:v>106.00000000000097</c:v>
                </c:pt>
                <c:pt idx="531">
                  <c:v>106.20000000000097</c:v>
                </c:pt>
                <c:pt idx="532">
                  <c:v>106.40000000000097</c:v>
                </c:pt>
                <c:pt idx="533">
                  <c:v>106.60000000000097</c:v>
                </c:pt>
                <c:pt idx="534">
                  <c:v>106.80000000000098</c:v>
                </c:pt>
                <c:pt idx="535">
                  <c:v>107.00000000000098</c:v>
                </c:pt>
                <c:pt idx="536">
                  <c:v>107.20000000000098</c:v>
                </c:pt>
                <c:pt idx="537">
                  <c:v>107.40000000000099</c:v>
                </c:pt>
                <c:pt idx="538">
                  <c:v>107.60000000000099</c:v>
                </c:pt>
                <c:pt idx="539">
                  <c:v>107.80000000000099</c:v>
                </c:pt>
                <c:pt idx="540">
                  <c:v>108.00000000000099</c:v>
                </c:pt>
                <c:pt idx="541">
                  <c:v>108.200000000001</c:v>
                </c:pt>
                <c:pt idx="542">
                  <c:v>108.400000000001</c:v>
                </c:pt>
                <c:pt idx="543">
                  <c:v>108.600000000001</c:v>
                </c:pt>
                <c:pt idx="544">
                  <c:v>108.80000000000101</c:v>
                </c:pt>
                <c:pt idx="545">
                  <c:v>109.00000000000101</c:v>
                </c:pt>
                <c:pt idx="546">
                  <c:v>109.20000000000101</c:v>
                </c:pt>
                <c:pt idx="547">
                  <c:v>109.40000000000101</c:v>
                </c:pt>
                <c:pt idx="548">
                  <c:v>109.60000000000102</c:v>
                </c:pt>
                <c:pt idx="549">
                  <c:v>109.80000000000102</c:v>
                </c:pt>
                <c:pt idx="550">
                  <c:v>110.00000000000102</c:v>
                </c:pt>
                <c:pt idx="551">
                  <c:v>110.20000000000103</c:v>
                </c:pt>
                <c:pt idx="552">
                  <c:v>110.40000000000103</c:v>
                </c:pt>
                <c:pt idx="553">
                  <c:v>110.60000000000103</c:v>
                </c:pt>
                <c:pt idx="554">
                  <c:v>110.80000000000103</c:v>
                </c:pt>
                <c:pt idx="555">
                  <c:v>111.00000000000104</c:v>
                </c:pt>
                <c:pt idx="556">
                  <c:v>111.20000000000104</c:v>
                </c:pt>
                <c:pt idx="557">
                  <c:v>111.40000000000104</c:v>
                </c:pt>
                <c:pt idx="558">
                  <c:v>111.60000000000105</c:v>
                </c:pt>
                <c:pt idx="559">
                  <c:v>111.80000000000105</c:v>
                </c:pt>
                <c:pt idx="560">
                  <c:v>112.00000000000105</c:v>
                </c:pt>
                <c:pt idx="561">
                  <c:v>112.20000000000105</c:v>
                </c:pt>
                <c:pt idx="562">
                  <c:v>112.40000000000106</c:v>
                </c:pt>
                <c:pt idx="563">
                  <c:v>112.60000000000106</c:v>
                </c:pt>
                <c:pt idx="564">
                  <c:v>112.80000000000106</c:v>
                </c:pt>
                <c:pt idx="565">
                  <c:v>113.00000000000107</c:v>
                </c:pt>
                <c:pt idx="566">
                  <c:v>113.20000000000107</c:v>
                </c:pt>
                <c:pt idx="567">
                  <c:v>113.40000000000107</c:v>
                </c:pt>
                <c:pt idx="568">
                  <c:v>113.60000000000107</c:v>
                </c:pt>
                <c:pt idx="569">
                  <c:v>113.80000000000108</c:v>
                </c:pt>
                <c:pt idx="570">
                  <c:v>114.00000000000108</c:v>
                </c:pt>
                <c:pt idx="571">
                  <c:v>114.20000000000108</c:v>
                </c:pt>
                <c:pt idx="572">
                  <c:v>114.40000000000109</c:v>
                </c:pt>
                <c:pt idx="573">
                  <c:v>114.60000000000109</c:v>
                </c:pt>
                <c:pt idx="574">
                  <c:v>114.80000000000109</c:v>
                </c:pt>
                <c:pt idx="575">
                  <c:v>115.00000000000109</c:v>
                </c:pt>
                <c:pt idx="576">
                  <c:v>115.2000000000011</c:v>
                </c:pt>
                <c:pt idx="577">
                  <c:v>115.4000000000011</c:v>
                </c:pt>
                <c:pt idx="578">
                  <c:v>115.6000000000011</c:v>
                </c:pt>
                <c:pt idx="579">
                  <c:v>115.80000000000111</c:v>
                </c:pt>
                <c:pt idx="580">
                  <c:v>116.00000000000111</c:v>
                </c:pt>
                <c:pt idx="581">
                  <c:v>116.20000000000111</c:v>
                </c:pt>
                <c:pt idx="582">
                  <c:v>116.40000000000111</c:v>
                </c:pt>
                <c:pt idx="583">
                  <c:v>116.60000000000112</c:v>
                </c:pt>
                <c:pt idx="584">
                  <c:v>116.80000000000112</c:v>
                </c:pt>
                <c:pt idx="585">
                  <c:v>117.00000000000112</c:v>
                </c:pt>
                <c:pt idx="586">
                  <c:v>117.20000000000113</c:v>
                </c:pt>
                <c:pt idx="587">
                  <c:v>117.40000000000113</c:v>
                </c:pt>
                <c:pt idx="588">
                  <c:v>117.60000000000113</c:v>
                </c:pt>
                <c:pt idx="589">
                  <c:v>117.80000000000113</c:v>
                </c:pt>
                <c:pt idx="590">
                  <c:v>118.00000000000114</c:v>
                </c:pt>
                <c:pt idx="591">
                  <c:v>118.20000000000114</c:v>
                </c:pt>
                <c:pt idx="592">
                  <c:v>118.40000000000114</c:v>
                </c:pt>
                <c:pt idx="593">
                  <c:v>118.60000000000115</c:v>
                </c:pt>
                <c:pt idx="594">
                  <c:v>118.80000000000115</c:v>
                </c:pt>
                <c:pt idx="595">
                  <c:v>119.00000000000115</c:v>
                </c:pt>
                <c:pt idx="596">
                  <c:v>119.20000000000115</c:v>
                </c:pt>
                <c:pt idx="597">
                  <c:v>119.40000000000116</c:v>
                </c:pt>
                <c:pt idx="598">
                  <c:v>119.60000000000116</c:v>
                </c:pt>
                <c:pt idx="599">
                  <c:v>119.80000000000116</c:v>
                </c:pt>
                <c:pt idx="600">
                  <c:v>120.00000000000117</c:v>
                </c:pt>
                <c:pt idx="601">
                  <c:v>120.20000000000117</c:v>
                </c:pt>
                <c:pt idx="602">
                  <c:v>120.40000000000117</c:v>
                </c:pt>
                <c:pt idx="603">
                  <c:v>120.60000000000117</c:v>
                </c:pt>
                <c:pt idx="604">
                  <c:v>120.80000000000118</c:v>
                </c:pt>
                <c:pt idx="605">
                  <c:v>121.00000000000118</c:v>
                </c:pt>
                <c:pt idx="606">
                  <c:v>121.20000000000118</c:v>
                </c:pt>
                <c:pt idx="607">
                  <c:v>121.40000000000119</c:v>
                </c:pt>
                <c:pt idx="608">
                  <c:v>121.60000000000119</c:v>
                </c:pt>
                <c:pt idx="609">
                  <c:v>121.80000000000119</c:v>
                </c:pt>
                <c:pt idx="610">
                  <c:v>122.00000000000119</c:v>
                </c:pt>
                <c:pt idx="611">
                  <c:v>122.2000000000012</c:v>
                </c:pt>
                <c:pt idx="612">
                  <c:v>122.4000000000012</c:v>
                </c:pt>
                <c:pt idx="613">
                  <c:v>122.6000000000012</c:v>
                </c:pt>
                <c:pt idx="614">
                  <c:v>122.80000000000121</c:v>
                </c:pt>
                <c:pt idx="615">
                  <c:v>123.00000000000121</c:v>
                </c:pt>
                <c:pt idx="616">
                  <c:v>123.20000000000121</c:v>
                </c:pt>
                <c:pt idx="617">
                  <c:v>123.40000000000121</c:v>
                </c:pt>
                <c:pt idx="618">
                  <c:v>123.60000000000122</c:v>
                </c:pt>
                <c:pt idx="619">
                  <c:v>123.80000000000122</c:v>
                </c:pt>
                <c:pt idx="620">
                  <c:v>124.00000000000122</c:v>
                </c:pt>
                <c:pt idx="621">
                  <c:v>124.20000000000122</c:v>
                </c:pt>
                <c:pt idx="622">
                  <c:v>124.40000000000123</c:v>
                </c:pt>
                <c:pt idx="623">
                  <c:v>124.60000000000123</c:v>
                </c:pt>
                <c:pt idx="624">
                  <c:v>124.80000000000123</c:v>
                </c:pt>
                <c:pt idx="625">
                  <c:v>125.00000000000124</c:v>
                </c:pt>
                <c:pt idx="626">
                  <c:v>125.20000000000124</c:v>
                </c:pt>
                <c:pt idx="627">
                  <c:v>125.40000000000124</c:v>
                </c:pt>
                <c:pt idx="628">
                  <c:v>125.60000000000124</c:v>
                </c:pt>
                <c:pt idx="629">
                  <c:v>125.80000000000125</c:v>
                </c:pt>
                <c:pt idx="630">
                  <c:v>126.00000000000125</c:v>
                </c:pt>
                <c:pt idx="631">
                  <c:v>126.20000000000125</c:v>
                </c:pt>
                <c:pt idx="632">
                  <c:v>126.40000000000126</c:v>
                </c:pt>
                <c:pt idx="633">
                  <c:v>126.60000000000126</c:v>
                </c:pt>
                <c:pt idx="634">
                  <c:v>126.80000000000126</c:v>
                </c:pt>
                <c:pt idx="635">
                  <c:v>127.00000000000126</c:v>
                </c:pt>
                <c:pt idx="636">
                  <c:v>127.20000000000127</c:v>
                </c:pt>
                <c:pt idx="637">
                  <c:v>127.40000000000127</c:v>
                </c:pt>
                <c:pt idx="638">
                  <c:v>127.60000000000127</c:v>
                </c:pt>
                <c:pt idx="639">
                  <c:v>127.80000000000128</c:v>
                </c:pt>
                <c:pt idx="640">
                  <c:v>128.00000000000128</c:v>
                </c:pt>
                <c:pt idx="641">
                  <c:v>128.20000000000127</c:v>
                </c:pt>
                <c:pt idx="642">
                  <c:v>128.40000000000126</c:v>
                </c:pt>
                <c:pt idx="643">
                  <c:v>128.60000000000124</c:v>
                </c:pt>
                <c:pt idx="644">
                  <c:v>128.80000000000123</c:v>
                </c:pt>
                <c:pt idx="645">
                  <c:v>129.00000000000122</c:v>
                </c:pt>
                <c:pt idx="646">
                  <c:v>129.20000000000121</c:v>
                </c:pt>
                <c:pt idx="647">
                  <c:v>129.4000000000012</c:v>
                </c:pt>
                <c:pt idx="648">
                  <c:v>129.60000000000119</c:v>
                </c:pt>
                <c:pt idx="649">
                  <c:v>129.80000000000118</c:v>
                </c:pt>
                <c:pt idx="650">
                  <c:v>130.00000000000117</c:v>
                </c:pt>
                <c:pt idx="651">
                  <c:v>130.20000000000115</c:v>
                </c:pt>
                <c:pt idx="652">
                  <c:v>130.40000000000114</c:v>
                </c:pt>
                <c:pt idx="653">
                  <c:v>130.60000000000113</c:v>
                </c:pt>
                <c:pt idx="654">
                  <c:v>130.80000000000112</c:v>
                </c:pt>
                <c:pt idx="655">
                  <c:v>131.00000000000111</c:v>
                </c:pt>
                <c:pt idx="656">
                  <c:v>131.2000000000011</c:v>
                </c:pt>
                <c:pt idx="657">
                  <c:v>131.40000000000109</c:v>
                </c:pt>
                <c:pt idx="658">
                  <c:v>131.60000000000107</c:v>
                </c:pt>
                <c:pt idx="659">
                  <c:v>131.80000000000106</c:v>
                </c:pt>
                <c:pt idx="660">
                  <c:v>132.00000000000105</c:v>
                </c:pt>
                <c:pt idx="661">
                  <c:v>132.20000000000104</c:v>
                </c:pt>
                <c:pt idx="662">
                  <c:v>132.40000000000103</c:v>
                </c:pt>
                <c:pt idx="663">
                  <c:v>132.60000000000102</c:v>
                </c:pt>
                <c:pt idx="664">
                  <c:v>132.80000000000101</c:v>
                </c:pt>
                <c:pt idx="665">
                  <c:v>133.00000000000099</c:v>
                </c:pt>
                <c:pt idx="666">
                  <c:v>133.20000000000098</c:v>
                </c:pt>
                <c:pt idx="667">
                  <c:v>133.40000000000097</c:v>
                </c:pt>
                <c:pt idx="668">
                  <c:v>133.60000000000096</c:v>
                </c:pt>
                <c:pt idx="669">
                  <c:v>133.80000000000095</c:v>
                </c:pt>
                <c:pt idx="670">
                  <c:v>134.00000000000094</c:v>
                </c:pt>
                <c:pt idx="671">
                  <c:v>134.20000000000093</c:v>
                </c:pt>
                <c:pt idx="672">
                  <c:v>134.40000000000092</c:v>
                </c:pt>
                <c:pt idx="673">
                  <c:v>134.6000000000009</c:v>
                </c:pt>
                <c:pt idx="674">
                  <c:v>134.80000000000089</c:v>
                </c:pt>
                <c:pt idx="675">
                  <c:v>135.00000000000088</c:v>
                </c:pt>
                <c:pt idx="676">
                  <c:v>135.20000000000087</c:v>
                </c:pt>
                <c:pt idx="677">
                  <c:v>135.40000000000086</c:v>
                </c:pt>
                <c:pt idx="678">
                  <c:v>135.60000000000085</c:v>
                </c:pt>
                <c:pt idx="679">
                  <c:v>135.80000000000084</c:v>
                </c:pt>
                <c:pt idx="680">
                  <c:v>136.00000000000082</c:v>
                </c:pt>
                <c:pt idx="681">
                  <c:v>136.20000000000081</c:v>
                </c:pt>
                <c:pt idx="682">
                  <c:v>136.4000000000008</c:v>
                </c:pt>
                <c:pt idx="683">
                  <c:v>136.60000000000079</c:v>
                </c:pt>
                <c:pt idx="684">
                  <c:v>136.80000000000078</c:v>
                </c:pt>
                <c:pt idx="685">
                  <c:v>137.00000000000077</c:v>
                </c:pt>
                <c:pt idx="686">
                  <c:v>137.20000000000076</c:v>
                </c:pt>
                <c:pt idx="687">
                  <c:v>137.40000000000074</c:v>
                </c:pt>
                <c:pt idx="688">
                  <c:v>137.60000000000073</c:v>
                </c:pt>
                <c:pt idx="689">
                  <c:v>137.80000000000072</c:v>
                </c:pt>
                <c:pt idx="690">
                  <c:v>138.00000000000071</c:v>
                </c:pt>
                <c:pt idx="691">
                  <c:v>138.2000000000007</c:v>
                </c:pt>
                <c:pt idx="692">
                  <c:v>138.40000000000069</c:v>
                </c:pt>
                <c:pt idx="693">
                  <c:v>138.60000000000068</c:v>
                </c:pt>
                <c:pt idx="694">
                  <c:v>138.80000000000067</c:v>
                </c:pt>
                <c:pt idx="695">
                  <c:v>139.00000000000065</c:v>
                </c:pt>
                <c:pt idx="696">
                  <c:v>139.20000000000064</c:v>
                </c:pt>
                <c:pt idx="697">
                  <c:v>139.40000000000063</c:v>
                </c:pt>
                <c:pt idx="698">
                  <c:v>139.60000000000062</c:v>
                </c:pt>
                <c:pt idx="699">
                  <c:v>139.80000000000061</c:v>
                </c:pt>
                <c:pt idx="700">
                  <c:v>140.0000000000006</c:v>
                </c:pt>
                <c:pt idx="701">
                  <c:v>140.20000000000059</c:v>
                </c:pt>
                <c:pt idx="702">
                  <c:v>140.40000000000057</c:v>
                </c:pt>
                <c:pt idx="703">
                  <c:v>140.60000000000056</c:v>
                </c:pt>
                <c:pt idx="704">
                  <c:v>140.80000000000055</c:v>
                </c:pt>
                <c:pt idx="705">
                  <c:v>141.00000000000054</c:v>
                </c:pt>
                <c:pt idx="706">
                  <c:v>141.20000000000053</c:v>
                </c:pt>
                <c:pt idx="707">
                  <c:v>141.40000000000052</c:v>
                </c:pt>
                <c:pt idx="708">
                  <c:v>141.60000000000051</c:v>
                </c:pt>
                <c:pt idx="709">
                  <c:v>141.80000000000049</c:v>
                </c:pt>
                <c:pt idx="710">
                  <c:v>142.00000000000048</c:v>
                </c:pt>
                <c:pt idx="711">
                  <c:v>142.20000000000047</c:v>
                </c:pt>
                <c:pt idx="712">
                  <c:v>142.40000000000046</c:v>
                </c:pt>
                <c:pt idx="713">
                  <c:v>142.60000000000045</c:v>
                </c:pt>
                <c:pt idx="714">
                  <c:v>142.80000000000044</c:v>
                </c:pt>
                <c:pt idx="715">
                  <c:v>143.00000000000043</c:v>
                </c:pt>
                <c:pt idx="716">
                  <c:v>143.20000000000041</c:v>
                </c:pt>
                <c:pt idx="717">
                  <c:v>143.4000000000004</c:v>
                </c:pt>
                <c:pt idx="718">
                  <c:v>143.60000000000039</c:v>
                </c:pt>
                <c:pt idx="719">
                  <c:v>143.80000000000038</c:v>
                </c:pt>
                <c:pt idx="720">
                  <c:v>144.00000000000037</c:v>
                </c:pt>
                <c:pt idx="721">
                  <c:v>144.20000000000036</c:v>
                </c:pt>
                <c:pt idx="722">
                  <c:v>144.40000000000035</c:v>
                </c:pt>
                <c:pt idx="723">
                  <c:v>144.60000000000034</c:v>
                </c:pt>
                <c:pt idx="724">
                  <c:v>144.80000000000032</c:v>
                </c:pt>
                <c:pt idx="725">
                  <c:v>145.00000000000031</c:v>
                </c:pt>
                <c:pt idx="726">
                  <c:v>145.2000000000003</c:v>
                </c:pt>
                <c:pt idx="727">
                  <c:v>145.40000000000029</c:v>
                </c:pt>
                <c:pt idx="728">
                  <c:v>145.60000000000028</c:v>
                </c:pt>
                <c:pt idx="729">
                  <c:v>145.80000000000027</c:v>
                </c:pt>
                <c:pt idx="730">
                  <c:v>146.00000000000026</c:v>
                </c:pt>
                <c:pt idx="731">
                  <c:v>146.20000000000024</c:v>
                </c:pt>
                <c:pt idx="732">
                  <c:v>146.40000000000023</c:v>
                </c:pt>
                <c:pt idx="733">
                  <c:v>146.60000000000022</c:v>
                </c:pt>
                <c:pt idx="734">
                  <c:v>146.80000000000021</c:v>
                </c:pt>
                <c:pt idx="735">
                  <c:v>147.0000000000002</c:v>
                </c:pt>
                <c:pt idx="736">
                  <c:v>147.20000000000019</c:v>
                </c:pt>
                <c:pt idx="737">
                  <c:v>147.40000000000018</c:v>
                </c:pt>
                <c:pt idx="738">
                  <c:v>147.60000000000016</c:v>
                </c:pt>
                <c:pt idx="739">
                  <c:v>147.80000000000015</c:v>
                </c:pt>
                <c:pt idx="740">
                  <c:v>148.00000000000014</c:v>
                </c:pt>
                <c:pt idx="741">
                  <c:v>148.20000000000013</c:v>
                </c:pt>
                <c:pt idx="742">
                  <c:v>148.40000000000012</c:v>
                </c:pt>
                <c:pt idx="743">
                  <c:v>148.60000000000011</c:v>
                </c:pt>
                <c:pt idx="744">
                  <c:v>148.8000000000001</c:v>
                </c:pt>
                <c:pt idx="745">
                  <c:v>149.00000000000009</c:v>
                </c:pt>
                <c:pt idx="746">
                  <c:v>149.20000000000007</c:v>
                </c:pt>
                <c:pt idx="747">
                  <c:v>149.40000000000006</c:v>
                </c:pt>
                <c:pt idx="748">
                  <c:v>149.60000000000005</c:v>
                </c:pt>
                <c:pt idx="749">
                  <c:v>149.80000000000004</c:v>
                </c:pt>
                <c:pt idx="750">
                  <c:v>150.00000000000003</c:v>
                </c:pt>
                <c:pt idx="751">
                  <c:v>150.20000000000002</c:v>
                </c:pt>
                <c:pt idx="752">
                  <c:v>150.4</c:v>
                </c:pt>
                <c:pt idx="753">
                  <c:v>150.6</c:v>
                </c:pt>
                <c:pt idx="754">
                  <c:v>150.79999999999998</c:v>
                </c:pt>
                <c:pt idx="755">
                  <c:v>150.99999999999997</c:v>
                </c:pt>
                <c:pt idx="756">
                  <c:v>151.19999999999996</c:v>
                </c:pt>
                <c:pt idx="757">
                  <c:v>151.39999999999995</c:v>
                </c:pt>
                <c:pt idx="758">
                  <c:v>151.59999999999994</c:v>
                </c:pt>
                <c:pt idx="759">
                  <c:v>151.79999999999993</c:v>
                </c:pt>
                <c:pt idx="760">
                  <c:v>151.99999999999991</c:v>
                </c:pt>
                <c:pt idx="761">
                  <c:v>152.1999999999999</c:v>
                </c:pt>
                <c:pt idx="762">
                  <c:v>152.39999999999989</c:v>
                </c:pt>
                <c:pt idx="763">
                  <c:v>152.59999999999988</c:v>
                </c:pt>
                <c:pt idx="764">
                  <c:v>152.79999999999987</c:v>
                </c:pt>
                <c:pt idx="765">
                  <c:v>152.99999999999986</c:v>
                </c:pt>
                <c:pt idx="766">
                  <c:v>153.19999999999985</c:v>
                </c:pt>
                <c:pt idx="767">
                  <c:v>153.39999999999984</c:v>
                </c:pt>
                <c:pt idx="768">
                  <c:v>153.59999999999982</c:v>
                </c:pt>
                <c:pt idx="769">
                  <c:v>153.79999999999981</c:v>
                </c:pt>
                <c:pt idx="770">
                  <c:v>153.9999999999998</c:v>
                </c:pt>
                <c:pt idx="771">
                  <c:v>154.19999999999979</c:v>
                </c:pt>
                <c:pt idx="772">
                  <c:v>154.39999999999978</c:v>
                </c:pt>
                <c:pt idx="773">
                  <c:v>154.59999999999977</c:v>
                </c:pt>
                <c:pt idx="774">
                  <c:v>154.79999999999976</c:v>
                </c:pt>
                <c:pt idx="775">
                  <c:v>154.99999999999974</c:v>
                </c:pt>
                <c:pt idx="776">
                  <c:v>155.19999999999973</c:v>
                </c:pt>
                <c:pt idx="777">
                  <c:v>155.39999999999972</c:v>
                </c:pt>
                <c:pt idx="778">
                  <c:v>155.59999999999971</c:v>
                </c:pt>
                <c:pt idx="779">
                  <c:v>155.7999999999997</c:v>
                </c:pt>
                <c:pt idx="780">
                  <c:v>155.99999999999969</c:v>
                </c:pt>
                <c:pt idx="781">
                  <c:v>156.19999999999968</c:v>
                </c:pt>
                <c:pt idx="782">
                  <c:v>156.39999999999966</c:v>
                </c:pt>
                <c:pt idx="783">
                  <c:v>156.59999999999965</c:v>
                </c:pt>
                <c:pt idx="784">
                  <c:v>156.79999999999964</c:v>
                </c:pt>
                <c:pt idx="785">
                  <c:v>156.99999999999963</c:v>
                </c:pt>
                <c:pt idx="786">
                  <c:v>157.19999999999962</c:v>
                </c:pt>
                <c:pt idx="787">
                  <c:v>157.39999999999961</c:v>
                </c:pt>
                <c:pt idx="788">
                  <c:v>157.5999999999996</c:v>
                </c:pt>
                <c:pt idx="789">
                  <c:v>157.79999999999959</c:v>
                </c:pt>
                <c:pt idx="790">
                  <c:v>157.99999999999957</c:v>
                </c:pt>
                <c:pt idx="791">
                  <c:v>158.19999999999956</c:v>
                </c:pt>
                <c:pt idx="792">
                  <c:v>158.39999999999955</c:v>
                </c:pt>
                <c:pt idx="793">
                  <c:v>158.59999999999954</c:v>
                </c:pt>
                <c:pt idx="794">
                  <c:v>158.79999999999953</c:v>
                </c:pt>
                <c:pt idx="795">
                  <c:v>158.99999999999952</c:v>
                </c:pt>
                <c:pt idx="796">
                  <c:v>159.19999999999951</c:v>
                </c:pt>
                <c:pt idx="797">
                  <c:v>159.39999999999949</c:v>
                </c:pt>
                <c:pt idx="798">
                  <c:v>159.59999999999948</c:v>
                </c:pt>
                <c:pt idx="799">
                  <c:v>159.79999999999947</c:v>
                </c:pt>
                <c:pt idx="800">
                  <c:v>159.99999999999946</c:v>
                </c:pt>
                <c:pt idx="801">
                  <c:v>160.19999999999945</c:v>
                </c:pt>
                <c:pt idx="802">
                  <c:v>160.39999999999944</c:v>
                </c:pt>
                <c:pt idx="803">
                  <c:v>160.59999999999943</c:v>
                </c:pt>
                <c:pt idx="804">
                  <c:v>160.79999999999941</c:v>
                </c:pt>
                <c:pt idx="805">
                  <c:v>160.9999999999994</c:v>
                </c:pt>
                <c:pt idx="806">
                  <c:v>161.19999999999939</c:v>
                </c:pt>
                <c:pt idx="807">
                  <c:v>161.39999999999938</c:v>
                </c:pt>
                <c:pt idx="808">
                  <c:v>161.59999999999937</c:v>
                </c:pt>
                <c:pt idx="809">
                  <c:v>161.79999999999936</c:v>
                </c:pt>
                <c:pt idx="810">
                  <c:v>161.99999999999935</c:v>
                </c:pt>
                <c:pt idx="811">
                  <c:v>162.19999999999933</c:v>
                </c:pt>
                <c:pt idx="812">
                  <c:v>162.39999999999932</c:v>
                </c:pt>
                <c:pt idx="813">
                  <c:v>162.59999999999931</c:v>
                </c:pt>
                <c:pt idx="814">
                  <c:v>162.7999999999993</c:v>
                </c:pt>
                <c:pt idx="815">
                  <c:v>162.99999999999929</c:v>
                </c:pt>
                <c:pt idx="816">
                  <c:v>163.19999999999928</c:v>
                </c:pt>
                <c:pt idx="817">
                  <c:v>163.39999999999927</c:v>
                </c:pt>
                <c:pt idx="818">
                  <c:v>163.59999999999926</c:v>
                </c:pt>
                <c:pt idx="819">
                  <c:v>163.79999999999924</c:v>
                </c:pt>
                <c:pt idx="820">
                  <c:v>163.99999999999923</c:v>
                </c:pt>
                <c:pt idx="821">
                  <c:v>164.19999999999922</c:v>
                </c:pt>
                <c:pt idx="822">
                  <c:v>164.39999999999921</c:v>
                </c:pt>
                <c:pt idx="823">
                  <c:v>164.5999999999992</c:v>
                </c:pt>
                <c:pt idx="824">
                  <c:v>164.79999999999919</c:v>
                </c:pt>
                <c:pt idx="825">
                  <c:v>164.99999999999918</c:v>
                </c:pt>
                <c:pt idx="826">
                  <c:v>165.19999999999916</c:v>
                </c:pt>
                <c:pt idx="827">
                  <c:v>165.39999999999915</c:v>
                </c:pt>
                <c:pt idx="828">
                  <c:v>165.59999999999914</c:v>
                </c:pt>
                <c:pt idx="829">
                  <c:v>165.79999999999913</c:v>
                </c:pt>
                <c:pt idx="830">
                  <c:v>165.99999999999912</c:v>
                </c:pt>
                <c:pt idx="831">
                  <c:v>166.19999999999911</c:v>
                </c:pt>
                <c:pt idx="832">
                  <c:v>166.3999999999991</c:v>
                </c:pt>
                <c:pt idx="833">
                  <c:v>166.59999999999908</c:v>
                </c:pt>
                <c:pt idx="834">
                  <c:v>166.79999999999907</c:v>
                </c:pt>
                <c:pt idx="835">
                  <c:v>166.99999999999906</c:v>
                </c:pt>
                <c:pt idx="836">
                  <c:v>167.19999999999905</c:v>
                </c:pt>
                <c:pt idx="837">
                  <c:v>167.39999999999904</c:v>
                </c:pt>
                <c:pt idx="838">
                  <c:v>167.59999999999903</c:v>
                </c:pt>
                <c:pt idx="839">
                  <c:v>167.79999999999902</c:v>
                </c:pt>
                <c:pt idx="840">
                  <c:v>167.99999999999901</c:v>
                </c:pt>
                <c:pt idx="841">
                  <c:v>168.19999999999899</c:v>
                </c:pt>
                <c:pt idx="842">
                  <c:v>168.39999999999898</c:v>
                </c:pt>
                <c:pt idx="843">
                  <c:v>168.59999999999897</c:v>
                </c:pt>
                <c:pt idx="844">
                  <c:v>168.79999999999896</c:v>
                </c:pt>
                <c:pt idx="845">
                  <c:v>168.99999999999895</c:v>
                </c:pt>
                <c:pt idx="846">
                  <c:v>169.19999999999894</c:v>
                </c:pt>
                <c:pt idx="847">
                  <c:v>169.39999999999893</c:v>
                </c:pt>
                <c:pt idx="848">
                  <c:v>169.59999999999891</c:v>
                </c:pt>
                <c:pt idx="849">
                  <c:v>169.7999999999989</c:v>
                </c:pt>
                <c:pt idx="850">
                  <c:v>169.99999999999889</c:v>
                </c:pt>
                <c:pt idx="851">
                  <c:v>170.19999999999888</c:v>
                </c:pt>
                <c:pt idx="852">
                  <c:v>170.39999999999887</c:v>
                </c:pt>
                <c:pt idx="853">
                  <c:v>170.59999999999886</c:v>
                </c:pt>
                <c:pt idx="854">
                  <c:v>170.79999999999885</c:v>
                </c:pt>
                <c:pt idx="855">
                  <c:v>170.99999999999883</c:v>
                </c:pt>
                <c:pt idx="856">
                  <c:v>171.19999999999882</c:v>
                </c:pt>
                <c:pt idx="857">
                  <c:v>171.39999999999881</c:v>
                </c:pt>
                <c:pt idx="858">
                  <c:v>171.5999999999988</c:v>
                </c:pt>
                <c:pt idx="859">
                  <c:v>171.79999999999879</c:v>
                </c:pt>
                <c:pt idx="860">
                  <c:v>171.99999999999878</c:v>
                </c:pt>
                <c:pt idx="861">
                  <c:v>172.19999999999877</c:v>
                </c:pt>
                <c:pt idx="862">
                  <c:v>172.39999999999876</c:v>
                </c:pt>
                <c:pt idx="863">
                  <c:v>172.59999999999874</c:v>
                </c:pt>
                <c:pt idx="864">
                  <c:v>172.79999999999873</c:v>
                </c:pt>
                <c:pt idx="865">
                  <c:v>172.99999999999872</c:v>
                </c:pt>
                <c:pt idx="866">
                  <c:v>173.19999999999871</c:v>
                </c:pt>
                <c:pt idx="867">
                  <c:v>173.3999999999987</c:v>
                </c:pt>
                <c:pt idx="868">
                  <c:v>173.59999999999869</c:v>
                </c:pt>
                <c:pt idx="869">
                  <c:v>173.79999999999868</c:v>
                </c:pt>
                <c:pt idx="870">
                  <c:v>173.99999999999866</c:v>
                </c:pt>
                <c:pt idx="871">
                  <c:v>174.19999999999865</c:v>
                </c:pt>
                <c:pt idx="872">
                  <c:v>174.39999999999864</c:v>
                </c:pt>
                <c:pt idx="873">
                  <c:v>174.59999999999863</c:v>
                </c:pt>
                <c:pt idx="874">
                  <c:v>174.79999999999862</c:v>
                </c:pt>
                <c:pt idx="875">
                  <c:v>174.99999999999861</c:v>
                </c:pt>
                <c:pt idx="876">
                  <c:v>175.1999999999986</c:v>
                </c:pt>
                <c:pt idx="877">
                  <c:v>175.39999999999858</c:v>
                </c:pt>
                <c:pt idx="878">
                  <c:v>175.59999999999857</c:v>
                </c:pt>
                <c:pt idx="879">
                  <c:v>175.79999999999856</c:v>
                </c:pt>
                <c:pt idx="880">
                  <c:v>175.99999999999855</c:v>
                </c:pt>
                <c:pt idx="881">
                  <c:v>176.19999999999854</c:v>
                </c:pt>
                <c:pt idx="882">
                  <c:v>176.39999999999853</c:v>
                </c:pt>
                <c:pt idx="883">
                  <c:v>176.59999999999852</c:v>
                </c:pt>
                <c:pt idx="884">
                  <c:v>176.79999999999851</c:v>
                </c:pt>
                <c:pt idx="885">
                  <c:v>176.99999999999849</c:v>
                </c:pt>
                <c:pt idx="886">
                  <c:v>177.19999999999848</c:v>
                </c:pt>
                <c:pt idx="887">
                  <c:v>177.39999999999847</c:v>
                </c:pt>
                <c:pt idx="888">
                  <c:v>177.59999999999846</c:v>
                </c:pt>
                <c:pt idx="889">
                  <c:v>177.79999999999845</c:v>
                </c:pt>
                <c:pt idx="890">
                  <c:v>177.99999999999844</c:v>
                </c:pt>
                <c:pt idx="891">
                  <c:v>178.19999999999843</c:v>
                </c:pt>
                <c:pt idx="892">
                  <c:v>178.39999999999841</c:v>
                </c:pt>
                <c:pt idx="893">
                  <c:v>178.5999999999984</c:v>
                </c:pt>
                <c:pt idx="894">
                  <c:v>178.79999999999839</c:v>
                </c:pt>
                <c:pt idx="895">
                  <c:v>178.99999999999838</c:v>
                </c:pt>
                <c:pt idx="896">
                  <c:v>179.19999999999837</c:v>
                </c:pt>
                <c:pt idx="897">
                  <c:v>179.39999999999836</c:v>
                </c:pt>
                <c:pt idx="898">
                  <c:v>179.59999999999835</c:v>
                </c:pt>
                <c:pt idx="899">
                  <c:v>179.79999999999833</c:v>
                </c:pt>
                <c:pt idx="900">
                  <c:v>179.99999999999832</c:v>
                </c:pt>
                <c:pt idx="901">
                  <c:v>180.19999999999831</c:v>
                </c:pt>
                <c:pt idx="902">
                  <c:v>180.3999999999983</c:v>
                </c:pt>
                <c:pt idx="903">
                  <c:v>180.59999999999829</c:v>
                </c:pt>
                <c:pt idx="904">
                  <c:v>180.79999999999828</c:v>
                </c:pt>
                <c:pt idx="905">
                  <c:v>180.99999999999827</c:v>
                </c:pt>
                <c:pt idx="906">
                  <c:v>181.19999999999825</c:v>
                </c:pt>
                <c:pt idx="907">
                  <c:v>181.39999999999824</c:v>
                </c:pt>
                <c:pt idx="908">
                  <c:v>181.59999999999823</c:v>
                </c:pt>
                <c:pt idx="909">
                  <c:v>181.79999999999822</c:v>
                </c:pt>
                <c:pt idx="910">
                  <c:v>181.99999999999821</c:v>
                </c:pt>
                <c:pt idx="911">
                  <c:v>182.1999999999982</c:v>
                </c:pt>
                <c:pt idx="912">
                  <c:v>182.39999999999819</c:v>
                </c:pt>
                <c:pt idx="913">
                  <c:v>182.59999999999818</c:v>
                </c:pt>
                <c:pt idx="914">
                  <c:v>182.79999999999816</c:v>
                </c:pt>
                <c:pt idx="915">
                  <c:v>182.99999999999815</c:v>
                </c:pt>
                <c:pt idx="916">
                  <c:v>183.19999999999814</c:v>
                </c:pt>
                <c:pt idx="917">
                  <c:v>183.39999999999813</c:v>
                </c:pt>
                <c:pt idx="918">
                  <c:v>183.59999999999812</c:v>
                </c:pt>
                <c:pt idx="919">
                  <c:v>183.79999999999811</c:v>
                </c:pt>
                <c:pt idx="920">
                  <c:v>183.9999999999981</c:v>
                </c:pt>
                <c:pt idx="921">
                  <c:v>184.19999999999808</c:v>
                </c:pt>
                <c:pt idx="922">
                  <c:v>184.39999999999807</c:v>
                </c:pt>
                <c:pt idx="923">
                  <c:v>184.59999999999806</c:v>
                </c:pt>
                <c:pt idx="924">
                  <c:v>184.79999999999805</c:v>
                </c:pt>
                <c:pt idx="925">
                  <c:v>184.99999999999804</c:v>
                </c:pt>
                <c:pt idx="926">
                  <c:v>185.19999999999803</c:v>
                </c:pt>
                <c:pt idx="927">
                  <c:v>185.39999999999802</c:v>
                </c:pt>
                <c:pt idx="928">
                  <c:v>185.599999999998</c:v>
                </c:pt>
                <c:pt idx="929">
                  <c:v>185.79999999999799</c:v>
                </c:pt>
                <c:pt idx="930">
                  <c:v>185.99999999999798</c:v>
                </c:pt>
                <c:pt idx="931">
                  <c:v>186.19999999999797</c:v>
                </c:pt>
                <c:pt idx="932">
                  <c:v>186.39999999999796</c:v>
                </c:pt>
                <c:pt idx="933">
                  <c:v>186.59999999999795</c:v>
                </c:pt>
                <c:pt idx="934">
                  <c:v>186.79999999999794</c:v>
                </c:pt>
                <c:pt idx="935">
                  <c:v>186.99999999999793</c:v>
                </c:pt>
                <c:pt idx="936">
                  <c:v>187.19999999999791</c:v>
                </c:pt>
                <c:pt idx="937">
                  <c:v>187.3999999999979</c:v>
                </c:pt>
                <c:pt idx="938">
                  <c:v>187.59999999999789</c:v>
                </c:pt>
                <c:pt idx="939">
                  <c:v>187.79999999999788</c:v>
                </c:pt>
                <c:pt idx="940">
                  <c:v>187.99999999999787</c:v>
                </c:pt>
                <c:pt idx="941">
                  <c:v>188.19999999999786</c:v>
                </c:pt>
                <c:pt idx="942">
                  <c:v>188.39999999999785</c:v>
                </c:pt>
                <c:pt idx="943">
                  <c:v>188.59999999999783</c:v>
                </c:pt>
                <c:pt idx="944">
                  <c:v>188.79999999999782</c:v>
                </c:pt>
                <c:pt idx="945">
                  <c:v>188.99999999999781</c:v>
                </c:pt>
                <c:pt idx="946">
                  <c:v>189.1999999999978</c:v>
                </c:pt>
                <c:pt idx="947">
                  <c:v>189.39999999999779</c:v>
                </c:pt>
                <c:pt idx="948">
                  <c:v>189.59999999999778</c:v>
                </c:pt>
                <c:pt idx="949">
                  <c:v>189.79999999999777</c:v>
                </c:pt>
                <c:pt idx="950">
                  <c:v>189.99999999999775</c:v>
                </c:pt>
                <c:pt idx="951">
                  <c:v>190.19999999999774</c:v>
                </c:pt>
                <c:pt idx="952">
                  <c:v>190.39999999999773</c:v>
                </c:pt>
                <c:pt idx="953">
                  <c:v>190.59999999999772</c:v>
                </c:pt>
                <c:pt idx="954">
                  <c:v>190.79999999999771</c:v>
                </c:pt>
                <c:pt idx="955">
                  <c:v>190.9999999999977</c:v>
                </c:pt>
                <c:pt idx="956">
                  <c:v>191.19999999999769</c:v>
                </c:pt>
                <c:pt idx="957">
                  <c:v>191.39999999999768</c:v>
                </c:pt>
                <c:pt idx="958">
                  <c:v>191.59999999999766</c:v>
                </c:pt>
                <c:pt idx="959">
                  <c:v>191.79999999999765</c:v>
                </c:pt>
                <c:pt idx="960">
                  <c:v>191.99999999999764</c:v>
                </c:pt>
                <c:pt idx="961">
                  <c:v>192.19999999999763</c:v>
                </c:pt>
                <c:pt idx="962">
                  <c:v>192.39999999999762</c:v>
                </c:pt>
                <c:pt idx="963">
                  <c:v>192.59999999999761</c:v>
                </c:pt>
                <c:pt idx="964">
                  <c:v>192.7999999999976</c:v>
                </c:pt>
                <c:pt idx="965">
                  <c:v>192.99999999999758</c:v>
                </c:pt>
                <c:pt idx="966">
                  <c:v>193.19999999999757</c:v>
                </c:pt>
                <c:pt idx="967">
                  <c:v>193.39999999999756</c:v>
                </c:pt>
                <c:pt idx="968">
                  <c:v>193.59999999999755</c:v>
                </c:pt>
                <c:pt idx="969">
                  <c:v>193.79999999999754</c:v>
                </c:pt>
                <c:pt idx="970">
                  <c:v>193.99999999999753</c:v>
                </c:pt>
                <c:pt idx="971">
                  <c:v>194.19999999999752</c:v>
                </c:pt>
                <c:pt idx="972">
                  <c:v>194.3999999999975</c:v>
                </c:pt>
                <c:pt idx="973">
                  <c:v>194.59999999999749</c:v>
                </c:pt>
                <c:pt idx="974">
                  <c:v>194.79999999999748</c:v>
                </c:pt>
                <c:pt idx="975">
                  <c:v>194.99999999999747</c:v>
                </c:pt>
                <c:pt idx="976">
                  <c:v>195.19999999999746</c:v>
                </c:pt>
                <c:pt idx="977">
                  <c:v>195.39999999999745</c:v>
                </c:pt>
                <c:pt idx="978">
                  <c:v>195.59999999999744</c:v>
                </c:pt>
                <c:pt idx="979">
                  <c:v>195.79999999999742</c:v>
                </c:pt>
                <c:pt idx="980">
                  <c:v>195.99999999999741</c:v>
                </c:pt>
                <c:pt idx="981">
                  <c:v>196.1999999999974</c:v>
                </c:pt>
                <c:pt idx="982">
                  <c:v>196.39999999999739</c:v>
                </c:pt>
                <c:pt idx="983">
                  <c:v>196.59999999999738</c:v>
                </c:pt>
                <c:pt idx="984">
                  <c:v>196.79999999999737</c:v>
                </c:pt>
                <c:pt idx="985">
                  <c:v>196.99999999999736</c:v>
                </c:pt>
                <c:pt idx="986">
                  <c:v>197.19999999999735</c:v>
                </c:pt>
                <c:pt idx="987">
                  <c:v>197.39999999999733</c:v>
                </c:pt>
                <c:pt idx="988">
                  <c:v>197.59999999999732</c:v>
                </c:pt>
                <c:pt idx="989">
                  <c:v>197.79999999999731</c:v>
                </c:pt>
                <c:pt idx="990">
                  <c:v>197.9999999999973</c:v>
                </c:pt>
                <c:pt idx="991">
                  <c:v>198.19999999999729</c:v>
                </c:pt>
                <c:pt idx="992">
                  <c:v>198.39999999999728</c:v>
                </c:pt>
                <c:pt idx="993">
                  <c:v>198.59999999999727</c:v>
                </c:pt>
                <c:pt idx="994">
                  <c:v>198.79999999999725</c:v>
                </c:pt>
                <c:pt idx="995">
                  <c:v>198.99999999999724</c:v>
                </c:pt>
                <c:pt idx="996">
                  <c:v>199.19999999999723</c:v>
                </c:pt>
                <c:pt idx="997">
                  <c:v>199.39999999999722</c:v>
                </c:pt>
                <c:pt idx="998">
                  <c:v>199.59999999999721</c:v>
                </c:pt>
                <c:pt idx="999">
                  <c:v>199.7999999999972</c:v>
                </c:pt>
                <c:pt idx="1000">
                  <c:v>199.99999999999719</c:v>
                </c:pt>
                <c:pt idx="1001">
                  <c:v>200.19999999999717</c:v>
                </c:pt>
                <c:pt idx="1002">
                  <c:v>200.39999999999716</c:v>
                </c:pt>
                <c:pt idx="1003">
                  <c:v>200.59999999999715</c:v>
                </c:pt>
                <c:pt idx="1004">
                  <c:v>200.79999999999714</c:v>
                </c:pt>
                <c:pt idx="1005">
                  <c:v>200.99999999999713</c:v>
                </c:pt>
                <c:pt idx="1006">
                  <c:v>201.19999999999712</c:v>
                </c:pt>
                <c:pt idx="1007">
                  <c:v>201.39999999999711</c:v>
                </c:pt>
                <c:pt idx="1008">
                  <c:v>201.5999999999971</c:v>
                </c:pt>
                <c:pt idx="1009">
                  <c:v>201.79999999999708</c:v>
                </c:pt>
                <c:pt idx="1010">
                  <c:v>201.99999999999707</c:v>
                </c:pt>
                <c:pt idx="1011">
                  <c:v>202.19999999999706</c:v>
                </c:pt>
                <c:pt idx="1012">
                  <c:v>202.39999999999705</c:v>
                </c:pt>
                <c:pt idx="1013">
                  <c:v>202.59999999999704</c:v>
                </c:pt>
                <c:pt idx="1014">
                  <c:v>202.79999999999703</c:v>
                </c:pt>
                <c:pt idx="1015">
                  <c:v>202.99999999999702</c:v>
                </c:pt>
                <c:pt idx="1016">
                  <c:v>203.199999999997</c:v>
                </c:pt>
                <c:pt idx="1017">
                  <c:v>203.39999999999699</c:v>
                </c:pt>
                <c:pt idx="1018">
                  <c:v>203.59999999999698</c:v>
                </c:pt>
                <c:pt idx="1019">
                  <c:v>203.79999999999697</c:v>
                </c:pt>
                <c:pt idx="1020">
                  <c:v>203.99999999999696</c:v>
                </c:pt>
                <c:pt idx="1021">
                  <c:v>204.19999999999695</c:v>
                </c:pt>
                <c:pt idx="1022">
                  <c:v>204.39999999999694</c:v>
                </c:pt>
                <c:pt idx="1023">
                  <c:v>204.59999999999692</c:v>
                </c:pt>
                <c:pt idx="1024">
                  <c:v>204.79999999999691</c:v>
                </c:pt>
                <c:pt idx="1025">
                  <c:v>204.9999999999969</c:v>
                </c:pt>
                <c:pt idx="1026">
                  <c:v>205.19999999999689</c:v>
                </c:pt>
                <c:pt idx="1027">
                  <c:v>205.39999999999688</c:v>
                </c:pt>
                <c:pt idx="1028">
                  <c:v>205.59999999999687</c:v>
                </c:pt>
                <c:pt idx="1029">
                  <c:v>205.79999999999686</c:v>
                </c:pt>
                <c:pt idx="1030">
                  <c:v>205.99999999999685</c:v>
                </c:pt>
                <c:pt idx="1031">
                  <c:v>206.19999999999683</c:v>
                </c:pt>
                <c:pt idx="1032">
                  <c:v>206.39999999999682</c:v>
                </c:pt>
                <c:pt idx="1033">
                  <c:v>206.59999999999681</c:v>
                </c:pt>
                <c:pt idx="1034">
                  <c:v>206.7999999999968</c:v>
                </c:pt>
                <c:pt idx="1035">
                  <c:v>206.99999999999679</c:v>
                </c:pt>
                <c:pt idx="1036">
                  <c:v>207.19999999999678</c:v>
                </c:pt>
                <c:pt idx="1037">
                  <c:v>207.39999999999677</c:v>
                </c:pt>
                <c:pt idx="1038">
                  <c:v>207.59999999999675</c:v>
                </c:pt>
                <c:pt idx="1039">
                  <c:v>207.79999999999674</c:v>
                </c:pt>
                <c:pt idx="1040">
                  <c:v>207.99999999999673</c:v>
                </c:pt>
                <c:pt idx="1041">
                  <c:v>208.19999999999672</c:v>
                </c:pt>
                <c:pt idx="1042">
                  <c:v>208.39999999999671</c:v>
                </c:pt>
                <c:pt idx="1043">
                  <c:v>208.5999999999967</c:v>
                </c:pt>
                <c:pt idx="1044">
                  <c:v>208.79999999999669</c:v>
                </c:pt>
                <c:pt idx="1045">
                  <c:v>208.99999999999667</c:v>
                </c:pt>
                <c:pt idx="1046">
                  <c:v>209.19999999999666</c:v>
                </c:pt>
                <c:pt idx="1047">
                  <c:v>209.39999999999665</c:v>
                </c:pt>
                <c:pt idx="1048">
                  <c:v>209.59999999999664</c:v>
                </c:pt>
                <c:pt idx="1049">
                  <c:v>209.79999999999663</c:v>
                </c:pt>
                <c:pt idx="1050">
                  <c:v>209.99999999999662</c:v>
                </c:pt>
                <c:pt idx="1051">
                  <c:v>210.19999999999661</c:v>
                </c:pt>
                <c:pt idx="1052">
                  <c:v>210.3999999999966</c:v>
                </c:pt>
                <c:pt idx="1053">
                  <c:v>210.59999999999658</c:v>
                </c:pt>
                <c:pt idx="1054">
                  <c:v>210.79999999999657</c:v>
                </c:pt>
                <c:pt idx="1055">
                  <c:v>210.99999999999656</c:v>
                </c:pt>
                <c:pt idx="1056">
                  <c:v>211.19999999999655</c:v>
                </c:pt>
                <c:pt idx="1057">
                  <c:v>211.39999999999654</c:v>
                </c:pt>
                <c:pt idx="1058">
                  <c:v>211.59999999999653</c:v>
                </c:pt>
                <c:pt idx="1059">
                  <c:v>211.79999999999652</c:v>
                </c:pt>
                <c:pt idx="1060">
                  <c:v>211.9999999999965</c:v>
                </c:pt>
                <c:pt idx="1061">
                  <c:v>212.19999999999649</c:v>
                </c:pt>
                <c:pt idx="1062">
                  <c:v>212.39999999999648</c:v>
                </c:pt>
                <c:pt idx="1063">
                  <c:v>212.59999999999647</c:v>
                </c:pt>
                <c:pt idx="1064">
                  <c:v>212.79999999999646</c:v>
                </c:pt>
                <c:pt idx="1065">
                  <c:v>212.99999999999645</c:v>
                </c:pt>
                <c:pt idx="1066">
                  <c:v>213.19999999999644</c:v>
                </c:pt>
                <c:pt idx="1067">
                  <c:v>213.39999999999642</c:v>
                </c:pt>
                <c:pt idx="1068">
                  <c:v>213.59999999999641</c:v>
                </c:pt>
                <c:pt idx="1069">
                  <c:v>213.7999999999964</c:v>
                </c:pt>
                <c:pt idx="1070">
                  <c:v>213.99999999999639</c:v>
                </c:pt>
                <c:pt idx="1071">
                  <c:v>214.19999999999638</c:v>
                </c:pt>
                <c:pt idx="1072">
                  <c:v>214.39999999999637</c:v>
                </c:pt>
                <c:pt idx="1073">
                  <c:v>214.59999999999636</c:v>
                </c:pt>
                <c:pt idx="1074">
                  <c:v>214.79999999999634</c:v>
                </c:pt>
                <c:pt idx="1075">
                  <c:v>214.99999999999633</c:v>
                </c:pt>
                <c:pt idx="1076">
                  <c:v>215.19999999999632</c:v>
                </c:pt>
                <c:pt idx="1077">
                  <c:v>215.39999999999631</c:v>
                </c:pt>
                <c:pt idx="1078">
                  <c:v>215.5999999999963</c:v>
                </c:pt>
                <c:pt idx="1079">
                  <c:v>215.79999999999629</c:v>
                </c:pt>
                <c:pt idx="1080">
                  <c:v>215.99999999999628</c:v>
                </c:pt>
                <c:pt idx="1081">
                  <c:v>216.19999999999627</c:v>
                </c:pt>
                <c:pt idx="1082">
                  <c:v>216.39999999999625</c:v>
                </c:pt>
                <c:pt idx="1083">
                  <c:v>216.59999999999624</c:v>
                </c:pt>
                <c:pt idx="1084">
                  <c:v>216.79999999999623</c:v>
                </c:pt>
                <c:pt idx="1085">
                  <c:v>216.99999999999622</c:v>
                </c:pt>
                <c:pt idx="1086">
                  <c:v>217.19999999999621</c:v>
                </c:pt>
                <c:pt idx="1087">
                  <c:v>217.3999999999962</c:v>
                </c:pt>
                <c:pt idx="1088">
                  <c:v>217.59999999999619</c:v>
                </c:pt>
                <c:pt idx="1089">
                  <c:v>217.79999999999617</c:v>
                </c:pt>
                <c:pt idx="1090">
                  <c:v>217.99999999999616</c:v>
                </c:pt>
                <c:pt idx="1091">
                  <c:v>218.19999999999615</c:v>
                </c:pt>
                <c:pt idx="1092">
                  <c:v>218.39999999999614</c:v>
                </c:pt>
                <c:pt idx="1093">
                  <c:v>218.59999999999613</c:v>
                </c:pt>
                <c:pt idx="1094">
                  <c:v>218.79999999999612</c:v>
                </c:pt>
                <c:pt idx="1095">
                  <c:v>218.99999999999611</c:v>
                </c:pt>
                <c:pt idx="1096">
                  <c:v>219.19999999999609</c:v>
                </c:pt>
                <c:pt idx="1097">
                  <c:v>219.39999999999608</c:v>
                </c:pt>
                <c:pt idx="1098">
                  <c:v>219.59999999999607</c:v>
                </c:pt>
                <c:pt idx="1099">
                  <c:v>219.79999999999606</c:v>
                </c:pt>
                <c:pt idx="1100">
                  <c:v>219.99999999999605</c:v>
                </c:pt>
                <c:pt idx="1101">
                  <c:v>220.19999999999604</c:v>
                </c:pt>
                <c:pt idx="1102">
                  <c:v>220.39999999999603</c:v>
                </c:pt>
                <c:pt idx="1103">
                  <c:v>220.59999999999602</c:v>
                </c:pt>
                <c:pt idx="1104">
                  <c:v>220.799999999996</c:v>
                </c:pt>
                <c:pt idx="1105">
                  <c:v>220.99999999999599</c:v>
                </c:pt>
                <c:pt idx="1106">
                  <c:v>221.19999999999598</c:v>
                </c:pt>
                <c:pt idx="1107">
                  <c:v>221.39999999999597</c:v>
                </c:pt>
                <c:pt idx="1108">
                  <c:v>221.59999999999596</c:v>
                </c:pt>
                <c:pt idx="1109">
                  <c:v>221.79999999999595</c:v>
                </c:pt>
                <c:pt idx="1110">
                  <c:v>221.99999999999594</c:v>
                </c:pt>
                <c:pt idx="1111">
                  <c:v>222.19999999999592</c:v>
                </c:pt>
                <c:pt idx="1112">
                  <c:v>222.39999999999591</c:v>
                </c:pt>
                <c:pt idx="1113">
                  <c:v>222.5999999999959</c:v>
                </c:pt>
                <c:pt idx="1114">
                  <c:v>222.79999999999589</c:v>
                </c:pt>
                <c:pt idx="1115">
                  <c:v>222.99999999999588</c:v>
                </c:pt>
                <c:pt idx="1116">
                  <c:v>223.19999999999587</c:v>
                </c:pt>
                <c:pt idx="1117">
                  <c:v>223.39999999999586</c:v>
                </c:pt>
                <c:pt idx="1118">
                  <c:v>223.59999999999584</c:v>
                </c:pt>
                <c:pt idx="1119">
                  <c:v>223.79999999999583</c:v>
                </c:pt>
                <c:pt idx="1120">
                  <c:v>223.99999999999582</c:v>
                </c:pt>
                <c:pt idx="1121">
                  <c:v>224.19999999999581</c:v>
                </c:pt>
                <c:pt idx="1122">
                  <c:v>224.3999999999958</c:v>
                </c:pt>
                <c:pt idx="1123">
                  <c:v>224.59999999999579</c:v>
                </c:pt>
                <c:pt idx="1124">
                  <c:v>224.79999999999578</c:v>
                </c:pt>
                <c:pt idx="1125">
                  <c:v>224.99999999999577</c:v>
                </c:pt>
                <c:pt idx="1126">
                  <c:v>225.19999999999575</c:v>
                </c:pt>
                <c:pt idx="1127">
                  <c:v>225.39999999999574</c:v>
                </c:pt>
                <c:pt idx="1128">
                  <c:v>225.59999999999573</c:v>
                </c:pt>
                <c:pt idx="1129">
                  <c:v>225.79999999999572</c:v>
                </c:pt>
                <c:pt idx="1130">
                  <c:v>225.99999999999571</c:v>
                </c:pt>
                <c:pt idx="1131">
                  <c:v>226.1999999999957</c:v>
                </c:pt>
                <c:pt idx="1132">
                  <c:v>226.39999999999569</c:v>
                </c:pt>
                <c:pt idx="1133">
                  <c:v>226.59999999999567</c:v>
                </c:pt>
                <c:pt idx="1134">
                  <c:v>226.79999999999566</c:v>
                </c:pt>
                <c:pt idx="1135">
                  <c:v>226.99999999999565</c:v>
                </c:pt>
                <c:pt idx="1136">
                  <c:v>227.19999999999564</c:v>
                </c:pt>
                <c:pt idx="1137">
                  <c:v>227.39999999999563</c:v>
                </c:pt>
                <c:pt idx="1138">
                  <c:v>227.59999999999562</c:v>
                </c:pt>
                <c:pt idx="1139">
                  <c:v>227.79999999999561</c:v>
                </c:pt>
                <c:pt idx="1140">
                  <c:v>227.99999999999559</c:v>
                </c:pt>
                <c:pt idx="1141">
                  <c:v>228.19999999999558</c:v>
                </c:pt>
                <c:pt idx="1142">
                  <c:v>228.39999999999557</c:v>
                </c:pt>
                <c:pt idx="1143">
                  <c:v>228.59999999999556</c:v>
                </c:pt>
                <c:pt idx="1144">
                  <c:v>228.79999999999555</c:v>
                </c:pt>
                <c:pt idx="1145">
                  <c:v>228.99999999999554</c:v>
                </c:pt>
                <c:pt idx="1146">
                  <c:v>229.19999999999553</c:v>
                </c:pt>
                <c:pt idx="1147">
                  <c:v>229.39999999999552</c:v>
                </c:pt>
                <c:pt idx="1148">
                  <c:v>229.5999999999955</c:v>
                </c:pt>
                <c:pt idx="1149">
                  <c:v>229.79999999999549</c:v>
                </c:pt>
                <c:pt idx="1150">
                  <c:v>229.99999999999548</c:v>
                </c:pt>
                <c:pt idx="1151">
                  <c:v>230.19999999999547</c:v>
                </c:pt>
                <c:pt idx="1152">
                  <c:v>230.39999999999546</c:v>
                </c:pt>
                <c:pt idx="1153">
                  <c:v>230.59999999999545</c:v>
                </c:pt>
                <c:pt idx="1154">
                  <c:v>230.79999999999544</c:v>
                </c:pt>
                <c:pt idx="1155">
                  <c:v>230.99999999999542</c:v>
                </c:pt>
                <c:pt idx="1156">
                  <c:v>231.19999999999541</c:v>
                </c:pt>
                <c:pt idx="1157">
                  <c:v>231.3999999999954</c:v>
                </c:pt>
                <c:pt idx="1158">
                  <c:v>231.59999999999539</c:v>
                </c:pt>
                <c:pt idx="1159">
                  <c:v>231.79999999999538</c:v>
                </c:pt>
                <c:pt idx="1160">
                  <c:v>231.99999999999537</c:v>
                </c:pt>
                <c:pt idx="1161">
                  <c:v>232.19999999999536</c:v>
                </c:pt>
                <c:pt idx="1162">
                  <c:v>232.39999999999534</c:v>
                </c:pt>
                <c:pt idx="1163">
                  <c:v>232.59999999999533</c:v>
                </c:pt>
                <c:pt idx="1164">
                  <c:v>232.79999999999532</c:v>
                </c:pt>
                <c:pt idx="1165">
                  <c:v>232.99999999999531</c:v>
                </c:pt>
                <c:pt idx="1166">
                  <c:v>233.1999999999953</c:v>
                </c:pt>
                <c:pt idx="1167">
                  <c:v>233.39999999999529</c:v>
                </c:pt>
                <c:pt idx="1168">
                  <c:v>233.59999999999528</c:v>
                </c:pt>
                <c:pt idx="1169">
                  <c:v>233.79999999999526</c:v>
                </c:pt>
                <c:pt idx="1170">
                  <c:v>233.99999999999525</c:v>
                </c:pt>
                <c:pt idx="1171">
                  <c:v>234.19999999999524</c:v>
                </c:pt>
                <c:pt idx="1172">
                  <c:v>234.39999999999523</c:v>
                </c:pt>
                <c:pt idx="1173">
                  <c:v>234.59999999999522</c:v>
                </c:pt>
                <c:pt idx="1174">
                  <c:v>234.79999999999521</c:v>
                </c:pt>
                <c:pt idx="1175">
                  <c:v>234.9999999999952</c:v>
                </c:pt>
                <c:pt idx="1176">
                  <c:v>235.19999999999519</c:v>
                </c:pt>
                <c:pt idx="1177">
                  <c:v>235.39999999999517</c:v>
                </c:pt>
                <c:pt idx="1178">
                  <c:v>235.59999999999516</c:v>
                </c:pt>
                <c:pt idx="1179">
                  <c:v>235.79999999999515</c:v>
                </c:pt>
                <c:pt idx="1180">
                  <c:v>235.99999999999514</c:v>
                </c:pt>
                <c:pt idx="1181">
                  <c:v>236.19999999999513</c:v>
                </c:pt>
                <c:pt idx="1182">
                  <c:v>236.39999999999512</c:v>
                </c:pt>
                <c:pt idx="1183">
                  <c:v>236.59999999999511</c:v>
                </c:pt>
                <c:pt idx="1184">
                  <c:v>236.79999999999509</c:v>
                </c:pt>
                <c:pt idx="1185">
                  <c:v>236.99999999999508</c:v>
                </c:pt>
                <c:pt idx="1186">
                  <c:v>237.19999999999507</c:v>
                </c:pt>
                <c:pt idx="1187">
                  <c:v>237.39999999999506</c:v>
                </c:pt>
                <c:pt idx="1188">
                  <c:v>237.59999999999505</c:v>
                </c:pt>
                <c:pt idx="1189">
                  <c:v>237.79999999999504</c:v>
                </c:pt>
                <c:pt idx="1190">
                  <c:v>237.99999999999503</c:v>
                </c:pt>
                <c:pt idx="1191">
                  <c:v>238.19999999999501</c:v>
                </c:pt>
                <c:pt idx="1192">
                  <c:v>238.399999999995</c:v>
                </c:pt>
                <c:pt idx="1193">
                  <c:v>238.59999999999499</c:v>
                </c:pt>
                <c:pt idx="1194">
                  <c:v>238.79999999999498</c:v>
                </c:pt>
                <c:pt idx="1195">
                  <c:v>238.99999999999497</c:v>
                </c:pt>
                <c:pt idx="1196">
                  <c:v>239.19999999999496</c:v>
                </c:pt>
                <c:pt idx="1197">
                  <c:v>239.39999999999495</c:v>
                </c:pt>
                <c:pt idx="1198">
                  <c:v>239.59999999999494</c:v>
                </c:pt>
                <c:pt idx="1199">
                  <c:v>239.79999999999492</c:v>
                </c:pt>
                <c:pt idx="1200">
                  <c:v>239.99999999999491</c:v>
                </c:pt>
                <c:pt idx="1201">
                  <c:v>240.1999999999949</c:v>
                </c:pt>
                <c:pt idx="1202">
                  <c:v>240.39999999999489</c:v>
                </c:pt>
                <c:pt idx="1203">
                  <c:v>240.59999999999488</c:v>
                </c:pt>
                <c:pt idx="1204">
                  <c:v>240.79999999999487</c:v>
                </c:pt>
                <c:pt idx="1205">
                  <c:v>240.99999999999486</c:v>
                </c:pt>
                <c:pt idx="1206">
                  <c:v>241.19999999999484</c:v>
                </c:pt>
                <c:pt idx="1207">
                  <c:v>241.39999999999483</c:v>
                </c:pt>
                <c:pt idx="1208">
                  <c:v>241.59999999999482</c:v>
                </c:pt>
                <c:pt idx="1209">
                  <c:v>241.79999999999481</c:v>
                </c:pt>
                <c:pt idx="1210">
                  <c:v>241.9999999999948</c:v>
                </c:pt>
                <c:pt idx="1211">
                  <c:v>242.19999999999479</c:v>
                </c:pt>
                <c:pt idx="1212">
                  <c:v>242.39999999999478</c:v>
                </c:pt>
                <c:pt idx="1213">
                  <c:v>242.59999999999476</c:v>
                </c:pt>
                <c:pt idx="1214">
                  <c:v>242.79999999999475</c:v>
                </c:pt>
                <c:pt idx="1215">
                  <c:v>242.99999999999474</c:v>
                </c:pt>
                <c:pt idx="1216">
                  <c:v>243.19999999999473</c:v>
                </c:pt>
                <c:pt idx="1217">
                  <c:v>243.39999999999472</c:v>
                </c:pt>
                <c:pt idx="1218">
                  <c:v>243.59999999999471</c:v>
                </c:pt>
                <c:pt idx="1219">
                  <c:v>243.7999999999947</c:v>
                </c:pt>
                <c:pt idx="1220">
                  <c:v>243.99999999999469</c:v>
                </c:pt>
                <c:pt idx="1221">
                  <c:v>244.19999999999467</c:v>
                </c:pt>
                <c:pt idx="1222">
                  <c:v>244.39999999999466</c:v>
                </c:pt>
                <c:pt idx="1223">
                  <c:v>244.59999999999465</c:v>
                </c:pt>
                <c:pt idx="1224">
                  <c:v>244.79999999999464</c:v>
                </c:pt>
                <c:pt idx="1225">
                  <c:v>244.99999999999463</c:v>
                </c:pt>
                <c:pt idx="1226">
                  <c:v>245.19999999999462</c:v>
                </c:pt>
                <c:pt idx="1227">
                  <c:v>245.39999999999461</c:v>
                </c:pt>
                <c:pt idx="1228">
                  <c:v>245.59999999999459</c:v>
                </c:pt>
                <c:pt idx="1229">
                  <c:v>245.79999999999458</c:v>
                </c:pt>
                <c:pt idx="1230">
                  <c:v>245.99999999999457</c:v>
                </c:pt>
                <c:pt idx="1231">
                  <c:v>246.19999999999456</c:v>
                </c:pt>
                <c:pt idx="1232">
                  <c:v>246.39999999999455</c:v>
                </c:pt>
                <c:pt idx="1233">
                  <c:v>246.59999999999454</c:v>
                </c:pt>
                <c:pt idx="1234">
                  <c:v>246.79999999999453</c:v>
                </c:pt>
                <c:pt idx="1235">
                  <c:v>246.99999999999451</c:v>
                </c:pt>
                <c:pt idx="1236">
                  <c:v>247.1999999999945</c:v>
                </c:pt>
                <c:pt idx="1237">
                  <c:v>247.39999999999449</c:v>
                </c:pt>
                <c:pt idx="1238">
                  <c:v>247.59999999999448</c:v>
                </c:pt>
                <c:pt idx="1239">
                  <c:v>247.79999999999447</c:v>
                </c:pt>
                <c:pt idx="1240">
                  <c:v>247.99999999999446</c:v>
                </c:pt>
                <c:pt idx="1241">
                  <c:v>248.19999999999445</c:v>
                </c:pt>
                <c:pt idx="1242">
                  <c:v>248.39999999999444</c:v>
                </c:pt>
                <c:pt idx="1243">
                  <c:v>248.59999999999442</c:v>
                </c:pt>
                <c:pt idx="1244">
                  <c:v>248.79999999999441</c:v>
                </c:pt>
                <c:pt idx="1245">
                  <c:v>248.9999999999944</c:v>
                </c:pt>
                <c:pt idx="1246">
                  <c:v>249.19999999999439</c:v>
                </c:pt>
                <c:pt idx="1247">
                  <c:v>249.39999999999438</c:v>
                </c:pt>
                <c:pt idx="1248">
                  <c:v>249.59999999999437</c:v>
                </c:pt>
                <c:pt idx="1249">
                  <c:v>249.79999999999436</c:v>
                </c:pt>
                <c:pt idx="1250">
                  <c:v>249.99999999999434</c:v>
                </c:pt>
                <c:pt idx="1251">
                  <c:v>250.19999999999433</c:v>
                </c:pt>
                <c:pt idx="1252">
                  <c:v>250.39999999999432</c:v>
                </c:pt>
                <c:pt idx="1253">
                  <c:v>250.59999999999431</c:v>
                </c:pt>
                <c:pt idx="1254">
                  <c:v>250.7999999999943</c:v>
                </c:pt>
                <c:pt idx="1255">
                  <c:v>250.99999999999429</c:v>
                </c:pt>
                <c:pt idx="1256">
                  <c:v>251.19999999999428</c:v>
                </c:pt>
                <c:pt idx="1257">
                  <c:v>251.39999999999426</c:v>
                </c:pt>
                <c:pt idx="1258">
                  <c:v>251.59999999999425</c:v>
                </c:pt>
                <c:pt idx="1259">
                  <c:v>251.79999999999424</c:v>
                </c:pt>
                <c:pt idx="1260">
                  <c:v>251.99999999999423</c:v>
                </c:pt>
                <c:pt idx="1261">
                  <c:v>252.19999999999422</c:v>
                </c:pt>
                <c:pt idx="1262">
                  <c:v>252.39999999999421</c:v>
                </c:pt>
                <c:pt idx="1263">
                  <c:v>252.5999999999942</c:v>
                </c:pt>
                <c:pt idx="1264">
                  <c:v>252.79999999999418</c:v>
                </c:pt>
                <c:pt idx="1265">
                  <c:v>252.99999999999417</c:v>
                </c:pt>
                <c:pt idx="1266">
                  <c:v>253.19999999999416</c:v>
                </c:pt>
                <c:pt idx="1267">
                  <c:v>253.39999999999415</c:v>
                </c:pt>
                <c:pt idx="1268">
                  <c:v>253.59999999999414</c:v>
                </c:pt>
                <c:pt idx="1269">
                  <c:v>253.79999999999413</c:v>
                </c:pt>
                <c:pt idx="1270">
                  <c:v>253.99999999999412</c:v>
                </c:pt>
                <c:pt idx="1271">
                  <c:v>254.19999999999411</c:v>
                </c:pt>
                <c:pt idx="1272">
                  <c:v>254.39999999999409</c:v>
                </c:pt>
                <c:pt idx="1273">
                  <c:v>254.59999999999408</c:v>
                </c:pt>
                <c:pt idx="1274">
                  <c:v>254.79999999999407</c:v>
                </c:pt>
                <c:pt idx="1275">
                  <c:v>254.99999999999406</c:v>
                </c:pt>
                <c:pt idx="1276">
                  <c:v>255.19999999999405</c:v>
                </c:pt>
                <c:pt idx="1277">
                  <c:v>255.39999999999404</c:v>
                </c:pt>
                <c:pt idx="1278">
                  <c:v>255.59999999999403</c:v>
                </c:pt>
                <c:pt idx="1279">
                  <c:v>255.79999999999401</c:v>
                </c:pt>
                <c:pt idx="1280">
                  <c:v>255.999999999994</c:v>
                </c:pt>
                <c:pt idx="1281">
                  <c:v>256.19999999999402</c:v>
                </c:pt>
                <c:pt idx="1282">
                  <c:v>256.39999999999401</c:v>
                </c:pt>
                <c:pt idx="1283">
                  <c:v>256.599999999994</c:v>
                </c:pt>
                <c:pt idx="1284">
                  <c:v>256.79999999999399</c:v>
                </c:pt>
                <c:pt idx="1285">
                  <c:v>256.99999999999397</c:v>
                </c:pt>
                <c:pt idx="1286">
                  <c:v>257.19999999999396</c:v>
                </c:pt>
                <c:pt idx="1287">
                  <c:v>257.39999999999395</c:v>
                </c:pt>
                <c:pt idx="1288">
                  <c:v>257.59999999999394</c:v>
                </c:pt>
                <c:pt idx="1289">
                  <c:v>257.79999999999393</c:v>
                </c:pt>
                <c:pt idx="1290">
                  <c:v>257.99999999999392</c:v>
                </c:pt>
                <c:pt idx="1291">
                  <c:v>258.19999999999391</c:v>
                </c:pt>
                <c:pt idx="1292">
                  <c:v>258.3999999999939</c:v>
                </c:pt>
                <c:pt idx="1293">
                  <c:v>258.59999999999388</c:v>
                </c:pt>
                <c:pt idx="1294">
                  <c:v>258.79999999999387</c:v>
                </c:pt>
                <c:pt idx="1295">
                  <c:v>258.99999999999386</c:v>
                </c:pt>
                <c:pt idx="1296">
                  <c:v>259.19999999999385</c:v>
                </c:pt>
                <c:pt idx="1297">
                  <c:v>259.39999999999384</c:v>
                </c:pt>
                <c:pt idx="1298">
                  <c:v>259.59999999999383</c:v>
                </c:pt>
                <c:pt idx="1299">
                  <c:v>259.79999999999382</c:v>
                </c:pt>
                <c:pt idx="1300">
                  <c:v>259.9999999999938</c:v>
                </c:pt>
                <c:pt idx="1301">
                  <c:v>260.19999999999379</c:v>
                </c:pt>
                <c:pt idx="1302">
                  <c:v>260.39999999999378</c:v>
                </c:pt>
                <c:pt idx="1303">
                  <c:v>260.59999999999377</c:v>
                </c:pt>
                <c:pt idx="1304">
                  <c:v>260.79999999999376</c:v>
                </c:pt>
                <c:pt idx="1305">
                  <c:v>260.99999999999375</c:v>
                </c:pt>
                <c:pt idx="1306">
                  <c:v>261.19999999999374</c:v>
                </c:pt>
                <c:pt idx="1307">
                  <c:v>261.39999999999372</c:v>
                </c:pt>
                <c:pt idx="1308">
                  <c:v>261.59999999999371</c:v>
                </c:pt>
                <c:pt idx="1309">
                  <c:v>261.7999999999937</c:v>
                </c:pt>
                <c:pt idx="1310">
                  <c:v>261.99999999999369</c:v>
                </c:pt>
                <c:pt idx="1311">
                  <c:v>262.19999999999368</c:v>
                </c:pt>
                <c:pt idx="1312">
                  <c:v>262.39999999999367</c:v>
                </c:pt>
                <c:pt idx="1313">
                  <c:v>262.59999999999366</c:v>
                </c:pt>
                <c:pt idx="1314">
                  <c:v>262.79999999999364</c:v>
                </c:pt>
                <c:pt idx="1315">
                  <c:v>262.99999999999363</c:v>
                </c:pt>
                <c:pt idx="1316">
                  <c:v>263.19999999999362</c:v>
                </c:pt>
                <c:pt idx="1317">
                  <c:v>263.39999999999361</c:v>
                </c:pt>
                <c:pt idx="1318">
                  <c:v>263.5999999999936</c:v>
                </c:pt>
                <c:pt idx="1319">
                  <c:v>263.79999999999359</c:v>
                </c:pt>
                <c:pt idx="1320">
                  <c:v>263.99999999999358</c:v>
                </c:pt>
                <c:pt idx="1321">
                  <c:v>264.19999999999357</c:v>
                </c:pt>
                <c:pt idx="1322">
                  <c:v>264.39999999999355</c:v>
                </c:pt>
                <c:pt idx="1323">
                  <c:v>264.59999999999354</c:v>
                </c:pt>
                <c:pt idx="1324">
                  <c:v>264.79999999999353</c:v>
                </c:pt>
                <c:pt idx="1325">
                  <c:v>264.99999999999352</c:v>
                </c:pt>
                <c:pt idx="1326">
                  <c:v>265.19999999999351</c:v>
                </c:pt>
                <c:pt idx="1327">
                  <c:v>265.3999999999935</c:v>
                </c:pt>
                <c:pt idx="1328">
                  <c:v>265.59999999999349</c:v>
                </c:pt>
                <c:pt idx="1329">
                  <c:v>265.79999999999347</c:v>
                </c:pt>
                <c:pt idx="1330">
                  <c:v>265.99999999999346</c:v>
                </c:pt>
                <c:pt idx="1331">
                  <c:v>266.19999999999345</c:v>
                </c:pt>
                <c:pt idx="1332">
                  <c:v>266.39999999999344</c:v>
                </c:pt>
                <c:pt idx="1333">
                  <c:v>266.59999999999343</c:v>
                </c:pt>
                <c:pt idx="1334">
                  <c:v>266.79999999999342</c:v>
                </c:pt>
                <c:pt idx="1335">
                  <c:v>266.99999999999341</c:v>
                </c:pt>
                <c:pt idx="1336">
                  <c:v>267.19999999999339</c:v>
                </c:pt>
                <c:pt idx="1337">
                  <c:v>267.39999999999338</c:v>
                </c:pt>
                <c:pt idx="1338">
                  <c:v>267.59999999999337</c:v>
                </c:pt>
                <c:pt idx="1339">
                  <c:v>267.79999999999336</c:v>
                </c:pt>
                <c:pt idx="1340">
                  <c:v>267.99999999999335</c:v>
                </c:pt>
                <c:pt idx="1341">
                  <c:v>268.19999999999334</c:v>
                </c:pt>
                <c:pt idx="1342">
                  <c:v>268.39999999999333</c:v>
                </c:pt>
                <c:pt idx="1343">
                  <c:v>268.59999999999332</c:v>
                </c:pt>
                <c:pt idx="1344">
                  <c:v>268.7999999999933</c:v>
                </c:pt>
                <c:pt idx="1345">
                  <c:v>268.99999999999329</c:v>
                </c:pt>
                <c:pt idx="1346">
                  <c:v>269.19999999999328</c:v>
                </c:pt>
                <c:pt idx="1347">
                  <c:v>269.39999999999327</c:v>
                </c:pt>
                <c:pt idx="1348">
                  <c:v>269.59999999999326</c:v>
                </c:pt>
                <c:pt idx="1349">
                  <c:v>269.79999999999325</c:v>
                </c:pt>
                <c:pt idx="1350">
                  <c:v>269.99999999999324</c:v>
                </c:pt>
                <c:pt idx="1351">
                  <c:v>270.19999999999322</c:v>
                </c:pt>
                <c:pt idx="1352">
                  <c:v>270.39999999999321</c:v>
                </c:pt>
                <c:pt idx="1353">
                  <c:v>270.5999999999932</c:v>
                </c:pt>
                <c:pt idx="1354">
                  <c:v>270.79999999999319</c:v>
                </c:pt>
                <c:pt idx="1355">
                  <c:v>270.99999999999318</c:v>
                </c:pt>
                <c:pt idx="1356">
                  <c:v>271.19999999999317</c:v>
                </c:pt>
                <c:pt idx="1357">
                  <c:v>271.39999999999316</c:v>
                </c:pt>
                <c:pt idx="1358">
                  <c:v>271.59999999999314</c:v>
                </c:pt>
                <c:pt idx="1359">
                  <c:v>271.79999999999313</c:v>
                </c:pt>
                <c:pt idx="1360">
                  <c:v>271.99999999999312</c:v>
                </c:pt>
                <c:pt idx="1361">
                  <c:v>272.19999999999311</c:v>
                </c:pt>
                <c:pt idx="1362">
                  <c:v>272.3999999999931</c:v>
                </c:pt>
                <c:pt idx="1363">
                  <c:v>272.59999999999309</c:v>
                </c:pt>
                <c:pt idx="1364">
                  <c:v>272.79999999999308</c:v>
                </c:pt>
                <c:pt idx="1365">
                  <c:v>272.99999999999307</c:v>
                </c:pt>
                <c:pt idx="1366">
                  <c:v>273.19999999999305</c:v>
                </c:pt>
                <c:pt idx="1367">
                  <c:v>273.39999999999304</c:v>
                </c:pt>
                <c:pt idx="1368">
                  <c:v>273.59999999999303</c:v>
                </c:pt>
                <c:pt idx="1369">
                  <c:v>273.79999999999302</c:v>
                </c:pt>
                <c:pt idx="1370">
                  <c:v>273.99999999999301</c:v>
                </c:pt>
                <c:pt idx="1371">
                  <c:v>274.199999999993</c:v>
                </c:pt>
                <c:pt idx="1372">
                  <c:v>274.39999999999299</c:v>
                </c:pt>
                <c:pt idx="1373">
                  <c:v>274.59999999999297</c:v>
                </c:pt>
                <c:pt idx="1374">
                  <c:v>274.79999999999296</c:v>
                </c:pt>
                <c:pt idx="1375">
                  <c:v>274.99999999999295</c:v>
                </c:pt>
                <c:pt idx="1376">
                  <c:v>275.19999999999294</c:v>
                </c:pt>
                <c:pt idx="1377">
                  <c:v>275.39999999999293</c:v>
                </c:pt>
                <c:pt idx="1378">
                  <c:v>275.59999999999292</c:v>
                </c:pt>
                <c:pt idx="1379">
                  <c:v>275.79999999999291</c:v>
                </c:pt>
                <c:pt idx="1380">
                  <c:v>275.99999999999289</c:v>
                </c:pt>
                <c:pt idx="1381">
                  <c:v>276.19999999999288</c:v>
                </c:pt>
                <c:pt idx="1382">
                  <c:v>276.39999999999287</c:v>
                </c:pt>
                <c:pt idx="1383">
                  <c:v>276.59999999999286</c:v>
                </c:pt>
                <c:pt idx="1384">
                  <c:v>276.79999999999285</c:v>
                </c:pt>
                <c:pt idx="1385">
                  <c:v>276.99999999999284</c:v>
                </c:pt>
                <c:pt idx="1386">
                  <c:v>277.19999999999283</c:v>
                </c:pt>
                <c:pt idx="1387">
                  <c:v>277.39999999999281</c:v>
                </c:pt>
                <c:pt idx="1388">
                  <c:v>277.5999999999928</c:v>
                </c:pt>
                <c:pt idx="1389">
                  <c:v>277.79999999999279</c:v>
                </c:pt>
                <c:pt idx="1390">
                  <c:v>277.99999999999278</c:v>
                </c:pt>
                <c:pt idx="1391">
                  <c:v>278.19999999999277</c:v>
                </c:pt>
                <c:pt idx="1392">
                  <c:v>278.39999999999276</c:v>
                </c:pt>
                <c:pt idx="1393">
                  <c:v>278.59999999999275</c:v>
                </c:pt>
                <c:pt idx="1394">
                  <c:v>278.79999999999274</c:v>
                </c:pt>
                <c:pt idx="1395">
                  <c:v>278.99999999999272</c:v>
                </c:pt>
                <c:pt idx="1396">
                  <c:v>279.19999999999271</c:v>
                </c:pt>
                <c:pt idx="1397">
                  <c:v>279.3999999999927</c:v>
                </c:pt>
                <c:pt idx="1398">
                  <c:v>279.59999999999269</c:v>
                </c:pt>
                <c:pt idx="1399">
                  <c:v>279.79999999999268</c:v>
                </c:pt>
                <c:pt idx="1400">
                  <c:v>279.99999999999267</c:v>
                </c:pt>
                <c:pt idx="1401">
                  <c:v>280.19999999999266</c:v>
                </c:pt>
                <c:pt idx="1402">
                  <c:v>280.39999999999264</c:v>
                </c:pt>
                <c:pt idx="1403">
                  <c:v>280.59999999999263</c:v>
                </c:pt>
                <c:pt idx="1404">
                  <c:v>280.79999999999262</c:v>
                </c:pt>
                <c:pt idx="1405">
                  <c:v>280.99999999999261</c:v>
                </c:pt>
                <c:pt idx="1406">
                  <c:v>281.1999999999926</c:v>
                </c:pt>
                <c:pt idx="1407">
                  <c:v>281.39999999999259</c:v>
                </c:pt>
                <c:pt idx="1408">
                  <c:v>281.59999999999258</c:v>
                </c:pt>
                <c:pt idx="1409">
                  <c:v>281.79999999999256</c:v>
                </c:pt>
                <c:pt idx="1410">
                  <c:v>281.99999999999255</c:v>
                </c:pt>
                <c:pt idx="1411">
                  <c:v>282.19999999999254</c:v>
                </c:pt>
                <c:pt idx="1412">
                  <c:v>282.39999999999253</c:v>
                </c:pt>
                <c:pt idx="1413">
                  <c:v>282.59999999999252</c:v>
                </c:pt>
                <c:pt idx="1414">
                  <c:v>282.79999999999251</c:v>
                </c:pt>
                <c:pt idx="1415">
                  <c:v>282.9999999999925</c:v>
                </c:pt>
                <c:pt idx="1416">
                  <c:v>283.19999999999249</c:v>
                </c:pt>
                <c:pt idx="1417">
                  <c:v>283.39999999999247</c:v>
                </c:pt>
                <c:pt idx="1418">
                  <c:v>283.59999999999246</c:v>
                </c:pt>
                <c:pt idx="1419">
                  <c:v>283.79999999999245</c:v>
                </c:pt>
                <c:pt idx="1420">
                  <c:v>283.99999999999244</c:v>
                </c:pt>
                <c:pt idx="1421">
                  <c:v>284.19999999999243</c:v>
                </c:pt>
                <c:pt idx="1422">
                  <c:v>284.39999999999242</c:v>
                </c:pt>
                <c:pt idx="1423">
                  <c:v>284.59999999999241</c:v>
                </c:pt>
                <c:pt idx="1424">
                  <c:v>284.79999999999239</c:v>
                </c:pt>
                <c:pt idx="1425">
                  <c:v>284.99999999999238</c:v>
                </c:pt>
                <c:pt idx="1426">
                  <c:v>285.19999999999237</c:v>
                </c:pt>
                <c:pt idx="1427">
                  <c:v>285.39999999999236</c:v>
                </c:pt>
                <c:pt idx="1428">
                  <c:v>285.59999999999235</c:v>
                </c:pt>
                <c:pt idx="1429">
                  <c:v>285.79999999999234</c:v>
                </c:pt>
                <c:pt idx="1430">
                  <c:v>285.99999999999233</c:v>
                </c:pt>
                <c:pt idx="1431">
                  <c:v>286.19999999999231</c:v>
                </c:pt>
                <c:pt idx="1432">
                  <c:v>286.3999999999923</c:v>
                </c:pt>
                <c:pt idx="1433">
                  <c:v>286.59999999999229</c:v>
                </c:pt>
                <c:pt idx="1434">
                  <c:v>286.79999999999228</c:v>
                </c:pt>
                <c:pt idx="1435">
                  <c:v>286.99999999999227</c:v>
                </c:pt>
                <c:pt idx="1436">
                  <c:v>287.19999999999226</c:v>
                </c:pt>
                <c:pt idx="1437">
                  <c:v>287.39999999999225</c:v>
                </c:pt>
                <c:pt idx="1438">
                  <c:v>287.59999999999224</c:v>
                </c:pt>
                <c:pt idx="1439">
                  <c:v>287.79999999999222</c:v>
                </c:pt>
                <c:pt idx="1440">
                  <c:v>287.99999999999221</c:v>
                </c:pt>
                <c:pt idx="1441">
                  <c:v>288.1999999999922</c:v>
                </c:pt>
                <c:pt idx="1442">
                  <c:v>288.39999999999219</c:v>
                </c:pt>
                <c:pt idx="1443">
                  <c:v>288.59999999999218</c:v>
                </c:pt>
                <c:pt idx="1444">
                  <c:v>288.79999999999217</c:v>
                </c:pt>
                <c:pt idx="1445">
                  <c:v>288.99999999999216</c:v>
                </c:pt>
                <c:pt idx="1446">
                  <c:v>289.19999999999214</c:v>
                </c:pt>
                <c:pt idx="1447">
                  <c:v>289.39999999999213</c:v>
                </c:pt>
                <c:pt idx="1448">
                  <c:v>289.59999999999212</c:v>
                </c:pt>
                <c:pt idx="1449">
                  <c:v>289.79999999999211</c:v>
                </c:pt>
                <c:pt idx="1450">
                  <c:v>289.9999999999921</c:v>
                </c:pt>
                <c:pt idx="1451">
                  <c:v>290.19999999999209</c:v>
                </c:pt>
                <c:pt idx="1452">
                  <c:v>290.39999999999208</c:v>
                </c:pt>
                <c:pt idx="1453">
                  <c:v>290.59999999999206</c:v>
                </c:pt>
                <c:pt idx="1454">
                  <c:v>290.79999999999205</c:v>
                </c:pt>
                <c:pt idx="1455">
                  <c:v>290.99999999999204</c:v>
                </c:pt>
                <c:pt idx="1456">
                  <c:v>291.19999999999203</c:v>
                </c:pt>
                <c:pt idx="1457">
                  <c:v>291.39999999999202</c:v>
                </c:pt>
                <c:pt idx="1458">
                  <c:v>291.59999999999201</c:v>
                </c:pt>
                <c:pt idx="1459">
                  <c:v>291.799999999992</c:v>
                </c:pt>
                <c:pt idx="1460">
                  <c:v>291.99999999999199</c:v>
                </c:pt>
                <c:pt idx="1461">
                  <c:v>292.19999999999197</c:v>
                </c:pt>
                <c:pt idx="1462">
                  <c:v>292.39999999999196</c:v>
                </c:pt>
                <c:pt idx="1463">
                  <c:v>292.59999999999195</c:v>
                </c:pt>
                <c:pt idx="1464">
                  <c:v>292.79999999999194</c:v>
                </c:pt>
                <c:pt idx="1465">
                  <c:v>292.99999999999193</c:v>
                </c:pt>
                <c:pt idx="1466">
                  <c:v>293.19999999999192</c:v>
                </c:pt>
                <c:pt idx="1467">
                  <c:v>293.39999999999191</c:v>
                </c:pt>
                <c:pt idx="1468">
                  <c:v>293.59999999999189</c:v>
                </c:pt>
                <c:pt idx="1469">
                  <c:v>293.79999999999188</c:v>
                </c:pt>
                <c:pt idx="1470">
                  <c:v>293.99999999999187</c:v>
                </c:pt>
                <c:pt idx="1471">
                  <c:v>294.19999999999186</c:v>
                </c:pt>
                <c:pt idx="1472">
                  <c:v>294.39999999999185</c:v>
                </c:pt>
                <c:pt idx="1473">
                  <c:v>294.59999999999184</c:v>
                </c:pt>
                <c:pt idx="1474">
                  <c:v>294.79999999999183</c:v>
                </c:pt>
                <c:pt idx="1475">
                  <c:v>294.99999999999181</c:v>
                </c:pt>
                <c:pt idx="1476">
                  <c:v>295.1999999999918</c:v>
                </c:pt>
                <c:pt idx="1477">
                  <c:v>295.39999999999179</c:v>
                </c:pt>
                <c:pt idx="1478">
                  <c:v>295.59999999999178</c:v>
                </c:pt>
                <c:pt idx="1479">
                  <c:v>295.79999999999177</c:v>
                </c:pt>
                <c:pt idx="1480">
                  <c:v>295.99999999999176</c:v>
                </c:pt>
                <c:pt idx="1481">
                  <c:v>296.19999999999175</c:v>
                </c:pt>
                <c:pt idx="1482">
                  <c:v>296.39999999999173</c:v>
                </c:pt>
                <c:pt idx="1483">
                  <c:v>296.59999999999172</c:v>
                </c:pt>
                <c:pt idx="1484">
                  <c:v>296.79999999999171</c:v>
                </c:pt>
                <c:pt idx="1485">
                  <c:v>296.9999999999917</c:v>
                </c:pt>
                <c:pt idx="1486">
                  <c:v>297.19999999999169</c:v>
                </c:pt>
                <c:pt idx="1487">
                  <c:v>297.39999999999168</c:v>
                </c:pt>
                <c:pt idx="1488">
                  <c:v>297.59999999999167</c:v>
                </c:pt>
                <c:pt idx="1489">
                  <c:v>297.79999999999166</c:v>
                </c:pt>
                <c:pt idx="1490">
                  <c:v>297.99999999999164</c:v>
                </c:pt>
                <c:pt idx="1491">
                  <c:v>298.19999999999163</c:v>
                </c:pt>
                <c:pt idx="1492">
                  <c:v>298.39999999999162</c:v>
                </c:pt>
                <c:pt idx="1493">
                  <c:v>298.59999999999161</c:v>
                </c:pt>
                <c:pt idx="1494">
                  <c:v>298.7999999999916</c:v>
                </c:pt>
                <c:pt idx="1495">
                  <c:v>298.99999999999159</c:v>
                </c:pt>
                <c:pt idx="1496">
                  <c:v>299.19999999999158</c:v>
                </c:pt>
                <c:pt idx="1497">
                  <c:v>299.39999999999156</c:v>
                </c:pt>
                <c:pt idx="1498">
                  <c:v>299.59999999999155</c:v>
                </c:pt>
                <c:pt idx="1499">
                  <c:v>299.79999999999154</c:v>
                </c:pt>
                <c:pt idx="1500">
                  <c:v>299.99999999999153</c:v>
                </c:pt>
                <c:pt idx="1501">
                  <c:v>300.19999999999152</c:v>
                </c:pt>
                <c:pt idx="1502">
                  <c:v>300.39999999999151</c:v>
                </c:pt>
                <c:pt idx="1503">
                  <c:v>300.5999999999915</c:v>
                </c:pt>
                <c:pt idx="1504">
                  <c:v>300.79999999999148</c:v>
                </c:pt>
                <c:pt idx="1505">
                  <c:v>300.99999999999147</c:v>
                </c:pt>
                <c:pt idx="1506">
                  <c:v>301.19999999999146</c:v>
                </c:pt>
                <c:pt idx="1507">
                  <c:v>301.39999999999145</c:v>
                </c:pt>
                <c:pt idx="1508">
                  <c:v>301.59999999999144</c:v>
                </c:pt>
                <c:pt idx="1509">
                  <c:v>301.79999999999143</c:v>
                </c:pt>
                <c:pt idx="1510">
                  <c:v>301.99999999999142</c:v>
                </c:pt>
                <c:pt idx="1511">
                  <c:v>302.19999999999141</c:v>
                </c:pt>
                <c:pt idx="1512">
                  <c:v>302.39999999999139</c:v>
                </c:pt>
                <c:pt idx="1513">
                  <c:v>302.59999999999138</c:v>
                </c:pt>
                <c:pt idx="1514">
                  <c:v>302.79999999999137</c:v>
                </c:pt>
                <c:pt idx="1515">
                  <c:v>302.99999999999136</c:v>
                </c:pt>
                <c:pt idx="1516">
                  <c:v>303.19999999999135</c:v>
                </c:pt>
                <c:pt idx="1517">
                  <c:v>303.39999999999134</c:v>
                </c:pt>
                <c:pt idx="1518">
                  <c:v>303.59999999999133</c:v>
                </c:pt>
                <c:pt idx="1519">
                  <c:v>303.79999999999131</c:v>
                </c:pt>
                <c:pt idx="1520">
                  <c:v>303.9999999999913</c:v>
                </c:pt>
                <c:pt idx="1521">
                  <c:v>304.19999999999129</c:v>
                </c:pt>
                <c:pt idx="1522">
                  <c:v>304.39999999999128</c:v>
                </c:pt>
                <c:pt idx="1523">
                  <c:v>304.59999999999127</c:v>
                </c:pt>
                <c:pt idx="1524">
                  <c:v>304.79999999999126</c:v>
                </c:pt>
                <c:pt idx="1525">
                  <c:v>304.99999999999125</c:v>
                </c:pt>
                <c:pt idx="1526">
                  <c:v>305.19999999999123</c:v>
                </c:pt>
                <c:pt idx="1527">
                  <c:v>305.39999999999122</c:v>
                </c:pt>
                <c:pt idx="1528">
                  <c:v>305.59999999999121</c:v>
                </c:pt>
                <c:pt idx="1529">
                  <c:v>305.7999999999912</c:v>
                </c:pt>
                <c:pt idx="1530">
                  <c:v>305.99999999999119</c:v>
                </c:pt>
                <c:pt idx="1531">
                  <c:v>306.19999999999118</c:v>
                </c:pt>
                <c:pt idx="1532">
                  <c:v>306.39999999999117</c:v>
                </c:pt>
                <c:pt idx="1533">
                  <c:v>306.59999999999116</c:v>
                </c:pt>
                <c:pt idx="1534">
                  <c:v>306.79999999999114</c:v>
                </c:pt>
                <c:pt idx="1535">
                  <c:v>306.99999999999113</c:v>
                </c:pt>
                <c:pt idx="1536">
                  <c:v>307.19999999999112</c:v>
                </c:pt>
                <c:pt idx="1537">
                  <c:v>307.39999999999111</c:v>
                </c:pt>
                <c:pt idx="1538">
                  <c:v>307.5999999999911</c:v>
                </c:pt>
                <c:pt idx="1539">
                  <c:v>307.79999999999109</c:v>
                </c:pt>
                <c:pt idx="1540">
                  <c:v>307.99999999999108</c:v>
                </c:pt>
                <c:pt idx="1541">
                  <c:v>308.19999999999106</c:v>
                </c:pt>
                <c:pt idx="1542">
                  <c:v>308.39999999999105</c:v>
                </c:pt>
                <c:pt idx="1543">
                  <c:v>308.59999999999104</c:v>
                </c:pt>
                <c:pt idx="1544">
                  <c:v>308.79999999999103</c:v>
                </c:pt>
                <c:pt idx="1545">
                  <c:v>308.99999999999102</c:v>
                </c:pt>
                <c:pt idx="1546">
                  <c:v>309.19999999999101</c:v>
                </c:pt>
                <c:pt idx="1547">
                  <c:v>309.399999999991</c:v>
                </c:pt>
                <c:pt idx="1548">
                  <c:v>309.59999999999098</c:v>
                </c:pt>
                <c:pt idx="1549">
                  <c:v>309.79999999999097</c:v>
                </c:pt>
                <c:pt idx="1550">
                  <c:v>309.99999999999096</c:v>
                </c:pt>
                <c:pt idx="1551">
                  <c:v>310.19999999999095</c:v>
                </c:pt>
                <c:pt idx="1552">
                  <c:v>310.39999999999094</c:v>
                </c:pt>
                <c:pt idx="1553">
                  <c:v>310.59999999999093</c:v>
                </c:pt>
                <c:pt idx="1554">
                  <c:v>310.79999999999092</c:v>
                </c:pt>
                <c:pt idx="1555">
                  <c:v>310.99999999999091</c:v>
                </c:pt>
                <c:pt idx="1556">
                  <c:v>311.19999999999089</c:v>
                </c:pt>
                <c:pt idx="1557">
                  <c:v>311.39999999999088</c:v>
                </c:pt>
                <c:pt idx="1558">
                  <c:v>311.59999999999087</c:v>
                </c:pt>
                <c:pt idx="1559">
                  <c:v>311.79999999999086</c:v>
                </c:pt>
                <c:pt idx="1560">
                  <c:v>311.99999999999085</c:v>
                </c:pt>
                <c:pt idx="1561">
                  <c:v>312.19999999999084</c:v>
                </c:pt>
                <c:pt idx="1562">
                  <c:v>312.39999999999083</c:v>
                </c:pt>
                <c:pt idx="1563">
                  <c:v>312.59999999999081</c:v>
                </c:pt>
                <c:pt idx="1564">
                  <c:v>312.7999999999908</c:v>
                </c:pt>
                <c:pt idx="1565">
                  <c:v>312.99999999999079</c:v>
                </c:pt>
                <c:pt idx="1566">
                  <c:v>313.19999999999078</c:v>
                </c:pt>
                <c:pt idx="1567">
                  <c:v>313.39999999999077</c:v>
                </c:pt>
                <c:pt idx="1568">
                  <c:v>313.59999999999076</c:v>
                </c:pt>
                <c:pt idx="1569">
                  <c:v>313.79999999999075</c:v>
                </c:pt>
                <c:pt idx="1570">
                  <c:v>313.99999999999073</c:v>
                </c:pt>
                <c:pt idx="1571">
                  <c:v>314.19999999999072</c:v>
                </c:pt>
                <c:pt idx="1572">
                  <c:v>314.39999999999071</c:v>
                </c:pt>
                <c:pt idx="1573">
                  <c:v>314.5999999999907</c:v>
                </c:pt>
                <c:pt idx="1574">
                  <c:v>314.79999999999069</c:v>
                </c:pt>
                <c:pt idx="1575">
                  <c:v>314.99999999999068</c:v>
                </c:pt>
                <c:pt idx="1576">
                  <c:v>315.19999999999067</c:v>
                </c:pt>
                <c:pt idx="1577">
                  <c:v>315.39999999999065</c:v>
                </c:pt>
                <c:pt idx="1578">
                  <c:v>315.59999999999064</c:v>
                </c:pt>
                <c:pt idx="1579">
                  <c:v>315.79999999999063</c:v>
                </c:pt>
                <c:pt idx="1580">
                  <c:v>315.99999999999062</c:v>
                </c:pt>
                <c:pt idx="1581">
                  <c:v>316.19999999999061</c:v>
                </c:pt>
                <c:pt idx="1582">
                  <c:v>316.3999999999906</c:v>
                </c:pt>
                <c:pt idx="1583">
                  <c:v>316.59999999999059</c:v>
                </c:pt>
                <c:pt idx="1584">
                  <c:v>316.79999999999058</c:v>
                </c:pt>
                <c:pt idx="1585">
                  <c:v>316.99999999999056</c:v>
                </c:pt>
                <c:pt idx="1586">
                  <c:v>317.19999999999055</c:v>
                </c:pt>
                <c:pt idx="1587">
                  <c:v>317.39999999999054</c:v>
                </c:pt>
                <c:pt idx="1588">
                  <c:v>317.59999999999053</c:v>
                </c:pt>
                <c:pt idx="1589">
                  <c:v>317.79999999999052</c:v>
                </c:pt>
                <c:pt idx="1590">
                  <c:v>317.99999999999051</c:v>
                </c:pt>
                <c:pt idx="1591">
                  <c:v>318.1999999999905</c:v>
                </c:pt>
                <c:pt idx="1592">
                  <c:v>318.39999999999048</c:v>
                </c:pt>
                <c:pt idx="1593">
                  <c:v>318.59999999999047</c:v>
                </c:pt>
                <c:pt idx="1594">
                  <c:v>318.79999999999046</c:v>
                </c:pt>
                <c:pt idx="1595">
                  <c:v>318.99999999999045</c:v>
                </c:pt>
                <c:pt idx="1596">
                  <c:v>319.19999999999044</c:v>
                </c:pt>
                <c:pt idx="1597">
                  <c:v>319.39999999999043</c:v>
                </c:pt>
                <c:pt idx="1598">
                  <c:v>319.59999999999042</c:v>
                </c:pt>
                <c:pt idx="1599">
                  <c:v>319.7999999999904</c:v>
                </c:pt>
                <c:pt idx="1600">
                  <c:v>319.99999999999039</c:v>
                </c:pt>
                <c:pt idx="1601">
                  <c:v>320.19999999999038</c:v>
                </c:pt>
                <c:pt idx="1602">
                  <c:v>320.39999999999037</c:v>
                </c:pt>
                <c:pt idx="1603">
                  <c:v>320.59999999999036</c:v>
                </c:pt>
                <c:pt idx="1604">
                  <c:v>320.79999999999035</c:v>
                </c:pt>
                <c:pt idx="1605">
                  <c:v>320.99999999999034</c:v>
                </c:pt>
                <c:pt idx="1606">
                  <c:v>321.19999999999033</c:v>
                </c:pt>
                <c:pt idx="1607">
                  <c:v>321.39999999999031</c:v>
                </c:pt>
                <c:pt idx="1608">
                  <c:v>321.5999999999903</c:v>
                </c:pt>
                <c:pt idx="1609">
                  <c:v>321.79999999999029</c:v>
                </c:pt>
                <c:pt idx="1610">
                  <c:v>321.99999999999028</c:v>
                </c:pt>
                <c:pt idx="1611">
                  <c:v>322.19999999999027</c:v>
                </c:pt>
                <c:pt idx="1612">
                  <c:v>322.39999999999026</c:v>
                </c:pt>
                <c:pt idx="1613">
                  <c:v>322.59999999999025</c:v>
                </c:pt>
                <c:pt idx="1614">
                  <c:v>322.79999999999023</c:v>
                </c:pt>
                <c:pt idx="1615">
                  <c:v>322.99999999999022</c:v>
                </c:pt>
                <c:pt idx="1616">
                  <c:v>323.19999999999021</c:v>
                </c:pt>
                <c:pt idx="1617">
                  <c:v>323.3999999999902</c:v>
                </c:pt>
                <c:pt idx="1618">
                  <c:v>323.59999999999019</c:v>
                </c:pt>
                <c:pt idx="1619">
                  <c:v>323.79999999999018</c:v>
                </c:pt>
                <c:pt idx="1620">
                  <c:v>323.99999999999017</c:v>
                </c:pt>
                <c:pt idx="1621">
                  <c:v>324.19999999999015</c:v>
                </c:pt>
                <c:pt idx="1622">
                  <c:v>324.39999999999014</c:v>
                </c:pt>
                <c:pt idx="1623">
                  <c:v>324.59999999999013</c:v>
                </c:pt>
                <c:pt idx="1624">
                  <c:v>324.79999999999012</c:v>
                </c:pt>
                <c:pt idx="1625">
                  <c:v>324.99999999999011</c:v>
                </c:pt>
                <c:pt idx="1626">
                  <c:v>325.1999999999901</c:v>
                </c:pt>
                <c:pt idx="1627">
                  <c:v>325.39999999999009</c:v>
                </c:pt>
                <c:pt idx="1628">
                  <c:v>325.59999999999008</c:v>
                </c:pt>
                <c:pt idx="1629">
                  <c:v>325.79999999999006</c:v>
                </c:pt>
                <c:pt idx="1630">
                  <c:v>325.99999999999005</c:v>
                </c:pt>
                <c:pt idx="1631">
                  <c:v>326.19999999999004</c:v>
                </c:pt>
                <c:pt idx="1632">
                  <c:v>326.39999999999003</c:v>
                </c:pt>
                <c:pt idx="1633">
                  <c:v>326.59999999999002</c:v>
                </c:pt>
                <c:pt idx="1634">
                  <c:v>326.79999999999001</c:v>
                </c:pt>
                <c:pt idx="1635">
                  <c:v>326.99999999999</c:v>
                </c:pt>
                <c:pt idx="1636">
                  <c:v>327.19999999998998</c:v>
                </c:pt>
                <c:pt idx="1637">
                  <c:v>327.39999999998997</c:v>
                </c:pt>
                <c:pt idx="1638">
                  <c:v>327.59999999998996</c:v>
                </c:pt>
                <c:pt idx="1639">
                  <c:v>327.79999999998995</c:v>
                </c:pt>
                <c:pt idx="1640">
                  <c:v>327.99999999998994</c:v>
                </c:pt>
                <c:pt idx="1641">
                  <c:v>328.19999999998993</c:v>
                </c:pt>
                <c:pt idx="1642">
                  <c:v>328.39999999998992</c:v>
                </c:pt>
                <c:pt idx="1643">
                  <c:v>328.5999999999899</c:v>
                </c:pt>
                <c:pt idx="1644">
                  <c:v>328.79999999998989</c:v>
                </c:pt>
                <c:pt idx="1645">
                  <c:v>328.99999999998988</c:v>
                </c:pt>
                <c:pt idx="1646">
                  <c:v>329.19999999998987</c:v>
                </c:pt>
                <c:pt idx="1647">
                  <c:v>329.39999999998986</c:v>
                </c:pt>
                <c:pt idx="1648">
                  <c:v>329.59999999998985</c:v>
                </c:pt>
                <c:pt idx="1649">
                  <c:v>329.79999999998984</c:v>
                </c:pt>
                <c:pt idx="1650">
                  <c:v>329.99999999998983</c:v>
                </c:pt>
                <c:pt idx="1651">
                  <c:v>330.19999999998981</c:v>
                </c:pt>
                <c:pt idx="1652">
                  <c:v>330.3999999999898</c:v>
                </c:pt>
                <c:pt idx="1653">
                  <c:v>330.59999999998979</c:v>
                </c:pt>
                <c:pt idx="1654">
                  <c:v>330.79999999998978</c:v>
                </c:pt>
                <c:pt idx="1655">
                  <c:v>330.99999999998977</c:v>
                </c:pt>
                <c:pt idx="1656">
                  <c:v>331.19999999998976</c:v>
                </c:pt>
                <c:pt idx="1657">
                  <c:v>331.39999999998975</c:v>
                </c:pt>
                <c:pt idx="1658">
                  <c:v>331.59999999998973</c:v>
                </c:pt>
                <c:pt idx="1659">
                  <c:v>331.79999999998972</c:v>
                </c:pt>
                <c:pt idx="1660">
                  <c:v>331.99999999998971</c:v>
                </c:pt>
                <c:pt idx="1661">
                  <c:v>332.1999999999897</c:v>
                </c:pt>
                <c:pt idx="1662">
                  <c:v>332.39999999998969</c:v>
                </c:pt>
                <c:pt idx="1663">
                  <c:v>332.59999999998968</c:v>
                </c:pt>
                <c:pt idx="1664">
                  <c:v>332.79999999998967</c:v>
                </c:pt>
                <c:pt idx="1665">
                  <c:v>332.99999999998965</c:v>
                </c:pt>
                <c:pt idx="1666">
                  <c:v>333.19999999998964</c:v>
                </c:pt>
                <c:pt idx="1667">
                  <c:v>333.39999999998963</c:v>
                </c:pt>
                <c:pt idx="1668">
                  <c:v>333.59999999998962</c:v>
                </c:pt>
                <c:pt idx="1669">
                  <c:v>333.79999999998961</c:v>
                </c:pt>
                <c:pt idx="1670">
                  <c:v>333.9999999999896</c:v>
                </c:pt>
                <c:pt idx="1671">
                  <c:v>334.19999999998959</c:v>
                </c:pt>
                <c:pt idx="1672">
                  <c:v>334.39999999998957</c:v>
                </c:pt>
                <c:pt idx="1673">
                  <c:v>334.59999999998956</c:v>
                </c:pt>
                <c:pt idx="1674">
                  <c:v>334.79999999998955</c:v>
                </c:pt>
                <c:pt idx="1675">
                  <c:v>334.99999999998954</c:v>
                </c:pt>
                <c:pt idx="1676">
                  <c:v>335.19999999998953</c:v>
                </c:pt>
                <c:pt idx="1677">
                  <c:v>335.39999999998952</c:v>
                </c:pt>
                <c:pt idx="1678">
                  <c:v>335.59999999998951</c:v>
                </c:pt>
                <c:pt idx="1679">
                  <c:v>335.7999999999895</c:v>
                </c:pt>
                <c:pt idx="1680">
                  <c:v>335.99999999998948</c:v>
                </c:pt>
                <c:pt idx="1681">
                  <c:v>336.19999999998947</c:v>
                </c:pt>
                <c:pt idx="1682">
                  <c:v>336.39999999998946</c:v>
                </c:pt>
                <c:pt idx="1683">
                  <c:v>336.59999999998945</c:v>
                </c:pt>
                <c:pt idx="1684">
                  <c:v>336.79999999998944</c:v>
                </c:pt>
                <c:pt idx="1685">
                  <c:v>336.99999999998943</c:v>
                </c:pt>
                <c:pt idx="1686">
                  <c:v>337.19999999998942</c:v>
                </c:pt>
                <c:pt idx="1687">
                  <c:v>337.3999999999894</c:v>
                </c:pt>
                <c:pt idx="1688">
                  <c:v>337.59999999998939</c:v>
                </c:pt>
                <c:pt idx="1689">
                  <c:v>337.79999999998938</c:v>
                </c:pt>
                <c:pt idx="1690">
                  <c:v>337.99999999998937</c:v>
                </c:pt>
                <c:pt idx="1691">
                  <c:v>338.19999999998936</c:v>
                </c:pt>
                <c:pt idx="1692">
                  <c:v>338.39999999998935</c:v>
                </c:pt>
                <c:pt idx="1693">
                  <c:v>338.59999999998934</c:v>
                </c:pt>
                <c:pt idx="1694">
                  <c:v>338.79999999998932</c:v>
                </c:pt>
                <c:pt idx="1695">
                  <c:v>338.99999999998931</c:v>
                </c:pt>
                <c:pt idx="1696">
                  <c:v>339.1999999999893</c:v>
                </c:pt>
                <c:pt idx="1697">
                  <c:v>339.39999999998929</c:v>
                </c:pt>
                <c:pt idx="1698">
                  <c:v>339.59999999998928</c:v>
                </c:pt>
                <c:pt idx="1699">
                  <c:v>339.79999999998927</c:v>
                </c:pt>
                <c:pt idx="1700">
                  <c:v>339.99999999998926</c:v>
                </c:pt>
                <c:pt idx="1701">
                  <c:v>340.19999999998925</c:v>
                </c:pt>
                <c:pt idx="1702">
                  <c:v>340.39999999998923</c:v>
                </c:pt>
                <c:pt idx="1703">
                  <c:v>340.59999999998922</c:v>
                </c:pt>
                <c:pt idx="1704">
                  <c:v>340.79999999998921</c:v>
                </c:pt>
                <c:pt idx="1705">
                  <c:v>340.9999999999892</c:v>
                </c:pt>
                <c:pt idx="1706">
                  <c:v>341.19999999998919</c:v>
                </c:pt>
                <c:pt idx="1707">
                  <c:v>341.39999999998918</c:v>
                </c:pt>
                <c:pt idx="1708">
                  <c:v>341.59999999998917</c:v>
                </c:pt>
                <c:pt idx="1709">
                  <c:v>341.79999999998915</c:v>
                </c:pt>
                <c:pt idx="1710">
                  <c:v>341.99999999998914</c:v>
                </c:pt>
                <c:pt idx="1711">
                  <c:v>342.19999999998913</c:v>
                </c:pt>
                <c:pt idx="1712">
                  <c:v>342.39999999998912</c:v>
                </c:pt>
                <c:pt idx="1713">
                  <c:v>342.59999999998911</c:v>
                </c:pt>
                <c:pt idx="1714">
                  <c:v>342.7999999999891</c:v>
                </c:pt>
                <c:pt idx="1715">
                  <c:v>342.99999999998909</c:v>
                </c:pt>
                <c:pt idx="1716">
                  <c:v>343.19999999998907</c:v>
                </c:pt>
                <c:pt idx="1717">
                  <c:v>343.39999999998906</c:v>
                </c:pt>
                <c:pt idx="1718">
                  <c:v>343.59999999998905</c:v>
                </c:pt>
                <c:pt idx="1719">
                  <c:v>343.79999999998904</c:v>
                </c:pt>
                <c:pt idx="1720">
                  <c:v>343.99999999998903</c:v>
                </c:pt>
                <c:pt idx="1721">
                  <c:v>344.19999999998902</c:v>
                </c:pt>
                <c:pt idx="1722">
                  <c:v>344.39999999998901</c:v>
                </c:pt>
                <c:pt idx="1723">
                  <c:v>344.599999999989</c:v>
                </c:pt>
                <c:pt idx="1724">
                  <c:v>344.79999999998898</c:v>
                </c:pt>
                <c:pt idx="1725">
                  <c:v>344.99999999998897</c:v>
                </c:pt>
                <c:pt idx="1726">
                  <c:v>345.19999999998896</c:v>
                </c:pt>
                <c:pt idx="1727">
                  <c:v>345.39999999998895</c:v>
                </c:pt>
                <c:pt idx="1728">
                  <c:v>345.59999999998894</c:v>
                </c:pt>
                <c:pt idx="1729">
                  <c:v>345.79999999998893</c:v>
                </c:pt>
                <c:pt idx="1730">
                  <c:v>345.99999999998892</c:v>
                </c:pt>
                <c:pt idx="1731">
                  <c:v>346.1999999999889</c:v>
                </c:pt>
                <c:pt idx="1732">
                  <c:v>346.39999999998889</c:v>
                </c:pt>
                <c:pt idx="1733">
                  <c:v>346.59999999998888</c:v>
                </c:pt>
                <c:pt idx="1734">
                  <c:v>346.79999999998887</c:v>
                </c:pt>
                <c:pt idx="1735">
                  <c:v>346.99999999998886</c:v>
                </c:pt>
                <c:pt idx="1736">
                  <c:v>347.19999999998885</c:v>
                </c:pt>
                <c:pt idx="1737">
                  <c:v>347.39999999998884</c:v>
                </c:pt>
                <c:pt idx="1738">
                  <c:v>347.59999999998882</c:v>
                </c:pt>
                <c:pt idx="1739">
                  <c:v>347.79999999998881</c:v>
                </c:pt>
                <c:pt idx="1740">
                  <c:v>347.9999999999888</c:v>
                </c:pt>
                <c:pt idx="1741">
                  <c:v>348.19999999998879</c:v>
                </c:pt>
                <c:pt idx="1742">
                  <c:v>348.39999999998878</c:v>
                </c:pt>
                <c:pt idx="1743">
                  <c:v>348.59999999998877</c:v>
                </c:pt>
                <c:pt idx="1744">
                  <c:v>348.79999999998876</c:v>
                </c:pt>
                <c:pt idx="1745">
                  <c:v>348.99999999998875</c:v>
                </c:pt>
                <c:pt idx="1746">
                  <c:v>349.19999999998873</c:v>
                </c:pt>
                <c:pt idx="1747">
                  <c:v>349.39999999998872</c:v>
                </c:pt>
                <c:pt idx="1748">
                  <c:v>349.59999999998871</c:v>
                </c:pt>
                <c:pt idx="1749">
                  <c:v>349.7999999999887</c:v>
                </c:pt>
                <c:pt idx="1750">
                  <c:v>349.99999999998869</c:v>
                </c:pt>
                <c:pt idx="1751">
                  <c:v>350.19999999998868</c:v>
                </c:pt>
                <c:pt idx="1752">
                  <c:v>350.39999999998867</c:v>
                </c:pt>
                <c:pt idx="1753">
                  <c:v>350.59999999998865</c:v>
                </c:pt>
                <c:pt idx="1754">
                  <c:v>350.79999999998864</c:v>
                </c:pt>
                <c:pt idx="1755">
                  <c:v>350.99999999998863</c:v>
                </c:pt>
                <c:pt idx="1756">
                  <c:v>351.19999999998862</c:v>
                </c:pt>
                <c:pt idx="1757">
                  <c:v>351.39999999998861</c:v>
                </c:pt>
                <c:pt idx="1758">
                  <c:v>351.5999999999886</c:v>
                </c:pt>
                <c:pt idx="1759">
                  <c:v>351.79999999998859</c:v>
                </c:pt>
                <c:pt idx="1760">
                  <c:v>351.99999999998857</c:v>
                </c:pt>
                <c:pt idx="1761">
                  <c:v>352.19999999998856</c:v>
                </c:pt>
                <c:pt idx="1762">
                  <c:v>352.39999999998855</c:v>
                </c:pt>
                <c:pt idx="1763">
                  <c:v>352.59999999998854</c:v>
                </c:pt>
                <c:pt idx="1764">
                  <c:v>352.79999999998853</c:v>
                </c:pt>
                <c:pt idx="1765">
                  <c:v>352.99999999998852</c:v>
                </c:pt>
                <c:pt idx="1766">
                  <c:v>353.19999999998851</c:v>
                </c:pt>
                <c:pt idx="1767">
                  <c:v>353.39999999998849</c:v>
                </c:pt>
                <c:pt idx="1768">
                  <c:v>353.59999999998848</c:v>
                </c:pt>
                <c:pt idx="1769">
                  <c:v>353.79999999998847</c:v>
                </c:pt>
                <c:pt idx="1770">
                  <c:v>353.99999999998846</c:v>
                </c:pt>
                <c:pt idx="1771">
                  <c:v>354.19999999998845</c:v>
                </c:pt>
                <c:pt idx="1772">
                  <c:v>354.39999999998844</c:v>
                </c:pt>
                <c:pt idx="1773">
                  <c:v>354.59999999998843</c:v>
                </c:pt>
                <c:pt idx="1774">
                  <c:v>354.79999999998842</c:v>
                </c:pt>
                <c:pt idx="1775">
                  <c:v>354.9999999999884</c:v>
                </c:pt>
                <c:pt idx="1776">
                  <c:v>355.19999999998839</c:v>
                </c:pt>
                <c:pt idx="1777">
                  <c:v>355.39999999998838</c:v>
                </c:pt>
                <c:pt idx="1778">
                  <c:v>355.59999999998837</c:v>
                </c:pt>
                <c:pt idx="1779">
                  <c:v>355.79999999998836</c:v>
                </c:pt>
                <c:pt idx="1780">
                  <c:v>355.99999999998835</c:v>
                </c:pt>
                <c:pt idx="1781">
                  <c:v>356.19999999998834</c:v>
                </c:pt>
                <c:pt idx="1782">
                  <c:v>356.39999999998832</c:v>
                </c:pt>
                <c:pt idx="1783">
                  <c:v>356.59999999998831</c:v>
                </c:pt>
                <c:pt idx="1784">
                  <c:v>356.7999999999883</c:v>
                </c:pt>
                <c:pt idx="1785">
                  <c:v>356.99999999998829</c:v>
                </c:pt>
                <c:pt idx="1786">
                  <c:v>357.19999999998828</c:v>
                </c:pt>
                <c:pt idx="1787">
                  <c:v>357.39999999998827</c:v>
                </c:pt>
                <c:pt idx="1788">
                  <c:v>357.59999999998826</c:v>
                </c:pt>
                <c:pt idx="1789">
                  <c:v>357.79999999998824</c:v>
                </c:pt>
                <c:pt idx="1790">
                  <c:v>357.99999999998823</c:v>
                </c:pt>
                <c:pt idx="1791">
                  <c:v>358.19999999998822</c:v>
                </c:pt>
                <c:pt idx="1792">
                  <c:v>358.39999999998821</c:v>
                </c:pt>
                <c:pt idx="1793">
                  <c:v>358.5999999999882</c:v>
                </c:pt>
                <c:pt idx="1794">
                  <c:v>358.79999999998819</c:v>
                </c:pt>
                <c:pt idx="1795">
                  <c:v>358.99999999998818</c:v>
                </c:pt>
                <c:pt idx="1796">
                  <c:v>359.19999999998817</c:v>
                </c:pt>
                <c:pt idx="1797">
                  <c:v>359.39999999998815</c:v>
                </c:pt>
                <c:pt idx="1798">
                  <c:v>359.59999999998814</c:v>
                </c:pt>
                <c:pt idx="1799">
                  <c:v>359.79999999998813</c:v>
                </c:pt>
              </c:numCache>
            </c:numRef>
          </c:xVal>
          <c:yVal>
            <c:numRef>
              <c:f>'2.치형좌표'!$I$6:$I$1805</c:f>
              <c:numCache>
                <c:formatCode>0.00000</c:formatCode>
                <c:ptCount val="1800"/>
                <c:pt idx="0">
                  <c:v>76.5</c:v>
                </c:pt>
                <c:pt idx="1">
                  <c:v>76.760243222025267</c:v>
                </c:pt>
                <c:pt idx="2">
                  <c:v>77.248063427103332</c:v>
                </c:pt>
                <c:pt idx="3">
                  <c:v>77.654680247230417</c:v>
                </c:pt>
                <c:pt idx="4">
                  <c:v>77.934554559601395</c:v>
                </c:pt>
                <c:pt idx="5">
                  <c:v>78.124644505709895</c:v>
                </c:pt>
                <c:pt idx="6">
                  <c:v>78.261498454479991</c:v>
                </c:pt>
                <c:pt idx="7">
                  <c:v>78.369494120347269</c:v>
                </c:pt>
                <c:pt idx="8">
                  <c:v>78.463433823468804</c:v>
                </c:pt>
                <c:pt idx="9">
                  <c:v>78.551877300282371</c:v>
                </c:pt>
                <c:pt idx="10">
                  <c:v>78.639425153610432</c:v>
                </c:pt>
                <c:pt idx="11">
                  <c:v>78.728143281928809</c:v>
                </c:pt>
                <c:pt idx="12">
                  <c:v>78.81845267370575</c:v>
                </c:pt>
                <c:pt idx="13">
                  <c:v>78.909703380302574</c:v>
                </c:pt>
                <c:pt idx="14">
                  <c:v>79.000561132257147</c:v>
                </c:pt>
                <c:pt idx="15">
                  <c:v>79.089279849802494</c:v>
                </c:pt>
                <c:pt idx="16">
                  <c:v>79.173901941249028</c:v>
                </c:pt>
                <c:pt idx="17">
                  <c:v>79.252410689503137</c:v>
                </c:pt>
                <c:pt idx="18">
                  <c:v>79.322849075275258</c:v>
                </c:pt>
                <c:pt idx="19">
                  <c:v>79.383413668731407</c:v>
                </c:pt>
                <c:pt idx="20">
                  <c:v>79.432528877024581</c:v>
                </c:pt>
                <c:pt idx="21">
                  <c:v>79.468904838971284</c:v>
                </c:pt>
                <c:pt idx="22">
                  <c:v>79.491581038122604</c:v>
                </c:pt>
                <c:pt idx="23">
                  <c:v>79.499956936123951</c:v>
                </c:pt>
                <c:pt idx="24">
                  <c:v>79.493810420237466</c:v>
                </c:pt>
                <c:pt idx="25">
                  <c:v>79.47330449872301</c:v>
                </c:pt>
                <c:pt idx="26">
                  <c:v>79.438982393652751</c:v>
                </c:pt>
                <c:pt idx="27">
                  <c:v>79.391750921933195</c:v>
                </c:pt>
                <c:pt idx="28">
                  <c:v>79.332851778065603</c:v>
                </c:pt>
                <c:pt idx="29">
                  <c:v>79.263819987653264</c:v>
                </c:pt>
                <c:pt idx="30">
                  <c:v>79.186428321424174</c:v>
                </c:pt>
                <c:pt idx="31">
                  <c:v>79.102615740287888</c:v>
                </c:pt>
                <c:pt idx="32">
                  <c:v>79.014396808089231</c:v>
                </c:pt>
                <c:pt idx="33">
                  <c:v>78.923747161263449</c:v>
                </c:pt>
                <c:pt idx="34">
                  <c:v>78.832457039739239</c:v>
                </c:pt>
                <c:pt idx="35">
                  <c:v>78.741939625722082</c:v>
                </c:pt>
                <c:pt idx="36">
                  <c:v>78.652971808861778</c:v>
                </c:pt>
                <c:pt idx="37">
                  <c:v>78.565328892401865</c:v>
                </c:pt>
                <c:pt idx="38">
                  <c:v>78.477246064359321</c:v>
                </c:pt>
                <c:pt idx="39">
                  <c:v>78.384588725445937</c:v>
                </c:pt>
                <c:pt idx="40">
                  <c:v>78.279529153320865</c:v>
                </c:pt>
                <c:pt idx="41">
                  <c:v>78.148418036229046</c:v>
                </c:pt>
                <c:pt idx="42">
                  <c:v>77.96859242575114</c:v>
                </c:pt>
                <c:pt idx="43">
                  <c:v>77.705303703853659</c:v>
                </c:pt>
                <c:pt idx="44">
                  <c:v>77.319157682526196</c:v>
                </c:pt>
                <c:pt idx="45">
                  <c:v>76.831933794897935</c:v>
                </c:pt>
                <c:pt idx="46">
                  <c:v>76.507082150632996</c:v>
                </c:pt>
                <c:pt idx="47">
                  <c:v>76.693628605114739</c:v>
                </c:pt>
                <c:pt idx="48">
                  <c:v>77.174461489059084</c:v>
                </c:pt>
                <c:pt idx="49">
                  <c:v>77.600946622545706</c:v>
                </c:pt>
                <c:pt idx="50">
                  <c:v>77.898406830453439</c:v>
                </c:pt>
                <c:pt idx="51">
                  <c:v>78.099636477014514</c:v>
                </c:pt>
                <c:pt idx="52">
                  <c:v>78.242803037410283</c:v>
                </c:pt>
                <c:pt idx="53">
                  <c:v>78.354078541024847</c:v>
                </c:pt>
                <c:pt idx="54">
                  <c:v>78.449498900581546</c:v>
                </c:pt>
                <c:pt idx="55">
                  <c:v>78.538409259853722</c:v>
                </c:pt>
                <c:pt idx="56">
                  <c:v>78.625909287854867</c:v>
                </c:pt>
                <c:pt idx="57">
                  <c:v>78.714386617816388</c:v>
                </c:pt>
                <c:pt idx="58">
                  <c:v>78.804471877196733</c:v>
                </c:pt>
                <c:pt idx="59">
                  <c:v>78.895651073910486</c:v>
                </c:pt>
                <c:pt idx="60">
                  <c:v>78.986675223855769</c:v>
                </c:pt>
                <c:pt idx="61">
                  <c:v>79.075847103265161</c:v>
                </c:pt>
                <c:pt idx="62">
                  <c:v>79.161230745366524</c:v>
                </c:pt>
                <c:pt idx="63">
                  <c:v>79.240810076152499</c:v>
                </c:pt>
                <c:pt idx="64">
                  <c:v>79.312612230385909</c:v>
                </c:pt>
                <c:pt idx="65">
                  <c:v>79.374804870315458</c:v>
                </c:pt>
                <c:pt idx="66">
                  <c:v>79.425773202259748</c:v>
                </c:pt>
                <c:pt idx="67">
                  <c:v>79.464180228171912</c:v>
                </c:pt>
                <c:pt idx="68">
                  <c:v>79.489012455617754</c:v>
                </c:pt>
                <c:pt idx="69">
                  <c:v>79.49961246577169</c:v>
                </c:pt>
                <c:pt idx="70">
                  <c:v>79.495699199606364</c:v>
                </c:pt>
                <c:pt idx="71">
                  <c:v>79.477376444963113</c:v>
                </c:pt>
                <c:pt idx="72">
                  <c:v>79.445129715010907</c:v>
                </c:pt>
                <c:pt idx="73">
                  <c:v>79.399811448790544</c:v>
                </c:pt>
                <c:pt idx="74">
                  <c:v>79.342614193044199</c:v>
                </c:pt>
                <c:pt idx="75">
                  <c:v>79.27503109410145</c:v>
                </c:pt>
                <c:pt idx="76">
                  <c:v>79.198802575701805</c:v>
                </c:pt>
                <c:pt idx="77">
                  <c:v>79.115847405454559</c:v>
                </c:pt>
                <c:pt idx="78">
                  <c:v>79.028175298050272</c:v>
                </c:pt>
                <c:pt idx="79">
                  <c:v>78.9377764925338</c:v>
                </c:pt>
                <c:pt idx="80">
                  <c:v>78.846480894053698</c:v>
                </c:pt>
                <c:pt idx="81">
                  <c:v>78.755774532886434</c:v>
                </c:pt>
                <c:pt idx="82">
                  <c:v>78.666552717606137</c:v>
                </c:pt>
                <c:pt idx="83">
                  <c:v>78.578774515021735</c:v>
                </c:pt>
                <c:pt idx="84">
                  <c:v>78.490956942136691</c:v>
                </c:pt>
                <c:pt idx="85">
                  <c:v>78.399400696662823</c:v>
                </c:pt>
                <c:pt idx="86">
                  <c:v>78.296960401354227</c:v>
                </c:pt>
                <c:pt idx="87">
                  <c:v>78.171063260423097</c:v>
                </c:pt>
                <c:pt idx="88">
                  <c:v>78.000674941709704</c:v>
                </c:pt>
                <c:pt idx="89">
                  <c:v>77.752944987996798</c:v>
                </c:pt>
                <c:pt idx="90">
                  <c:v>77.387367890820258</c:v>
                </c:pt>
                <c:pt idx="91">
                  <c:v>76.906910516554746</c:v>
                </c:pt>
                <c:pt idx="92">
                  <c:v>76.52802122902709</c:v>
                </c:pt>
                <c:pt idx="93">
                  <c:v>76.634010602180368</c:v>
                </c:pt>
                <c:pt idx="94">
                  <c:v>77.098899868056861</c:v>
                </c:pt>
                <c:pt idx="95">
                  <c:v>77.544003450766695</c:v>
                </c:pt>
                <c:pt idx="96">
                  <c:v>77.859989489041851</c:v>
                </c:pt>
                <c:pt idx="97">
                  <c:v>78.073280231930937</c:v>
                </c:pt>
                <c:pt idx="98">
                  <c:v>78.223372320435388</c:v>
                </c:pt>
                <c:pt idx="99">
                  <c:v>78.338300261523685</c:v>
                </c:pt>
                <c:pt idx="100">
                  <c:v>78.435417836602838</c:v>
                </c:pt>
                <c:pt idx="101">
                  <c:v>78.524912919053563</c:v>
                </c:pt>
                <c:pt idx="102">
                  <c:v>78.612419853481455</c:v>
                </c:pt>
                <c:pt idx="103">
                  <c:v>78.700670165999981</c:v>
                </c:pt>
                <c:pt idx="104">
                  <c:v>78.79051835803206</c:v>
                </c:pt>
                <c:pt idx="105">
                  <c:v>78.881595941970389</c:v>
                </c:pt>
                <c:pt idx="106">
                  <c:v>78.972745921916584</c:v>
                </c:pt>
                <c:pt idx="107">
                  <c:v>79.06232483979457</c:v>
                </c:pt>
                <c:pt idx="108">
                  <c:v>79.148422079632496</c:v>
                </c:pt>
                <c:pt idx="109">
                  <c:v>79.229025111905102</c:v>
                </c:pt>
                <c:pt idx="110">
                  <c:v>79.302147518217993</c:v>
                </c:pt>
                <c:pt idx="111">
                  <c:v>79.365929869174025</c:v>
                </c:pt>
                <c:pt idx="112">
                  <c:v>79.418719592167562</c:v>
                </c:pt>
                <c:pt idx="113">
                  <c:v>79.459133631555531</c:v>
                </c:pt>
                <c:pt idx="114">
                  <c:v>79.486106288141769</c:v>
                </c:pt>
                <c:pt idx="115">
                  <c:v>79.498923741867344</c:v>
                </c:pt>
                <c:pt idx="116">
                  <c:v>79.497246187934095</c:v>
                </c:pt>
                <c:pt idx="117">
                  <c:v>79.481118120012596</c:v>
                </c:pt>
                <c:pt idx="118">
                  <c:v>79.450966992727714</c:v>
                </c:pt>
                <c:pt idx="119">
                  <c:v>79.407590233767507</c:v>
                </c:pt>
                <c:pt idx="120">
                  <c:v>79.352130309122671</c:v>
                </c:pt>
                <c:pt idx="121">
                  <c:v>79.286037227153912</c:v>
                </c:pt>
                <c:pt idx="122">
                  <c:v>79.21101743838129</c:v>
                </c:pt>
                <c:pt idx="123">
                  <c:v>79.128967457061634</c:v>
                </c:pt>
                <c:pt idx="124">
                  <c:v>79.041889548962445</c:v>
                </c:pt>
                <c:pt idx="125">
                  <c:v>78.95178524454586</c:v>
                </c:pt>
                <c:pt idx="126">
                  <c:v>78.860519808193871</c:v>
                </c:pt>
                <c:pt idx="127">
                  <c:v>78.769646341050262</c:v>
                </c:pt>
                <c:pt idx="128">
                  <c:v>78.680170506286402</c:v>
                </c:pt>
                <c:pt idx="129">
                  <c:v>78.592223362410977</c:v>
                </c:pt>
                <c:pt idx="130">
                  <c:v>78.504585778969016</c:v>
                </c:pt>
                <c:pt idx="131">
                  <c:v>78.413965220893616</c:v>
                </c:pt>
                <c:pt idx="132">
                  <c:v>78.31385249422847</c:v>
                </c:pt>
                <c:pt idx="133">
                  <c:v>78.192679119614866</c:v>
                </c:pt>
                <c:pt idx="134">
                  <c:v>78.030950154773478</c:v>
                </c:pt>
                <c:pt idx="135">
                  <c:v>77.79775078041601</c:v>
                </c:pt>
                <c:pt idx="136">
                  <c:v>77.452458840667177</c:v>
                </c:pt>
                <c:pt idx="137">
                  <c:v>76.983585463586337</c:v>
                </c:pt>
                <c:pt idx="138">
                  <c:v>76.561929621798797</c:v>
                </c:pt>
                <c:pt idx="139">
                  <c:v>76.583333980989522</c:v>
                </c:pt>
                <c:pt idx="140">
                  <c:v>77.022128522798113</c:v>
                </c:pt>
                <c:pt idx="141">
                  <c:v>77.483792641029652</c:v>
                </c:pt>
                <c:pt idx="142">
                  <c:v>77.819139392015629</c:v>
                </c:pt>
                <c:pt idx="143">
                  <c:v>78.045454323733566</c:v>
                </c:pt>
                <c:pt idx="144">
                  <c:v>78.203130052756194</c:v>
                </c:pt>
                <c:pt idx="145">
                  <c:v>78.322113921301323</c:v>
                </c:pt>
                <c:pt idx="146">
                  <c:v>78.421164877522216</c:v>
                </c:pt>
                <c:pt idx="147">
                  <c:v>78.511374957189361</c:v>
                </c:pt>
                <c:pt idx="148">
                  <c:v>78.598951537800914</c:v>
                </c:pt>
                <c:pt idx="149">
                  <c:v>78.68699383545156</c:v>
                </c:pt>
                <c:pt idx="150">
                  <c:v>78.776595422977323</c:v>
                </c:pt>
                <c:pt idx="151">
                  <c:v>78.867543440016973</c:v>
                </c:pt>
                <c:pt idx="152">
                  <c:v>78.95877993620141</c:v>
                </c:pt>
                <c:pt idx="153">
                  <c:v>79.0487203567601</c:v>
                </c:pt>
                <c:pt idx="154">
                  <c:v>79.135483316424171</c:v>
                </c:pt>
                <c:pt idx="155">
                  <c:v>79.217062841607131</c:v>
                </c:pt>
                <c:pt idx="156">
                  <c:v>79.291461336969547</c:v>
                </c:pt>
                <c:pt idx="157">
                  <c:v>79.356794164731241</c:v>
                </c:pt>
                <c:pt idx="158">
                  <c:v>79.411372451976419</c:v>
                </c:pt>
                <c:pt idx="159">
                  <c:v>79.453768214940666</c:v>
                </c:pt>
                <c:pt idx="160">
                  <c:v>79.482864363022856</c:v>
                </c:pt>
                <c:pt idx="161">
                  <c:v>79.49789119785828</c:v>
                </c:pt>
                <c:pt idx="162">
                  <c:v>79.498450411830007</c:v>
                </c:pt>
                <c:pt idx="163">
                  <c:v>79.484527172836678</c:v>
                </c:pt>
                <c:pt idx="164">
                  <c:v>79.456490570111711</c:v>
                </c:pt>
                <c:pt idx="165">
                  <c:v>79.415082430974465</c:v>
                </c:pt>
                <c:pt idx="166">
                  <c:v>79.361394255145854</c:v>
                </c:pt>
                <c:pt idx="167">
                  <c:v>79.296831706683207</c:v>
                </c:pt>
                <c:pt idx="168">
                  <c:v>79.223065696767279</c:v>
                </c:pt>
                <c:pt idx="169">
                  <c:v>79.141968498659935</c:v>
                </c:pt>
                <c:pt idx="170">
                  <c:v>79.055532421594464</c:v>
                </c:pt>
                <c:pt idx="171">
                  <c:v>78.965767100643689</c:v>
                </c:pt>
                <c:pt idx="172">
                  <c:v>78.874569031384993</c:v>
                </c:pt>
                <c:pt idx="173">
                  <c:v>78.783552877270651</c:v>
                </c:pt>
                <c:pt idx="174">
                  <c:v>78.693827016760466</c:v>
                </c:pt>
                <c:pt idx="175">
                  <c:v>78.605683426874208</c:v>
                </c:pt>
                <c:pt idx="176">
                  <c:v>78.518150033419886</c:v>
                </c:pt>
                <c:pt idx="177">
                  <c:v>78.428314547694981</c:v>
                </c:pt>
                <c:pt idx="178">
                  <c:v>78.330261083175429</c:v>
                </c:pt>
                <c:pt idx="179">
                  <c:v>78.213357627453661</c:v>
                </c:pt>
                <c:pt idx="180">
                  <c:v>78.059558881513055</c:v>
                </c:pt>
                <c:pt idx="181">
                  <c:v>77.839878798163284</c:v>
                </c:pt>
                <c:pt idx="182">
                  <c:v>77.514308108360808</c:v>
                </c:pt>
                <c:pt idx="183">
                  <c:v>77.060609878203451</c:v>
                </c:pt>
                <c:pt idx="184">
                  <c:v>76.607435726003303</c:v>
                </c:pt>
                <c:pt idx="185">
                  <c:v>76.543430119764608</c:v>
                </c:pt>
                <c:pt idx="186">
                  <c:v>76.945125844482462</c:v>
                </c:pt>
                <c:pt idx="187">
                  <c:v>77.420313256473236</c:v>
                </c:pt>
                <c:pt idx="188">
                  <c:v>77.775692646059767</c:v>
                </c:pt>
                <c:pt idx="189">
                  <c:v>78.016029484246616</c:v>
                </c:pt>
                <c:pt idx="190">
                  <c:v>78.181993951433711</c:v>
                </c:pt>
                <c:pt idx="191">
                  <c:v>78.305470258855095</c:v>
                </c:pt>
                <c:pt idx="192">
                  <c:v>78.406711807636597</c:v>
                </c:pt>
                <c:pt idx="193">
                  <c:v>78.497780482324927</c:v>
                </c:pt>
                <c:pt idx="194">
                  <c:v>78.585498008858039</c:v>
                </c:pt>
                <c:pt idx="195">
                  <c:v>78.673356869046884</c:v>
                </c:pt>
                <c:pt idx="196">
                  <c:v>78.762705948587779</c:v>
                </c:pt>
                <c:pt idx="197">
                  <c:v>78.853498758297704</c:v>
                </c:pt>
                <c:pt idx="198">
                  <c:v>78.944783831561168</c:v>
                </c:pt>
                <c:pt idx="199">
                  <c:v>79.035040897730752</c:v>
                </c:pt>
                <c:pt idx="200">
                  <c:v>79.122421845162208</c:v>
                </c:pt>
                <c:pt idx="201">
                  <c:v>79.204930383124832</c:v>
                </c:pt>
                <c:pt idx="202">
                  <c:v>79.280560202268106</c:v>
                </c:pt>
                <c:pt idx="203">
                  <c:v>79.347403408733626</c:v>
                </c:pt>
                <c:pt idx="204">
                  <c:v>79.403736365904507</c:v>
                </c:pt>
                <c:pt idx="205">
                  <c:v>79.448087342393237</c:v>
                </c:pt>
                <c:pt idx="206">
                  <c:v>79.479288718190261</c:v>
                </c:pt>
                <c:pt idx="207">
                  <c:v>79.496515483532946</c:v>
                </c:pt>
                <c:pt idx="208">
                  <c:v>79.499311113497882</c:v>
                </c:pt>
                <c:pt idx="209">
                  <c:v>79.487601460745211</c:v>
                </c:pt>
                <c:pt idx="210">
                  <c:v>79.461696984901849</c:v>
                </c:pt>
                <c:pt idx="211">
                  <c:v>79.42228336803889</c:v>
                </c:pt>
                <c:pt idx="212">
                  <c:v>79.370400304996465</c:v>
                </c:pt>
                <c:pt idx="213">
                  <c:v>79.307407960647424</c:v>
                </c:pt>
                <c:pt idx="214">
                  <c:v>79.234940199388859</c:v>
                </c:pt>
                <c:pt idx="215">
                  <c:v>79.154843135969557</c:v>
                </c:pt>
                <c:pt idx="216">
                  <c:v>79.069096703943458</c:v>
                </c:pt>
                <c:pt idx="217">
                  <c:v>78.979715574508447</c:v>
                </c:pt>
                <c:pt idx="218">
                  <c:v>78.888623514195572</c:v>
                </c:pt>
                <c:pt idx="219">
                  <c:v>78.79749149153983</c:v>
                </c:pt>
                <c:pt idx="220">
                  <c:v>78.707523355958983</c:v>
                </c:pt>
                <c:pt idx="221">
                  <c:v>78.619161575679001</c:v>
                </c:pt>
                <c:pt idx="222">
                  <c:v>78.531665423956596</c:v>
                </c:pt>
                <c:pt idx="223">
                  <c:v>78.44247819017383</c:v>
                </c:pt>
                <c:pt idx="224">
                  <c:v>78.346237485609407</c:v>
                </c:pt>
                <c:pt idx="225">
                  <c:v>78.233184219988729</c:v>
                </c:pt>
                <c:pt idx="226">
                  <c:v>78.086634289081175</c:v>
                </c:pt>
                <c:pt idx="227">
                  <c:v>77.879492004742602</c:v>
                </c:pt>
                <c:pt idx="228">
                  <c:v>77.572880997688031</c:v>
                </c:pt>
                <c:pt idx="229">
                  <c:v>77.136883840165666</c:v>
                </c:pt>
                <c:pt idx="230">
                  <c:v>76.662822559309546</c:v>
                </c:pt>
                <c:pt idx="231">
                  <c:v>76.515862313830382</c:v>
                </c:pt>
                <c:pt idx="232">
                  <c:v>76.869115953642975</c:v>
                </c:pt>
                <c:pt idx="233">
                  <c:v>77.353640954931507</c:v>
                </c:pt>
                <c:pt idx="234">
                  <c:v>77.72948828817529</c:v>
                </c:pt>
                <c:pt idx="235">
                  <c:v>77.984868687098142</c:v>
                </c:pt>
                <c:pt idx="236">
                  <c:v>78.159875336458441</c:v>
                </c:pt>
                <c:pt idx="237">
                  <c:v>78.288315827599646</c:v>
                </c:pt>
                <c:pt idx="238">
                  <c:v>78.39202776980872</c:v>
                </c:pt>
                <c:pt idx="239">
                  <c:v>78.484112920812322</c:v>
                </c:pt>
                <c:pt idx="240">
                  <c:v>78.572051846147502</c:v>
                </c:pt>
                <c:pt idx="241">
                  <c:v>78.659757798402083</c:v>
                </c:pt>
                <c:pt idx="242">
                  <c:v>78.748852350408811</c:v>
                </c:pt>
                <c:pt idx="243">
                  <c:v>78.839466799800007</c:v>
                </c:pt>
                <c:pt idx="244">
                  <c:v>78.93076401161359</c:v>
                </c:pt>
                <c:pt idx="245">
                  <c:v>79.021293639951168</c:v>
                </c:pt>
                <c:pt idx="246">
                  <c:v>79.109245062484575</c:v>
                </c:pt>
                <c:pt idx="247">
                  <c:v>79.192634919550528</c:v>
                </c:pt>
                <c:pt idx="248">
                  <c:v>79.269450740998451</c:v>
                </c:pt>
                <c:pt idx="249">
                  <c:v>79.337763400442924</c:v>
                </c:pt>
                <c:pt idx="250">
                  <c:v>79.395816093555453</c:v>
                </c:pt>
                <c:pt idx="251">
                  <c:v>79.44209457372294</c:v>
                </c:pt>
                <c:pt idx="252">
                  <c:v>79.475381600709184</c:v>
                </c:pt>
                <c:pt idx="253">
                  <c:v>79.494797464561316</c:v>
                </c:pt>
                <c:pt idx="254">
                  <c:v>79.499827751272051</c:v>
                </c:pt>
                <c:pt idx="255">
                  <c:v>79.490339050936129</c:v>
                </c:pt>
                <c:pt idx="256">
                  <c:v>79.466582971853228</c:v>
                </c:pt>
                <c:pt idx="257">
                  <c:v>79.42918854979807</c:v>
                </c:pt>
                <c:pt idx="258">
                  <c:v>79.379142882500545</c:v>
                </c:pt>
                <c:pt idx="259">
                  <c:v>79.317759531376481</c:v>
                </c:pt>
                <c:pt idx="260">
                  <c:v>79.246633863932857</c:v>
                </c:pt>
                <c:pt idx="261">
                  <c:v>79.167583986885461</c:v>
                </c:pt>
                <c:pt idx="262">
                  <c:v>79.082575124004904</c:v>
                </c:pt>
                <c:pt idx="263">
                  <c:v>78.993624026837097</c:v>
                </c:pt>
                <c:pt idx="264">
                  <c:v>78.902677931054313</c:v>
                </c:pt>
                <c:pt idx="265">
                  <c:v>78.81145908845312</c:v>
                </c:pt>
                <c:pt idx="266">
                  <c:v>78.721259942487208</c:v>
                </c:pt>
                <c:pt idx="267">
                  <c:v>78.632663622783141</c:v>
                </c:pt>
                <c:pt idx="268">
                  <c:v>78.545146043591089</c:v>
                </c:pt>
                <c:pt idx="269">
                  <c:v>78.456483111550753</c:v>
                </c:pt>
                <c:pt idx="270">
                  <c:v>78.361828978151848</c:v>
                </c:pt>
                <c:pt idx="271">
                  <c:v>78.252238118418887</c:v>
                </c:pt>
                <c:pt idx="272">
                  <c:v>78.11230173181842</c:v>
                </c:pt>
                <c:pt idx="273">
                  <c:v>77.916754307682439</c:v>
                </c:pt>
                <c:pt idx="274">
                  <c:v>77.628209221760244</c:v>
                </c:pt>
                <c:pt idx="275">
                  <c:v>77.211546054596226</c:v>
                </c:pt>
                <c:pt idx="276">
                  <c:v>76.726183364863701</c:v>
                </c:pt>
                <c:pt idx="277">
                  <c:v>76.501775410128147</c:v>
                </c:pt>
                <c:pt idx="278">
                  <c:v>76.795569951731608</c:v>
                </c:pt>
                <c:pt idx="279">
                  <c:v>77.283951197285177</c:v>
                </c:pt>
                <c:pt idx="280">
                  <c:v>77.680373288903183</c:v>
                </c:pt>
                <c:pt idx="281">
                  <c:v>77.951827428776497</c:v>
                </c:pt>
                <c:pt idx="282">
                  <c:v>78.13667877279795</c:v>
                </c:pt>
                <c:pt idx="283">
                  <c:v>78.270592693994487</c:v>
                </c:pt>
                <c:pt idx="284">
                  <c:v>78.377079071854112</c:v>
                </c:pt>
                <c:pt idx="285">
                  <c:v>78.470353898306627</c:v>
                </c:pt>
                <c:pt idx="286">
                  <c:v>78.558604466340483</c:v>
                </c:pt>
                <c:pt idx="287">
                  <c:v>78.646194395774671</c:v>
                </c:pt>
                <c:pt idx="288">
                  <c:v>78.735036550406363</c:v>
                </c:pt>
                <c:pt idx="289">
                  <c:v>78.825452157171512</c:v>
                </c:pt>
                <c:pt idx="290">
                  <c:v>78.916726701697144</c:v>
                </c:pt>
                <c:pt idx="291">
                  <c:v>79.007485681319181</c:v>
                </c:pt>
                <c:pt idx="292">
                  <c:v>79.095960362057355</c:v>
                </c:pt>
                <c:pt idx="293">
                  <c:v>79.180183691127894</c:v>
                </c:pt>
                <c:pt idx="294">
                  <c:v>79.258139684900883</c:v>
                </c:pt>
                <c:pt idx="295">
                  <c:v>79.327880081631605</c:v>
                </c:pt>
                <c:pt idx="296">
                  <c:v>79.387616566137183</c:v>
                </c:pt>
                <c:pt idx="297">
                  <c:v>79.435793661815438</c:v>
                </c:pt>
                <c:pt idx="298">
                  <c:v>79.471145465158941</c:v>
                </c:pt>
                <c:pt idx="299">
                  <c:v>79.492738221882135</c:v>
                </c:pt>
                <c:pt idx="300">
                  <c:v>79.5</c:v>
                </c:pt>
                <c:pt idx="301">
                  <c:v>79.492738221882107</c:v>
                </c:pt>
                <c:pt idx="302">
                  <c:v>79.471145465158841</c:v>
                </c:pt>
                <c:pt idx="303">
                  <c:v>79.435793661815296</c:v>
                </c:pt>
                <c:pt idx="304">
                  <c:v>79.387616566136998</c:v>
                </c:pt>
                <c:pt idx="305">
                  <c:v>79.327880081631378</c:v>
                </c:pt>
                <c:pt idx="306">
                  <c:v>79.258139684900655</c:v>
                </c:pt>
                <c:pt idx="307">
                  <c:v>79.18018369112761</c:v>
                </c:pt>
                <c:pt idx="308">
                  <c:v>79.095960362057099</c:v>
                </c:pt>
                <c:pt idx="309">
                  <c:v>79.007485681318897</c:v>
                </c:pt>
                <c:pt idx="310">
                  <c:v>78.916726701696845</c:v>
                </c:pt>
                <c:pt idx="311">
                  <c:v>78.825452157171213</c:v>
                </c:pt>
                <c:pt idx="312">
                  <c:v>78.735036550406079</c:v>
                </c:pt>
                <c:pt idx="313">
                  <c:v>78.646194395774387</c:v>
                </c:pt>
                <c:pt idx="314">
                  <c:v>78.558604466340199</c:v>
                </c:pt>
                <c:pt idx="315">
                  <c:v>78.470353898306357</c:v>
                </c:pt>
                <c:pt idx="316">
                  <c:v>78.377079071853814</c:v>
                </c:pt>
                <c:pt idx="317">
                  <c:v>78.270592693994118</c:v>
                </c:pt>
                <c:pt idx="318">
                  <c:v>78.136678772797453</c:v>
                </c:pt>
                <c:pt idx="319">
                  <c:v>77.951827428775815</c:v>
                </c:pt>
                <c:pt idx="320">
                  <c:v>77.680373288902175</c:v>
                </c:pt>
                <c:pt idx="321">
                  <c:v>77.283951197283727</c:v>
                </c:pt>
                <c:pt idx="322">
                  <c:v>76.795569951730187</c:v>
                </c:pt>
                <c:pt idx="323">
                  <c:v>76.501775410127976</c:v>
                </c:pt>
                <c:pt idx="324">
                  <c:v>76.726183364865037</c:v>
                </c:pt>
                <c:pt idx="325">
                  <c:v>77.211546054597719</c:v>
                </c:pt>
                <c:pt idx="326">
                  <c:v>77.628209221761338</c:v>
                </c:pt>
                <c:pt idx="327">
                  <c:v>77.916754307683149</c:v>
                </c:pt>
                <c:pt idx="328">
                  <c:v>78.112301731818945</c:v>
                </c:pt>
                <c:pt idx="329">
                  <c:v>78.252238118419271</c:v>
                </c:pt>
                <c:pt idx="330">
                  <c:v>78.361828978152147</c:v>
                </c:pt>
                <c:pt idx="331">
                  <c:v>78.456483111551051</c:v>
                </c:pt>
                <c:pt idx="332">
                  <c:v>78.545146043591359</c:v>
                </c:pt>
                <c:pt idx="333">
                  <c:v>78.632663622783411</c:v>
                </c:pt>
                <c:pt idx="334">
                  <c:v>78.721259942487478</c:v>
                </c:pt>
                <c:pt idx="335">
                  <c:v>78.811459088453404</c:v>
                </c:pt>
                <c:pt idx="336">
                  <c:v>78.902677931054612</c:v>
                </c:pt>
                <c:pt idx="337">
                  <c:v>78.993624026837381</c:v>
                </c:pt>
                <c:pt idx="338">
                  <c:v>79.082575124005189</c:v>
                </c:pt>
                <c:pt idx="339">
                  <c:v>79.167583986885731</c:v>
                </c:pt>
                <c:pt idx="340">
                  <c:v>79.246633863933113</c:v>
                </c:pt>
                <c:pt idx="341">
                  <c:v>79.31775953137668</c:v>
                </c:pt>
                <c:pt idx="342">
                  <c:v>79.379142882500702</c:v>
                </c:pt>
                <c:pt idx="343">
                  <c:v>79.429188549798198</c:v>
                </c:pt>
                <c:pt idx="344">
                  <c:v>79.466582971853313</c:v>
                </c:pt>
                <c:pt idx="345">
                  <c:v>79.490339050936186</c:v>
                </c:pt>
                <c:pt idx="346">
                  <c:v>79.499827751272065</c:v>
                </c:pt>
                <c:pt idx="347">
                  <c:v>79.494797464561259</c:v>
                </c:pt>
                <c:pt idx="348">
                  <c:v>79.475381600709085</c:v>
                </c:pt>
                <c:pt idx="349">
                  <c:v>79.442094573722841</c:v>
                </c:pt>
                <c:pt idx="350">
                  <c:v>79.395816093555297</c:v>
                </c:pt>
                <c:pt idx="351">
                  <c:v>79.337763400442725</c:v>
                </c:pt>
                <c:pt idx="352">
                  <c:v>79.269450740998238</c:v>
                </c:pt>
                <c:pt idx="353">
                  <c:v>79.192634919550272</c:v>
                </c:pt>
                <c:pt idx="354">
                  <c:v>79.10924506248432</c:v>
                </c:pt>
                <c:pt idx="355">
                  <c:v>79.021293639950883</c:v>
                </c:pt>
                <c:pt idx="356">
                  <c:v>78.930764011613292</c:v>
                </c:pt>
                <c:pt idx="357">
                  <c:v>78.839466799799723</c:v>
                </c:pt>
                <c:pt idx="358">
                  <c:v>78.748852350408526</c:v>
                </c:pt>
                <c:pt idx="359">
                  <c:v>78.659757798401827</c:v>
                </c:pt>
                <c:pt idx="360">
                  <c:v>78.572051846147232</c:v>
                </c:pt>
                <c:pt idx="361">
                  <c:v>78.484112920812052</c:v>
                </c:pt>
                <c:pt idx="362">
                  <c:v>78.392027769808422</c:v>
                </c:pt>
                <c:pt idx="363">
                  <c:v>78.28831582759932</c:v>
                </c:pt>
                <c:pt idx="364">
                  <c:v>78.159875336457972</c:v>
                </c:pt>
                <c:pt idx="365">
                  <c:v>77.984868687097503</c:v>
                </c:pt>
                <c:pt idx="366">
                  <c:v>77.729488288174338</c:v>
                </c:pt>
                <c:pt idx="367">
                  <c:v>77.353640954930114</c:v>
                </c:pt>
                <c:pt idx="368">
                  <c:v>76.869115953641426</c:v>
                </c:pt>
                <c:pt idx="369">
                  <c:v>76.515862313829942</c:v>
                </c:pt>
                <c:pt idx="370">
                  <c:v>76.662822559310754</c:v>
                </c:pt>
                <c:pt idx="371">
                  <c:v>77.136883840167172</c:v>
                </c:pt>
                <c:pt idx="372">
                  <c:v>77.572880997689211</c:v>
                </c:pt>
                <c:pt idx="373">
                  <c:v>77.879492004743383</c:v>
                </c:pt>
                <c:pt idx="374">
                  <c:v>78.086634289081715</c:v>
                </c:pt>
                <c:pt idx="375">
                  <c:v>78.233184219989127</c:v>
                </c:pt>
                <c:pt idx="376">
                  <c:v>78.346237485609706</c:v>
                </c:pt>
                <c:pt idx="377">
                  <c:v>78.442478190174128</c:v>
                </c:pt>
                <c:pt idx="378">
                  <c:v>78.531665423956881</c:v>
                </c:pt>
                <c:pt idx="379">
                  <c:v>78.619161575679257</c:v>
                </c:pt>
                <c:pt idx="380">
                  <c:v>78.707523355959282</c:v>
                </c:pt>
                <c:pt idx="381">
                  <c:v>78.797491491540114</c:v>
                </c:pt>
                <c:pt idx="382">
                  <c:v>78.888623514195857</c:v>
                </c:pt>
                <c:pt idx="383">
                  <c:v>78.979715574508731</c:v>
                </c:pt>
                <c:pt idx="384">
                  <c:v>79.069096703943728</c:v>
                </c:pt>
                <c:pt idx="385">
                  <c:v>79.154843135969799</c:v>
                </c:pt>
                <c:pt idx="386">
                  <c:v>79.234940199389087</c:v>
                </c:pt>
                <c:pt idx="387">
                  <c:v>79.307407960647637</c:v>
                </c:pt>
                <c:pt idx="388">
                  <c:v>79.37040030499665</c:v>
                </c:pt>
                <c:pt idx="389">
                  <c:v>79.422283368039047</c:v>
                </c:pt>
                <c:pt idx="390">
                  <c:v>79.461696984901948</c:v>
                </c:pt>
                <c:pt idx="391">
                  <c:v>79.487601460745267</c:v>
                </c:pt>
                <c:pt idx="392">
                  <c:v>79.49931111349791</c:v>
                </c:pt>
                <c:pt idx="393">
                  <c:v>79.496515483532903</c:v>
                </c:pt>
                <c:pt idx="394">
                  <c:v>79.47928871819019</c:v>
                </c:pt>
                <c:pt idx="395">
                  <c:v>79.448087342393109</c:v>
                </c:pt>
                <c:pt idx="396">
                  <c:v>79.403736365904351</c:v>
                </c:pt>
                <c:pt idx="397">
                  <c:v>79.347403408733427</c:v>
                </c:pt>
                <c:pt idx="398">
                  <c:v>79.280560202267893</c:v>
                </c:pt>
                <c:pt idx="399">
                  <c:v>79.204930383124591</c:v>
                </c:pt>
                <c:pt idx="400">
                  <c:v>79.122421845161952</c:v>
                </c:pt>
                <c:pt idx="401">
                  <c:v>79.035040897730482</c:v>
                </c:pt>
                <c:pt idx="402">
                  <c:v>78.944783831560883</c:v>
                </c:pt>
                <c:pt idx="403">
                  <c:v>78.853498758297434</c:v>
                </c:pt>
                <c:pt idx="404">
                  <c:v>78.762705948587495</c:v>
                </c:pt>
                <c:pt idx="405">
                  <c:v>78.673356869046614</c:v>
                </c:pt>
                <c:pt idx="406">
                  <c:v>78.585498008857755</c:v>
                </c:pt>
                <c:pt idx="407">
                  <c:v>78.497780482324643</c:v>
                </c:pt>
                <c:pt idx="408">
                  <c:v>78.406711807636313</c:v>
                </c:pt>
                <c:pt idx="409">
                  <c:v>78.305470258854768</c:v>
                </c:pt>
                <c:pt idx="410">
                  <c:v>78.181993951433256</c:v>
                </c:pt>
                <c:pt idx="411">
                  <c:v>78.016029484246005</c:v>
                </c:pt>
                <c:pt idx="412">
                  <c:v>77.775692646058843</c:v>
                </c:pt>
                <c:pt idx="413">
                  <c:v>77.420313256471914</c:v>
                </c:pt>
                <c:pt idx="414">
                  <c:v>76.945125844480884</c:v>
                </c:pt>
                <c:pt idx="415">
                  <c:v>76.54343011976394</c:v>
                </c:pt>
                <c:pt idx="416">
                  <c:v>76.607435726004312</c:v>
                </c:pt>
                <c:pt idx="417">
                  <c:v>77.060609878205042</c:v>
                </c:pt>
                <c:pt idx="418">
                  <c:v>77.514308108362044</c:v>
                </c:pt>
                <c:pt idx="419">
                  <c:v>77.839878798164122</c:v>
                </c:pt>
                <c:pt idx="420">
                  <c:v>78.05955888151361</c:v>
                </c:pt>
                <c:pt idx="421">
                  <c:v>78.213357627454059</c:v>
                </c:pt>
                <c:pt idx="422">
                  <c:v>78.330261083175756</c:v>
                </c:pt>
                <c:pt idx="423">
                  <c:v>78.42831454769528</c:v>
                </c:pt>
                <c:pt idx="424">
                  <c:v>78.518150033420142</c:v>
                </c:pt>
                <c:pt idx="425">
                  <c:v>78.605683426874492</c:v>
                </c:pt>
                <c:pt idx="426">
                  <c:v>78.693827016760736</c:v>
                </c:pt>
                <c:pt idx="427">
                  <c:v>78.783552877270921</c:v>
                </c:pt>
                <c:pt idx="428">
                  <c:v>78.874569031385278</c:v>
                </c:pt>
                <c:pt idx="429">
                  <c:v>78.965767100643944</c:v>
                </c:pt>
                <c:pt idx="430">
                  <c:v>79.055532421594762</c:v>
                </c:pt>
                <c:pt idx="431">
                  <c:v>79.141968498660205</c:v>
                </c:pt>
                <c:pt idx="432">
                  <c:v>79.22306569676752</c:v>
                </c:pt>
                <c:pt idx="433">
                  <c:v>79.296831706683406</c:v>
                </c:pt>
                <c:pt idx="434">
                  <c:v>79.361394255146038</c:v>
                </c:pt>
                <c:pt idx="435">
                  <c:v>79.415082430974621</c:v>
                </c:pt>
                <c:pt idx="436">
                  <c:v>79.456490570111811</c:v>
                </c:pt>
                <c:pt idx="437">
                  <c:v>79.484527172836749</c:v>
                </c:pt>
                <c:pt idx="438">
                  <c:v>79.498450411829992</c:v>
                </c:pt>
                <c:pt idx="439">
                  <c:v>79.497891197858252</c:v>
                </c:pt>
                <c:pt idx="440">
                  <c:v>79.482864363022799</c:v>
                </c:pt>
                <c:pt idx="441">
                  <c:v>79.453768214940553</c:v>
                </c:pt>
                <c:pt idx="442">
                  <c:v>79.411372451976263</c:v>
                </c:pt>
                <c:pt idx="443">
                  <c:v>79.356794164731042</c:v>
                </c:pt>
                <c:pt idx="444">
                  <c:v>79.291461336969334</c:v>
                </c:pt>
                <c:pt idx="445">
                  <c:v>79.217062841606889</c:v>
                </c:pt>
                <c:pt idx="446">
                  <c:v>79.135483316423901</c:v>
                </c:pt>
                <c:pt idx="447">
                  <c:v>79.048720356759816</c:v>
                </c:pt>
                <c:pt idx="448">
                  <c:v>78.958779936201111</c:v>
                </c:pt>
                <c:pt idx="449">
                  <c:v>78.867543440016661</c:v>
                </c:pt>
                <c:pt idx="450">
                  <c:v>78.776595422977039</c:v>
                </c:pt>
                <c:pt idx="451">
                  <c:v>78.686993835451247</c:v>
                </c:pt>
                <c:pt idx="452">
                  <c:v>78.59895153780063</c:v>
                </c:pt>
                <c:pt idx="453">
                  <c:v>78.511374957189062</c:v>
                </c:pt>
                <c:pt idx="454">
                  <c:v>78.421164877521903</c:v>
                </c:pt>
                <c:pt idx="455">
                  <c:v>78.322113921300968</c:v>
                </c:pt>
                <c:pt idx="456">
                  <c:v>78.203130052755739</c:v>
                </c:pt>
                <c:pt idx="457">
                  <c:v>78.045454323732926</c:v>
                </c:pt>
                <c:pt idx="458">
                  <c:v>77.819139392014677</c:v>
                </c:pt>
                <c:pt idx="459">
                  <c:v>77.483792641028259</c:v>
                </c:pt>
                <c:pt idx="460">
                  <c:v>77.022128522796351</c:v>
                </c:pt>
                <c:pt idx="461">
                  <c:v>76.583333980988513</c:v>
                </c:pt>
                <c:pt idx="462">
                  <c:v>76.561929621799734</c:v>
                </c:pt>
                <c:pt idx="463">
                  <c:v>76.983585463588099</c:v>
                </c:pt>
                <c:pt idx="464">
                  <c:v>77.452458840668641</c:v>
                </c:pt>
                <c:pt idx="465">
                  <c:v>77.797750780417005</c:v>
                </c:pt>
                <c:pt idx="466">
                  <c:v>78.030950154774175</c:v>
                </c:pt>
                <c:pt idx="467">
                  <c:v>78.192679119615349</c:v>
                </c:pt>
                <c:pt idx="468">
                  <c:v>78.313852494228868</c:v>
                </c:pt>
                <c:pt idx="469">
                  <c:v>78.413965220893942</c:v>
                </c:pt>
                <c:pt idx="470">
                  <c:v>78.504585778969329</c:v>
                </c:pt>
                <c:pt idx="471">
                  <c:v>78.592223362411318</c:v>
                </c:pt>
                <c:pt idx="472">
                  <c:v>78.6801705062867</c:v>
                </c:pt>
                <c:pt idx="473">
                  <c:v>78.769646341050588</c:v>
                </c:pt>
                <c:pt idx="474">
                  <c:v>78.860519808194198</c:v>
                </c:pt>
                <c:pt idx="475">
                  <c:v>78.951785244546187</c:v>
                </c:pt>
                <c:pt idx="476">
                  <c:v>79.0418895489628</c:v>
                </c:pt>
                <c:pt idx="477">
                  <c:v>79.128967457061961</c:v>
                </c:pt>
                <c:pt idx="478">
                  <c:v>79.211017438381575</c:v>
                </c:pt>
                <c:pt idx="479">
                  <c:v>79.286037227154182</c:v>
                </c:pt>
                <c:pt idx="480">
                  <c:v>79.352130309122913</c:v>
                </c:pt>
                <c:pt idx="481">
                  <c:v>79.407590233767692</c:v>
                </c:pt>
                <c:pt idx="482">
                  <c:v>79.450966992727857</c:v>
                </c:pt>
                <c:pt idx="483">
                  <c:v>79.481118120012709</c:v>
                </c:pt>
                <c:pt idx="484">
                  <c:v>79.49724618793411</c:v>
                </c:pt>
                <c:pt idx="485">
                  <c:v>79.498923741867301</c:v>
                </c:pt>
                <c:pt idx="486">
                  <c:v>79.486106288141684</c:v>
                </c:pt>
                <c:pt idx="487">
                  <c:v>79.459133631555389</c:v>
                </c:pt>
                <c:pt idx="488">
                  <c:v>79.418719592167378</c:v>
                </c:pt>
                <c:pt idx="489">
                  <c:v>79.365929869173769</c:v>
                </c:pt>
                <c:pt idx="490">
                  <c:v>79.302147518217723</c:v>
                </c:pt>
                <c:pt idx="491">
                  <c:v>79.229025111904789</c:v>
                </c:pt>
                <c:pt idx="492">
                  <c:v>79.148422079632155</c:v>
                </c:pt>
                <c:pt idx="493">
                  <c:v>79.062324839794215</c:v>
                </c:pt>
                <c:pt idx="494">
                  <c:v>78.972745921916228</c:v>
                </c:pt>
                <c:pt idx="495">
                  <c:v>78.881595941970019</c:v>
                </c:pt>
                <c:pt idx="496">
                  <c:v>78.79051835803169</c:v>
                </c:pt>
                <c:pt idx="497">
                  <c:v>78.700670165999639</c:v>
                </c:pt>
                <c:pt idx="498">
                  <c:v>78.612419853481072</c:v>
                </c:pt>
                <c:pt idx="499">
                  <c:v>78.524912919053193</c:v>
                </c:pt>
                <c:pt idx="500">
                  <c:v>78.435417836602426</c:v>
                </c:pt>
                <c:pt idx="501">
                  <c:v>78.338300261523244</c:v>
                </c:pt>
                <c:pt idx="502">
                  <c:v>78.223372320434848</c:v>
                </c:pt>
                <c:pt idx="503">
                  <c:v>78.073280231930184</c:v>
                </c:pt>
                <c:pt idx="504">
                  <c:v>77.859989489040757</c:v>
                </c:pt>
                <c:pt idx="505">
                  <c:v>77.544003450765047</c:v>
                </c:pt>
                <c:pt idx="506">
                  <c:v>77.098899868054716</c:v>
                </c:pt>
                <c:pt idx="507">
                  <c:v>76.634010602178833</c:v>
                </c:pt>
                <c:pt idx="508">
                  <c:v>76.528021229027857</c:v>
                </c:pt>
                <c:pt idx="509">
                  <c:v>76.906910516556906</c:v>
                </c:pt>
                <c:pt idx="510">
                  <c:v>77.387367890822148</c:v>
                </c:pt>
                <c:pt idx="511">
                  <c:v>77.752944987998134</c:v>
                </c:pt>
                <c:pt idx="512">
                  <c:v>78.000674941710614</c:v>
                </c:pt>
                <c:pt idx="513">
                  <c:v>78.171063260423736</c:v>
                </c:pt>
                <c:pt idx="514">
                  <c:v>78.29696040135471</c:v>
                </c:pt>
                <c:pt idx="515">
                  <c:v>78.399400696663221</c:v>
                </c:pt>
                <c:pt idx="516">
                  <c:v>78.490956942137089</c:v>
                </c:pt>
                <c:pt idx="517">
                  <c:v>78.578774515022147</c:v>
                </c:pt>
                <c:pt idx="518">
                  <c:v>78.666552717606535</c:v>
                </c:pt>
                <c:pt idx="519">
                  <c:v>78.755774532886846</c:v>
                </c:pt>
                <c:pt idx="520">
                  <c:v>78.84648089405411</c:v>
                </c:pt>
                <c:pt idx="521">
                  <c:v>78.937776492534198</c:v>
                </c:pt>
                <c:pt idx="522">
                  <c:v>79.028175298050698</c:v>
                </c:pt>
                <c:pt idx="523">
                  <c:v>79.115847405454971</c:v>
                </c:pt>
                <c:pt idx="524">
                  <c:v>79.198802575702175</c:v>
                </c:pt>
                <c:pt idx="525">
                  <c:v>79.275031094101791</c:v>
                </c:pt>
                <c:pt idx="526">
                  <c:v>79.342614193044483</c:v>
                </c:pt>
                <c:pt idx="527">
                  <c:v>79.399811448790771</c:v>
                </c:pt>
                <c:pt idx="528">
                  <c:v>79.445129715011092</c:v>
                </c:pt>
                <c:pt idx="529">
                  <c:v>79.477376444963227</c:v>
                </c:pt>
                <c:pt idx="530">
                  <c:v>79.49569919960642</c:v>
                </c:pt>
                <c:pt idx="531">
                  <c:v>79.499612465771662</c:v>
                </c:pt>
                <c:pt idx="532">
                  <c:v>79.489012455617697</c:v>
                </c:pt>
                <c:pt idx="533">
                  <c:v>79.464180228171756</c:v>
                </c:pt>
                <c:pt idx="534">
                  <c:v>79.425773202259535</c:v>
                </c:pt>
                <c:pt idx="535">
                  <c:v>79.374804870315188</c:v>
                </c:pt>
                <c:pt idx="536">
                  <c:v>79.312612230385596</c:v>
                </c:pt>
                <c:pt idx="537">
                  <c:v>79.24081007615213</c:v>
                </c:pt>
                <c:pt idx="538">
                  <c:v>79.161230745366112</c:v>
                </c:pt>
                <c:pt idx="539">
                  <c:v>79.075847103264749</c:v>
                </c:pt>
                <c:pt idx="540">
                  <c:v>78.986675223855315</c:v>
                </c:pt>
                <c:pt idx="541">
                  <c:v>78.895651073910045</c:v>
                </c:pt>
                <c:pt idx="542">
                  <c:v>78.804471877196292</c:v>
                </c:pt>
                <c:pt idx="543">
                  <c:v>78.714386617815961</c:v>
                </c:pt>
                <c:pt idx="544">
                  <c:v>78.625909287854427</c:v>
                </c:pt>
                <c:pt idx="545">
                  <c:v>78.53840925985331</c:v>
                </c:pt>
                <c:pt idx="546">
                  <c:v>78.449498900581091</c:v>
                </c:pt>
                <c:pt idx="547">
                  <c:v>78.35407854102435</c:v>
                </c:pt>
                <c:pt idx="548">
                  <c:v>78.242803037409672</c:v>
                </c:pt>
                <c:pt idx="549">
                  <c:v>78.099636477013661</c:v>
                </c:pt>
                <c:pt idx="550">
                  <c:v>77.898406830452231</c:v>
                </c:pt>
                <c:pt idx="551">
                  <c:v>77.600946622543859</c:v>
                </c:pt>
                <c:pt idx="552">
                  <c:v>77.174461489056625</c:v>
                </c:pt>
                <c:pt idx="553">
                  <c:v>76.693628605112636</c:v>
                </c:pt>
                <c:pt idx="554">
                  <c:v>76.507082150633451</c:v>
                </c:pt>
                <c:pt idx="555">
                  <c:v>76.831933794900394</c:v>
                </c:pt>
                <c:pt idx="556">
                  <c:v>77.319157682528569</c:v>
                </c:pt>
                <c:pt idx="557">
                  <c:v>77.705303703855307</c:v>
                </c:pt>
                <c:pt idx="558">
                  <c:v>77.968592425752263</c:v>
                </c:pt>
                <c:pt idx="559">
                  <c:v>78.148418036229828</c:v>
                </c:pt>
                <c:pt idx="560">
                  <c:v>78.279529153321477</c:v>
                </c:pt>
                <c:pt idx="561">
                  <c:v>78.384588725446477</c:v>
                </c:pt>
                <c:pt idx="562">
                  <c:v>78.47724606435979</c:v>
                </c:pt>
                <c:pt idx="563">
                  <c:v>78.565328892402334</c:v>
                </c:pt>
                <c:pt idx="564">
                  <c:v>78.652971808862233</c:v>
                </c:pt>
                <c:pt idx="565">
                  <c:v>78.741939625722566</c:v>
                </c:pt>
                <c:pt idx="566">
                  <c:v>78.832457039739722</c:v>
                </c:pt>
                <c:pt idx="567">
                  <c:v>78.923747161263918</c:v>
                </c:pt>
                <c:pt idx="568">
                  <c:v>79.0143968080897</c:v>
                </c:pt>
                <c:pt idx="569">
                  <c:v>79.102615740288329</c:v>
                </c:pt>
                <c:pt idx="570">
                  <c:v>79.1864283214246</c:v>
                </c:pt>
                <c:pt idx="571">
                  <c:v>79.263819987653648</c:v>
                </c:pt>
                <c:pt idx="572">
                  <c:v>79.332851778065944</c:v>
                </c:pt>
                <c:pt idx="573">
                  <c:v>79.391750921933493</c:v>
                </c:pt>
                <c:pt idx="574">
                  <c:v>79.438982393652964</c:v>
                </c:pt>
                <c:pt idx="575">
                  <c:v>79.473304498723166</c:v>
                </c:pt>
                <c:pt idx="576">
                  <c:v>79.493810420237537</c:v>
                </c:pt>
                <c:pt idx="577">
                  <c:v>79.499956936123965</c:v>
                </c:pt>
                <c:pt idx="578">
                  <c:v>79.49158103812249</c:v>
                </c:pt>
                <c:pt idx="579">
                  <c:v>79.468904838971142</c:v>
                </c:pt>
                <c:pt idx="580">
                  <c:v>79.432528877024339</c:v>
                </c:pt>
                <c:pt idx="581">
                  <c:v>79.383413668731109</c:v>
                </c:pt>
                <c:pt idx="582">
                  <c:v>79.322849075274888</c:v>
                </c:pt>
                <c:pt idx="583">
                  <c:v>79.252410689502724</c:v>
                </c:pt>
                <c:pt idx="584">
                  <c:v>79.173901941248573</c:v>
                </c:pt>
                <c:pt idx="585">
                  <c:v>79.08927984980204</c:v>
                </c:pt>
                <c:pt idx="586">
                  <c:v>79.000561132256635</c:v>
                </c:pt>
                <c:pt idx="587">
                  <c:v>78.909703380302048</c:v>
                </c:pt>
                <c:pt idx="588">
                  <c:v>78.818452673705252</c:v>
                </c:pt>
                <c:pt idx="589">
                  <c:v>78.728143281928283</c:v>
                </c:pt>
                <c:pt idx="590">
                  <c:v>78.639425153609935</c:v>
                </c:pt>
                <c:pt idx="591">
                  <c:v>78.551877300281873</c:v>
                </c:pt>
                <c:pt idx="592">
                  <c:v>78.463433823468307</c:v>
                </c:pt>
                <c:pt idx="593">
                  <c:v>78.369494120346701</c:v>
                </c:pt>
                <c:pt idx="594">
                  <c:v>78.261498454479309</c:v>
                </c:pt>
                <c:pt idx="595">
                  <c:v>78.124644505709</c:v>
                </c:pt>
                <c:pt idx="596">
                  <c:v>77.934554559600087</c:v>
                </c:pt>
                <c:pt idx="597">
                  <c:v>77.65468024722847</c:v>
                </c:pt>
                <c:pt idx="598">
                  <c:v>77.248063427100632</c:v>
                </c:pt>
                <c:pt idx="599">
                  <c:v>76.760243222022609</c:v>
                </c:pt>
                <c:pt idx="600">
                  <c:v>76.5</c:v>
                </c:pt>
                <c:pt idx="601">
                  <c:v>76.760243222027924</c:v>
                </c:pt>
                <c:pt idx="602">
                  <c:v>77.248063427106075</c:v>
                </c:pt>
                <c:pt idx="603">
                  <c:v>77.654680247232392</c:v>
                </c:pt>
                <c:pt idx="604">
                  <c:v>77.934554559602745</c:v>
                </c:pt>
                <c:pt idx="605">
                  <c:v>78.124644505710847</c:v>
                </c:pt>
                <c:pt idx="606">
                  <c:v>78.261498454480702</c:v>
                </c:pt>
                <c:pt idx="607">
                  <c:v>78.369494120347852</c:v>
                </c:pt>
                <c:pt idx="608">
                  <c:v>78.463433823469359</c:v>
                </c:pt>
                <c:pt idx="609">
                  <c:v>78.551877300282911</c:v>
                </c:pt>
                <c:pt idx="610">
                  <c:v>78.639425153610972</c:v>
                </c:pt>
                <c:pt idx="611">
                  <c:v>78.72814328192932</c:v>
                </c:pt>
                <c:pt idx="612">
                  <c:v>78.818452673706261</c:v>
                </c:pt>
                <c:pt idx="613">
                  <c:v>78.909703380303114</c:v>
                </c:pt>
                <c:pt idx="614">
                  <c:v>79.000561132257673</c:v>
                </c:pt>
                <c:pt idx="615">
                  <c:v>79.08927984980302</c:v>
                </c:pt>
                <c:pt idx="616">
                  <c:v>79.173901941249511</c:v>
                </c:pt>
                <c:pt idx="617">
                  <c:v>79.252410689503563</c:v>
                </c:pt>
                <c:pt idx="618">
                  <c:v>79.32284907527567</c:v>
                </c:pt>
                <c:pt idx="619">
                  <c:v>79.383413668731748</c:v>
                </c:pt>
                <c:pt idx="620">
                  <c:v>79.432528877024851</c:v>
                </c:pt>
                <c:pt idx="621">
                  <c:v>79.468904838971497</c:v>
                </c:pt>
                <c:pt idx="622">
                  <c:v>79.491581038122675</c:v>
                </c:pt>
                <c:pt idx="623">
                  <c:v>79.499956936123979</c:v>
                </c:pt>
                <c:pt idx="624">
                  <c:v>79.493810420237381</c:v>
                </c:pt>
                <c:pt idx="625">
                  <c:v>79.47330449872284</c:v>
                </c:pt>
                <c:pt idx="626">
                  <c:v>79.438982393652509</c:v>
                </c:pt>
                <c:pt idx="627">
                  <c:v>79.391750921932854</c:v>
                </c:pt>
                <c:pt idx="628">
                  <c:v>79.332851778065205</c:v>
                </c:pt>
                <c:pt idx="629">
                  <c:v>79.263819987652795</c:v>
                </c:pt>
                <c:pt idx="630">
                  <c:v>79.186428321423691</c:v>
                </c:pt>
                <c:pt idx="631">
                  <c:v>79.102615740287334</c:v>
                </c:pt>
                <c:pt idx="632">
                  <c:v>79.014396808088662</c:v>
                </c:pt>
                <c:pt idx="633">
                  <c:v>78.923747161262867</c:v>
                </c:pt>
                <c:pt idx="634">
                  <c:v>78.832457039738657</c:v>
                </c:pt>
                <c:pt idx="635">
                  <c:v>78.741939625721528</c:v>
                </c:pt>
                <c:pt idx="636">
                  <c:v>78.65297180886121</c:v>
                </c:pt>
                <c:pt idx="637">
                  <c:v>78.565328892401325</c:v>
                </c:pt>
                <c:pt idx="638">
                  <c:v>78.477246064358766</c:v>
                </c:pt>
                <c:pt idx="639">
                  <c:v>78.384588725445326</c:v>
                </c:pt>
                <c:pt idx="640">
                  <c:v>78.279529153320127</c:v>
                </c:pt>
                <c:pt idx="641">
                  <c:v>78.148418036228108</c:v>
                </c:pt>
                <c:pt idx="642">
                  <c:v>77.968592425749804</c:v>
                </c:pt>
                <c:pt idx="643">
                  <c:v>77.705303703851683</c:v>
                </c:pt>
                <c:pt idx="644">
                  <c:v>77.319157682523453</c:v>
                </c:pt>
                <c:pt idx="645">
                  <c:v>76.831933794895022</c:v>
                </c:pt>
                <c:pt idx="646">
                  <c:v>76.507082150632414</c:v>
                </c:pt>
                <c:pt idx="647">
                  <c:v>76.693628605117226</c:v>
                </c:pt>
                <c:pt idx="648">
                  <c:v>77.174461489062011</c:v>
                </c:pt>
                <c:pt idx="649">
                  <c:v>77.600946622547838</c:v>
                </c:pt>
                <c:pt idx="650">
                  <c:v>77.89840683045486</c:v>
                </c:pt>
                <c:pt idx="651">
                  <c:v>78.09963647701548</c:v>
                </c:pt>
                <c:pt idx="652">
                  <c:v>78.242803037411008</c:v>
                </c:pt>
                <c:pt idx="653">
                  <c:v>78.35407854102543</c:v>
                </c:pt>
                <c:pt idx="654">
                  <c:v>78.449498900582057</c:v>
                </c:pt>
                <c:pt idx="655">
                  <c:v>78.53840925985422</c:v>
                </c:pt>
                <c:pt idx="656">
                  <c:v>78.625909287855336</c:v>
                </c:pt>
                <c:pt idx="657">
                  <c:v>78.714386617816871</c:v>
                </c:pt>
                <c:pt idx="658">
                  <c:v>78.804471877197244</c:v>
                </c:pt>
                <c:pt idx="659">
                  <c:v>78.895651073910983</c:v>
                </c:pt>
                <c:pt idx="660">
                  <c:v>78.986675223856238</c:v>
                </c:pt>
                <c:pt idx="661">
                  <c:v>79.075847103265616</c:v>
                </c:pt>
                <c:pt idx="662">
                  <c:v>79.16123074536695</c:v>
                </c:pt>
                <c:pt idx="663">
                  <c:v>79.240810076152897</c:v>
                </c:pt>
                <c:pt idx="664">
                  <c:v>79.312612230386236</c:v>
                </c:pt>
                <c:pt idx="665">
                  <c:v>79.374804870315742</c:v>
                </c:pt>
                <c:pt idx="666">
                  <c:v>79.425773202259975</c:v>
                </c:pt>
                <c:pt idx="667">
                  <c:v>79.464180228172083</c:v>
                </c:pt>
                <c:pt idx="668">
                  <c:v>79.489012455617868</c:v>
                </c:pt>
                <c:pt idx="669">
                  <c:v>79.499612465771705</c:v>
                </c:pt>
                <c:pt idx="670">
                  <c:v>79.495699199606307</c:v>
                </c:pt>
                <c:pt idx="671">
                  <c:v>79.477376444962971</c:v>
                </c:pt>
                <c:pt idx="672">
                  <c:v>79.445129715010722</c:v>
                </c:pt>
                <c:pt idx="673">
                  <c:v>79.399811448790302</c:v>
                </c:pt>
                <c:pt idx="674">
                  <c:v>79.3426141930439</c:v>
                </c:pt>
                <c:pt idx="675">
                  <c:v>79.275031094101124</c:v>
                </c:pt>
                <c:pt idx="676">
                  <c:v>79.198802575701464</c:v>
                </c:pt>
                <c:pt idx="677">
                  <c:v>79.115847405454204</c:v>
                </c:pt>
                <c:pt idx="678">
                  <c:v>79.028175298049874</c:v>
                </c:pt>
                <c:pt idx="679">
                  <c:v>78.937776492533402</c:v>
                </c:pt>
                <c:pt idx="680">
                  <c:v>78.8464808940533</c:v>
                </c:pt>
                <c:pt idx="681">
                  <c:v>78.755774532886051</c:v>
                </c:pt>
                <c:pt idx="682">
                  <c:v>78.666552717605796</c:v>
                </c:pt>
                <c:pt idx="683">
                  <c:v>78.578774515021408</c:v>
                </c:pt>
                <c:pt idx="684">
                  <c:v>78.49095694213635</c:v>
                </c:pt>
                <c:pt idx="685">
                  <c:v>78.39940069666244</c:v>
                </c:pt>
                <c:pt idx="686">
                  <c:v>78.296960401353786</c:v>
                </c:pt>
                <c:pt idx="687">
                  <c:v>78.171063260422557</c:v>
                </c:pt>
                <c:pt idx="688">
                  <c:v>78.000674941708951</c:v>
                </c:pt>
                <c:pt idx="689">
                  <c:v>77.75294498799569</c:v>
                </c:pt>
                <c:pt idx="690">
                  <c:v>77.38736789081868</c:v>
                </c:pt>
                <c:pt idx="691">
                  <c:v>76.906910516552955</c:v>
                </c:pt>
                <c:pt idx="692">
                  <c:v>76.52802122902645</c:v>
                </c:pt>
                <c:pt idx="693">
                  <c:v>76.634010602181661</c:v>
                </c:pt>
                <c:pt idx="694">
                  <c:v>77.098899868058638</c:v>
                </c:pt>
                <c:pt idx="695">
                  <c:v>77.544003450768031</c:v>
                </c:pt>
                <c:pt idx="696">
                  <c:v>77.859989489042746</c:v>
                </c:pt>
                <c:pt idx="697">
                  <c:v>78.07328023193152</c:v>
                </c:pt>
                <c:pt idx="698">
                  <c:v>78.223372320435843</c:v>
                </c:pt>
                <c:pt idx="699">
                  <c:v>78.33830026152404</c:v>
                </c:pt>
                <c:pt idx="700">
                  <c:v>78.435417836603122</c:v>
                </c:pt>
                <c:pt idx="701">
                  <c:v>78.524912919053833</c:v>
                </c:pt>
                <c:pt idx="702">
                  <c:v>78.612419853481725</c:v>
                </c:pt>
                <c:pt idx="703">
                  <c:v>78.700670166000265</c:v>
                </c:pt>
                <c:pt idx="704">
                  <c:v>78.790518358032344</c:v>
                </c:pt>
                <c:pt idx="705">
                  <c:v>78.881595941970673</c:v>
                </c:pt>
                <c:pt idx="706">
                  <c:v>78.972745921916854</c:v>
                </c:pt>
                <c:pt idx="707">
                  <c:v>79.06232483979484</c:v>
                </c:pt>
                <c:pt idx="708">
                  <c:v>79.148422079632738</c:v>
                </c:pt>
                <c:pt idx="709">
                  <c:v>79.229025111905329</c:v>
                </c:pt>
                <c:pt idx="710">
                  <c:v>79.302147518218163</c:v>
                </c:pt>
                <c:pt idx="711">
                  <c:v>79.365929869174167</c:v>
                </c:pt>
                <c:pt idx="712">
                  <c:v>79.418719592167676</c:v>
                </c:pt>
                <c:pt idx="713">
                  <c:v>79.459133631555616</c:v>
                </c:pt>
                <c:pt idx="714">
                  <c:v>79.486106288141826</c:v>
                </c:pt>
                <c:pt idx="715">
                  <c:v>79.498923741867344</c:v>
                </c:pt>
                <c:pt idx="716">
                  <c:v>79.497246187934067</c:v>
                </c:pt>
                <c:pt idx="717">
                  <c:v>79.481118120012539</c:v>
                </c:pt>
                <c:pt idx="718">
                  <c:v>79.450966992727643</c:v>
                </c:pt>
                <c:pt idx="719">
                  <c:v>79.407590233767394</c:v>
                </c:pt>
                <c:pt idx="720">
                  <c:v>79.352130309122543</c:v>
                </c:pt>
                <c:pt idx="721">
                  <c:v>79.286037227153741</c:v>
                </c:pt>
                <c:pt idx="722">
                  <c:v>79.211017438381148</c:v>
                </c:pt>
                <c:pt idx="723">
                  <c:v>79.128967457061464</c:v>
                </c:pt>
                <c:pt idx="724">
                  <c:v>79.041889548962288</c:v>
                </c:pt>
                <c:pt idx="725">
                  <c:v>78.951785244545675</c:v>
                </c:pt>
                <c:pt idx="726">
                  <c:v>78.860519808193715</c:v>
                </c:pt>
                <c:pt idx="727">
                  <c:v>78.769646341050077</c:v>
                </c:pt>
                <c:pt idx="728">
                  <c:v>78.680170506286231</c:v>
                </c:pt>
                <c:pt idx="729">
                  <c:v>78.592223362410834</c:v>
                </c:pt>
                <c:pt idx="730">
                  <c:v>78.504585778968888</c:v>
                </c:pt>
                <c:pt idx="731">
                  <c:v>78.413965220893445</c:v>
                </c:pt>
                <c:pt idx="732">
                  <c:v>78.313852494228314</c:v>
                </c:pt>
                <c:pt idx="733">
                  <c:v>78.192679119614681</c:v>
                </c:pt>
                <c:pt idx="734">
                  <c:v>78.030950154773222</c:v>
                </c:pt>
                <c:pt idx="735">
                  <c:v>77.797750780415655</c:v>
                </c:pt>
                <c:pt idx="736">
                  <c:v>77.452458840666679</c:v>
                </c:pt>
                <c:pt idx="737">
                  <c:v>76.983585463585726</c:v>
                </c:pt>
                <c:pt idx="738">
                  <c:v>76.561929621798498</c:v>
                </c:pt>
                <c:pt idx="739">
                  <c:v>76.583333980989835</c:v>
                </c:pt>
                <c:pt idx="740">
                  <c:v>77.022128522798582</c:v>
                </c:pt>
                <c:pt idx="741">
                  <c:v>77.483792641030064</c:v>
                </c:pt>
                <c:pt idx="742">
                  <c:v>77.819139392015884</c:v>
                </c:pt>
                <c:pt idx="743">
                  <c:v>78.045454323733736</c:v>
                </c:pt>
                <c:pt idx="744">
                  <c:v>78.203130052756308</c:v>
                </c:pt>
                <c:pt idx="745">
                  <c:v>78.322113921301408</c:v>
                </c:pt>
                <c:pt idx="746">
                  <c:v>78.421164877522301</c:v>
                </c:pt>
                <c:pt idx="747">
                  <c:v>78.511374957189446</c:v>
                </c:pt>
                <c:pt idx="748">
                  <c:v>78.598951537800957</c:v>
                </c:pt>
                <c:pt idx="749">
                  <c:v>78.686993835451602</c:v>
                </c:pt>
                <c:pt idx="750">
                  <c:v>78.77659542297738</c:v>
                </c:pt>
                <c:pt idx="751">
                  <c:v>78.867543440017016</c:v>
                </c:pt>
                <c:pt idx="752">
                  <c:v>78.958779936201466</c:v>
                </c:pt>
                <c:pt idx="753">
                  <c:v>79.048720356760143</c:v>
                </c:pt>
                <c:pt idx="754">
                  <c:v>79.1354833164242</c:v>
                </c:pt>
                <c:pt idx="755">
                  <c:v>79.217062841607159</c:v>
                </c:pt>
                <c:pt idx="756">
                  <c:v>79.291461336969562</c:v>
                </c:pt>
                <c:pt idx="757">
                  <c:v>79.356794164731255</c:v>
                </c:pt>
                <c:pt idx="758">
                  <c:v>79.411372451976419</c:v>
                </c:pt>
                <c:pt idx="759">
                  <c:v>79.453768214940666</c:v>
                </c:pt>
                <c:pt idx="760">
                  <c:v>79.482864363022856</c:v>
                </c:pt>
                <c:pt idx="761">
                  <c:v>79.497891197858294</c:v>
                </c:pt>
                <c:pt idx="762">
                  <c:v>79.498450411829992</c:v>
                </c:pt>
                <c:pt idx="763">
                  <c:v>79.484527172836678</c:v>
                </c:pt>
                <c:pt idx="764">
                  <c:v>79.456490570111711</c:v>
                </c:pt>
                <c:pt idx="765">
                  <c:v>79.415082430974479</c:v>
                </c:pt>
                <c:pt idx="766">
                  <c:v>79.361394255145882</c:v>
                </c:pt>
                <c:pt idx="767">
                  <c:v>79.296831706683221</c:v>
                </c:pt>
                <c:pt idx="768">
                  <c:v>79.223065696767335</c:v>
                </c:pt>
                <c:pt idx="769">
                  <c:v>79.141968498659992</c:v>
                </c:pt>
                <c:pt idx="770">
                  <c:v>79.055532421594535</c:v>
                </c:pt>
                <c:pt idx="771">
                  <c:v>78.965767100643731</c:v>
                </c:pt>
                <c:pt idx="772">
                  <c:v>78.874569031385079</c:v>
                </c:pt>
                <c:pt idx="773">
                  <c:v>78.783552877270736</c:v>
                </c:pt>
                <c:pt idx="774">
                  <c:v>78.693827016760551</c:v>
                </c:pt>
                <c:pt idx="775">
                  <c:v>78.605683426874293</c:v>
                </c:pt>
                <c:pt idx="776">
                  <c:v>78.51815003342</c:v>
                </c:pt>
                <c:pt idx="777">
                  <c:v>78.428314547695123</c:v>
                </c:pt>
                <c:pt idx="778">
                  <c:v>78.330261083175571</c:v>
                </c:pt>
                <c:pt idx="779">
                  <c:v>78.213357627453846</c:v>
                </c:pt>
                <c:pt idx="780">
                  <c:v>78.059558881513325</c:v>
                </c:pt>
                <c:pt idx="781">
                  <c:v>77.83987879816371</c:v>
                </c:pt>
                <c:pt idx="782">
                  <c:v>77.514308108361448</c:v>
                </c:pt>
                <c:pt idx="783">
                  <c:v>77.060609878204346</c:v>
                </c:pt>
                <c:pt idx="784">
                  <c:v>76.607435726003871</c:v>
                </c:pt>
                <c:pt idx="785">
                  <c:v>76.54343011976421</c:v>
                </c:pt>
                <c:pt idx="786">
                  <c:v>76.94512584448151</c:v>
                </c:pt>
                <c:pt idx="787">
                  <c:v>77.420313256472369</c:v>
                </c:pt>
                <c:pt idx="788">
                  <c:v>77.775692646059184</c:v>
                </c:pt>
                <c:pt idx="789">
                  <c:v>78.016029484246204</c:v>
                </c:pt>
                <c:pt idx="790">
                  <c:v>78.181993951433412</c:v>
                </c:pt>
                <c:pt idx="791">
                  <c:v>78.305470258854854</c:v>
                </c:pt>
                <c:pt idx="792">
                  <c:v>78.40671180763637</c:v>
                </c:pt>
                <c:pt idx="793">
                  <c:v>78.4977804823247</c:v>
                </c:pt>
                <c:pt idx="794">
                  <c:v>78.58549800885784</c:v>
                </c:pt>
                <c:pt idx="795">
                  <c:v>78.673356869046671</c:v>
                </c:pt>
                <c:pt idx="796">
                  <c:v>78.762705948587552</c:v>
                </c:pt>
                <c:pt idx="797">
                  <c:v>78.853498758297462</c:v>
                </c:pt>
                <c:pt idx="798">
                  <c:v>78.944783831560912</c:v>
                </c:pt>
                <c:pt idx="799">
                  <c:v>79.035040897730482</c:v>
                </c:pt>
                <c:pt idx="800">
                  <c:v>79.122421845161952</c:v>
                </c:pt>
                <c:pt idx="801">
                  <c:v>79.204930383124591</c:v>
                </c:pt>
                <c:pt idx="802">
                  <c:v>79.280560202267893</c:v>
                </c:pt>
                <c:pt idx="803">
                  <c:v>79.347403408733427</c:v>
                </c:pt>
                <c:pt idx="804">
                  <c:v>79.403736365904322</c:v>
                </c:pt>
                <c:pt idx="805">
                  <c:v>79.448087342393109</c:v>
                </c:pt>
                <c:pt idx="806">
                  <c:v>79.479288718190176</c:v>
                </c:pt>
                <c:pt idx="807">
                  <c:v>79.496515483532917</c:v>
                </c:pt>
                <c:pt idx="808">
                  <c:v>79.499311113497896</c:v>
                </c:pt>
                <c:pt idx="809">
                  <c:v>79.487601460745282</c:v>
                </c:pt>
                <c:pt idx="810">
                  <c:v>79.461696984901948</c:v>
                </c:pt>
                <c:pt idx="811">
                  <c:v>79.422283368039089</c:v>
                </c:pt>
                <c:pt idx="812">
                  <c:v>79.370400304996664</c:v>
                </c:pt>
                <c:pt idx="813">
                  <c:v>79.30740796064768</c:v>
                </c:pt>
                <c:pt idx="814">
                  <c:v>79.234940199389143</c:v>
                </c:pt>
                <c:pt idx="815">
                  <c:v>79.15484313596987</c:v>
                </c:pt>
                <c:pt idx="816">
                  <c:v>79.069096703943799</c:v>
                </c:pt>
                <c:pt idx="817">
                  <c:v>78.979715574508774</c:v>
                </c:pt>
                <c:pt idx="818">
                  <c:v>78.888623514195942</c:v>
                </c:pt>
                <c:pt idx="819">
                  <c:v>78.7974914915402</c:v>
                </c:pt>
                <c:pt idx="820">
                  <c:v>78.707523355959353</c:v>
                </c:pt>
                <c:pt idx="821">
                  <c:v>78.619161575679342</c:v>
                </c:pt>
                <c:pt idx="822">
                  <c:v>78.53166542395698</c:v>
                </c:pt>
                <c:pt idx="823">
                  <c:v>78.442478190174242</c:v>
                </c:pt>
                <c:pt idx="824">
                  <c:v>78.346237485609862</c:v>
                </c:pt>
                <c:pt idx="825">
                  <c:v>78.233184219989326</c:v>
                </c:pt>
                <c:pt idx="826">
                  <c:v>78.086634289081971</c:v>
                </c:pt>
                <c:pt idx="827">
                  <c:v>77.87949200474381</c:v>
                </c:pt>
                <c:pt idx="828">
                  <c:v>77.572880997689836</c:v>
                </c:pt>
                <c:pt idx="829">
                  <c:v>77.136883840168096</c:v>
                </c:pt>
                <c:pt idx="830">
                  <c:v>76.662822559311493</c:v>
                </c:pt>
                <c:pt idx="831">
                  <c:v>76.515862313829672</c:v>
                </c:pt>
                <c:pt idx="832">
                  <c:v>76.86911595364046</c:v>
                </c:pt>
                <c:pt idx="833">
                  <c:v>77.353640954929148</c:v>
                </c:pt>
                <c:pt idx="834">
                  <c:v>77.729488288173656</c:v>
                </c:pt>
                <c:pt idx="835">
                  <c:v>77.984868687097034</c:v>
                </c:pt>
                <c:pt idx="836">
                  <c:v>78.159875336457645</c:v>
                </c:pt>
                <c:pt idx="837">
                  <c:v>78.28831582759905</c:v>
                </c:pt>
                <c:pt idx="838">
                  <c:v>78.392027769808195</c:v>
                </c:pt>
                <c:pt idx="839">
                  <c:v>78.484112920811825</c:v>
                </c:pt>
                <c:pt idx="840">
                  <c:v>78.572051846147019</c:v>
                </c:pt>
                <c:pt idx="841">
                  <c:v>78.659757798401586</c:v>
                </c:pt>
                <c:pt idx="842">
                  <c:v>78.748852350408299</c:v>
                </c:pt>
                <c:pt idx="843">
                  <c:v>78.839466799799467</c:v>
                </c:pt>
                <c:pt idx="844">
                  <c:v>78.93076401161305</c:v>
                </c:pt>
                <c:pt idx="845">
                  <c:v>79.021293639950613</c:v>
                </c:pt>
                <c:pt idx="846">
                  <c:v>79.10924506248405</c:v>
                </c:pt>
                <c:pt idx="847">
                  <c:v>79.192634919550045</c:v>
                </c:pt>
                <c:pt idx="848">
                  <c:v>79.269450740998025</c:v>
                </c:pt>
                <c:pt idx="849">
                  <c:v>79.337763400442526</c:v>
                </c:pt>
                <c:pt idx="850">
                  <c:v>79.395816093555126</c:v>
                </c:pt>
                <c:pt idx="851">
                  <c:v>79.442094573722684</c:v>
                </c:pt>
                <c:pt idx="852">
                  <c:v>79.475381600709028</c:v>
                </c:pt>
                <c:pt idx="853">
                  <c:v>79.494797464561231</c:v>
                </c:pt>
                <c:pt idx="854">
                  <c:v>79.499827751272065</c:v>
                </c:pt>
                <c:pt idx="855">
                  <c:v>79.490339050936242</c:v>
                </c:pt>
                <c:pt idx="856">
                  <c:v>79.466582971853427</c:v>
                </c:pt>
                <c:pt idx="857">
                  <c:v>79.429188549798383</c:v>
                </c:pt>
                <c:pt idx="858">
                  <c:v>79.379142882500929</c:v>
                </c:pt>
                <c:pt idx="859">
                  <c:v>79.317759531376964</c:v>
                </c:pt>
                <c:pt idx="860">
                  <c:v>79.246633863933411</c:v>
                </c:pt>
                <c:pt idx="861">
                  <c:v>79.167583986886058</c:v>
                </c:pt>
                <c:pt idx="862">
                  <c:v>79.08257512400553</c:v>
                </c:pt>
                <c:pt idx="863">
                  <c:v>78.993624026837765</c:v>
                </c:pt>
                <c:pt idx="864">
                  <c:v>78.90267793105501</c:v>
                </c:pt>
                <c:pt idx="865">
                  <c:v>78.811459088453802</c:v>
                </c:pt>
                <c:pt idx="866">
                  <c:v>78.721259942487876</c:v>
                </c:pt>
                <c:pt idx="867">
                  <c:v>78.632663622783795</c:v>
                </c:pt>
                <c:pt idx="868">
                  <c:v>78.545146043591743</c:v>
                </c:pt>
                <c:pt idx="869">
                  <c:v>78.456483111551464</c:v>
                </c:pt>
                <c:pt idx="870">
                  <c:v>78.361828978152644</c:v>
                </c:pt>
                <c:pt idx="871">
                  <c:v>78.252238118419839</c:v>
                </c:pt>
                <c:pt idx="872">
                  <c:v>78.112301731819713</c:v>
                </c:pt>
                <c:pt idx="873">
                  <c:v>77.916754307684329</c:v>
                </c:pt>
                <c:pt idx="874">
                  <c:v>77.628209221763086</c:v>
                </c:pt>
                <c:pt idx="875">
                  <c:v>77.211546054600163</c:v>
                </c:pt>
                <c:pt idx="876">
                  <c:v>76.726183364867239</c:v>
                </c:pt>
                <c:pt idx="877">
                  <c:v>76.501775410127735</c:v>
                </c:pt>
                <c:pt idx="878">
                  <c:v>76.795569951727686</c:v>
                </c:pt>
                <c:pt idx="879">
                  <c:v>77.283951197281212</c:v>
                </c:pt>
                <c:pt idx="880">
                  <c:v>77.680373288900384</c:v>
                </c:pt>
                <c:pt idx="881">
                  <c:v>77.951827428774592</c:v>
                </c:pt>
                <c:pt idx="882">
                  <c:v>78.136678772796586</c:v>
                </c:pt>
                <c:pt idx="883">
                  <c:v>78.270592693993478</c:v>
                </c:pt>
                <c:pt idx="884">
                  <c:v>78.37707907185326</c:v>
                </c:pt>
                <c:pt idx="885">
                  <c:v>78.470353898305845</c:v>
                </c:pt>
                <c:pt idx="886">
                  <c:v>78.55860446633973</c:v>
                </c:pt>
                <c:pt idx="887">
                  <c:v>78.64619439577389</c:v>
                </c:pt>
                <c:pt idx="888">
                  <c:v>78.735036550405567</c:v>
                </c:pt>
                <c:pt idx="889">
                  <c:v>78.825452157170687</c:v>
                </c:pt>
                <c:pt idx="890">
                  <c:v>78.916726701696319</c:v>
                </c:pt>
                <c:pt idx="891">
                  <c:v>79.007485681318343</c:v>
                </c:pt>
                <c:pt idx="892">
                  <c:v>79.095960362056559</c:v>
                </c:pt>
                <c:pt idx="893">
                  <c:v>79.180183691127112</c:v>
                </c:pt>
                <c:pt idx="894">
                  <c:v>79.2581396849002</c:v>
                </c:pt>
                <c:pt idx="895">
                  <c:v>79.327880081630965</c:v>
                </c:pt>
                <c:pt idx="896">
                  <c:v>79.387616566136657</c:v>
                </c:pt>
                <c:pt idx="897">
                  <c:v>79.435793661815012</c:v>
                </c:pt>
                <c:pt idx="898">
                  <c:v>79.471145465158656</c:v>
                </c:pt>
                <c:pt idx="899">
                  <c:v>79.492738221882007</c:v>
                </c:pt>
                <c:pt idx="900">
                  <c:v>79.5</c:v>
                </c:pt>
                <c:pt idx="901">
                  <c:v>79.492738221882263</c:v>
                </c:pt>
                <c:pt idx="902">
                  <c:v>79.471145465159125</c:v>
                </c:pt>
                <c:pt idx="903">
                  <c:v>79.435793661815723</c:v>
                </c:pt>
                <c:pt idx="904">
                  <c:v>79.387616566137567</c:v>
                </c:pt>
                <c:pt idx="905">
                  <c:v>79.32788008163206</c:v>
                </c:pt>
                <c:pt idx="906">
                  <c:v>79.258139684901423</c:v>
                </c:pt>
                <c:pt idx="907">
                  <c:v>79.180183691128462</c:v>
                </c:pt>
                <c:pt idx="908">
                  <c:v>79.095960362057994</c:v>
                </c:pt>
                <c:pt idx="909">
                  <c:v>79.007485681319849</c:v>
                </c:pt>
                <c:pt idx="910">
                  <c:v>78.916726701697826</c:v>
                </c:pt>
                <c:pt idx="911">
                  <c:v>78.82545215717218</c:v>
                </c:pt>
                <c:pt idx="912">
                  <c:v>78.73503655040706</c:v>
                </c:pt>
                <c:pt idx="913">
                  <c:v>78.646194395775339</c:v>
                </c:pt>
                <c:pt idx="914">
                  <c:v>78.558604466341166</c:v>
                </c:pt>
                <c:pt idx="915">
                  <c:v>78.470353898307337</c:v>
                </c:pt>
                <c:pt idx="916">
                  <c:v>78.37707907185488</c:v>
                </c:pt>
                <c:pt idx="917">
                  <c:v>78.270592693995454</c:v>
                </c:pt>
                <c:pt idx="918">
                  <c:v>78.1366787727992</c:v>
                </c:pt>
                <c:pt idx="919">
                  <c:v>77.95182742877833</c:v>
                </c:pt>
                <c:pt idx="920">
                  <c:v>77.680373288905912</c:v>
                </c:pt>
                <c:pt idx="921">
                  <c:v>77.283951197289042</c:v>
                </c:pt>
                <c:pt idx="922">
                  <c:v>76.79556995173553</c:v>
                </c:pt>
                <c:pt idx="923">
                  <c:v>76.501775410128516</c:v>
                </c:pt>
                <c:pt idx="924">
                  <c:v>76.726183364859963</c:v>
                </c:pt>
                <c:pt idx="925">
                  <c:v>77.211546054592048</c:v>
                </c:pt>
                <c:pt idx="926">
                  <c:v>77.628209221757217</c:v>
                </c:pt>
                <c:pt idx="927">
                  <c:v>77.91675430768035</c:v>
                </c:pt>
                <c:pt idx="928">
                  <c:v>78.11230173181697</c:v>
                </c:pt>
                <c:pt idx="929">
                  <c:v>78.252238118417793</c:v>
                </c:pt>
                <c:pt idx="930">
                  <c:v>78.361828978150939</c:v>
                </c:pt>
                <c:pt idx="931">
                  <c:v>78.456483111549943</c:v>
                </c:pt>
                <c:pt idx="932">
                  <c:v>78.545146043590307</c:v>
                </c:pt>
                <c:pt idx="933">
                  <c:v>78.632663622782346</c:v>
                </c:pt>
                <c:pt idx="934">
                  <c:v>78.72125994248637</c:v>
                </c:pt>
                <c:pt idx="935">
                  <c:v>78.811459088452267</c:v>
                </c:pt>
                <c:pt idx="936">
                  <c:v>78.902677931053475</c:v>
                </c:pt>
                <c:pt idx="937">
                  <c:v>78.993624026836258</c:v>
                </c:pt>
                <c:pt idx="938">
                  <c:v>79.08257512400408</c:v>
                </c:pt>
                <c:pt idx="939">
                  <c:v>79.167583986884665</c:v>
                </c:pt>
                <c:pt idx="940">
                  <c:v>79.246633863932146</c:v>
                </c:pt>
                <c:pt idx="941">
                  <c:v>79.317759531375842</c:v>
                </c:pt>
                <c:pt idx="942">
                  <c:v>79.379142882499991</c:v>
                </c:pt>
                <c:pt idx="943">
                  <c:v>79.42918854979763</c:v>
                </c:pt>
                <c:pt idx="944">
                  <c:v>79.466582971852915</c:v>
                </c:pt>
                <c:pt idx="945">
                  <c:v>79.490339050935987</c:v>
                </c:pt>
                <c:pt idx="946">
                  <c:v>79.499827751272036</c:v>
                </c:pt>
                <c:pt idx="947">
                  <c:v>79.494797464561444</c:v>
                </c:pt>
                <c:pt idx="948">
                  <c:v>79.475381600709454</c:v>
                </c:pt>
                <c:pt idx="949">
                  <c:v>79.442094573723367</c:v>
                </c:pt>
                <c:pt idx="950">
                  <c:v>79.395816093555993</c:v>
                </c:pt>
                <c:pt idx="951">
                  <c:v>79.337763400443578</c:v>
                </c:pt>
                <c:pt idx="952">
                  <c:v>79.269450740999247</c:v>
                </c:pt>
                <c:pt idx="953">
                  <c:v>79.192634919551395</c:v>
                </c:pt>
                <c:pt idx="954">
                  <c:v>79.109245062485471</c:v>
                </c:pt>
                <c:pt idx="955">
                  <c:v>79.021293639952106</c:v>
                </c:pt>
                <c:pt idx="956">
                  <c:v>78.930764011614556</c:v>
                </c:pt>
                <c:pt idx="957">
                  <c:v>78.839466799800988</c:v>
                </c:pt>
                <c:pt idx="958">
                  <c:v>78.748852350409777</c:v>
                </c:pt>
                <c:pt idx="959">
                  <c:v>78.659757798403035</c:v>
                </c:pt>
                <c:pt idx="960">
                  <c:v>78.572051846148455</c:v>
                </c:pt>
                <c:pt idx="961">
                  <c:v>78.484112920813274</c:v>
                </c:pt>
                <c:pt idx="962">
                  <c:v>78.392027769809786</c:v>
                </c:pt>
                <c:pt idx="963">
                  <c:v>78.288315827600925</c:v>
                </c:pt>
                <c:pt idx="964">
                  <c:v>78.159875336460118</c:v>
                </c:pt>
                <c:pt idx="965">
                  <c:v>77.98486868710053</c:v>
                </c:pt>
                <c:pt idx="966">
                  <c:v>77.729488288178885</c:v>
                </c:pt>
                <c:pt idx="967">
                  <c:v>77.353640954936679</c:v>
                </c:pt>
                <c:pt idx="968">
                  <c:v>76.869115953648659</c:v>
                </c:pt>
                <c:pt idx="969">
                  <c:v>76.515862313831988</c:v>
                </c:pt>
                <c:pt idx="970">
                  <c:v>76.662822559304956</c:v>
                </c:pt>
                <c:pt idx="971">
                  <c:v>77.13688384015984</c:v>
                </c:pt>
                <c:pt idx="972">
                  <c:v>77.572880997683569</c:v>
                </c:pt>
                <c:pt idx="973">
                  <c:v>77.879492004739603</c:v>
                </c:pt>
                <c:pt idx="974">
                  <c:v>78.0866342890791</c:v>
                </c:pt>
                <c:pt idx="975">
                  <c:v>78.233184219987209</c:v>
                </c:pt>
                <c:pt idx="976">
                  <c:v>78.346237485608142</c:v>
                </c:pt>
                <c:pt idx="977">
                  <c:v>78.442478190172707</c:v>
                </c:pt>
                <c:pt idx="978">
                  <c:v>78.531665423955502</c:v>
                </c:pt>
                <c:pt idx="979">
                  <c:v>78.619161575677893</c:v>
                </c:pt>
                <c:pt idx="980">
                  <c:v>78.707523355957875</c:v>
                </c:pt>
                <c:pt idx="981">
                  <c:v>78.797491491538707</c:v>
                </c:pt>
                <c:pt idx="982">
                  <c:v>78.888623514194421</c:v>
                </c:pt>
                <c:pt idx="983">
                  <c:v>78.979715574507267</c:v>
                </c:pt>
                <c:pt idx="984">
                  <c:v>79.069096703942321</c:v>
                </c:pt>
                <c:pt idx="985">
                  <c:v>79.154843135968477</c:v>
                </c:pt>
                <c:pt idx="986">
                  <c:v>79.234940199387864</c:v>
                </c:pt>
                <c:pt idx="987">
                  <c:v>79.307407960646543</c:v>
                </c:pt>
                <c:pt idx="988">
                  <c:v>79.370400304995712</c:v>
                </c:pt>
                <c:pt idx="989">
                  <c:v>79.422283368038308</c:v>
                </c:pt>
                <c:pt idx="990">
                  <c:v>79.461696984901408</c:v>
                </c:pt>
                <c:pt idx="991">
                  <c:v>79.487601460744955</c:v>
                </c:pt>
                <c:pt idx="992">
                  <c:v>79.499311113497825</c:v>
                </c:pt>
                <c:pt idx="993">
                  <c:v>79.496515483533088</c:v>
                </c:pt>
                <c:pt idx="994">
                  <c:v>79.479288718190602</c:v>
                </c:pt>
                <c:pt idx="995">
                  <c:v>79.448087342393748</c:v>
                </c:pt>
                <c:pt idx="996">
                  <c:v>79.403736365905189</c:v>
                </c:pt>
                <c:pt idx="997">
                  <c:v>79.347403408734479</c:v>
                </c:pt>
                <c:pt idx="998">
                  <c:v>79.280560202269115</c:v>
                </c:pt>
                <c:pt idx="999">
                  <c:v>79.204930383125955</c:v>
                </c:pt>
                <c:pt idx="1000">
                  <c:v>79.122421845163402</c:v>
                </c:pt>
                <c:pt idx="1001">
                  <c:v>79.035040897732003</c:v>
                </c:pt>
                <c:pt idx="1002">
                  <c:v>78.944783831562432</c:v>
                </c:pt>
                <c:pt idx="1003">
                  <c:v>78.853498758298983</c:v>
                </c:pt>
                <c:pt idx="1004">
                  <c:v>78.762705948589044</c:v>
                </c:pt>
                <c:pt idx="1005">
                  <c:v>78.673356869048163</c:v>
                </c:pt>
                <c:pt idx="1006">
                  <c:v>78.58549800885929</c:v>
                </c:pt>
                <c:pt idx="1007">
                  <c:v>78.497780482326192</c:v>
                </c:pt>
                <c:pt idx="1008">
                  <c:v>78.406711807637976</c:v>
                </c:pt>
                <c:pt idx="1009">
                  <c:v>78.305470258856687</c:v>
                </c:pt>
                <c:pt idx="1010">
                  <c:v>78.181993951435743</c:v>
                </c:pt>
                <c:pt idx="1011">
                  <c:v>78.016029484249515</c:v>
                </c:pt>
                <c:pt idx="1012">
                  <c:v>77.775692646064073</c:v>
                </c:pt>
                <c:pt idx="1013">
                  <c:v>77.420313256479531</c:v>
                </c:pt>
                <c:pt idx="1014">
                  <c:v>76.945125844489908</c:v>
                </c:pt>
                <c:pt idx="1015">
                  <c:v>76.543430119767933</c:v>
                </c:pt>
                <c:pt idx="1016">
                  <c:v>76.607435725998315</c:v>
                </c:pt>
                <c:pt idx="1017">
                  <c:v>77.060609878195933</c:v>
                </c:pt>
                <c:pt idx="1018">
                  <c:v>77.514308108354825</c:v>
                </c:pt>
                <c:pt idx="1019">
                  <c:v>77.839878798159219</c:v>
                </c:pt>
                <c:pt idx="1020">
                  <c:v>78.059558881510242</c:v>
                </c:pt>
                <c:pt idx="1021">
                  <c:v>78.213357627451614</c:v>
                </c:pt>
                <c:pt idx="1022">
                  <c:v>78.330261083173795</c:v>
                </c:pt>
                <c:pt idx="1023">
                  <c:v>78.428314547693546</c:v>
                </c:pt>
                <c:pt idx="1024">
                  <c:v>78.518150033418479</c:v>
                </c:pt>
                <c:pt idx="1025">
                  <c:v>78.60568342687283</c:v>
                </c:pt>
                <c:pt idx="1026">
                  <c:v>78.693827016759073</c:v>
                </c:pt>
                <c:pt idx="1027">
                  <c:v>78.783552877269216</c:v>
                </c:pt>
                <c:pt idx="1028">
                  <c:v>78.874569031383544</c:v>
                </c:pt>
                <c:pt idx="1029">
                  <c:v>78.965767100642211</c:v>
                </c:pt>
                <c:pt idx="1030">
                  <c:v>79.055532421593085</c:v>
                </c:pt>
                <c:pt idx="1031">
                  <c:v>79.141968498658542</c:v>
                </c:pt>
                <c:pt idx="1032">
                  <c:v>79.223065696766042</c:v>
                </c:pt>
                <c:pt idx="1033">
                  <c:v>79.296831706682042</c:v>
                </c:pt>
                <c:pt idx="1034">
                  <c:v>79.361394255144887</c:v>
                </c:pt>
                <c:pt idx="1035">
                  <c:v>79.415082430973683</c:v>
                </c:pt>
                <c:pt idx="1036">
                  <c:v>79.456490570111143</c:v>
                </c:pt>
                <c:pt idx="1037">
                  <c:v>79.484527172836323</c:v>
                </c:pt>
                <c:pt idx="1038">
                  <c:v>79.498450411829893</c:v>
                </c:pt>
                <c:pt idx="1039">
                  <c:v>79.497891197858408</c:v>
                </c:pt>
                <c:pt idx="1040">
                  <c:v>79.482864363023239</c:v>
                </c:pt>
                <c:pt idx="1041">
                  <c:v>79.453768214941292</c:v>
                </c:pt>
                <c:pt idx="1042">
                  <c:v>79.411372451977243</c:v>
                </c:pt>
                <c:pt idx="1043">
                  <c:v>79.35679416473225</c:v>
                </c:pt>
                <c:pt idx="1044">
                  <c:v>79.291461336970727</c:v>
                </c:pt>
                <c:pt idx="1045">
                  <c:v>79.217062841608481</c:v>
                </c:pt>
                <c:pt idx="1046">
                  <c:v>79.135483316425621</c:v>
                </c:pt>
                <c:pt idx="1047">
                  <c:v>79.048720356761635</c:v>
                </c:pt>
                <c:pt idx="1048">
                  <c:v>78.958779936202973</c:v>
                </c:pt>
                <c:pt idx="1049">
                  <c:v>78.867543440018537</c:v>
                </c:pt>
                <c:pt idx="1050">
                  <c:v>78.7765954229789</c:v>
                </c:pt>
                <c:pt idx="1051">
                  <c:v>78.68699383545308</c:v>
                </c:pt>
                <c:pt idx="1052">
                  <c:v>78.598951537802449</c:v>
                </c:pt>
                <c:pt idx="1053">
                  <c:v>78.51137495719091</c:v>
                </c:pt>
                <c:pt idx="1054">
                  <c:v>78.421164877523864</c:v>
                </c:pt>
                <c:pt idx="1055">
                  <c:v>78.322113921303185</c:v>
                </c:pt>
                <c:pt idx="1056">
                  <c:v>78.203130052758553</c:v>
                </c:pt>
                <c:pt idx="1057">
                  <c:v>78.045454323736848</c:v>
                </c:pt>
                <c:pt idx="1058">
                  <c:v>77.819139392020489</c:v>
                </c:pt>
                <c:pt idx="1059">
                  <c:v>77.4837926410368</c:v>
                </c:pt>
                <c:pt idx="1060">
                  <c:v>77.022128522807009</c:v>
                </c:pt>
                <c:pt idx="1061">
                  <c:v>76.583333980994837</c:v>
                </c:pt>
                <c:pt idx="1062">
                  <c:v>76.561929621794135</c:v>
                </c:pt>
                <c:pt idx="1063">
                  <c:v>76.983585463577356</c:v>
                </c:pt>
                <c:pt idx="1064">
                  <c:v>77.452458840659702</c:v>
                </c:pt>
                <c:pt idx="1065">
                  <c:v>77.797750780410894</c:v>
                </c:pt>
                <c:pt idx="1066">
                  <c:v>78.030950154769997</c:v>
                </c:pt>
                <c:pt idx="1067">
                  <c:v>78.192679119612336</c:v>
                </c:pt>
                <c:pt idx="1068">
                  <c:v>78.313852494226481</c:v>
                </c:pt>
                <c:pt idx="1069">
                  <c:v>78.413965220891882</c:v>
                </c:pt>
                <c:pt idx="1070">
                  <c:v>78.504585778967382</c:v>
                </c:pt>
                <c:pt idx="1071">
                  <c:v>78.592223362409328</c:v>
                </c:pt>
                <c:pt idx="1072">
                  <c:v>78.680170506284767</c:v>
                </c:pt>
                <c:pt idx="1073">
                  <c:v>78.769646341048613</c:v>
                </c:pt>
                <c:pt idx="1074">
                  <c:v>78.860519808192194</c:v>
                </c:pt>
                <c:pt idx="1075">
                  <c:v>78.951785244544155</c:v>
                </c:pt>
                <c:pt idx="1076">
                  <c:v>79.04188954896081</c:v>
                </c:pt>
                <c:pt idx="1077">
                  <c:v>79.128967457060057</c:v>
                </c:pt>
                <c:pt idx="1078">
                  <c:v>79.211017438379827</c:v>
                </c:pt>
                <c:pt idx="1079">
                  <c:v>79.286037227152562</c:v>
                </c:pt>
                <c:pt idx="1080">
                  <c:v>79.35213030912152</c:v>
                </c:pt>
                <c:pt idx="1081">
                  <c:v>79.40759023376657</c:v>
                </c:pt>
                <c:pt idx="1082">
                  <c:v>79.450966992727018</c:v>
                </c:pt>
                <c:pt idx="1083">
                  <c:v>79.481118120012155</c:v>
                </c:pt>
                <c:pt idx="1084">
                  <c:v>79.497246187933911</c:v>
                </c:pt>
                <c:pt idx="1085">
                  <c:v>79.498923741867443</c:v>
                </c:pt>
                <c:pt idx="1086">
                  <c:v>79.486106288142153</c:v>
                </c:pt>
                <c:pt idx="1087">
                  <c:v>79.459133631556185</c:v>
                </c:pt>
                <c:pt idx="1088">
                  <c:v>79.418719592168458</c:v>
                </c:pt>
                <c:pt idx="1089">
                  <c:v>79.365929869175133</c:v>
                </c:pt>
                <c:pt idx="1090">
                  <c:v>79.302147518219314</c:v>
                </c:pt>
                <c:pt idx="1091">
                  <c:v>79.229025111906623</c:v>
                </c:pt>
                <c:pt idx="1092">
                  <c:v>79.148422079634116</c:v>
                </c:pt>
                <c:pt idx="1093">
                  <c:v>79.062324839796318</c:v>
                </c:pt>
                <c:pt idx="1094">
                  <c:v>78.972745921918374</c:v>
                </c:pt>
                <c:pt idx="1095">
                  <c:v>78.881595941972179</c:v>
                </c:pt>
                <c:pt idx="1096">
                  <c:v>78.790518358033864</c:v>
                </c:pt>
                <c:pt idx="1097">
                  <c:v>78.700670166001771</c:v>
                </c:pt>
                <c:pt idx="1098">
                  <c:v>78.612419853483217</c:v>
                </c:pt>
                <c:pt idx="1099">
                  <c:v>78.524912919055311</c:v>
                </c:pt>
                <c:pt idx="1100">
                  <c:v>78.435417836604671</c:v>
                </c:pt>
                <c:pt idx="1101">
                  <c:v>78.338300261525788</c:v>
                </c:pt>
                <c:pt idx="1102">
                  <c:v>78.223372320438003</c:v>
                </c:pt>
                <c:pt idx="1103">
                  <c:v>78.07328023193449</c:v>
                </c:pt>
                <c:pt idx="1104">
                  <c:v>77.859989489047067</c:v>
                </c:pt>
                <c:pt idx="1105">
                  <c:v>77.544003450774383</c:v>
                </c:pt>
                <c:pt idx="1106">
                  <c:v>77.098899868066894</c:v>
                </c:pt>
                <c:pt idx="1107">
                  <c:v>76.634010602187729</c:v>
                </c:pt>
                <c:pt idx="1108">
                  <c:v>76.528021229023409</c:v>
                </c:pt>
                <c:pt idx="1109">
                  <c:v>76.906910516544684</c:v>
                </c:pt>
                <c:pt idx="1110">
                  <c:v>77.387367890811348</c:v>
                </c:pt>
                <c:pt idx="1111">
                  <c:v>77.752944987990617</c:v>
                </c:pt>
                <c:pt idx="1112">
                  <c:v>78.000674941705526</c:v>
                </c:pt>
                <c:pt idx="1113">
                  <c:v>78.171063260420112</c:v>
                </c:pt>
                <c:pt idx="1114">
                  <c:v>78.296960401351896</c:v>
                </c:pt>
                <c:pt idx="1115">
                  <c:v>78.399400696660805</c:v>
                </c:pt>
                <c:pt idx="1116">
                  <c:v>78.490956942134815</c:v>
                </c:pt>
                <c:pt idx="1117">
                  <c:v>78.578774515019887</c:v>
                </c:pt>
                <c:pt idx="1118">
                  <c:v>78.666552717604276</c:v>
                </c:pt>
                <c:pt idx="1119">
                  <c:v>78.755774532884558</c:v>
                </c:pt>
                <c:pt idx="1120">
                  <c:v>78.84648089405178</c:v>
                </c:pt>
                <c:pt idx="1121">
                  <c:v>78.937776492531867</c:v>
                </c:pt>
                <c:pt idx="1122">
                  <c:v>79.028175298048396</c:v>
                </c:pt>
                <c:pt idx="1123">
                  <c:v>79.115847405452755</c:v>
                </c:pt>
                <c:pt idx="1124">
                  <c:v>79.198802575700128</c:v>
                </c:pt>
                <c:pt idx="1125">
                  <c:v>79.275031094099916</c:v>
                </c:pt>
                <c:pt idx="1126">
                  <c:v>79.342614193042849</c:v>
                </c:pt>
                <c:pt idx="1127">
                  <c:v>79.39981144878945</c:v>
                </c:pt>
                <c:pt idx="1128">
                  <c:v>79.445129715010069</c:v>
                </c:pt>
                <c:pt idx="1129">
                  <c:v>79.477376444962545</c:v>
                </c:pt>
                <c:pt idx="1130">
                  <c:v>79.495699199606122</c:v>
                </c:pt>
                <c:pt idx="1131">
                  <c:v>79.499612465771762</c:v>
                </c:pt>
                <c:pt idx="1132">
                  <c:v>79.489012455618166</c:v>
                </c:pt>
                <c:pt idx="1133">
                  <c:v>79.464180228172609</c:v>
                </c:pt>
                <c:pt idx="1134">
                  <c:v>79.425773202260729</c:v>
                </c:pt>
                <c:pt idx="1135">
                  <c:v>79.374804870316694</c:v>
                </c:pt>
                <c:pt idx="1136">
                  <c:v>79.312612230387387</c:v>
                </c:pt>
                <c:pt idx="1137">
                  <c:v>79.240810076154176</c:v>
                </c:pt>
                <c:pt idx="1138">
                  <c:v>79.161230745368343</c:v>
                </c:pt>
                <c:pt idx="1139">
                  <c:v>79.075847103267094</c:v>
                </c:pt>
                <c:pt idx="1140">
                  <c:v>78.986675223857745</c:v>
                </c:pt>
                <c:pt idx="1141">
                  <c:v>78.895651073912504</c:v>
                </c:pt>
                <c:pt idx="1142">
                  <c:v>78.804471877198779</c:v>
                </c:pt>
                <c:pt idx="1143">
                  <c:v>78.714386617818363</c:v>
                </c:pt>
                <c:pt idx="1144">
                  <c:v>78.6259092878568</c:v>
                </c:pt>
                <c:pt idx="1145">
                  <c:v>78.538409259855669</c:v>
                </c:pt>
                <c:pt idx="1146">
                  <c:v>78.449498900583592</c:v>
                </c:pt>
                <c:pt idx="1147">
                  <c:v>78.354078541027135</c:v>
                </c:pt>
                <c:pt idx="1148">
                  <c:v>78.242803037413097</c:v>
                </c:pt>
                <c:pt idx="1149">
                  <c:v>78.099636477018294</c:v>
                </c:pt>
                <c:pt idx="1150">
                  <c:v>77.898406830458939</c:v>
                </c:pt>
                <c:pt idx="1151">
                  <c:v>77.600946622553934</c:v>
                </c:pt>
                <c:pt idx="1152">
                  <c:v>77.174461489070183</c:v>
                </c:pt>
                <c:pt idx="1153">
                  <c:v>76.693628605124175</c:v>
                </c:pt>
                <c:pt idx="1154">
                  <c:v>76.507082150630865</c:v>
                </c:pt>
                <c:pt idx="1155">
                  <c:v>76.831933794887021</c:v>
                </c:pt>
                <c:pt idx="1156">
                  <c:v>77.319157682515879</c:v>
                </c:pt>
                <c:pt idx="1157">
                  <c:v>77.705303703846326</c:v>
                </c:pt>
                <c:pt idx="1158">
                  <c:v>77.968592425746195</c:v>
                </c:pt>
                <c:pt idx="1159">
                  <c:v>78.148418036225564</c:v>
                </c:pt>
                <c:pt idx="1160">
                  <c:v>78.279529153318208</c:v>
                </c:pt>
                <c:pt idx="1161">
                  <c:v>78.384588725443692</c:v>
                </c:pt>
                <c:pt idx="1162">
                  <c:v>78.477246064357232</c:v>
                </c:pt>
                <c:pt idx="1163">
                  <c:v>78.565328892399833</c:v>
                </c:pt>
                <c:pt idx="1164">
                  <c:v>78.652971808859689</c:v>
                </c:pt>
                <c:pt idx="1165">
                  <c:v>78.741939625719979</c:v>
                </c:pt>
                <c:pt idx="1166">
                  <c:v>78.832457039737079</c:v>
                </c:pt>
                <c:pt idx="1167">
                  <c:v>78.923747161261275</c:v>
                </c:pt>
                <c:pt idx="1168">
                  <c:v>79.014396808087113</c:v>
                </c:pt>
                <c:pt idx="1169">
                  <c:v>79.102615740285827</c:v>
                </c:pt>
                <c:pt idx="1170">
                  <c:v>79.186428321422255</c:v>
                </c:pt>
                <c:pt idx="1171">
                  <c:v>79.263819987651502</c:v>
                </c:pt>
                <c:pt idx="1172">
                  <c:v>79.332851778064082</c:v>
                </c:pt>
                <c:pt idx="1173">
                  <c:v>79.391750921931902</c:v>
                </c:pt>
                <c:pt idx="1174">
                  <c:v>79.43898239365177</c:v>
                </c:pt>
                <c:pt idx="1175">
                  <c:v>79.473304498722356</c:v>
                </c:pt>
                <c:pt idx="1176">
                  <c:v>79.493810420237139</c:v>
                </c:pt>
                <c:pt idx="1177">
                  <c:v>79.499956936123994</c:v>
                </c:pt>
                <c:pt idx="1178">
                  <c:v>79.491581038122959</c:v>
                </c:pt>
                <c:pt idx="1179">
                  <c:v>79.468904838972023</c:v>
                </c:pt>
                <c:pt idx="1180">
                  <c:v>79.432528877025632</c:v>
                </c:pt>
                <c:pt idx="1181">
                  <c:v>79.383413668732771</c:v>
                </c:pt>
                <c:pt idx="1182">
                  <c:v>79.322849075276864</c:v>
                </c:pt>
                <c:pt idx="1183">
                  <c:v>79.25241068950497</c:v>
                </c:pt>
                <c:pt idx="1184">
                  <c:v>79.173901941251032</c:v>
                </c:pt>
                <c:pt idx="1185">
                  <c:v>79.089279849804669</c:v>
                </c:pt>
                <c:pt idx="1186">
                  <c:v>79.000561132259364</c:v>
                </c:pt>
                <c:pt idx="1187">
                  <c:v>78.909703380304819</c:v>
                </c:pt>
                <c:pt idx="1188">
                  <c:v>78.818452673708023</c:v>
                </c:pt>
                <c:pt idx="1189">
                  <c:v>78.728143281931025</c:v>
                </c:pt>
                <c:pt idx="1190">
                  <c:v>78.639425153612649</c:v>
                </c:pt>
                <c:pt idx="1191">
                  <c:v>78.551877300284588</c:v>
                </c:pt>
                <c:pt idx="1192">
                  <c:v>78.463433823471092</c:v>
                </c:pt>
                <c:pt idx="1193">
                  <c:v>78.369494120349785</c:v>
                </c:pt>
                <c:pt idx="1194">
                  <c:v>78.261498454482989</c:v>
                </c:pt>
                <c:pt idx="1195">
                  <c:v>78.124644505713931</c:v>
                </c:pt>
                <c:pt idx="1196">
                  <c:v>77.934554559607179</c:v>
                </c:pt>
                <c:pt idx="1197">
                  <c:v>77.654680247239043</c:v>
                </c:pt>
                <c:pt idx="1198">
                  <c:v>77.248063427115312</c:v>
                </c:pt>
                <c:pt idx="1199">
                  <c:v>76.760243222036749</c:v>
                </c:pt>
                <c:pt idx="1200">
                  <c:v>76.5</c:v>
                </c:pt>
                <c:pt idx="1201">
                  <c:v>76.760243222013699</c:v>
                </c:pt>
                <c:pt idx="1202">
                  <c:v>77.248063427091381</c:v>
                </c:pt>
                <c:pt idx="1203">
                  <c:v>77.654680247221776</c:v>
                </c:pt>
                <c:pt idx="1204">
                  <c:v>77.934554559595568</c:v>
                </c:pt>
                <c:pt idx="1205">
                  <c:v>78.124644505705859</c:v>
                </c:pt>
                <c:pt idx="1206">
                  <c:v>78.261498454476921</c:v>
                </c:pt>
                <c:pt idx="1207">
                  <c:v>78.36949412034474</c:v>
                </c:pt>
                <c:pt idx="1208">
                  <c:v>78.463433823466474</c:v>
                </c:pt>
                <c:pt idx="1209">
                  <c:v>78.551877300280125</c:v>
                </c:pt>
                <c:pt idx="1210">
                  <c:v>78.63942515360813</c:v>
                </c:pt>
                <c:pt idx="1211">
                  <c:v>78.728143281926506</c:v>
                </c:pt>
                <c:pt idx="1212">
                  <c:v>78.818452673703348</c:v>
                </c:pt>
                <c:pt idx="1213">
                  <c:v>78.909703380300186</c:v>
                </c:pt>
                <c:pt idx="1214">
                  <c:v>79.000561132254774</c:v>
                </c:pt>
                <c:pt idx="1215">
                  <c:v>79.089279849800249</c:v>
                </c:pt>
                <c:pt idx="1216">
                  <c:v>79.173901941246854</c:v>
                </c:pt>
                <c:pt idx="1217">
                  <c:v>79.252410689501176</c:v>
                </c:pt>
                <c:pt idx="1218">
                  <c:v>79.322849075273496</c:v>
                </c:pt>
                <c:pt idx="1219">
                  <c:v>79.383413668729958</c:v>
                </c:pt>
                <c:pt idx="1220">
                  <c:v>79.432528877023415</c:v>
                </c:pt>
                <c:pt idx="1221">
                  <c:v>79.468904838970516</c:v>
                </c:pt>
                <c:pt idx="1222">
                  <c:v>79.491581038122163</c:v>
                </c:pt>
                <c:pt idx="1223">
                  <c:v>79.499956936123937</c:v>
                </c:pt>
                <c:pt idx="1224">
                  <c:v>79.493810420237821</c:v>
                </c:pt>
                <c:pt idx="1225">
                  <c:v>79.473304498723749</c:v>
                </c:pt>
                <c:pt idx="1226">
                  <c:v>79.438982393653873</c:v>
                </c:pt>
                <c:pt idx="1227">
                  <c:v>79.391750921934616</c:v>
                </c:pt>
                <c:pt idx="1228">
                  <c:v>79.332851778067351</c:v>
                </c:pt>
                <c:pt idx="1229">
                  <c:v>79.263819987655253</c:v>
                </c:pt>
                <c:pt idx="1230">
                  <c:v>79.186428321426391</c:v>
                </c:pt>
                <c:pt idx="1231">
                  <c:v>79.102615740290219</c:v>
                </c:pt>
                <c:pt idx="1232">
                  <c:v>79.014396808091689</c:v>
                </c:pt>
                <c:pt idx="1233">
                  <c:v>78.923747161265908</c:v>
                </c:pt>
                <c:pt idx="1234">
                  <c:v>78.832457039741769</c:v>
                </c:pt>
                <c:pt idx="1235">
                  <c:v>78.741939625724541</c:v>
                </c:pt>
                <c:pt idx="1236">
                  <c:v>78.652971808864223</c:v>
                </c:pt>
                <c:pt idx="1237">
                  <c:v>78.565328892404267</c:v>
                </c:pt>
                <c:pt idx="1238">
                  <c:v>78.477246064361793</c:v>
                </c:pt>
                <c:pt idx="1239">
                  <c:v>78.384588725448651</c:v>
                </c:pt>
                <c:pt idx="1240">
                  <c:v>78.279529153324077</c:v>
                </c:pt>
                <c:pt idx="1241">
                  <c:v>78.148418036233252</c:v>
                </c:pt>
                <c:pt idx="1242">
                  <c:v>77.968592425757137</c:v>
                </c:pt>
                <c:pt idx="1243">
                  <c:v>77.705303703862612</c:v>
                </c:pt>
                <c:pt idx="1244">
                  <c:v>77.319157682538915</c:v>
                </c:pt>
                <c:pt idx="1245">
                  <c:v>76.831933794911336</c:v>
                </c:pt>
                <c:pt idx="1246">
                  <c:v>76.507082150635568</c:v>
                </c:pt>
                <c:pt idx="1247">
                  <c:v>76.693628605103115</c:v>
                </c:pt>
                <c:pt idx="1248">
                  <c:v>77.174461489045299</c:v>
                </c:pt>
                <c:pt idx="1249">
                  <c:v>77.600946622535574</c:v>
                </c:pt>
                <c:pt idx="1250">
                  <c:v>77.898406830446632</c:v>
                </c:pt>
                <c:pt idx="1251">
                  <c:v>78.099636477009824</c:v>
                </c:pt>
                <c:pt idx="1252">
                  <c:v>78.242803037406802</c:v>
                </c:pt>
                <c:pt idx="1253">
                  <c:v>78.354078541021991</c:v>
                </c:pt>
                <c:pt idx="1254">
                  <c:v>78.449498900578988</c:v>
                </c:pt>
                <c:pt idx="1255">
                  <c:v>78.538409259851264</c:v>
                </c:pt>
                <c:pt idx="1256">
                  <c:v>78.625909287852352</c:v>
                </c:pt>
                <c:pt idx="1257">
                  <c:v>78.714386617813844</c:v>
                </c:pt>
                <c:pt idx="1258">
                  <c:v>78.804471877194175</c:v>
                </c:pt>
                <c:pt idx="1259">
                  <c:v>78.895651073907857</c:v>
                </c:pt>
                <c:pt idx="1260">
                  <c:v>78.986675223853183</c:v>
                </c:pt>
                <c:pt idx="1261">
                  <c:v>79.075847103262632</c:v>
                </c:pt>
                <c:pt idx="1262">
                  <c:v>79.161230745364136</c:v>
                </c:pt>
                <c:pt idx="1263">
                  <c:v>79.240810076150325</c:v>
                </c:pt>
                <c:pt idx="1264">
                  <c:v>79.312612230383976</c:v>
                </c:pt>
                <c:pt idx="1265">
                  <c:v>79.374804870313824</c:v>
                </c:pt>
                <c:pt idx="1266">
                  <c:v>79.425773202258441</c:v>
                </c:pt>
                <c:pt idx="1267">
                  <c:v>79.464180228170989</c:v>
                </c:pt>
                <c:pt idx="1268">
                  <c:v>79.489012455617242</c:v>
                </c:pt>
                <c:pt idx="1269">
                  <c:v>79.499612465771577</c:v>
                </c:pt>
                <c:pt idx="1270">
                  <c:v>79.495699199606705</c:v>
                </c:pt>
                <c:pt idx="1271">
                  <c:v>79.477376444963838</c:v>
                </c:pt>
                <c:pt idx="1272">
                  <c:v>79.445129715012058</c:v>
                </c:pt>
                <c:pt idx="1273">
                  <c:v>79.399811448792065</c:v>
                </c:pt>
                <c:pt idx="1274">
                  <c:v>79.342614193046046</c:v>
                </c:pt>
                <c:pt idx="1275">
                  <c:v>79.275031094103596</c:v>
                </c:pt>
                <c:pt idx="1276">
                  <c:v>79.198802575704178</c:v>
                </c:pt>
                <c:pt idx="1277">
                  <c:v>79.115847405457131</c:v>
                </c:pt>
                <c:pt idx="1278">
                  <c:v>79.028175298052915</c:v>
                </c:pt>
                <c:pt idx="1279">
                  <c:v>78.937776492536486</c:v>
                </c:pt>
                <c:pt idx="1280">
                  <c:v>78.846480894056413</c:v>
                </c:pt>
                <c:pt idx="1281">
                  <c:v>78.755774532889092</c:v>
                </c:pt>
                <c:pt idx="1282">
                  <c:v>78.666552717608766</c:v>
                </c:pt>
                <c:pt idx="1283">
                  <c:v>78.578774515024364</c:v>
                </c:pt>
                <c:pt idx="1284">
                  <c:v>78.49095694213932</c:v>
                </c:pt>
                <c:pt idx="1285">
                  <c:v>78.399400696665666</c:v>
                </c:pt>
                <c:pt idx="1286">
                  <c:v>78.29696040135758</c:v>
                </c:pt>
                <c:pt idx="1287">
                  <c:v>78.171063260427417</c:v>
                </c:pt>
                <c:pt idx="1288">
                  <c:v>78.000674941715801</c:v>
                </c:pt>
                <c:pt idx="1289">
                  <c:v>77.752944988005837</c:v>
                </c:pt>
                <c:pt idx="1290">
                  <c:v>77.387367890833389</c:v>
                </c:pt>
                <c:pt idx="1291">
                  <c:v>76.90691051656971</c:v>
                </c:pt>
                <c:pt idx="1292">
                  <c:v>76.528021229032547</c:v>
                </c:pt>
                <c:pt idx="1293">
                  <c:v>76.634010602169411</c:v>
                </c:pt>
                <c:pt idx="1294">
                  <c:v>77.098899868041784</c:v>
                </c:pt>
                <c:pt idx="1295">
                  <c:v>77.544003450755042</c:v>
                </c:pt>
                <c:pt idx="1296">
                  <c:v>77.859989489033993</c:v>
                </c:pt>
                <c:pt idx="1297">
                  <c:v>78.073280231925523</c:v>
                </c:pt>
                <c:pt idx="1298">
                  <c:v>78.223372320431437</c:v>
                </c:pt>
                <c:pt idx="1299">
                  <c:v>78.338300261520487</c:v>
                </c:pt>
                <c:pt idx="1300">
                  <c:v>78.435417836599981</c:v>
                </c:pt>
                <c:pt idx="1301">
                  <c:v>78.524912919050834</c:v>
                </c:pt>
                <c:pt idx="1302">
                  <c:v>78.612419853478727</c:v>
                </c:pt>
                <c:pt idx="1303">
                  <c:v>78.700670165997224</c:v>
                </c:pt>
                <c:pt idx="1304">
                  <c:v>78.790518358029246</c:v>
                </c:pt>
                <c:pt idx="1305">
                  <c:v>78.881595941967532</c:v>
                </c:pt>
                <c:pt idx="1306">
                  <c:v>78.972745921913756</c:v>
                </c:pt>
                <c:pt idx="1307">
                  <c:v>79.062324839791813</c:v>
                </c:pt>
                <c:pt idx="1308">
                  <c:v>79.148422079629881</c:v>
                </c:pt>
                <c:pt idx="1309">
                  <c:v>79.229025111902686</c:v>
                </c:pt>
                <c:pt idx="1310">
                  <c:v>79.302147518215818</c:v>
                </c:pt>
                <c:pt idx="1311">
                  <c:v>79.365929869172163</c:v>
                </c:pt>
                <c:pt idx="1312">
                  <c:v>79.418719592166084</c:v>
                </c:pt>
                <c:pt idx="1313">
                  <c:v>79.459133631554479</c:v>
                </c:pt>
                <c:pt idx="1314">
                  <c:v>79.48610628814113</c:v>
                </c:pt>
                <c:pt idx="1315">
                  <c:v>79.498923741867159</c:v>
                </c:pt>
                <c:pt idx="1316">
                  <c:v>79.497246187934365</c:v>
                </c:pt>
                <c:pt idx="1317">
                  <c:v>79.481118120013335</c:v>
                </c:pt>
                <c:pt idx="1318">
                  <c:v>79.450966992728894</c:v>
                </c:pt>
                <c:pt idx="1319">
                  <c:v>79.407590233769085</c:v>
                </c:pt>
                <c:pt idx="1320">
                  <c:v>79.352130309124618</c:v>
                </c:pt>
                <c:pt idx="1321">
                  <c:v>79.286037227156172</c:v>
                </c:pt>
                <c:pt idx="1322">
                  <c:v>79.21101743838382</c:v>
                </c:pt>
                <c:pt idx="1323">
                  <c:v>79.128967457064348</c:v>
                </c:pt>
                <c:pt idx="1324">
                  <c:v>79.041889548965315</c:v>
                </c:pt>
                <c:pt idx="1325">
                  <c:v>78.951785244548759</c:v>
                </c:pt>
                <c:pt idx="1326">
                  <c:v>78.860519808196827</c:v>
                </c:pt>
                <c:pt idx="1327">
                  <c:v>78.769646341053146</c:v>
                </c:pt>
                <c:pt idx="1328">
                  <c:v>78.680170506289258</c:v>
                </c:pt>
                <c:pt idx="1329">
                  <c:v>78.592223362413819</c:v>
                </c:pt>
                <c:pt idx="1330">
                  <c:v>78.504585778971872</c:v>
                </c:pt>
                <c:pt idx="1331">
                  <c:v>78.413965220896657</c:v>
                </c:pt>
                <c:pt idx="1332">
                  <c:v>78.31385249423198</c:v>
                </c:pt>
                <c:pt idx="1333">
                  <c:v>78.192679119619328</c:v>
                </c:pt>
                <c:pt idx="1334">
                  <c:v>78.030950154779703</c:v>
                </c:pt>
                <c:pt idx="1335">
                  <c:v>77.797750780425261</c:v>
                </c:pt>
                <c:pt idx="1336">
                  <c:v>77.452458840680677</c:v>
                </c:pt>
                <c:pt idx="1337">
                  <c:v>76.983585463602708</c:v>
                </c:pt>
                <c:pt idx="1338">
                  <c:v>76.561929621807352</c:v>
                </c:pt>
                <c:pt idx="1339">
                  <c:v>76.583333980979788</c:v>
                </c:pt>
                <c:pt idx="1340">
                  <c:v>77.022128522781628</c:v>
                </c:pt>
                <c:pt idx="1341">
                  <c:v>77.483792641016379</c:v>
                </c:pt>
                <c:pt idx="1342">
                  <c:v>77.819139392006591</c:v>
                </c:pt>
                <c:pt idx="1343">
                  <c:v>78.045454323727412</c:v>
                </c:pt>
                <c:pt idx="1344">
                  <c:v>78.203130052751732</c:v>
                </c:pt>
                <c:pt idx="1345">
                  <c:v>78.322113921297756</c:v>
                </c:pt>
                <c:pt idx="1346">
                  <c:v>78.421164877519104</c:v>
                </c:pt>
                <c:pt idx="1347">
                  <c:v>78.511374957186419</c:v>
                </c:pt>
                <c:pt idx="1348">
                  <c:v>78.598951537797959</c:v>
                </c:pt>
                <c:pt idx="1349">
                  <c:v>78.686993835448561</c:v>
                </c:pt>
                <c:pt idx="1350">
                  <c:v>78.776595422974296</c:v>
                </c:pt>
                <c:pt idx="1351">
                  <c:v>78.867543440013918</c:v>
                </c:pt>
                <c:pt idx="1352">
                  <c:v>78.958779936198354</c:v>
                </c:pt>
                <c:pt idx="1353">
                  <c:v>79.048720356757102</c:v>
                </c:pt>
                <c:pt idx="1354">
                  <c:v>79.135483316421315</c:v>
                </c:pt>
                <c:pt idx="1355">
                  <c:v>79.217062841604488</c:v>
                </c:pt>
                <c:pt idx="1356">
                  <c:v>79.29146133696716</c:v>
                </c:pt>
                <c:pt idx="1357">
                  <c:v>79.356794164729195</c:v>
                </c:pt>
                <c:pt idx="1358">
                  <c:v>79.411372451974756</c:v>
                </c:pt>
                <c:pt idx="1359">
                  <c:v>79.453768214939473</c:v>
                </c:pt>
                <c:pt idx="1360">
                  <c:v>79.482864363022102</c:v>
                </c:pt>
                <c:pt idx="1361">
                  <c:v>79.497891197857996</c:v>
                </c:pt>
                <c:pt idx="1362">
                  <c:v>79.49845041183022</c:v>
                </c:pt>
                <c:pt idx="1363">
                  <c:v>79.484527172837389</c:v>
                </c:pt>
                <c:pt idx="1364">
                  <c:v>79.456490570112905</c:v>
                </c:pt>
                <c:pt idx="1365">
                  <c:v>79.415082430976099</c:v>
                </c:pt>
                <c:pt idx="1366">
                  <c:v>79.361394255147886</c:v>
                </c:pt>
                <c:pt idx="1367">
                  <c:v>79.29683170668558</c:v>
                </c:pt>
                <c:pt idx="1368">
                  <c:v>79.223065696769936</c:v>
                </c:pt>
                <c:pt idx="1369">
                  <c:v>79.141968498662848</c:v>
                </c:pt>
                <c:pt idx="1370">
                  <c:v>79.055532421597547</c:v>
                </c:pt>
                <c:pt idx="1371">
                  <c:v>78.965767100646843</c:v>
                </c:pt>
                <c:pt idx="1372">
                  <c:v>78.874569031388162</c:v>
                </c:pt>
                <c:pt idx="1373">
                  <c:v>78.783552877273806</c:v>
                </c:pt>
                <c:pt idx="1374">
                  <c:v>78.693827016763549</c:v>
                </c:pt>
                <c:pt idx="1375">
                  <c:v>78.605683426877277</c:v>
                </c:pt>
                <c:pt idx="1376">
                  <c:v>78.518150033422941</c:v>
                </c:pt>
                <c:pt idx="1377">
                  <c:v>78.428314547698264</c:v>
                </c:pt>
                <c:pt idx="1378">
                  <c:v>78.33026108317911</c:v>
                </c:pt>
                <c:pt idx="1379">
                  <c:v>78.213357627458322</c:v>
                </c:pt>
                <c:pt idx="1380">
                  <c:v>78.059558881519436</c:v>
                </c:pt>
                <c:pt idx="1381">
                  <c:v>77.839878798172734</c:v>
                </c:pt>
                <c:pt idx="1382">
                  <c:v>77.514308108374706</c:v>
                </c:pt>
                <c:pt idx="1383">
                  <c:v>77.060609878221214</c:v>
                </c:pt>
                <c:pt idx="1384">
                  <c:v>76.607435726015055</c:v>
                </c:pt>
                <c:pt idx="1385">
                  <c:v>76.543430119756721</c:v>
                </c:pt>
                <c:pt idx="1386">
                  <c:v>76.945125844464641</c:v>
                </c:pt>
                <c:pt idx="1387">
                  <c:v>77.420313256458044</c:v>
                </c:pt>
                <c:pt idx="1388">
                  <c:v>77.775692646049293</c:v>
                </c:pt>
                <c:pt idx="1389">
                  <c:v>78.01602948423951</c:v>
                </c:pt>
                <c:pt idx="1390">
                  <c:v>78.181993951428652</c:v>
                </c:pt>
                <c:pt idx="1391">
                  <c:v>78.305470258851102</c:v>
                </c:pt>
                <c:pt idx="1392">
                  <c:v>78.406711807633187</c:v>
                </c:pt>
                <c:pt idx="1393">
                  <c:v>78.497780482321673</c:v>
                </c:pt>
                <c:pt idx="1394">
                  <c:v>78.585498008854842</c:v>
                </c:pt>
                <c:pt idx="1395">
                  <c:v>78.673356869043644</c:v>
                </c:pt>
                <c:pt idx="1396">
                  <c:v>78.762705948584497</c:v>
                </c:pt>
                <c:pt idx="1397">
                  <c:v>78.85349875829435</c:v>
                </c:pt>
                <c:pt idx="1398">
                  <c:v>78.944783831557857</c:v>
                </c:pt>
                <c:pt idx="1399">
                  <c:v>79.035040897727455</c:v>
                </c:pt>
                <c:pt idx="1400">
                  <c:v>79.122421845159096</c:v>
                </c:pt>
                <c:pt idx="1401">
                  <c:v>79.204930383121877</c:v>
                </c:pt>
                <c:pt idx="1402">
                  <c:v>79.280560202265477</c:v>
                </c:pt>
                <c:pt idx="1403">
                  <c:v>79.347403408731324</c:v>
                </c:pt>
                <c:pt idx="1404">
                  <c:v>79.403736365902631</c:v>
                </c:pt>
                <c:pt idx="1405">
                  <c:v>79.448087342391815</c:v>
                </c:pt>
                <c:pt idx="1406">
                  <c:v>79.479288718189366</c:v>
                </c:pt>
                <c:pt idx="1407">
                  <c:v>79.496515483532576</c:v>
                </c:pt>
                <c:pt idx="1408">
                  <c:v>79.499311113498067</c:v>
                </c:pt>
                <c:pt idx="1409">
                  <c:v>79.487601460745921</c:v>
                </c:pt>
                <c:pt idx="1410">
                  <c:v>79.461696984903057</c:v>
                </c:pt>
                <c:pt idx="1411">
                  <c:v>79.422283368040638</c:v>
                </c:pt>
                <c:pt idx="1412">
                  <c:v>79.370400304998611</c:v>
                </c:pt>
                <c:pt idx="1413">
                  <c:v>79.307407960649982</c:v>
                </c:pt>
                <c:pt idx="1414">
                  <c:v>79.234940199391744</c:v>
                </c:pt>
                <c:pt idx="1415">
                  <c:v>79.154843135972698</c:v>
                </c:pt>
                <c:pt idx="1416">
                  <c:v>79.069096703946769</c:v>
                </c:pt>
                <c:pt idx="1417">
                  <c:v>78.979715574511872</c:v>
                </c:pt>
                <c:pt idx="1418">
                  <c:v>78.888623514199054</c:v>
                </c:pt>
                <c:pt idx="1419">
                  <c:v>78.797491491543269</c:v>
                </c:pt>
                <c:pt idx="1420">
                  <c:v>78.707523355962394</c:v>
                </c:pt>
                <c:pt idx="1421">
                  <c:v>78.619161575682355</c:v>
                </c:pt>
                <c:pt idx="1422">
                  <c:v>78.53166542395995</c:v>
                </c:pt>
                <c:pt idx="1423">
                  <c:v>78.442478190177326</c:v>
                </c:pt>
                <c:pt idx="1424">
                  <c:v>78.346237485613358</c:v>
                </c:pt>
                <c:pt idx="1425">
                  <c:v>78.233184219993589</c:v>
                </c:pt>
                <c:pt idx="1426">
                  <c:v>78.086634289087783</c:v>
                </c:pt>
                <c:pt idx="1427">
                  <c:v>77.879492004752279</c:v>
                </c:pt>
                <c:pt idx="1428">
                  <c:v>77.57288099770237</c:v>
                </c:pt>
                <c:pt idx="1429">
                  <c:v>77.136883840184694</c:v>
                </c:pt>
                <c:pt idx="1430">
                  <c:v>76.662822559324681</c:v>
                </c:pt>
                <c:pt idx="1431">
                  <c:v>76.515862313825068</c:v>
                </c:pt>
                <c:pt idx="1432">
                  <c:v>76.869115953623961</c:v>
                </c:pt>
                <c:pt idx="1433">
                  <c:v>77.353640954914127</c:v>
                </c:pt>
                <c:pt idx="1434">
                  <c:v>77.729488288163154</c:v>
                </c:pt>
                <c:pt idx="1435">
                  <c:v>77.984868687089957</c:v>
                </c:pt>
                <c:pt idx="1436">
                  <c:v>78.159875336452657</c:v>
                </c:pt>
                <c:pt idx="1437">
                  <c:v>78.288315827595184</c:v>
                </c:pt>
                <c:pt idx="1438">
                  <c:v>78.39202776980494</c:v>
                </c:pt>
                <c:pt idx="1439">
                  <c:v>78.484112920808784</c:v>
                </c:pt>
                <c:pt idx="1440">
                  <c:v>78.572051846144035</c:v>
                </c:pt>
                <c:pt idx="1441">
                  <c:v>78.659757798398601</c:v>
                </c:pt>
                <c:pt idx="1442">
                  <c:v>78.74885235040523</c:v>
                </c:pt>
                <c:pt idx="1443">
                  <c:v>78.839466799796369</c:v>
                </c:pt>
                <c:pt idx="1444">
                  <c:v>78.930764011609952</c:v>
                </c:pt>
                <c:pt idx="1445">
                  <c:v>79.021293639947572</c:v>
                </c:pt>
                <c:pt idx="1446">
                  <c:v>79.109245062481151</c:v>
                </c:pt>
                <c:pt idx="1447">
                  <c:v>79.192634919547302</c:v>
                </c:pt>
                <c:pt idx="1448">
                  <c:v>79.269450740995552</c:v>
                </c:pt>
                <c:pt idx="1449">
                  <c:v>79.337763400440352</c:v>
                </c:pt>
                <c:pt idx="1450">
                  <c:v>79.39581609355335</c:v>
                </c:pt>
                <c:pt idx="1451">
                  <c:v>79.442094573721334</c:v>
                </c:pt>
                <c:pt idx="1452">
                  <c:v>79.47538160070809</c:v>
                </c:pt>
                <c:pt idx="1453">
                  <c:v>79.494797464560818</c:v>
                </c:pt>
                <c:pt idx="1454">
                  <c:v>79.49982775127215</c:v>
                </c:pt>
                <c:pt idx="1455">
                  <c:v>79.490339050936811</c:v>
                </c:pt>
                <c:pt idx="1456">
                  <c:v>79.466582971854464</c:v>
                </c:pt>
                <c:pt idx="1457">
                  <c:v>79.429188549799846</c:v>
                </c:pt>
                <c:pt idx="1458">
                  <c:v>79.379142882502848</c:v>
                </c:pt>
                <c:pt idx="1459">
                  <c:v>79.31775953137921</c:v>
                </c:pt>
                <c:pt idx="1460">
                  <c:v>79.246633863935969</c:v>
                </c:pt>
                <c:pt idx="1461">
                  <c:v>79.167583986888857</c:v>
                </c:pt>
                <c:pt idx="1462">
                  <c:v>79.082575124008514</c:v>
                </c:pt>
                <c:pt idx="1463">
                  <c:v>78.99362402684082</c:v>
                </c:pt>
                <c:pt idx="1464">
                  <c:v>78.902677931058093</c:v>
                </c:pt>
                <c:pt idx="1465">
                  <c:v>78.811459088456871</c:v>
                </c:pt>
                <c:pt idx="1466">
                  <c:v>78.721259942490903</c:v>
                </c:pt>
                <c:pt idx="1467">
                  <c:v>78.632663622786794</c:v>
                </c:pt>
                <c:pt idx="1468">
                  <c:v>78.545146043594727</c:v>
                </c:pt>
                <c:pt idx="1469">
                  <c:v>78.456483111554533</c:v>
                </c:pt>
                <c:pt idx="1470">
                  <c:v>78.361828978156012</c:v>
                </c:pt>
                <c:pt idx="1471">
                  <c:v>78.252238118423961</c:v>
                </c:pt>
                <c:pt idx="1472">
                  <c:v>78.112301731825241</c:v>
                </c:pt>
                <c:pt idx="1473">
                  <c:v>77.916754307692301</c:v>
                </c:pt>
                <c:pt idx="1474">
                  <c:v>77.628209221774938</c:v>
                </c:pt>
                <c:pt idx="1475">
                  <c:v>77.211546054616321</c:v>
                </c:pt>
                <c:pt idx="1476">
                  <c:v>76.72618336488199</c:v>
                </c:pt>
                <c:pt idx="1477">
                  <c:v>76.501775410126186</c:v>
                </c:pt>
                <c:pt idx="1478">
                  <c:v>76.795569951711911</c:v>
                </c:pt>
                <c:pt idx="1479">
                  <c:v>77.283951197265552</c:v>
                </c:pt>
                <c:pt idx="1480">
                  <c:v>77.680373288889228</c:v>
                </c:pt>
                <c:pt idx="1481">
                  <c:v>77.951827428767089</c:v>
                </c:pt>
                <c:pt idx="1482">
                  <c:v>78.13667877279137</c:v>
                </c:pt>
                <c:pt idx="1483">
                  <c:v>78.270592693989485</c:v>
                </c:pt>
                <c:pt idx="1484">
                  <c:v>78.377079071849906</c:v>
                </c:pt>
                <c:pt idx="1485">
                  <c:v>78.470353898302776</c:v>
                </c:pt>
                <c:pt idx="1486">
                  <c:v>78.558604466336746</c:v>
                </c:pt>
                <c:pt idx="1487">
                  <c:v>78.646194395770891</c:v>
                </c:pt>
                <c:pt idx="1488">
                  <c:v>78.735036550402484</c:v>
                </c:pt>
                <c:pt idx="1489">
                  <c:v>78.825452157167589</c:v>
                </c:pt>
                <c:pt idx="1490">
                  <c:v>78.916726701693193</c:v>
                </c:pt>
                <c:pt idx="1491">
                  <c:v>79.007485681315273</c:v>
                </c:pt>
                <c:pt idx="1492">
                  <c:v>79.095960362053617</c:v>
                </c:pt>
                <c:pt idx="1493">
                  <c:v>79.180183691124341</c:v>
                </c:pt>
                <c:pt idx="1494">
                  <c:v>79.258139684897642</c:v>
                </c:pt>
                <c:pt idx="1495">
                  <c:v>79.327880081628749</c:v>
                </c:pt>
                <c:pt idx="1496">
                  <c:v>79.387616566134795</c:v>
                </c:pt>
                <c:pt idx="1497">
                  <c:v>79.435793661813577</c:v>
                </c:pt>
                <c:pt idx="1498">
                  <c:v>79.471145465157676</c:v>
                </c:pt>
                <c:pt idx="1499">
                  <c:v>79.492738221881524</c:v>
                </c:pt>
                <c:pt idx="1500">
                  <c:v>79.5</c:v>
                </c:pt>
                <c:pt idx="1501">
                  <c:v>79.492738221882746</c:v>
                </c:pt>
                <c:pt idx="1502">
                  <c:v>79.471145465160106</c:v>
                </c:pt>
                <c:pt idx="1503">
                  <c:v>79.435793661817172</c:v>
                </c:pt>
                <c:pt idx="1504">
                  <c:v>79.387616566139414</c:v>
                </c:pt>
                <c:pt idx="1505">
                  <c:v>79.327880081634277</c:v>
                </c:pt>
                <c:pt idx="1506">
                  <c:v>79.258139684903938</c:v>
                </c:pt>
                <c:pt idx="1507">
                  <c:v>79.180183691131234</c:v>
                </c:pt>
                <c:pt idx="1508">
                  <c:v>79.095960362060936</c:v>
                </c:pt>
                <c:pt idx="1509">
                  <c:v>79.007485681322905</c:v>
                </c:pt>
                <c:pt idx="1510">
                  <c:v>78.916726701700938</c:v>
                </c:pt>
                <c:pt idx="1511">
                  <c:v>78.825452157175278</c:v>
                </c:pt>
                <c:pt idx="1512">
                  <c:v>78.735036550410101</c:v>
                </c:pt>
                <c:pt idx="1513">
                  <c:v>78.646194395778338</c:v>
                </c:pt>
                <c:pt idx="1514">
                  <c:v>78.558604466344136</c:v>
                </c:pt>
                <c:pt idx="1515">
                  <c:v>78.470353898310378</c:v>
                </c:pt>
                <c:pt idx="1516">
                  <c:v>78.377079071858219</c:v>
                </c:pt>
                <c:pt idx="1517">
                  <c:v>78.270592693999433</c:v>
                </c:pt>
                <c:pt idx="1518">
                  <c:v>78.136678772804444</c:v>
                </c:pt>
                <c:pt idx="1519">
                  <c:v>77.951827428785819</c:v>
                </c:pt>
                <c:pt idx="1520">
                  <c:v>77.680373288917082</c:v>
                </c:pt>
                <c:pt idx="1521">
                  <c:v>77.28395119730466</c:v>
                </c:pt>
                <c:pt idx="1522">
                  <c:v>76.795569951751389</c:v>
                </c:pt>
                <c:pt idx="1523">
                  <c:v>76.501775410130094</c:v>
                </c:pt>
                <c:pt idx="1524">
                  <c:v>76.726183364845198</c:v>
                </c:pt>
                <c:pt idx="1525">
                  <c:v>77.211546054575834</c:v>
                </c:pt>
                <c:pt idx="1526">
                  <c:v>77.628209221745379</c:v>
                </c:pt>
                <c:pt idx="1527">
                  <c:v>77.916754307672377</c:v>
                </c:pt>
                <c:pt idx="1528">
                  <c:v>78.112301731811456</c:v>
                </c:pt>
                <c:pt idx="1529">
                  <c:v>78.252238118413672</c:v>
                </c:pt>
                <c:pt idx="1530">
                  <c:v>78.361828978147528</c:v>
                </c:pt>
                <c:pt idx="1531">
                  <c:v>78.456483111546859</c:v>
                </c:pt>
                <c:pt idx="1532">
                  <c:v>78.545146043587309</c:v>
                </c:pt>
                <c:pt idx="1533">
                  <c:v>78.632663622779333</c:v>
                </c:pt>
                <c:pt idx="1534">
                  <c:v>78.721259942483314</c:v>
                </c:pt>
                <c:pt idx="1535">
                  <c:v>78.811459088449169</c:v>
                </c:pt>
                <c:pt idx="1536">
                  <c:v>78.902677931050349</c:v>
                </c:pt>
                <c:pt idx="1537">
                  <c:v>78.99362402683316</c:v>
                </c:pt>
                <c:pt idx="1538">
                  <c:v>79.08257512400111</c:v>
                </c:pt>
                <c:pt idx="1539">
                  <c:v>79.167583986881866</c:v>
                </c:pt>
                <c:pt idx="1540">
                  <c:v>79.246633863929574</c:v>
                </c:pt>
                <c:pt idx="1541">
                  <c:v>79.317759531373568</c:v>
                </c:pt>
                <c:pt idx="1542">
                  <c:v>79.379142882498087</c:v>
                </c:pt>
                <c:pt idx="1543">
                  <c:v>79.429188549796137</c:v>
                </c:pt>
                <c:pt idx="1544">
                  <c:v>79.466582971851864</c:v>
                </c:pt>
                <c:pt idx="1545">
                  <c:v>79.490339050935404</c:v>
                </c:pt>
                <c:pt idx="1546">
                  <c:v>79.499827751271951</c:v>
                </c:pt>
                <c:pt idx="1547">
                  <c:v>79.494797464561856</c:v>
                </c:pt>
                <c:pt idx="1548">
                  <c:v>79.47538160071035</c:v>
                </c:pt>
                <c:pt idx="1549">
                  <c:v>79.442094573724731</c:v>
                </c:pt>
                <c:pt idx="1550">
                  <c:v>79.395816093557784</c:v>
                </c:pt>
                <c:pt idx="1551">
                  <c:v>79.337763400445752</c:v>
                </c:pt>
                <c:pt idx="1552">
                  <c:v>79.269450741001734</c:v>
                </c:pt>
                <c:pt idx="1553">
                  <c:v>79.192634919554152</c:v>
                </c:pt>
                <c:pt idx="1554">
                  <c:v>79.109245062488426</c:v>
                </c:pt>
                <c:pt idx="1555">
                  <c:v>79.021293639955132</c:v>
                </c:pt>
                <c:pt idx="1556">
                  <c:v>78.930764011617683</c:v>
                </c:pt>
                <c:pt idx="1557">
                  <c:v>78.839466799804057</c:v>
                </c:pt>
                <c:pt idx="1558">
                  <c:v>78.748852350412861</c:v>
                </c:pt>
                <c:pt idx="1559">
                  <c:v>78.659757798406048</c:v>
                </c:pt>
                <c:pt idx="1560">
                  <c:v>78.572051846151453</c:v>
                </c:pt>
                <c:pt idx="1561">
                  <c:v>78.48411292081633</c:v>
                </c:pt>
                <c:pt idx="1562">
                  <c:v>78.392027769813083</c:v>
                </c:pt>
                <c:pt idx="1563">
                  <c:v>78.288315827604762</c:v>
                </c:pt>
                <c:pt idx="1564">
                  <c:v>78.15987533646512</c:v>
                </c:pt>
                <c:pt idx="1565">
                  <c:v>77.984868687107607</c:v>
                </c:pt>
                <c:pt idx="1566">
                  <c:v>77.729488288189373</c:v>
                </c:pt>
                <c:pt idx="1567">
                  <c:v>77.353640954951643</c:v>
                </c:pt>
                <c:pt idx="1568">
                  <c:v>76.869115953665244</c:v>
                </c:pt>
                <c:pt idx="1569">
                  <c:v>76.515862313836607</c:v>
                </c:pt>
                <c:pt idx="1570">
                  <c:v>76.662822559291754</c:v>
                </c:pt>
                <c:pt idx="1571">
                  <c:v>77.136883840143142</c:v>
                </c:pt>
                <c:pt idx="1572">
                  <c:v>77.572880997671049</c:v>
                </c:pt>
                <c:pt idx="1573">
                  <c:v>77.879492004731119</c:v>
                </c:pt>
                <c:pt idx="1574">
                  <c:v>78.086634289073288</c:v>
                </c:pt>
                <c:pt idx="1575">
                  <c:v>78.233184219982931</c:v>
                </c:pt>
                <c:pt idx="1576">
                  <c:v>78.346237485604647</c:v>
                </c:pt>
                <c:pt idx="1577">
                  <c:v>78.442478190169609</c:v>
                </c:pt>
                <c:pt idx="1578">
                  <c:v>78.531665423952518</c:v>
                </c:pt>
                <c:pt idx="1579">
                  <c:v>78.619161575674937</c:v>
                </c:pt>
                <c:pt idx="1580">
                  <c:v>78.70752335595482</c:v>
                </c:pt>
                <c:pt idx="1581">
                  <c:v>78.797491491535638</c:v>
                </c:pt>
                <c:pt idx="1582">
                  <c:v>78.888623514191295</c:v>
                </c:pt>
                <c:pt idx="1583">
                  <c:v>78.979715574504226</c:v>
                </c:pt>
                <c:pt idx="1584">
                  <c:v>79.069096703939323</c:v>
                </c:pt>
                <c:pt idx="1585">
                  <c:v>79.154843135965663</c:v>
                </c:pt>
                <c:pt idx="1586">
                  <c:v>79.234940199385264</c:v>
                </c:pt>
                <c:pt idx="1587">
                  <c:v>79.307407960644227</c:v>
                </c:pt>
                <c:pt idx="1588">
                  <c:v>79.370400304993723</c:v>
                </c:pt>
                <c:pt idx="1589">
                  <c:v>79.422283368036744</c:v>
                </c:pt>
                <c:pt idx="1590">
                  <c:v>79.461696984900271</c:v>
                </c:pt>
                <c:pt idx="1591">
                  <c:v>79.487601460744315</c:v>
                </c:pt>
                <c:pt idx="1592">
                  <c:v>79.499311113497683</c:v>
                </c:pt>
                <c:pt idx="1593">
                  <c:v>79.496515483533415</c:v>
                </c:pt>
                <c:pt idx="1594">
                  <c:v>79.479288718191427</c:v>
                </c:pt>
                <c:pt idx="1595">
                  <c:v>79.448087342395041</c:v>
                </c:pt>
                <c:pt idx="1596">
                  <c:v>79.403736365906937</c:v>
                </c:pt>
                <c:pt idx="1597">
                  <c:v>79.347403408736568</c:v>
                </c:pt>
                <c:pt idx="1598">
                  <c:v>79.280560202271559</c:v>
                </c:pt>
                <c:pt idx="1599">
                  <c:v>79.204930383128641</c:v>
                </c:pt>
                <c:pt idx="1600">
                  <c:v>79.122421845166315</c:v>
                </c:pt>
                <c:pt idx="1601">
                  <c:v>79.03504089773503</c:v>
                </c:pt>
                <c:pt idx="1602">
                  <c:v>78.944783831565545</c:v>
                </c:pt>
                <c:pt idx="1603">
                  <c:v>78.853498758302067</c:v>
                </c:pt>
                <c:pt idx="1604">
                  <c:v>78.7627059485921</c:v>
                </c:pt>
                <c:pt idx="1605">
                  <c:v>78.673356869051148</c:v>
                </c:pt>
                <c:pt idx="1606">
                  <c:v>78.585498008862245</c:v>
                </c:pt>
                <c:pt idx="1607">
                  <c:v>78.497780482329205</c:v>
                </c:pt>
                <c:pt idx="1608">
                  <c:v>78.406711807641173</c:v>
                </c:pt>
                <c:pt idx="1609">
                  <c:v>78.30547025886041</c:v>
                </c:pt>
                <c:pt idx="1610">
                  <c:v>78.181993951440518</c:v>
                </c:pt>
                <c:pt idx="1611">
                  <c:v>78.016029484256194</c:v>
                </c:pt>
                <c:pt idx="1612">
                  <c:v>77.775692646073935</c:v>
                </c:pt>
                <c:pt idx="1613">
                  <c:v>77.420313256493841</c:v>
                </c:pt>
                <c:pt idx="1614">
                  <c:v>76.945125844506848</c:v>
                </c:pt>
                <c:pt idx="1615">
                  <c:v>76.543430119775408</c:v>
                </c:pt>
                <c:pt idx="1616">
                  <c:v>76.607435725987088</c:v>
                </c:pt>
                <c:pt idx="1617">
                  <c:v>77.060609878178965</c:v>
                </c:pt>
                <c:pt idx="1618">
                  <c:v>77.514308108341609</c:v>
                </c:pt>
                <c:pt idx="1619">
                  <c:v>77.839878798150224</c:v>
                </c:pt>
                <c:pt idx="1620">
                  <c:v>78.059558881504131</c:v>
                </c:pt>
                <c:pt idx="1621">
                  <c:v>78.213357627447166</c:v>
                </c:pt>
                <c:pt idx="1622">
                  <c:v>78.330261083170228</c:v>
                </c:pt>
                <c:pt idx="1623">
                  <c:v>78.42831454769042</c:v>
                </c:pt>
                <c:pt idx="1624">
                  <c:v>78.518150033415537</c:v>
                </c:pt>
                <c:pt idx="1625">
                  <c:v>78.605683426869874</c:v>
                </c:pt>
                <c:pt idx="1626">
                  <c:v>78.693827016756032</c:v>
                </c:pt>
                <c:pt idx="1627">
                  <c:v>78.783552877266146</c:v>
                </c:pt>
                <c:pt idx="1628">
                  <c:v>78.874569031380432</c:v>
                </c:pt>
                <c:pt idx="1629">
                  <c:v>78.965767100639141</c:v>
                </c:pt>
                <c:pt idx="1630">
                  <c:v>79.055532421590073</c:v>
                </c:pt>
                <c:pt idx="1631">
                  <c:v>79.141968498655714</c:v>
                </c:pt>
                <c:pt idx="1632">
                  <c:v>79.223065696763385</c:v>
                </c:pt>
                <c:pt idx="1633">
                  <c:v>79.296831706679711</c:v>
                </c:pt>
                <c:pt idx="1634">
                  <c:v>79.361394255142869</c:v>
                </c:pt>
                <c:pt idx="1635">
                  <c:v>79.415082430972049</c:v>
                </c:pt>
                <c:pt idx="1636">
                  <c:v>79.456490570109949</c:v>
                </c:pt>
                <c:pt idx="1637">
                  <c:v>79.484527172835612</c:v>
                </c:pt>
                <c:pt idx="1638">
                  <c:v>79.498450411829651</c:v>
                </c:pt>
                <c:pt idx="1639">
                  <c:v>79.497891197858678</c:v>
                </c:pt>
                <c:pt idx="1640">
                  <c:v>79.482864363023978</c:v>
                </c:pt>
                <c:pt idx="1641">
                  <c:v>79.4537682149425</c:v>
                </c:pt>
                <c:pt idx="1642">
                  <c:v>79.411372451978906</c:v>
                </c:pt>
                <c:pt idx="1643">
                  <c:v>79.356794164734296</c:v>
                </c:pt>
                <c:pt idx="1644">
                  <c:v>79.291461336973143</c:v>
                </c:pt>
                <c:pt idx="1645">
                  <c:v>79.217062841611138</c:v>
                </c:pt>
                <c:pt idx="1646">
                  <c:v>79.135483316428491</c:v>
                </c:pt>
                <c:pt idx="1647">
                  <c:v>79.048720356764633</c:v>
                </c:pt>
                <c:pt idx="1648">
                  <c:v>78.958779936206057</c:v>
                </c:pt>
                <c:pt idx="1649">
                  <c:v>78.867543440021635</c:v>
                </c:pt>
                <c:pt idx="1650">
                  <c:v>78.77659542298197</c:v>
                </c:pt>
                <c:pt idx="1651">
                  <c:v>78.686993835456121</c:v>
                </c:pt>
                <c:pt idx="1652">
                  <c:v>78.598951537805391</c:v>
                </c:pt>
                <c:pt idx="1653">
                  <c:v>78.511374957193894</c:v>
                </c:pt>
                <c:pt idx="1654">
                  <c:v>78.421164877527005</c:v>
                </c:pt>
                <c:pt idx="1655">
                  <c:v>78.322113921306808</c:v>
                </c:pt>
                <c:pt idx="1656">
                  <c:v>78.203130052763115</c:v>
                </c:pt>
                <c:pt idx="1657">
                  <c:v>78.045454323743158</c:v>
                </c:pt>
                <c:pt idx="1658">
                  <c:v>77.819139392029754</c:v>
                </c:pt>
                <c:pt idx="1659">
                  <c:v>77.483792641050471</c:v>
                </c:pt>
                <c:pt idx="1660">
                  <c:v>77.022128522824048</c:v>
                </c:pt>
                <c:pt idx="1661">
                  <c:v>76.583333981004841</c:v>
                </c:pt>
                <c:pt idx="1662">
                  <c:v>76.56192962178531</c:v>
                </c:pt>
                <c:pt idx="1663">
                  <c:v>76.983585463560317</c:v>
                </c:pt>
                <c:pt idx="1664">
                  <c:v>77.452458840645775</c:v>
                </c:pt>
                <c:pt idx="1665">
                  <c:v>77.797750780401302</c:v>
                </c:pt>
                <c:pt idx="1666">
                  <c:v>78.030950154763516</c:v>
                </c:pt>
                <c:pt idx="1667">
                  <c:v>78.192679119607689</c:v>
                </c:pt>
                <c:pt idx="1668">
                  <c:v>78.313852494222814</c:v>
                </c:pt>
                <c:pt idx="1669">
                  <c:v>78.413965220888684</c:v>
                </c:pt>
                <c:pt idx="1670">
                  <c:v>78.504585778964383</c:v>
                </c:pt>
                <c:pt idx="1671">
                  <c:v>78.592223362406415</c:v>
                </c:pt>
                <c:pt idx="1672">
                  <c:v>78.680170506281726</c:v>
                </c:pt>
                <c:pt idx="1673">
                  <c:v>78.769646341045515</c:v>
                </c:pt>
                <c:pt idx="1674">
                  <c:v>78.860519808189068</c:v>
                </c:pt>
                <c:pt idx="1675">
                  <c:v>78.951785244541071</c:v>
                </c:pt>
                <c:pt idx="1676">
                  <c:v>79.041889548957784</c:v>
                </c:pt>
                <c:pt idx="1677">
                  <c:v>79.128967457057144</c:v>
                </c:pt>
                <c:pt idx="1678">
                  <c:v>79.211017438377155</c:v>
                </c:pt>
                <c:pt idx="1679">
                  <c:v>79.286037227150146</c:v>
                </c:pt>
                <c:pt idx="1680">
                  <c:v>79.352130309119445</c:v>
                </c:pt>
                <c:pt idx="1681">
                  <c:v>79.407590233764878</c:v>
                </c:pt>
                <c:pt idx="1682">
                  <c:v>79.450966992725768</c:v>
                </c:pt>
                <c:pt idx="1683">
                  <c:v>79.481118120011359</c:v>
                </c:pt>
                <c:pt idx="1684">
                  <c:v>79.497246187933598</c:v>
                </c:pt>
                <c:pt idx="1685">
                  <c:v>79.498923741867628</c:v>
                </c:pt>
                <c:pt idx="1686">
                  <c:v>79.486106288142835</c:v>
                </c:pt>
                <c:pt idx="1687">
                  <c:v>79.459133631557336</c:v>
                </c:pt>
                <c:pt idx="1688">
                  <c:v>79.418719592170063</c:v>
                </c:pt>
                <c:pt idx="1689">
                  <c:v>79.365929869177137</c:v>
                </c:pt>
                <c:pt idx="1690">
                  <c:v>79.302147518221673</c:v>
                </c:pt>
                <c:pt idx="1691">
                  <c:v>79.229025111909237</c:v>
                </c:pt>
                <c:pt idx="1692">
                  <c:v>79.148422079636987</c:v>
                </c:pt>
                <c:pt idx="1693">
                  <c:v>79.062324839799331</c:v>
                </c:pt>
                <c:pt idx="1694">
                  <c:v>78.972745921921444</c:v>
                </c:pt>
                <c:pt idx="1695">
                  <c:v>78.881595941975291</c:v>
                </c:pt>
                <c:pt idx="1696">
                  <c:v>78.790518358036934</c:v>
                </c:pt>
                <c:pt idx="1697">
                  <c:v>78.70067016600477</c:v>
                </c:pt>
                <c:pt idx="1698">
                  <c:v>78.612419853486173</c:v>
                </c:pt>
                <c:pt idx="1699">
                  <c:v>78.524912919058295</c:v>
                </c:pt>
                <c:pt idx="1700">
                  <c:v>78.435417836607797</c:v>
                </c:pt>
                <c:pt idx="1701">
                  <c:v>78.338300261529284</c:v>
                </c:pt>
                <c:pt idx="1702">
                  <c:v>78.22337232044238</c:v>
                </c:pt>
                <c:pt idx="1703">
                  <c:v>78.073280231940444</c:v>
                </c:pt>
                <c:pt idx="1704">
                  <c:v>77.859989489055778</c:v>
                </c:pt>
                <c:pt idx="1705">
                  <c:v>77.544003450787329</c:v>
                </c:pt>
                <c:pt idx="1706">
                  <c:v>77.098899868083734</c:v>
                </c:pt>
                <c:pt idx="1707">
                  <c:v>76.634010602199908</c:v>
                </c:pt>
                <c:pt idx="1708">
                  <c:v>76.528021229017327</c:v>
                </c:pt>
                <c:pt idx="1709">
                  <c:v>76.906910516527873</c:v>
                </c:pt>
                <c:pt idx="1710">
                  <c:v>77.387367890796696</c:v>
                </c:pt>
                <c:pt idx="1711">
                  <c:v>77.752944987980413</c:v>
                </c:pt>
                <c:pt idx="1712">
                  <c:v>78.000674941698648</c:v>
                </c:pt>
                <c:pt idx="1713">
                  <c:v>78.171063260415266</c:v>
                </c:pt>
                <c:pt idx="1714">
                  <c:v>78.29696040134813</c:v>
                </c:pt>
                <c:pt idx="1715">
                  <c:v>78.39940069665758</c:v>
                </c:pt>
                <c:pt idx="1716">
                  <c:v>78.490956942131845</c:v>
                </c:pt>
                <c:pt idx="1717">
                  <c:v>78.578774515016946</c:v>
                </c:pt>
                <c:pt idx="1718">
                  <c:v>78.666552717601277</c:v>
                </c:pt>
                <c:pt idx="1719">
                  <c:v>78.755774532881489</c:v>
                </c:pt>
                <c:pt idx="1720">
                  <c:v>78.846480894048668</c:v>
                </c:pt>
                <c:pt idx="1721">
                  <c:v>78.937776492528769</c:v>
                </c:pt>
                <c:pt idx="1722">
                  <c:v>79.02817529804534</c:v>
                </c:pt>
                <c:pt idx="1723">
                  <c:v>79.115847405449827</c:v>
                </c:pt>
                <c:pt idx="1724">
                  <c:v>79.198802575697414</c:v>
                </c:pt>
                <c:pt idx="1725">
                  <c:v>79.275031094097471</c:v>
                </c:pt>
                <c:pt idx="1726">
                  <c:v>79.342614193040703</c:v>
                </c:pt>
                <c:pt idx="1727">
                  <c:v>79.399811448787688</c:v>
                </c:pt>
                <c:pt idx="1728">
                  <c:v>79.445129715008733</c:v>
                </c:pt>
                <c:pt idx="1729">
                  <c:v>79.477376444961692</c:v>
                </c:pt>
                <c:pt idx="1730">
                  <c:v>79.495699199605738</c:v>
                </c:pt>
                <c:pt idx="1731">
                  <c:v>79.499612465771875</c:v>
                </c:pt>
                <c:pt idx="1732">
                  <c:v>79.489012455618777</c:v>
                </c:pt>
                <c:pt idx="1733">
                  <c:v>79.464180228173703</c:v>
                </c:pt>
                <c:pt idx="1734">
                  <c:v>79.425773202262249</c:v>
                </c:pt>
                <c:pt idx="1735">
                  <c:v>79.374804870318641</c:v>
                </c:pt>
                <c:pt idx="1736">
                  <c:v>79.312612230389689</c:v>
                </c:pt>
                <c:pt idx="1737">
                  <c:v>79.240810076156762</c:v>
                </c:pt>
                <c:pt idx="1738">
                  <c:v>79.161230745371171</c:v>
                </c:pt>
                <c:pt idx="1739">
                  <c:v>79.075847103270078</c:v>
                </c:pt>
                <c:pt idx="1740">
                  <c:v>78.986675223860857</c:v>
                </c:pt>
                <c:pt idx="1741">
                  <c:v>78.89565107391563</c:v>
                </c:pt>
                <c:pt idx="1742">
                  <c:v>78.804471877201877</c:v>
                </c:pt>
                <c:pt idx="1743">
                  <c:v>78.714386617821418</c:v>
                </c:pt>
                <c:pt idx="1744">
                  <c:v>78.625909287859756</c:v>
                </c:pt>
                <c:pt idx="1745">
                  <c:v>78.538409259858682</c:v>
                </c:pt>
                <c:pt idx="1746">
                  <c:v>78.449498900586647</c:v>
                </c:pt>
                <c:pt idx="1747">
                  <c:v>78.354078541030574</c:v>
                </c:pt>
                <c:pt idx="1748">
                  <c:v>78.242803037417261</c:v>
                </c:pt>
                <c:pt idx="1749">
                  <c:v>78.099636477023964</c:v>
                </c:pt>
                <c:pt idx="1750">
                  <c:v>77.89840683046711</c:v>
                </c:pt>
                <c:pt idx="1751">
                  <c:v>77.600946622566099</c:v>
                </c:pt>
                <c:pt idx="1752">
                  <c:v>77.174461489086582</c:v>
                </c:pt>
                <c:pt idx="1753">
                  <c:v>76.693628605138088</c:v>
                </c:pt>
                <c:pt idx="1754">
                  <c:v>76.507082150627767</c:v>
                </c:pt>
                <c:pt idx="1755">
                  <c:v>76.83193379487075</c:v>
                </c:pt>
                <c:pt idx="1756">
                  <c:v>77.319157682500489</c:v>
                </c:pt>
                <c:pt idx="1757">
                  <c:v>77.705303703835469</c:v>
                </c:pt>
                <c:pt idx="1758">
                  <c:v>77.968592425738905</c:v>
                </c:pt>
                <c:pt idx="1759">
                  <c:v>78.148418036220434</c:v>
                </c:pt>
                <c:pt idx="1760">
                  <c:v>78.2795291533143</c:v>
                </c:pt>
                <c:pt idx="1761">
                  <c:v>78.384588725440366</c:v>
                </c:pt>
                <c:pt idx="1762">
                  <c:v>78.477246064354219</c:v>
                </c:pt>
                <c:pt idx="1763">
                  <c:v>78.565328892396849</c:v>
                </c:pt>
                <c:pt idx="1764">
                  <c:v>78.652971808856719</c:v>
                </c:pt>
                <c:pt idx="1765">
                  <c:v>78.741939625716896</c:v>
                </c:pt>
                <c:pt idx="1766">
                  <c:v>78.83245703973401</c:v>
                </c:pt>
                <c:pt idx="1767">
                  <c:v>78.923747161258177</c:v>
                </c:pt>
                <c:pt idx="1768">
                  <c:v>79.014396808084072</c:v>
                </c:pt>
                <c:pt idx="1769">
                  <c:v>79.102615740282857</c:v>
                </c:pt>
                <c:pt idx="1770">
                  <c:v>79.186428321419527</c:v>
                </c:pt>
                <c:pt idx="1771">
                  <c:v>79.263819987649001</c:v>
                </c:pt>
                <c:pt idx="1772">
                  <c:v>79.332851778061894</c:v>
                </c:pt>
                <c:pt idx="1773">
                  <c:v>79.391750921930097</c:v>
                </c:pt>
                <c:pt idx="1774">
                  <c:v>79.438982393650392</c:v>
                </c:pt>
                <c:pt idx="1775">
                  <c:v>79.473304498721404</c:v>
                </c:pt>
                <c:pt idx="1776">
                  <c:v>79.493810420236713</c:v>
                </c:pt>
                <c:pt idx="1777">
                  <c:v>79.499956936124036</c:v>
                </c:pt>
                <c:pt idx="1778">
                  <c:v>79.491581038123485</c:v>
                </c:pt>
                <c:pt idx="1779">
                  <c:v>79.468904838973017</c:v>
                </c:pt>
                <c:pt idx="1780">
                  <c:v>79.432528877027067</c:v>
                </c:pt>
                <c:pt idx="1781">
                  <c:v>79.383413668734647</c:v>
                </c:pt>
                <c:pt idx="1782">
                  <c:v>79.322849075279095</c:v>
                </c:pt>
                <c:pt idx="1783">
                  <c:v>79.252410689507514</c:v>
                </c:pt>
                <c:pt idx="1784">
                  <c:v>79.173901941253803</c:v>
                </c:pt>
                <c:pt idx="1785">
                  <c:v>79.089279849807639</c:v>
                </c:pt>
                <c:pt idx="1786">
                  <c:v>79.000561132262405</c:v>
                </c:pt>
                <c:pt idx="1787">
                  <c:v>78.909703380307946</c:v>
                </c:pt>
                <c:pt idx="1788">
                  <c:v>78.818452673711093</c:v>
                </c:pt>
                <c:pt idx="1789">
                  <c:v>78.728143281934081</c:v>
                </c:pt>
                <c:pt idx="1790">
                  <c:v>78.639425153615591</c:v>
                </c:pt>
                <c:pt idx="1791">
                  <c:v>78.551877300287515</c:v>
                </c:pt>
                <c:pt idx="1792">
                  <c:v>78.463433823474105</c:v>
                </c:pt>
                <c:pt idx="1793">
                  <c:v>78.369494120353096</c:v>
                </c:pt>
                <c:pt idx="1794">
                  <c:v>78.261498454487011</c:v>
                </c:pt>
                <c:pt idx="1795">
                  <c:v>78.124644505719246</c:v>
                </c:pt>
                <c:pt idx="1796">
                  <c:v>77.934554559614853</c:v>
                </c:pt>
                <c:pt idx="1797">
                  <c:v>77.654680247250496</c:v>
                </c:pt>
                <c:pt idx="1798">
                  <c:v>77.248063427131228</c:v>
                </c:pt>
                <c:pt idx="1799">
                  <c:v>76.760243222051983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29-44ED-BA88-1A5949B6F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phi [deg]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반경 </a:t>
                </a:r>
                <a:r>
                  <a:rPr lang="en-US" altLang="ko-KR"/>
                  <a:t>[</a:t>
                </a:r>
                <a:r>
                  <a:rPr lang="en-US"/>
                  <a:t>mm]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핀별 접촉력 분포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'6.성능계산'!$I$37</c:f>
              <c:strCache>
                <c:ptCount val="1"/>
                <c:pt idx="0">
                  <c:v>접촉력 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'6.성능계산'!$G$38:$G$57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'6.성능계산'!$I$38:$I$57</c:f>
              <c:numCache>
                <c:formatCode>0.00</c:formatCode>
                <c:ptCount val="20"/>
                <c:pt idx="0">
                  <c:v>0</c:v>
                </c:pt>
                <c:pt idx="1">
                  <c:v>9.2668054088066416</c:v>
                </c:pt>
                <c:pt idx="2">
                  <c:v>404.90415413120138</c:v>
                </c:pt>
                <c:pt idx="3">
                  <c:v>556.23301738696887</c:v>
                </c:pt>
                <c:pt idx="4">
                  <c:v>581.52466360027609</c:v>
                </c:pt>
                <c:pt idx="5">
                  <c:v>534.17477015879001</c:v>
                </c:pt>
                <c:pt idx="6">
                  <c:v>439.73754954858259</c:v>
                </c:pt>
                <c:pt idx="7">
                  <c:v>311.6917761867997</c:v>
                </c:pt>
                <c:pt idx="8">
                  <c:v>157.9248693238153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D6-4EAE-B3D1-A37F13131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핀 번호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접촉력 [N]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전달오차 (무부하, 한 주기)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'6.성능계산'!$H$60</c:f>
              <c:strCache>
                <c:ptCount val="1"/>
                <c:pt idx="0">
                  <c:v>TE arcmin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'6.성능계산'!$G$61:$G$97</c:f>
              <c:numCache>
                <c:formatCode>0.000</c:formatCode>
                <c:ptCount val="3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0.75000000000000011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6.0000000000000009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7.2500000000000009</c:v>
                </c:pt>
                <c:pt idx="30">
                  <c:v>7.4999999999999991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</c:numCache>
            </c:numRef>
          </c:xVal>
          <c:yVal>
            <c:numRef>
              <c:f>'6.성능계산'!$H$61:$H$97</c:f>
              <c:numCache>
                <c:formatCode>0.00000</c:formatCode>
                <c:ptCount val="37"/>
                <c:pt idx="0">
                  <c:v>0.60072476200551783</c:v>
                </c:pt>
                <c:pt idx="1">
                  <c:v>0.60085457819771948</c:v>
                </c:pt>
                <c:pt idx="2">
                  <c:v>0.60099834507792183</c:v>
                </c:pt>
                <c:pt idx="3">
                  <c:v>0.60115591672425839</c:v>
                </c:pt>
                <c:pt idx="4">
                  <c:v>0.60132715193141562</c:v>
                </c:pt>
                <c:pt idx="5">
                  <c:v>0.6015119141199019</c:v>
                </c:pt>
                <c:pt idx="6">
                  <c:v>0.60171007122999443</c:v>
                </c:pt>
                <c:pt idx="7">
                  <c:v>0.60190997952812964</c:v>
                </c:pt>
                <c:pt idx="8">
                  <c:v>0.60210766017206119</c:v>
                </c:pt>
                <c:pt idx="9">
                  <c:v>0.60231841796561403</c:v>
                </c:pt>
                <c:pt idx="10">
                  <c:v>0.60235028262093326</c:v>
                </c:pt>
                <c:pt idx="11">
                  <c:v>0.60209079755019512</c:v>
                </c:pt>
                <c:pt idx="12">
                  <c:v>0.6018508017933053</c:v>
                </c:pt>
                <c:pt idx="13">
                  <c:v>0.60162998725862804</c:v>
                </c:pt>
                <c:pt idx="14">
                  <c:v>0.60142805488274287</c:v>
                </c:pt>
                <c:pt idx="15">
                  <c:v>0.60124471438253058</c:v>
                </c:pt>
                <c:pt idx="16">
                  <c:v>0.60107968401560985</c:v>
                </c:pt>
                <c:pt idx="17">
                  <c:v>0.60093269033953023</c:v>
                </c:pt>
                <c:pt idx="18">
                  <c:v>0.60080346799467044</c:v>
                </c:pt>
                <c:pt idx="19">
                  <c:v>0.60067564653638572</c:v>
                </c:pt>
                <c:pt idx="20">
                  <c:v>0.60055350617225878</c:v>
                </c:pt>
                <c:pt idx="21">
                  <c:v>0.60044854967598438</c:v>
                </c:pt>
                <c:pt idx="22">
                  <c:v>0.60036053483136675</c:v>
                </c:pt>
                <c:pt idx="23">
                  <c:v>0.60028922649280536</c:v>
                </c:pt>
                <c:pt idx="24">
                  <c:v>0.60023439640350384</c:v>
                </c:pt>
                <c:pt idx="25">
                  <c:v>0.60019582302411167</c:v>
                </c:pt>
                <c:pt idx="26">
                  <c:v>0.60017329136212472</c:v>
                </c:pt>
                <c:pt idx="27">
                  <c:v>0.60016659281068074</c:v>
                </c:pt>
                <c:pt idx="28">
                  <c:v>0.60017552499523164</c:v>
                </c:pt>
                <c:pt idx="29">
                  <c:v>0.60019989161670195</c:v>
                </c:pt>
                <c:pt idx="30">
                  <c:v>0.60023950230828904</c:v>
                </c:pt>
                <c:pt idx="31">
                  <c:v>0.60029417249628392</c:v>
                </c:pt>
                <c:pt idx="32">
                  <c:v>0.60036372325663845</c:v>
                </c:pt>
                <c:pt idx="33">
                  <c:v>0.60044798119609244</c:v>
                </c:pt>
                <c:pt idx="34">
                  <c:v>0.60054677830830105</c:v>
                </c:pt>
                <c:pt idx="35">
                  <c:v>0.60065995186542886</c:v>
                </c:pt>
                <c:pt idx="36">
                  <c:v>0.60077066791991773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72-49F1-86DD-6C7C30AAE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크랭크 입력각 [deg]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전달오차 [arcmin]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초기 틈새 분포 (논문 B Fig.11 대응)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'6.성능계산'!$H$100</c:f>
              <c:strCache>
                <c:ptCount val="1"/>
                <c:pt idx="0">
                  <c:v>틈새 um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'6.성능계산'!$G$101:$G$280</c:f>
              <c:numCache>
                <c:formatCode>0.0</c:formatCode>
                <c:ptCount val="18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  <c:pt idx="51">
                  <c:v>51.5</c:v>
                </c:pt>
                <c:pt idx="52">
                  <c:v>52.5</c:v>
                </c:pt>
                <c:pt idx="53">
                  <c:v>53.5</c:v>
                </c:pt>
                <c:pt idx="54">
                  <c:v>54.5</c:v>
                </c:pt>
                <c:pt idx="55">
                  <c:v>55.5</c:v>
                </c:pt>
                <c:pt idx="56">
                  <c:v>56.5</c:v>
                </c:pt>
                <c:pt idx="57">
                  <c:v>57.5</c:v>
                </c:pt>
                <c:pt idx="58">
                  <c:v>58.5</c:v>
                </c:pt>
                <c:pt idx="59">
                  <c:v>59.5</c:v>
                </c:pt>
                <c:pt idx="60">
                  <c:v>60.5</c:v>
                </c:pt>
                <c:pt idx="61">
                  <c:v>61.5</c:v>
                </c:pt>
                <c:pt idx="62">
                  <c:v>62.5</c:v>
                </c:pt>
                <c:pt idx="63">
                  <c:v>63.5</c:v>
                </c:pt>
                <c:pt idx="64">
                  <c:v>64.5</c:v>
                </c:pt>
                <c:pt idx="65">
                  <c:v>65.5</c:v>
                </c:pt>
                <c:pt idx="66">
                  <c:v>66.5</c:v>
                </c:pt>
                <c:pt idx="67">
                  <c:v>67.5</c:v>
                </c:pt>
                <c:pt idx="68">
                  <c:v>68.5</c:v>
                </c:pt>
                <c:pt idx="69">
                  <c:v>69.5</c:v>
                </c:pt>
                <c:pt idx="70">
                  <c:v>70.5</c:v>
                </c:pt>
                <c:pt idx="71">
                  <c:v>71.5</c:v>
                </c:pt>
                <c:pt idx="72">
                  <c:v>72.5</c:v>
                </c:pt>
                <c:pt idx="73">
                  <c:v>73.5</c:v>
                </c:pt>
                <c:pt idx="74">
                  <c:v>74.5</c:v>
                </c:pt>
                <c:pt idx="75">
                  <c:v>75.5</c:v>
                </c:pt>
                <c:pt idx="76">
                  <c:v>76.5</c:v>
                </c:pt>
                <c:pt idx="77">
                  <c:v>77.5</c:v>
                </c:pt>
                <c:pt idx="78">
                  <c:v>78.5</c:v>
                </c:pt>
                <c:pt idx="79">
                  <c:v>79.5</c:v>
                </c:pt>
                <c:pt idx="80">
                  <c:v>80.5</c:v>
                </c:pt>
                <c:pt idx="81">
                  <c:v>81.5</c:v>
                </c:pt>
                <c:pt idx="82">
                  <c:v>82.5</c:v>
                </c:pt>
                <c:pt idx="83">
                  <c:v>83.5</c:v>
                </c:pt>
                <c:pt idx="84">
                  <c:v>84.5</c:v>
                </c:pt>
                <c:pt idx="85">
                  <c:v>85.5</c:v>
                </c:pt>
                <c:pt idx="86">
                  <c:v>86.5</c:v>
                </c:pt>
                <c:pt idx="87">
                  <c:v>87.5</c:v>
                </c:pt>
                <c:pt idx="88">
                  <c:v>88.5</c:v>
                </c:pt>
                <c:pt idx="89">
                  <c:v>89.5</c:v>
                </c:pt>
                <c:pt idx="90">
                  <c:v>90.5</c:v>
                </c:pt>
                <c:pt idx="91">
                  <c:v>91.5</c:v>
                </c:pt>
                <c:pt idx="92">
                  <c:v>92.5</c:v>
                </c:pt>
                <c:pt idx="93">
                  <c:v>93.5</c:v>
                </c:pt>
                <c:pt idx="94">
                  <c:v>94.5</c:v>
                </c:pt>
                <c:pt idx="95">
                  <c:v>95.5</c:v>
                </c:pt>
                <c:pt idx="96">
                  <c:v>96.5</c:v>
                </c:pt>
                <c:pt idx="97">
                  <c:v>97.5</c:v>
                </c:pt>
                <c:pt idx="98">
                  <c:v>98.5</c:v>
                </c:pt>
                <c:pt idx="99">
                  <c:v>99.5</c:v>
                </c:pt>
                <c:pt idx="100">
                  <c:v>100.5</c:v>
                </c:pt>
                <c:pt idx="101">
                  <c:v>101.5</c:v>
                </c:pt>
                <c:pt idx="102">
                  <c:v>102.5</c:v>
                </c:pt>
                <c:pt idx="103">
                  <c:v>103.5</c:v>
                </c:pt>
                <c:pt idx="104">
                  <c:v>104.5</c:v>
                </c:pt>
                <c:pt idx="105">
                  <c:v>105.5</c:v>
                </c:pt>
                <c:pt idx="106">
                  <c:v>106.5</c:v>
                </c:pt>
                <c:pt idx="107">
                  <c:v>107.5</c:v>
                </c:pt>
                <c:pt idx="108">
                  <c:v>108.5</c:v>
                </c:pt>
                <c:pt idx="109">
                  <c:v>109.5</c:v>
                </c:pt>
                <c:pt idx="110">
                  <c:v>110.5</c:v>
                </c:pt>
                <c:pt idx="111">
                  <c:v>111.5</c:v>
                </c:pt>
                <c:pt idx="112">
                  <c:v>112.5</c:v>
                </c:pt>
                <c:pt idx="113">
                  <c:v>113.5</c:v>
                </c:pt>
                <c:pt idx="114">
                  <c:v>114.5</c:v>
                </c:pt>
                <c:pt idx="115">
                  <c:v>115.5</c:v>
                </c:pt>
                <c:pt idx="116">
                  <c:v>116.5</c:v>
                </c:pt>
                <c:pt idx="117">
                  <c:v>117.5</c:v>
                </c:pt>
                <c:pt idx="118">
                  <c:v>118.5</c:v>
                </c:pt>
                <c:pt idx="119">
                  <c:v>119.5</c:v>
                </c:pt>
                <c:pt idx="120">
                  <c:v>120.5</c:v>
                </c:pt>
                <c:pt idx="121">
                  <c:v>121.5</c:v>
                </c:pt>
                <c:pt idx="122">
                  <c:v>122.5</c:v>
                </c:pt>
                <c:pt idx="123">
                  <c:v>123.5</c:v>
                </c:pt>
                <c:pt idx="124">
                  <c:v>124.5</c:v>
                </c:pt>
                <c:pt idx="125">
                  <c:v>125.5</c:v>
                </c:pt>
                <c:pt idx="126">
                  <c:v>126.5</c:v>
                </c:pt>
                <c:pt idx="127">
                  <c:v>127.5</c:v>
                </c:pt>
                <c:pt idx="128">
                  <c:v>128.5</c:v>
                </c:pt>
                <c:pt idx="129">
                  <c:v>129.5</c:v>
                </c:pt>
                <c:pt idx="130">
                  <c:v>130.5</c:v>
                </c:pt>
                <c:pt idx="131">
                  <c:v>131.5</c:v>
                </c:pt>
                <c:pt idx="132">
                  <c:v>132.5</c:v>
                </c:pt>
                <c:pt idx="133">
                  <c:v>133.5</c:v>
                </c:pt>
                <c:pt idx="134">
                  <c:v>134.5</c:v>
                </c:pt>
                <c:pt idx="135">
                  <c:v>135.5</c:v>
                </c:pt>
                <c:pt idx="136">
                  <c:v>136.5</c:v>
                </c:pt>
                <c:pt idx="137">
                  <c:v>137.5</c:v>
                </c:pt>
                <c:pt idx="138">
                  <c:v>138.5</c:v>
                </c:pt>
                <c:pt idx="139">
                  <c:v>139.5</c:v>
                </c:pt>
                <c:pt idx="140">
                  <c:v>140.5</c:v>
                </c:pt>
                <c:pt idx="141">
                  <c:v>141.5</c:v>
                </c:pt>
                <c:pt idx="142">
                  <c:v>142.5</c:v>
                </c:pt>
                <c:pt idx="143">
                  <c:v>143.5</c:v>
                </c:pt>
                <c:pt idx="144">
                  <c:v>144.5</c:v>
                </c:pt>
                <c:pt idx="145">
                  <c:v>145.5</c:v>
                </c:pt>
                <c:pt idx="146">
                  <c:v>146.5</c:v>
                </c:pt>
                <c:pt idx="147">
                  <c:v>147.5</c:v>
                </c:pt>
                <c:pt idx="148">
                  <c:v>148.5</c:v>
                </c:pt>
                <c:pt idx="149">
                  <c:v>149.5</c:v>
                </c:pt>
                <c:pt idx="150">
                  <c:v>150.5</c:v>
                </c:pt>
                <c:pt idx="151">
                  <c:v>151.5</c:v>
                </c:pt>
                <c:pt idx="152">
                  <c:v>152.5</c:v>
                </c:pt>
                <c:pt idx="153">
                  <c:v>153.5</c:v>
                </c:pt>
                <c:pt idx="154">
                  <c:v>154.5</c:v>
                </c:pt>
                <c:pt idx="155">
                  <c:v>155.5</c:v>
                </c:pt>
                <c:pt idx="156">
                  <c:v>156.5</c:v>
                </c:pt>
                <c:pt idx="157">
                  <c:v>157.5</c:v>
                </c:pt>
                <c:pt idx="158">
                  <c:v>158.5</c:v>
                </c:pt>
                <c:pt idx="159">
                  <c:v>159.5</c:v>
                </c:pt>
                <c:pt idx="160">
                  <c:v>160.5</c:v>
                </c:pt>
                <c:pt idx="161">
                  <c:v>161.5</c:v>
                </c:pt>
                <c:pt idx="162">
                  <c:v>162.5</c:v>
                </c:pt>
                <c:pt idx="163">
                  <c:v>163.5</c:v>
                </c:pt>
                <c:pt idx="164">
                  <c:v>164.5</c:v>
                </c:pt>
                <c:pt idx="165">
                  <c:v>165.5</c:v>
                </c:pt>
                <c:pt idx="166">
                  <c:v>166.5</c:v>
                </c:pt>
                <c:pt idx="167">
                  <c:v>167.5</c:v>
                </c:pt>
                <c:pt idx="168">
                  <c:v>168.5</c:v>
                </c:pt>
                <c:pt idx="169">
                  <c:v>169.5</c:v>
                </c:pt>
                <c:pt idx="170">
                  <c:v>170.5</c:v>
                </c:pt>
                <c:pt idx="171">
                  <c:v>171.5</c:v>
                </c:pt>
                <c:pt idx="172">
                  <c:v>172.5</c:v>
                </c:pt>
                <c:pt idx="173">
                  <c:v>173.5</c:v>
                </c:pt>
                <c:pt idx="174">
                  <c:v>174.5</c:v>
                </c:pt>
                <c:pt idx="175">
                  <c:v>175.5</c:v>
                </c:pt>
                <c:pt idx="176">
                  <c:v>176.5</c:v>
                </c:pt>
                <c:pt idx="177">
                  <c:v>177.5</c:v>
                </c:pt>
                <c:pt idx="178">
                  <c:v>178.5</c:v>
                </c:pt>
                <c:pt idx="179">
                  <c:v>179.5</c:v>
                </c:pt>
              </c:numCache>
            </c:numRef>
          </c:xVal>
          <c:yVal>
            <c:numRef>
              <c:f>'6.성능계산'!$H$101:$H$280</c:f>
              <c:numCache>
                <c:formatCode>0.0000</c:formatCode>
                <c:ptCount val="180"/>
                <c:pt idx="0">
                  <c:v>10.867029175391689</c:v>
                </c:pt>
                <c:pt idx="1">
                  <c:v>10.19903275608789</c:v>
                </c:pt>
                <c:pt idx="2">
                  <c:v>9.5336378371856458</c:v>
                </c:pt>
                <c:pt idx="3">
                  <c:v>8.8770368310478478</c:v>
                </c:pt>
                <c:pt idx="4">
                  <c:v>8.2349405339028205</c:v>
                </c:pt>
                <c:pt idx="5">
                  <c:v>7.6123686814343738</c:v>
                </c:pt>
                <c:pt idx="6">
                  <c:v>7.0135082914547073</c:v>
                </c:pt>
                <c:pt idx="7">
                  <c:v>6.4416438013665172</c:v>
                </c:pt>
                <c:pt idx="8">
                  <c:v>5.8991534585114094</c:v>
                </c:pt>
                <c:pt idx="9">
                  <c:v>5.3875597110193958</c:v>
                </c:pt>
                <c:pt idx="10">
                  <c:v>4.9076180440619748</c:v>
                </c:pt>
                <c:pt idx="11">
                  <c:v>4.4594284667102011</c:v>
                </c:pt>
                <c:pt idx="12">
                  <c:v>4.0425557962925991</c:v>
                </c:pt>
                <c:pt idx="13">
                  <c:v>3.656147990731065</c:v>
                </c:pt>
                <c:pt idx="14">
                  <c:v>3.2990451722264189</c:v>
                </c:pt>
                <c:pt idx="15">
                  <c:v>2.9698750736036379</c:v>
                </c:pt>
                <c:pt idx="16">
                  <c:v>2.6671331129807729</c:v>
                </c:pt>
                <c:pt idx="17">
                  <c:v>2.3892470782192778</c:v>
                </c:pt>
                <c:pt idx="18">
                  <c:v>2.1346275359958322</c:v>
                </c:pt>
                <c:pt idx="19">
                  <c:v>1.901705695588169</c:v>
                </c:pt>
                <c:pt idx="20">
                  <c:v>1.68896069556787</c:v>
                </c:pt>
                <c:pt idx="21">
                  <c:v>1.494938270626009</c:v>
                </c:pt>
                <c:pt idx="22">
                  <c:v>1.3182625980696161</c:v>
                </c:pt>
                <c:pt idx="23">
                  <c:v>1.1576428934803491</c:v>
                </c:pt>
                <c:pt idx="24">
                  <c:v>1.011876072272138</c:v>
                </c:pt>
                <c:pt idx="25">
                  <c:v>0.87984654869154399</c:v>
                </c:pt>
                <c:pt idx="26">
                  <c:v>0.7605240225085792</c:v>
                </c:pt>
                <c:pt idx="27">
                  <c:v>0.65295991327334824</c:v>
                </c:pt>
                <c:pt idx="28">
                  <c:v>0.55628294383265442</c:v>
                </c:pt>
                <c:pt idx="29">
                  <c:v>0.46969424683065097</c:v>
                </c:pt>
                <c:pt idx="30">
                  <c:v>0.39246226660315092</c:v>
                </c:pt>
                <c:pt idx="31">
                  <c:v>0.32391765012422752</c:v>
                </c:pt>
                <c:pt idx="32">
                  <c:v>0.26344826044854758</c:v>
                </c:pt>
                <c:pt idx="33">
                  <c:v>0.21049440075902401</c:v>
                </c:pt>
                <c:pt idx="34">
                  <c:v>0.1645443035264019</c:v>
                </c:pt>
                <c:pt idx="35">
                  <c:v>0.12512991479050981</c:v>
                </c:pt>
                <c:pt idx="36">
                  <c:v>9.1822986051161071E-2</c:v>
                </c:pt>
                <c:pt idx="37">
                  <c:v>6.4231474012229797E-2</c:v>
                </c:pt>
                <c:pt idx="38">
                  <c:v>4.1996240124031928E-2</c:v>
                </c:pt>
                <c:pt idx="39">
                  <c:v>2.478803648594206E-2</c:v>
                </c:pt>
                <c:pt idx="40">
                  <c:v>1.2304761413499409E-2</c:v>
                </c:pt>
                <c:pt idx="41">
                  <c:v>4.2689662436127132E-3</c:v>
                </c:pt>
                <c:pt idx="42">
                  <c:v>4.2559429791433622E-4</c:v>
                </c:pt>
                <c:pt idx="43">
                  <c:v>5.3993301306568876E-4</c:v>
                </c:pt>
                <c:pt idx="44">
                  <c:v>4.3957608310503304E-3</c:v>
                </c:pt>
                <c:pt idx="45">
                  <c:v>1.1793671342004741E-2</c:v>
                </c:pt>
                <c:pt idx="46">
                  <c:v>2.2549558256933971E-2</c:v>
                </c:pt>
                <c:pt idx="47">
                  <c:v>3.649324596585013E-2</c:v>
                </c:pt>
                <c:pt idx="48">
                  <c:v>5.3467251643455067E-2</c:v>
                </c:pt>
                <c:pt idx="49">
                  <c:v>7.3325666056432426E-2</c:v>
                </c:pt>
                <c:pt idx="50">
                  <c:v>9.593314137431927E-2</c:v>
                </c:pt>
                <c:pt idx="51">
                  <c:v>0.1211639753722033</c:v>
                </c:pt>
                <c:pt idx="52">
                  <c:v>0.14890128242800979</c:v>
                </c:pt>
                <c:pt idx="53">
                  <c:v>0.1790362426551248</c:v>
                </c:pt>
                <c:pt idx="54">
                  <c:v>0.2114674213717187</c:v>
                </c:pt>
                <c:pt idx="55">
                  <c:v>0.2461001518930532</c:v>
                </c:pt>
                <c:pt idx="56">
                  <c:v>0.28284597534554701</c:v>
                </c:pt>
                <c:pt idx="57">
                  <c:v>0.32162213184565458</c:v>
                </c:pt>
                <c:pt idx="58">
                  <c:v>0.3623510979675823</c:v>
                </c:pt>
                <c:pt idx="59">
                  <c:v>0.40496016594645368</c:v>
                </c:pt>
                <c:pt idx="60">
                  <c:v>0.44938106053278781</c:v>
                </c:pt>
                <c:pt idx="61">
                  <c:v>0.49554958983492331</c:v>
                </c:pt>
                <c:pt idx="62">
                  <c:v>0.54340532686291276</c:v>
                </c:pt>
                <c:pt idx="63">
                  <c:v>0.59289131882471835</c:v>
                </c:pt>
                <c:pt idx="64">
                  <c:v>0.64395382152733005</c:v>
                </c:pt>
                <c:pt idx="65">
                  <c:v>0.69654205650521706</c:v>
                </c:pt>
                <c:pt idx="66">
                  <c:v>0.7506079887398629</c:v>
                </c:pt>
                <c:pt idx="67">
                  <c:v>0.80610612304978946</c:v>
                </c:pt>
                <c:pt idx="68">
                  <c:v>0.86299331742341923</c:v>
                </c:pt>
                <c:pt idx="69">
                  <c:v>0.92122861173962323</c:v>
                </c:pt>
                <c:pt idx="70">
                  <c:v>0.98077307047515705</c:v>
                </c:pt>
                <c:pt idx="71">
                  <c:v>1.0415896381363221</c:v>
                </c:pt>
                <c:pt idx="72">
                  <c:v>1.1036430062758811</c:v>
                </c:pt>
                <c:pt idx="73">
                  <c:v>1.166899491067082</c:v>
                </c:pt>
                <c:pt idx="74">
                  <c:v>1.231326920505923</c:v>
                </c:pt>
                <c:pt idx="75">
                  <c:v>1.296894530401874</c:v>
                </c:pt>
                <c:pt idx="76">
                  <c:v>1.363572868397281</c:v>
                </c:pt>
                <c:pt idx="77">
                  <c:v>1.431333705327323</c:v>
                </c:pt>
                <c:pt idx="78">
                  <c:v>1.500149953297035</c:v>
                </c:pt>
                <c:pt idx="79">
                  <c:v>1.569995589909831</c:v>
                </c:pt>
                <c:pt idx="80">
                  <c:v>1.640845588134189</c:v>
                </c:pt>
                <c:pt idx="81">
                  <c:v>1.712675851342168</c:v>
                </c:pt>
                <c:pt idx="82">
                  <c:v>1.785463153095795</c:v>
                </c:pt>
                <c:pt idx="83">
                  <c:v>1.8591850812955459</c:v>
                </c:pt>
                <c:pt idx="84">
                  <c:v>1.933819986339641</c:v>
                </c:pt>
                <c:pt idx="85">
                  <c:v>2.0093469329740441</c:v>
                </c:pt>
                <c:pt idx="86">
                  <c:v>2.085745655541162</c:v>
                </c:pt>
                <c:pt idx="87">
                  <c:v>2.1629965163607929</c:v>
                </c:pt>
                <c:pt idx="88">
                  <c:v>2.2410804669998039</c:v>
                </c:pt>
                <c:pt idx="89">
                  <c:v>2.319979012208075</c:v>
                </c:pt>
                <c:pt idx="90">
                  <c:v>2.3996741763170388</c:v>
                </c:pt>
                <c:pt idx="91">
                  <c:v>2.4801484719144629</c:v>
                </c:pt>
                <c:pt idx="92">
                  <c:v>2.5613848706246052</c:v>
                </c:pt>
                <c:pt idx="93">
                  <c:v>2.643366775837205</c:v>
                </c:pt>
                <c:pt idx="94">
                  <c:v>2.726077997241529</c:v>
                </c:pt>
                <c:pt idx="95">
                  <c:v>2.8095027270335629</c:v>
                </c:pt>
                <c:pt idx="96">
                  <c:v>2.8936255176750461</c:v>
                </c:pt>
                <c:pt idx="97">
                  <c:v>2.978431261092839</c:v>
                </c:pt>
                <c:pt idx="98">
                  <c:v>3.063905169216008</c:v>
                </c:pt>
                <c:pt idx="99">
                  <c:v>3.150032755756107</c:v>
                </c:pt>
                <c:pt idx="100">
                  <c:v>3.2367998191435912</c:v>
                </c:pt>
                <c:pt idx="101">
                  <c:v>3.3241924265400171</c:v>
                </c:pt>
                <c:pt idx="102">
                  <c:v>3.4121968988519731</c:v>
                </c:pt>
                <c:pt idx="103">
                  <c:v>3.5007997966782631</c:v>
                </c:pt>
                <c:pt idx="104">
                  <c:v>3.5899879071271541</c:v>
                </c:pt>
                <c:pt idx="105">
                  <c:v>3.679748231445199</c:v>
                </c:pt>
                <c:pt idx="106">
                  <c:v>3.7700679734035818</c:v>
                </c:pt>
                <c:pt idx="107">
                  <c:v>3.8609345283918848</c:v>
                </c:pt>
                <c:pt idx="108">
                  <c:v>3.9523354731729121</c:v>
                </c:pt>
                <c:pt idx="109">
                  <c:v>4.0442585562555724</c:v>
                </c:pt>
                <c:pt idx="110">
                  <c:v>4.1366916888459411</c:v>
                </c:pt>
                <c:pt idx="111">
                  <c:v>4.2296229363395161</c:v>
                </c:pt>
                <c:pt idx="112">
                  <c:v>4.323040510320264</c:v>
                </c:pt>
                <c:pt idx="113">
                  <c:v>4.4169327610345617</c:v>
                </c:pt>
                <c:pt idx="114">
                  <c:v>4.511288170310344</c:v>
                </c:pt>
                <c:pt idx="115">
                  <c:v>4.6060953448938191</c:v>
                </c:pt>
                <c:pt idx="116">
                  <c:v>4.7013430101780873</c:v>
                </c:pt>
                <c:pt idx="117">
                  <c:v>4.7970200042996796</c:v>
                </c:pt>
                <c:pt idx="118">
                  <c:v>4.8931152725807872</c:v>
                </c:pt>
                <c:pt idx="119">
                  <c:v>4.989617862296285</c:v>
                </c:pt>
                <c:pt idx="120">
                  <c:v>5.0865169177462652</c:v>
                </c:pt>
                <c:pt idx="121">
                  <c:v>5.1838016756158796</c:v>
                </c:pt>
                <c:pt idx="122">
                  <c:v>5.2814614606056658</c:v>
                </c:pt>
                <c:pt idx="123">
                  <c:v>5.3794856813164831</c:v>
                </c:pt>
                <c:pt idx="124">
                  <c:v>5.4778638263743824</c:v>
                </c:pt>
                <c:pt idx="125">
                  <c:v>5.5765854607815148</c:v>
                </c:pt>
                <c:pt idx="126">
                  <c:v>5.6756402224802134</c:v>
                </c:pt>
                <c:pt idx="127">
                  <c:v>5.7750178191181396</c:v>
                </c:pt>
                <c:pt idx="128">
                  <c:v>5.8747080250031294</c:v>
                </c:pt>
                <c:pt idx="129">
                  <c:v>5.9747006782371663</c:v>
                </c:pt>
                <c:pt idx="130">
                  <c:v>6.0749856780194884</c:v>
                </c:pt>
                <c:pt idx="131">
                  <c:v>6.1755529821095072</c:v>
                </c:pt>
                <c:pt idx="132">
                  <c:v>6.2763926044407476</c:v>
                </c:pt>
                <c:pt idx="133">
                  <c:v>6.3774946128776104</c:v>
                </c:pt>
                <c:pt idx="134">
                  <c:v>6.4788491271071846</c:v>
                </c:pt>
                <c:pt idx="135">
                  <c:v>6.5804463166588736</c:v>
                </c:pt>
                <c:pt idx="136">
                  <c:v>6.6822763990449783</c:v>
                </c:pt>
                <c:pt idx="137">
                  <c:v>6.7843296380158016</c:v>
                </c:pt>
                <c:pt idx="138">
                  <c:v>6.8865963419232532</c:v>
                </c:pt>
                <c:pt idx="139">
                  <c:v>6.9890668621872036</c:v>
                </c:pt>
                <c:pt idx="140">
                  <c:v>7.0917315918592854</c:v>
                </c:pt>
                <c:pt idx="141">
                  <c:v>7.1945809642789813</c:v>
                </c:pt>
                <c:pt idx="142">
                  <c:v>7.2976054518173532</c:v>
                </c:pt>
                <c:pt idx="143">
                  <c:v>7.4007955647037811</c:v>
                </c:pt>
                <c:pt idx="144">
                  <c:v>7.50414184993154</c:v>
                </c:pt>
                <c:pt idx="145">
                  <c:v>7.6076348902382067</c:v>
                </c:pt>
                <c:pt idx="146">
                  <c:v>7.7112653031570284</c:v>
                </c:pt>
                <c:pt idx="147">
                  <c:v>7.8150237401357554</c:v>
                </c:pt>
                <c:pt idx="148">
                  <c:v>7.9189008857194887</c:v>
                </c:pt>
                <c:pt idx="149">
                  <c:v>8.0228874567943809</c:v>
                </c:pt>
                <c:pt idx="150">
                  <c:v>8.1269742018890803</c:v>
                </c:pt>
                <c:pt idx="151">
                  <c:v>8.2311519005311666</c:v>
                </c:pt>
                <c:pt idx="152">
                  <c:v>8.3354113626556927</c:v>
                </c:pt>
                <c:pt idx="153">
                  <c:v>8.4397434280634087</c:v>
                </c:pt>
                <c:pt idx="154">
                  <c:v>8.5441389659261002</c:v>
                </c:pt>
                <c:pt idx="155">
                  <c:v>8.648588874336772</c:v>
                </c:pt>
                <c:pt idx="156">
                  <c:v>8.7530840799024752</c:v>
                </c:pt>
                <c:pt idx="157">
                  <c:v>8.85761553737761</c:v>
                </c:pt>
                <c:pt idx="158">
                  <c:v>8.9621742293358473</c:v>
                </c:pt>
                <c:pt idx="159">
                  <c:v>9.0667511658785802</c:v>
                </c:pt>
                <c:pt idx="160">
                  <c:v>9.1713373843783081</c:v>
                </c:pt>
                <c:pt idx="161">
                  <c:v>9.2759239492550609</c:v>
                </c:pt>
                <c:pt idx="162">
                  <c:v>9.3805019517843213</c:v>
                </c:pt>
                <c:pt idx="163">
                  <c:v>9.4850625099348704</c:v>
                </c:pt>
                <c:pt idx="164">
                  <c:v>9.5895967682350189</c:v>
                </c:pt>
                <c:pt idx="165">
                  <c:v>9.6940958976658802</c:v>
                </c:pt>
                <c:pt idx="166">
                  <c:v>9.7985510955802155</c:v>
                </c:pt>
                <c:pt idx="167">
                  <c:v>9.9029535856456725</c:v>
                </c:pt>
                <c:pt idx="168">
                  <c:v>10.007294617811059</c:v>
                </c:pt>
                <c:pt idx="169">
                  <c:v>10.111565468294559</c:v>
                </c:pt>
                <c:pt idx="170">
                  <c:v>10.21575743959262</c:v>
                </c:pt>
                <c:pt idx="171">
                  <c:v>10.319861860508549</c:v>
                </c:pt>
                <c:pt idx="172">
                  <c:v>10.42387008619972</c:v>
                </c:pt>
                <c:pt idx="173">
                  <c:v>10.527773498242221</c:v>
                </c:pt>
                <c:pt idx="174">
                  <c:v>10.631563504712251</c:v>
                </c:pt>
                <c:pt idx="175">
                  <c:v>10.735231540283079</c:v>
                </c:pt>
                <c:pt idx="176">
                  <c:v>10.838769066336759</c:v>
                </c:pt>
                <c:pt idx="177">
                  <c:v>10.94216757108966</c:v>
                </c:pt>
                <c:pt idx="178">
                  <c:v>11.04541856973108</c:v>
                </c:pt>
                <c:pt idx="179">
                  <c:v>11.148513604573941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D4-4F5B-8009-45E56EC9B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각도 [deg]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초기 틈새 [um]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48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39</xdr:row>
      <xdr:rowOff>0</xdr:rowOff>
    </xdr:from>
    <xdr:ext cx="72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39</xdr:row>
      <xdr:rowOff>0</xdr:rowOff>
    </xdr:from>
    <xdr:ext cx="720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39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59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79</xdr:row>
      <xdr:rowOff>0</xdr:rowOff>
    </xdr:from>
    <xdr:ext cx="576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2:G43"/>
  <sheetViews>
    <sheetView workbookViewId="0">
      <pane ySplit="4" topLeftCell="A5" activePane="bottomLeft" state="frozen"/>
      <selection pane="bottomLeft"/>
    </sheetView>
  </sheetViews>
  <sheetFormatPr defaultRowHeight="16.5" x14ac:dyDescent="0.3"/>
  <cols>
    <col min="1" max="1" width="4" customWidth="1"/>
    <col min="2" max="2" width="30" customWidth="1"/>
    <col min="3" max="3" width="13" customWidth="1"/>
    <col min="4" max="4" width="9" customWidth="1"/>
    <col min="5" max="5" width="40" customWidth="1"/>
    <col min="6" max="6" width="3" customWidth="1"/>
    <col min="7" max="7" width="46" customWidth="1"/>
    <col min="8" max="8" width="14" customWidth="1"/>
  </cols>
  <sheetData>
    <row r="2" spans="2:7" x14ac:dyDescent="0.3">
      <c r="B2" s="34" t="s">
        <v>0</v>
      </c>
      <c r="C2" s="31"/>
      <c r="D2" s="31"/>
      <c r="E2" s="31"/>
    </row>
    <row r="3" spans="2:7" x14ac:dyDescent="0.3">
      <c r="B3" s="30" t="s">
        <v>1</v>
      </c>
      <c r="C3" s="31"/>
      <c r="D3" s="31"/>
      <c r="E3" s="31"/>
    </row>
    <row r="5" spans="2:7" x14ac:dyDescent="0.3">
      <c r="B5" s="33" t="s">
        <v>2</v>
      </c>
      <c r="C5" s="31"/>
      <c r="D5" s="31"/>
      <c r="E5" s="31"/>
    </row>
    <row r="6" spans="2:7" x14ac:dyDescent="0.3">
      <c r="B6" s="3" t="s">
        <v>3</v>
      </c>
      <c r="C6" s="4">
        <v>82</v>
      </c>
      <c r="D6" s="5" t="s">
        <v>4</v>
      </c>
      <c r="E6" s="2" t="s">
        <v>5</v>
      </c>
      <c r="G6" s="6" t="s">
        <v>6</v>
      </c>
    </row>
    <row r="7" spans="2:7" x14ac:dyDescent="0.3">
      <c r="B7" s="3" t="s">
        <v>7</v>
      </c>
      <c r="C7" s="4">
        <v>4</v>
      </c>
      <c r="D7" s="5" t="s">
        <v>4</v>
      </c>
      <c r="E7" s="2" t="s">
        <v>8</v>
      </c>
      <c r="G7" s="6" t="s">
        <v>9</v>
      </c>
    </row>
    <row r="8" spans="2:7" x14ac:dyDescent="0.3">
      <c r="B8" s="3" t="s">
        <v>10</v>
      </c>
      <c r="C8" s="4">
        <v>1.5</v>
      </c>
      <c r="D8" s="5" t="s">
        <v>4</v>
      </c>
      <c r="E8" s="2" t="s">
        <v>11</v>
      </c>
      <c r="G8" s="6" t="s">
        <v>12</v>
      </c>
    </row>
    <row r="9" spans="2:7" x14ac:dyDescent="0.3">
      <c r="B9" s="3" t="s">
        <v>13</v>
      </c>
      <c r="C9" s="7">
        <v>39</v>
      </c>
      <c r="D9" s="5" t="s">
        <v>14</v>
      </c>
      <c r="E9" s="2" t="s">
        <v>15</v>
      </c>
      <c r="G9" s="6" t="s">
        <v>16</v>
      </c>
    </row>
    <row r="10" spans="2:7" x14ac:dyDescent="0.3">
      <c r="B10" s="3" t="s">
        <v>17</v>
      </c>
      <c r="C10" s="4">
        <v>15</v>
      </c>
      <c r="D10" s="5" t="s">
        <v>4</v>
      </c>
      <c r="E10" s="2" t="s">
        <v>18</v>
      </c>
      <c r="G10" s="6" t="s">
        <v>19</v>
      </c>
    </row>
    <row r="11" spans="2:7" x14ac:dyDescent="0.3">
      <c r="B11" s="3" t="s">
        <v>20</v>
      </c>
      <c r="C11" s="7">
        <v>95</v>
      </c>
      <c r="D11" s="5" t="s">
        <v>14</v>
      </c>
      <c r="E11" s="2" t="s">
        <v>21</v>
      </c>
      <c r="G11" s="6" t="s">
        <v>22</v>
      </c>
    </row>
    <row r="12" spans="2:7" x14ac:dyDescent="0.3">
      <c r="B12" s="3" t="s">
        <v>23</v>
      </c>
      <c r="C12" s="4">
        <v>0.2</v>
      </c>
      <c r="D12" s="5" t="s">
        <v>24</v>
      </c>
      <c r="E12" s="2" t="s">
        <v>25</v>
      </c>
      <c r="G12" s="6" t="s">
        <v>26</v>
      </c>
    </row>
    <row r="14" spans="2:7" x14ac:dyDescent="0.3">
      <c r="B14" s="33" t="s">
        <v>27</v>
      </c>
      <c r="C14" s="31"/>
      <c r="D14" s="31"/>
      <c r="E14" s="31"/>
    </row>
    <row r="15" spans="2:7" x14ac:dyDescent="0.3">
      <c r="B15" s="3" t="s">
        <v>28</v>
      </c>
      <c r="C15" s="8">
        <f>$C$9+1</f>
        <v>40</v>
      </c>
      <c r="D15" s="5" t="s">
        <v>14</v>
      </c>
      <c r="E15" s="2" t="s">
        <v>29</v>
      </c>
      <c r="G15" s="6" t="s">
        <v>30</v>
      </c>
    </row>
    <row r="16" spans="2:7" x14ac:dyDescent="0.3">
      <c r="B16" s="3" t="s">
        <v>31</v>
      </c>
      <c r="C16" s="9">
        <f>$C$8*$C$15/$C$6</f>
        <v>0.73170731707317072</v>
      </c>
      <c r="D16" s="5" t="s">
        <v>32</v>
      </c>
      <c r="E16" s="2" t="s">
        <v>33</v>
      </c>
      <c r="G16" s="6" t="s">
        <v>34</v>
      </c>
    </row>
    <row r="17" spans="2:7" x14ac:dyDescent="0.3">
      <c r="B17" s="3" t="s">
        <v>35</v>
      </c>
      <c r="C17" s="9">
        <f>$C$15/$C$9</f>
        <v>1.0256410256410255</v>
      </c>
      <c r="D17" s="5" t="s">
        <v>32</v>
      </c>
      <c r="E17" s="2" t="s">
        <v>36</v>
      </c>
      <c r="G17" s="6" t="s">
        <v>37</v>
      </c>
    </row>
    <row r="18" spans="2:7" x14ac:dyDescent="0.3">
      <c r="B18" s="3" t="s">
        <v>38</v>
      </c>
      <c r="C18" s="8">
        <f>$C$9</f>
        <v>39</v>
      </c>
      <c r="D18" s="5" t="s">
        <v>39</v>
      </c>
      <c r="E18" s="2" t="s">
        <v>40</v>
      </c>
      <c r="G18" s="6" t="s">
        <v>41</v>
      </c>
    </row>
    <row r="19" spans="2:7" x14ac:dyDescent="0.3">
      <c r="B19" s="3" t="s">
        <v>42</v>
      </c>
      <c r="C19" s="10">
        <f>$C$8*$C$15</f>
        <v>60</v>
      </c>
      <c r="D19" s="5" t="s">
        <v>4</v>
      </c>
      <c r="E19" s="2" t="s">
        <v>43</v>
      </c>
      <c r="G19" s="6" t="s">
        <v>44</v>
      </c>
    </row>
    <row r="20" spans="2:7" x14ac:dyDescent="0.3">
      <c r="B20" s="3" t="s">
        <v>45</v>
      </c>
      <c r="C20" s="9">
        <f>360/($C$9*$C$11)</f>
        <v>9.7165991902834009E-2</v>
      </c>
      <c r="D20" s="5" t="s">
        <v>24</v>
      </c>
      <c r="E20" s="2" t="s">
        <v>46</v>
      </c>
      <c r="G20" s="6" t="s">
        <v>47</v>
      </c>
    </row>
    <row r="22" spans="2:7" x14ac:dyDescent="0.3">
      <c r="B22" s="33" t="s">
        <v>48</v>
      </c>
      <c r="C22" s="31"/>
      <c r="D22" s="31"/>
      <c r="E22" s="31"/>
    </row>
    <row r="23" spans="2:7" x14ac:dyDescent="0.3">
      <c r="B23" s="3" t="s">
        <v>49</v>
      </c>
      <c r="C23" s="11">
        <f>$C$6/($C$8*$C$15)</f>
        <v>1.3666666666666667</v>
      </c>
      <c r="D23" s="32" t="str">
        <f>IF($C$6/($C$8*$C$15)&gt;1,"통과","위반: 편심 a를 줄이거나 r_p를 키우세요")</f>
        <v>통과</v>
      </c>
      <c r="E23" s="2" t="s">
        <v>50</v>
      </c>
    </row>
    <row r="24" spans="2:7" x14ac:dyDescent="0.3">
      <c r="B24" s="3" t="s">
        <v>51</v>
      </c>
      <c r="C24" s="11">
        <f>$C$16</f>
        <v>0.73170731707317072</v>
      </c>
      <c r="D24" s="12" t="str">
        <f>IF(AND($C$16&gt;=0.5,$C$16&lt;=0.9),"통과",IF($C$16&gt;=1,"위반: K1&gt;=1 은 형상 불성립","주의: 권장 0.5~0.9 벗어남"))</f>
        <v>통과</v>
      </c>
      <c r="E24" s="2" t="s">
        <v>52</v>
      </c>
    </row>
    <row r="25" spans="2:7" x14ac:dyDescent="0.3">
      <c r="B25" s="3" t="s">
        <v>53</v>
      </c>
      <c r="C25" s="11">
        <f>$C$7</f>
        <v>4</v>
      </c>
      <c r="D25" s="12" t="str">
        <f>IF($C$7&lt;$C$8*$C$15/2,"통과","주의: 핀반경이 큼. 이빨끝 곡률 확인 필요")</f>
        <v>통과</v>
      </c>
      <c r="E25" s="2" t="s">
        <v>54</v>
      </c>
    </row>
    <row r="26" spans="2:7" x14ac:dyDescent="0.3">
      <c r="B26" s="3" t="s">
        <v>55</v>
      </c>
      <c r="C26" s="11">
        <f>$C$6-$C$7+$C$8</f>
        <v>79.5</v>
      </c>
      <c r="D26" s="12" t="s">
        <v>56</v>
      </c>
      <c r="E26" s="2" t="s">
        <v>57</v>
      </c>
    </row>
    <row r="27" spans="2:7" x14ac:dyDescent="0.3">
      <c r="B27" s="3" t="s">
        <v>58</v>
      </c>
      <c r="C27" s="11">
        <f>$C$6-$C$7-$C$8</f>
        <v>76.5</v>
      </c>
      <c r="D27" s="12" t="s">
        <v>56</v>
      </c>
      <c r="E27" s="2" t="s">
        <v>59</v>
      </c>
    </row>
    <row r="30" spans="2:7" x14ac:dyDescent="0.3">
      <c r="B30" s="33" t="s">
        <v>60</v>
      </c>
      <c r="C30" s="31"/>
      <c r="D30" s="31"/>
      <c r="E30" s="31"/>
    </row>
    <row r="31" spans="2:7" x14ac:dyDescent="0.3">
      <c r="B31" s="30" t="s">
        <v>61</v>
      </c>
      <c r="C31" s="31"/>
      <c r="D31" s="31"/>
      <c r="E31" s="31"/>
    </row>
    <row r="32" spans="2:7" x14ac:dyDescent="0.3">
      <c r="B32" s="3" t="s">
        <v>62</v>
      </c>
      <c r="C32" s="13">
        <v>5.0000000000000001E-3</v>
      </c>
      <c r="D32" s="5" t="s">
        <v>4</v>
      </c>
      <c r="E32" s="2" t="s">
        <v>63</v>
      </c>
      <c r="G32" s="6" t="s">
        <v>64</v>
      </c>
    </row>
    <row r="33" spans="2:7" x14ac:dyDescent="0.3">
      <c r="B33" s="3" t="s">
        <v>65</v>
      </c>
      <c r="C33" s="13">
        <v>-3.0999999999999999E-3</v>
      </c>
      <c r="D33" s="5" t="s">
        <v>4</v>
      </c>
      <c r="E33" s="2" t="s">
        <v>66</v>
      </c>
      <c r="G33" s="6" t="s">
        <v>67</v>
      </c>
    </row>
    <row r="34" spans="2:7" x14ac:dyDescent="0.3">
      <c r="B34" s="3" t="s">
        <v>68</v>
      </c>
      <c r="C34" s="13">
        <v>8.0999999999999996E-3</v>
      </c>
      <c r="D34" s="5" t="s">
        <v>4</v>
      </c>
      <c r="E34" s="2" t="s">
        <v>69</v>
      </c>
      <c r="G34" s="6" t="s">
        <v>70</v>
      </c>
    </row>
    <row r="35" spans="2:7" x14ac:dyDescent="0.3">
      <c r="B35" s="3" t="s">
        <v>71</v>
      </c>
    </row>
    <row r="36" spans="2:7" x14ac:dyDescent="0.3">
      <c r="B36" t="s">
        <v>72</v>
      </c>
      <c r="C36" s="11">
        <f>IF($C$16&gt;=1,"K1&gt;=1 이므로 계산 불가",$C$32/(1-SQRT(MAX(0,1-$C$16^2))))</f>
        <v>1.5704452590130744E-2</v>
      </c>
      <c r="E36" s="2" t="s">
        <v>73</v>
      </c>
    </row>
    <row r="37" spans="2:7" x14ac:dyDescent="0.3">
      <c r="B37" t="s">
        <v>74</v>
      </c>
      <c r="C37" s="11">
        <f>IF($C$16&gt;=1,"K1&gt;=1 이므로 계산 불가",-$C$32*SQRT(MAX(0,1-$C$16^2))/(1-SQRT(MAX(0,1-$C$16^2))))</f>
        <v>-1.0704452590130744E-2</v>
      </c>
      <c r="E37" s="2" t="s">
        <v>75</v>
      </c>
    </row>
    <row r="38" spans="2:7" x14ac:dyDescent="0.3">
      <c r="B38" s="3" t="s">
        <v>76</v>
      </c>
      <c r="C38" s="11">
        <f>$C$33+$C$34</f>
        <v>4.9999999999999992E-3</v>
      </c>
      <c r="D38" t="str">
        <f>IF(ABS($C$33+$C$34-$C$32)&lt;0.0000001,"통과","불일치: 합이 dr과 달라요")</f>
        <v>통과</v>
      </c>
      <c r="E38" s="2" t="s">
        <v>77</v>
      </c>
    </row>
    <row r="39" spans="2:7" x14ac:dyDescent="0.3">
      <c r="B39" s="3" t="s">
        <v>78</v>
      </c>
      <c r="C39" s="9">
        <f>$C$8*$C$15/($C$6+$C$33)</f>
        <v>0.73173498022486216</v>
      </c>
      <c r="E39" s="2" t="s">
        <v>79</v>
      </c>
    </row>
    <row r="41" spans="2:7" x14ac:dyDescent="0.3">
      <c r="B41" s="33" t="s">
        <v>80</v>
      </c>
      <c r="C41" s="31"/>
      <c r="D41" s="31"/>
      <c r="E41" s="31"/>
    </row>
    <row r="42" spans="2:7" x14ac:dyDescent="0.3">
      <c r="B42" s="3" t="s">
        <v>81</v>
      </c>
      <c r="C42" s="14">
        <v>420</v>
      </c>
      <c r="D42" s="5" t="s">
        <v>82</v>
      </c>
      <c r="E42" s="2" t="s">
        <v>83</v>
      </c>
    </row>
    <row r="43" spans="2:7" x14ac:dyDescent="0.3">
      <c r="B43" s="2"/>
      <c r="E43" s="2" t="s">
        <v>84</v>
      </c>
    </row>
  </sheetData>
  <mergeCells count="9">
    <mergeCell ref="B2:E2"/>
    <mergeCell ref="B22:E22"/>
    <mergeCell ref="B14:E14"/>
    <mergeCell ref="B31:E31"/>
    <mergeCell ref="D23"/>
    <mergeCell ref="B41:E41"/>
    <mergeCell ref="B30:E30"/>
    <mergeCell ref="B3:E3"/>
    <mergeCell ref="B5:E5"/>
  </mergeCells>
  <phoneticPr fontId="5" type="noConversion"/>
  <conditionalFormatting sqref="D23:D25">
    <cfRule type="expression" dxfId="7" priority="1">
      <formula>ISNUMBER(SEARCH("통과",D23))</formula>
    </cfRule>
    <cfRule type="expression" dxfId="6" priority="2">
      <formula>ISNUMBER(SEARCH("위반",D23))</formula>
    </cfRule>
    <cfRule type="expression" dxfId="5" priority="3">
      <formula>ISNUMBER(SEARCH("주의",D23))</formula>
    </cfRule>
  </conditionalFormatting>
  <conditionalFormatting sqref="D38">
    <cfRule type="expression" dxfId="4" priority="10">
      <formula>ISNUMBER(SEARCH("통과",D38))</formula>
    </cfRule>
    <cfRule type="expression" dxfId="3" priority="11">
      <formula>ISNUMBER(SEARCH("불일치",D38))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O1805"/>
  <sheetViews>
    <sheetView tabSelected="1" workbookViewId="0">
      <pane ySplit="5" topLeftCell="A6" activePane="bottomLeft" state="frozen"/>
      <selection pane="bottomLeft" activeCell="J3" sqref="J1:J1048576"/>
    </sheetView>
  </sheetViews>
  <sheetFormatPr defaultRowHeight="16.5" x14ac:dyDescent="0.3"/>
  <cols>
    <col min="1" max="1" width="10" style="39" customWidth="1"/>
    <col min="2" max="5" width="12" style="39" customWidth="1"/>
    <col min="6" max="6" width="13.625" style="39" customWidth="1"/>
    <col min="7" max="9" width="12" style="39" customWidth="1"/>
    <col min="10" max="10" width="15.75" style="39" customWidth="1"/>
    <col min="11" max="11" width="27.625" style="39" customWidth="1"/>
    <col min="13" max="13" width="20" customWidth="1"/>
    <col min="14" max="14" width="13" customWidth="1"/>
    <col min="15" max="15" width="44" customWidth="1"/>
  </cols>
  <sheetData>
    <row r="1" spans="1:15" x14ac:dyDescent="0.3">
      <c r="A1" s="34" t="s">
        <v>85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5" x14ac:dyDescent="0.3">
      <c r="A2" s="30" t="str">
        <f>IF('1.설계입력'!$C$6/('1.설계입력'!$C$8*'1.설계입력'!$C$15)&gt;1,"phi 0~360도 전체 윤곽입니다. 표준 치형과 수정 치형을 나란히 냅니다.","경고: 구동 조건 위반. [1.설계입력] 을 먼저 고치세요. 아래 좌표는 물리적으로 무효입니다.")</f>
        <v>phi 0~360도 전체 윤곽입니다. 표준 치형과 수정 치형을 나란히 냅니다.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4" spans="1:15" x14ac:dyDescent="0.3">
      <c r="A4" s="15" t="s">
        <v>86</v>
      </c>
      <c r="B4" s="15" t="s">
        <v>87</v>
      </c>
      <c r="C4" s="15" t="s">
        <v>88</v>
      </c>
      <c r="D4" s="15" t="s">
        <v>89</v>
      </c>
      <c r="E4" s="15" t="s">
        <v>90</v>
      </c>
      <c r="F4" s="15" t="s">
        <v>91</v>
      </c>
      <c r="G4" s="15" t="s">
        <v>92</v>
      </c>
      <c r="H4" s="15" t="s">
        <v>93</v>
      </c>
      <c r="I4" s="15" t="s">
        <v>94</v>
      </c>
      <c r="J4" s="15" t="s">
        <v>95</v>
      </c>
      <c r="K4" s="15" t="s">
        <v>96</v>
      </c>
      <c r="M4" s="35" t="s">
        <v>97</v>
      </c>
      <c r="N4" s="31"/>
      <c r="O4" s="31"/>
    </row>
    <row r="5" spans="1:15" x14ac:dyDescent="0.3">
      <c r="A5" s="16" t="s">
        <v>98</v>
      </c>
      <c r="B5" s="16" t="s">
        <v>99</v>
      </c>
      <c r="C5" s="16" t="s">
        <v>100</v>
      </c>
      <c r="D5" s="16" t="s">
        <v>101</v>
      </c>
      <c r="E5" s="16" t="s">
        <v>101</v>
      </c>
      <c r="F5" s="16" t="s">
        <v>102</v>
      </c>
      <c r="G5" s="16" t="s">
        <v>103</v>
      </c>
      <c r="H5" s="16" t="s">
        <v>103</v>
      </c>
      <c r="I5" s="16" t="s">
        <v>104</v>
      </c>
      <c r="J5" s="16" t="s">
        <v>104</v>
      </c>
      <c r="K5" s="16" t="s">
        <v>105</v>
      </c>
      <c r="M5" s="3" t="s">
        <v>106</v>
      </c>
      <c r="N5" s="11">
        <f>MAX(I6:I1805)</f>
        <v>79.5</v>
      </c>
      <c r="O5" s="2" t="s">
        <v>107</v>
      </c>
    </row>
    <row r="6" spans="1:15" x14ac:dyDescent="0.3">
      <c r="A6" s="40">
        <f>0</f>
        <v>0</v>
      </c>
      <c r="B6" s="40">
        <f t="shared" ref="B6:B69" si="0">RADIANS(A6)</f>
        <v>0</v>
      </c>
      <c r="C6" s="40">
        <f>ATAN2('1.설계입력'!$C$6/('1.설계입력'!$C$8*'1.설계입력'!$C$15)-COS((1-'1.설계입력'!$C$15)*B6),SIN((1-'1.설계입력'!$C$15)*B6))</f>
        <v>0</v>
      </c>
      <c r="D6" s="40">
        <f>'1.설계입력'!$C$6*COS(B6)-'1.설계입력'!$C$7*COS(B6+C6)-'1.설계입력'!$C$8*COS('1.설계입력'!$C$15*B6)</f>
        <v>76.5</v>
      </c>
      <c r="E6" s="40">
        <f>-'1.설계입력'!$C$6*SIN(B6)+'1.설계입력'!$C$7*SIN(B6+C6)+'1.설계입력'!$C$8*SIN('1.설계입력'!$C$15*B6)</f>
        <v>0</v>
      </c>
      <c r="F6" s="40">
        <f>ATAN2(('1.설계입력'!$C$6+'1.설계입력'!$C$33)/('1.설계입력'!$C$8*'1.설계입력'!$C$15)-COS((1-'1.설계입력'!$C$15)*B6),SIN((1-'1.설계입력'!$C$15)*B6))</f>
        <v>0</v>
      </c>
      <c r="G6" s="40">
        <f>('1.설계입력'!$C$6+'1.설계입력'!$C$33)*COS(B6)-('1.설계입력'!$C$7+'1.설계입력'!$C$34)*COS(B6+F6)-'1.설계입력'!$C$8*COS('1.설계입력'!$C$15*B6)</f>
        <v>76.488799999999998</v>
      </c>
      <c r="H6" s="40">
        <f>-('1.설계입력'!$C$6+'1.설계입력'!$C$33)*SIN(B6)+('1.설계입력'!$C$7+'1.설계입력'!$C$34)*SIN(B6+F6)+'1.설계입력'!$C$8*SIN('1.설계입력'!$C$15*B6)</f>
        <v>0</v>
      </c>
      <c r="I6" s="40">
        <f t="shared" ref="I6:I69" si="1">SQRT(D6^2+E6^2)</f>
        <v>76.5</v>
      </c>
      <c r="J6" s="40">
        <f t="shared" ref="J6:J69" si="2">SQRT(G6^2+H6^2)</f>
        <v>76.488799999999998</v>
      </c>
      <c r="K6" s="38">
        <f>IF(OR(A6&gt;180,'1.설계입력'!$C$39&gt;=1),"",'1.설계입력'!$C$34*(1-SIN(B6)/SQRT(1+'1.설계입력'!$C$39^2-2*'1.설계입력'!$C$39*COS(B6)))-'1.설계입력'!$C$33*(1-'1.설계입력'!$C$39*COS(B6)-SQRT(MAX(0,1-'1.설계입력'!$C$39^2))*SIN(B6))/SQRT(1+'1.설계입력'!$C$39^2-2*'1.설계입력'!$C$39*COS(B6)))</f>
        <v>1.1199999999999998E-2</v>
      </c>
      <c r="M6" s="3" t="s">
        <v>108</v>
      </c>
      <c r="N6" s="11">
        <f>MIN(I6:I1805)</f>
        <v>76.5</v>
      </c>
      <c r="O6" s="2" t="s">
        <v>109</v>
      </c>
    </row>
    <row r="7" spans="1:15" x14ac:dyDescent="0.3">
      <c r="A7" s="40">
        <f>A6+'1.설계입력'!$C$12</f>
        <v>0.2</v>
      </c>
      <c r="B7" s="40">
        <f t="shared" si="0"/>
        <v>3.4906585039886592E-3</v>
      </c>
      <c r="C7" s="40">
        <f>ATAN2('1.설계입력'!$C$6/('1.설계입력'!$C$8*'1.설계입력'!$C$15)-COS((1-'1.설계입력'!$C$15)*B7),SIN((1-'1.설계입력'!$C$15)*B7))</f>
        <v>-0.34646145687223634</v>
      </c>
      <c r="D7" s="40">
        <f>'1.설계입력'!$C$6*COS(B7)-'1.설계입력'!$C$7*COS(B7+C7)-'1.설계입력'!$C$8*COS('1.설계입력'!$C$15*B7)</f>
        <v>76.747059189340447</v>
      </c>
      <c r="E7" s="40">
        <f>-'1.설계입력'!$C$6*SIN(B7)+'1.설계입력'!$C$7*SIN(B7+C7)+'1.설계입력'!$C$8*SIN('1.설계입력'!$C$15*B7)</f>
        <v>-1.4226191663090237</v>
      </c>
      <c r="F7" s="40">
        <f>ATAN2(('1.설계입력'!$C$6+'1.설계입력'!$C$33)/('1.설계입력'!$C$8*'1.설계입력'!$C$15)-COS((1-'1.설계입력'!$C$15)*B7),SIN((1-'1.설계입력'!$C$15)*B7))</f>
        <v>-0.34650536009869232</v>
      </c>
      <c r="G7" s="40">
        <f>('1.설계입력'!$C$6+'1.설계입력'!$C$33)*COS(B7)-('1.설계입력'!$C$7+'1.설계입력'!$C$34)*COS(B7+F7)-'1.설계입력'!$C$8*COS('1.설계입력'!$C$15*B7)</f>
        <v>76.736390133427179</v>
      </c>
      <c r="H7" s="40">
        <f>-('1.설계입력'!$C$6+'1.설계입력'!$C$33)*SIN(B7)+('1.설계입력'!$C$7+'1.설계입력'!$C$34)*SIN(B7+F7)+'1.설계입력'!$C$8*SIN('1.설계입력'!$C$15*B7)</f>
        <v>-1.4254979835062305</v>
      </c>
      <c r="I7" s="40">
        <f t="shared" si="1"/>
        <v>76.760243222025267</v>
      </c>
      <c r="J7" s="40">
        <f t="shared" si="2"/>
        <v>76.749629414157567</v>
      </c>
      <c r="K7" s="38">
        <f>IF(OR(A7&gt;180,'1.설계입력'!$C$39&gt;=1),"",'1.설계입력'!$C$34*(1-SIN(B7)/SQRT(1+'1.설계입력'!$C$39^2-2*'1.설계입력'!$C$39*COS(B7)))-'1.설계입력'!$C$33*(1-'1.설계입력'!$C$39*COS(B7)-SQRT(MAX(0,1-'1.설계입력'!$C$39^2))*SIN(B7))/SQRT(1+'1.설계입력'!$C$39^2-2*'1.설계입력'!$C$39*COS(B7)))</f>
        <v>1.1066977623391986E-2</v>
      </c>
      <c r="M7" s="3" t="s">
        <v>110</v>
      </c>
      <c r="N7" s="11">
        <f>MAX(I6:I1805)-MIN(I6:I1805)</f>
        <v>3</v>
      </c>
      <c r="O7" s="2" t="s">
        <v>111</v>
      </c>
    </row>
    <row r="8" spans="1:15" x14ac:dyDescent="0.3">
      <c r="A8" s="40">
        <f>A7+'1.설계입력'!$C$12</f>
        <v>0.4</v>
      </c>
      <c r="B8" s="40">
        <f t="shared" si="0"/>
        <v>6.9813170079773184E-3</v>
      </c>
      <c r="C8" s="40">
        <f>ATAN2('1.설계입력'!$C$6/('1.설계입력'!$C$8*'1.설계입력'!$C$15)-COS((1-'1.설계입력'!$C$15)*B8),SIN((1-'1.설계입력'!$C$15)*B8))</f>
        <v>-0.58786033362768941</v>
      </c>
      <c r="D8" s="40">
        <f>'1.설계입력'!$C$6*COS(B8)-'1.설계입력'!$C$7*COS(B8+C8)-'1.설계입력'!$C$8*COS('1.설계입력'!$C$15*B8)</f>
        <v>77.21218675523923</v>
      </c>
      <c r="E8" s="40">
        <f>-'1.설계입력'!$C$6*SIN(B8)+'1.설계입력'!$C$7*SIN(B8+C8)+'1.설계입력'!$C$8*SIN('1.설계입력'!$C$15*B8)</f>
        <v>-2.3540432688967785</v>
      </c>
      <c r="F8" s="40">
        <f>ATAN2(('1.설계입력'!$C$6+'1.설계입력'!$C$33)/('1.설계입력'!$C$8*'1.설계입력'!$C$15)-COS((1-'1.설계입력'!$C$15)*B8),SIN((1-'1.설계입력'!$C$15)*B8))</f>
        <v>-0.58791942953258425</v>
      </c>
      <c r="G8" s="40">
        <f>('1.설계입력'!$C$6+'1.설계입력'!$C$33)*COS(B8)-('1.설계입력'!$C$7+'1.설계입력'!$C$34)*COS(B8+F8)-'1.설계입력'!$C$8*COS('1.설계입력'!$C$15*B8)</f>
        <v>77.202445374051422</v>
      </c>
      <c r="H8" s="40">
        <f>-('1.설계입력'!$C$6+'1.설계입력'!$C$33)*SIN(B8)+('1.설계입력'!$C$7+'1.설계입력'!$C$34)*SIN(B8+F8)+'1.설계입력'!$C$8*SIN('1.설계입력'!$C$15*B8)</f>
        <v>-2.3586645832501976</v>
      </c>
      <c r="I8" s="40">
        <f t="shared" si="1"/>
        <v>77.248063427103332</v>
      </c>
      <c r="J8" s="40">
        <f t="shared" si="2"/>
        <v>77.238467555678966</v>
      </c>
      <c r="K8" s="38">
        <f>IF(OR(A8&gt;180,'1.설계입력'!$C$39&gt;=1),"",'1.설계입력'!$C$34*(1-SIN(B8)/SQRT(1+'1.설계입력'!$C$39^2-2*'1.설계입력'!$C$39*COS(B8)))-'1.설계입력'!$C$33*(1-'1.설계입력'!$C$39*COS(B8)-SQRT(MAX(0,1-'1.설계입력'!$C$39^2))*SIN(B8))/SQRT(1+'1.설계입력'!$C$39^2-2*'1.설계입력'!$C$39*COS(B8)))</f>
        <v>1.0933725409071331E-2</v>
      </c>
      <c r="M8" s="3" t="s">
        <v>112</v>
      </c>
      <c r="N8" s="11">
        <f>'1.설계입력'!$C$6-'1.설계입력'!$C$7+'1.설계입력'!$C$8</f>
        <v>79.5</v>
      </c>
      <c r="O8" s="2" t="s">
        <v>113</v>
      </c>
    </row>
    <row r="9" spans="1:15" x14ac:dyDescent="0.3">
      <c r="A9" s="40">
        <f>A8+'1.설계입력'!$C$12</f>
        <v>0.60000000000000009</v>
      </c>
      <c r="B9" s="40">
        <f t="shared" si="0"/>
        <v>1.0471975511965978E-2</v>
      </c>
      <c r="C9" s="40">
        <f>ATAN2('1.설계입력'!$C$6/('1.설계입력'!$C$8*'1.설계입력'!$C$15)-COS((1-'1.설계입력'!$C$15)*B9),SIN((1-'1.설계입력'!$C$15)*B9))</f>
        <v>-0.72429172953416965</v>
      </c>
      <c r="D9" s="40">
        <f>'1.설계입력'!$C$6*COS(B9)-'1.설계입력'!$C$7*COS(B9+C9)-'1.설계입력'!$C$8*COS('1.설계입력'!$C$15*B9)</f>
        <v>77.601719681764521</v>
      </c>
      <c r="E9" s="40">
        <f>-'1.설계입력'!$C$6*SIN(B9)+'1.설계입력'!$C$7*SIN(B9+C9)+'1.설계입력'!$C$8*SIN('1.설계입력'!$C$15*B9)</f>
        <v>-2.8674843909669923</v>
      </c>
      <c r="F9" s="40">
        <f>ATAN2(('1.설계입력'!$C$6+'1.설계입력'!$C$33)/('1.설계입력'!$C$8*'1.설계입력'!$C$15)-COS((1-'1.설계입력'!$C$15)*B9),SIN((1-'1.설계입력'!$C$15)*B9))</f>
        <v>-0.7243488505363872</v>
      </c>
      <c r="G9" s="40">
        <f>('1.설계입력'!$C$6+'1.설계입력'!$C$33)*COS(B9)-('1.설계입력'!$C$7+'1.설계입력'!$C$34)*COS(B9+F9)-'1.설계입력'!$C$8*COS('1.설계입력'!$C$15*B9)</f>
        <v>77.592647235287885</v>
      </c>
      <c r="H9" s="40">
        <f>-('1.설계입력'!$C$6+'1.설계입력'!$C$33)*SIN(B9)+('1.설계입력'!$C$7+'1.설계입력'!$C$34)*SIN(B9+F9)+'1.설계입력'!$C$8*SIN('1.설계입력'!$C$15*B9)</f>
        <v>-2.872928255981166</v>
      </c>
      <c r="I9" s="40">
        <f t="shared" si="1"/>
        <v>77.654680247230417</v>
      </c>
      <c r="J9" s="40">
        <f t="shared" si="2"/>
        <v>77.645815223641279</v>
      </c>
      <c r="K9" s="38">
        <f>IF(OR(A9&gt;180,'1.설계입력'!$C$39&gt;=1),"",'1.설계입력'!$C$34*(1-SIN(B9)/SQRT(1+'1.설계입력'!$C$39^2-2*'1.설계입력'!$C$39*COS(B9)))-'1.설계입력'!$C$33*(1-'1.설계입력'!$C$39*COS(B9)-SQRT(MAX(0,1-'1.설계입력'!$C$39^2))*SIN(B9))/SQRT(1+'1.설계입력'!$C$39^2-2*'1.설계입력'!$C$39*COS(B9)))</f>
        <v>1.0800294781499516E-2</v>
      </c>
      <c r="M9" s="3" t="s">
        <v>114</v>
      </c>
      <c r="N9" s="11">
        <f>'1.설계입력'!$C$6-'1.설계입력'!$C$7-'1.설계입력'!$C$8</f>
        <v>76.5</v>
      </c>
      <c r="O9" s="2" t="s">
        <v>115</v>
      </c>
    </row>
    <row r="10" spans="1:15" x14ac:dyDescent="0.3">
      <c r="A10" s="40">
        <f>A9+'1.설계입력'!$C$12</f>
        <v>0.8</v>
      </c>
      <c r="B10" s="40">
        <f t="shared" si="0"/>
        <v>1.3962634015954637E-2</v>
      </c>
      <c r="C10" s="40">
        <f>ATAN2('1.설계입력'!$C$6/('1.설계입력'!$C$8*'1.설계입력'!$C$15)-COS((1-'1.설계입력'!$C$15)*B10),SIN((1-'1.설계입력'!$C$15)*B10))</f>
        <v>-0.79193106442696881</v>
      </c>
      <c r="D10" s="40">
        <f>'1.설계입력'!$C$6*COS(B10)-'1.설계입력'!$C$7*COS(B10+C10)-'1.설계입력'!$C$8*COS('1.설계입력'!$C$15*B10)</f>
        <v>77.870571500357343</v>
      </c>
      <c r="E10" s="40">
        <f>-'1.설계입력'!$C$6*SIN(B10)+'1.설계입력'!$C$7*SIN(B10+C10)+'1.설계입력'!$C$8*SIN('1.설계입력'!$C$15*B10)</f>
        <v>-3.1573546856856565</v>
      </c>
      <c r="F10" s="40">
        <f>ATAN2(('1.설계입력'!$C$6+'1.설계입력'!$C$33)/('1.설계입력'!$C$8*'1.설계입력'!$C$15)-COS((1-'1.설계입력'!$C$15)*B10),SIN((1-'1.설계입력'!$C$15)*B10))</f>
        <v>-0.79198158720187073</v>
      </c>
      <c r="G10" s="40">
        <f>('1.설계입력'!$C$6+'1.설계입력'!$C$33)*COS(B10)-('1.설계입력'!$C$7+'1.설계입력'!$C$34)*COS(B10+F10)-'1.설계입력'!$C$8*COS('1.설계입력'!$C$15*B10)</f>
        <v>77.861843967003765</v>
      </c>
      <c r="H10" s="40">
        <f>-('1.설계입력'!$C$6+'1.설계입력'!$C$33)*SIN(B10)+('1.설계입력'!$C$7+'1.설계입력'!$C$34)*SIN(B10+F10)+'1.설계입력'!$C$8*SIN('1.설계입력'!$C$15*B10)</f>
        <v>-3.1631405015509308</v>
      </c>
      <c r="I10" s="40">
        <f t="shared" si="1"/>
        <v>77.934554559601395</v>
      </c>
      <c r="J10" s="40">
        <f t="shared" si="2"/>
        <v>77.926068833058636</v>
      </c>
      <c r="K10" s="38">
        <f>IF(OR(A10&gt;180,'1.설계입력'!$C$39&gt;=1),"",'1.설계입력'!$C$34*(1-SIN(B10)/SQRT(1+'1.설계입력'!$C$39^2-2*'1.설계입력'!$C$39*COS(B10)))-'1.설계입력'!$C$33*(1-'1.설계입력'!$C$39*COS(B10)-SQRT(MAX(0,1-'1.설계입력'!$C$39^2))*SIN(B10))/SQRT(1+'1.설계입력'!$C$39^2-2*'1.설계입력'!$C$39*COS(B10)))</f>
        <v>1.0666737328815942E-2</v>
      </c>
      <c r="M10" s="3" t="s">
        <v>116</v>
      </c>
      <c r="N10" s="11">
        <f>2*'1.설계입력'!$C$8</f>
        <v>3</v>
      </c>
      <c r="O10" s="2" t="s">
        <v>117</v>
      </c>
    </row>
    <row r="11" spans="1:15" x14ac:dyDescent="0.3">
      <c r="A11" s="40">
        <f>A10+'1.설계입력'!$C$12</f>
        <v>1</v>
      </c>
      <c r="B11" s="40">
        <f t="shared" si="0"/>
        <v>1.7453292519943295E-2</v>
      </c>
      <c r="C11" s="40">
        <f>ATAN2('1.설계입력'!$C$6/('1.설계입력'!$C$8*'1.설계입력'!$C$15)-COS((1-'1.설계입력'!$C$15)*B11),SIN((1-'1.설계입력'!$C$15)*B11))</f>
        <v>-0.81804027674260149</v>
      </c>
      <c r="D11" s="40">
        <f>'1.설계입력'!$C$6*COS(B11)-'1.설계입력'!$C$7*COS(B11+C11)-'1.설계입력'!$C$8*COS('1.설계입력'!$C$15*B11)</f>
        <v>78.053302287591009</v>
      </c>
      <c r="E11" s="40">
        <f>-'1.설계입력'!$C$6*SIN(B11)+'1.설계입력'!$C$7*SIN(B11+C11)+'1.설계입력'!$C$8*SIN('1.설계입력'!$C$15*B11)</f>
        <v>-3.3379756058856671</v>
      </c>
      <c r="F11" s="40">
        <f>ATAN2(('1.설계입력'!$C$6+'1.설계입력'!$C$33)/('1.설계입력'!$C$8*'1.설계입력'!$C$15)-COS((1-'1.설계입력'!$C$15)*B11),SIN((1-'1.설계입력'!$C$15)*B11))</f>
        <v>-0.8180840060932284</v>
      </c>
      <c r="G11" s="40">
        <f>('1.설계입력'!$C$6+'1.설계입력'!$C$33)*COS(B11)-('1.설계입력'!$C$7+'1.설계입력'!$C$34)*COS(B11+F11)-'1.설계입력'!$C$8*COS('1.설계입력'!$C$15*B11)</f>
        <v>78.044688653565814</v>
      </c>
      <c r="H11" s="40">
        <f>-('1.설계입력'!$C$6+'1.설계입력'!$C$33)*SIN(B11)+('1.설계입력'!$C$7+'1.설계입력'!$C$34)*SIN(B11+F11)+'1.설계입력'!$C$8*SIN('1.설계입력'!$C$15*B11)</f>
        <v>-3.343857435635436</v>
      </c>
      <c r="I11" s="40">
        <f t="shared" si="1"/>
        <v>78.124644505709895</v>
      </c>
      <c r="J11" s="40">
        <f t="shared" si="2"/>
        <v>78.116290295826772</v>
      </c>
      <c r="K11" s="38">
        <f>IF(OR(A11&gt;180,'1.설계입력'!$C$39&gt;=1),"",'1.설계입력'!$C$34*(1-SIN(B11)/SQRT(1+'1.설계입력'!$C$39^2-2*'1.설계입력'!$C$39*COS(B11)))-'1.설계입력'!$C$33*(1-'1.설계입력'!$C$39*COS(B11)-SQRT(MAX(0,1-'1.설계입력'!$C$39^2))*SIN(B11))/SQRT(1+'1.설계입력'!$C$39^2-2*'1.설계입력'!$C$39*COS(B11)))</f>
        <v>1.0533104706578752E-2</v>
      </c>
      <c r="M11" s="3" t="s">
        <v>118</v>
      </c>
      <c r="N11" s="11">
        <f>MAX(J6:J1805)</f>
        <v>79.488800000000012</v>
      </c>
      <c r="O11" s="2" t="s">
        <v>119</v>
      </c>
    </row>
    <row r="12" spans="1:15" x14ac:dyDescent="0.3">
      <c r="A12" s="40">
        <f>A11+'1.설계입력'!$C$12</f>
        <v>1.2</v>
      </c>
      <c r="B12" s="40">
        <f t="shared" si="0"/>
        <v>2.0943951023931952E-2</v>
      </c>
      <c r="C12" s="40">
        <f>ATAN2('1.설계입력'!$C$6/('1.설계입력'!$C$8*'1.설계입력'!$C$15)-COS((1-'1.설계입력'!$C$15)*B12),SIN((1-'1.설계입력'!$C$15)*B12))</f>
        <v>-0.81858663793107489</v>
      </c>
      <c r="D12" s="40">
        <f>'1.설계입력'!$C$6*COS(B12)-'1.설계입력'!$C$7*COS(B12+C12)-'1.설계입력'!$C$8*COS('1.설계입력'!$C$15*B12)</f>
        <v>78.184736915744026</v>
      </c>
      <c r="E12" s="40">
        <f>-'1.설계입력'!$C$6*SIN(B12)+'1.설계입력'!$C$7*SIN(B12+C12)+'1.설계입력'!$C$8*SIN('1.설계입력'!$C$15*B12)</f>
        <v>-3.4654081659259415</v>
      </c>
      <c r="F12" s="40">
        <f>ATAN2(('1.설계입력'!$C$6+'1.설계입력'!$C$33)/('1.설계입력'!$C$8*'1.설계입력'!$C$15)-COS((1-'1.설계입력'!$C$15)*B12),SIN((1-'1.설계입력'!$C$15)*B12))</f>
        <v>-0.81862442801606061</v>
      </c>
      <c r="G12" s="40">
        <f>('1.설계입력'!$C$6+'1.설계입력'!$C$33)*COS(B12)-('1.설계입력'!$C$7+'1.설계입력'!$C$34)*COS(B12+F12)-'1.설계입력'!$C$8*COS('1.설계입력'!$C$15*B12)</f>
        <v>78.176088997913794</v>
      </c>
      <c r="H12" s="40">
        <f>-('1.설계입력'!$C$6+'1.설계입력'!$C$33)*SIN(B12)+('1.설계입력'!$C$7+'1.설계입력'!$C$34)*SIN(B12+F12)+'1.설계입력'!$C$8*SIN('1.설계입력'!$C$15*B12)</f>
        <v>-3.4712462910237161</v>
      </c>
      <c r="I12" s="40">
        <f t="shared" si="1"/>
        <v>78.261498454479991</v>
      </c>
      <c r="J12" s="40">
        <f t="shared" si="2"/>
        <v>78.253117777010544</v>
      </c>
      <c r="K12" s="38">
        <f>IF(OR(A12&gt;180,'1.설계입력'!$C$39&gt;=1),"",'1.설계입력'!$C$34*(1-SIN(B12)/SQRT(1+'1.설계입력'!$C$39^2-2*'1.설계입력'!$C$39*COS(B12)))-'1.설계입력'!$C$33*(1-'1.설계입력'!$C$39*COS(B12)-SQRT(MAX(0,1-'1.설계입력'!$C$39^2))*SIN(B12))/SQRT(1+'1.설계입력'!$C$39^2-2*'1.설계입력'!$C$39*COS(B12)))</f>
        <v>1.0399448541628782E-2</v>
      </c>
      <c r="M12" s="3" t="s">
        <v>120</v>
      </c>
      <c r="N12" s="11">
        <f>MIN(J6:J1805)</f>
        <v>76.488799999999983</v>
      </c>
      <c r="O12" s="2" t="s">
        <v>119</v>
      </c>
    </row>
    <row r="13" spans="1:15" x14ac:dyDescent="0.3">
      <c r="A13" s="40">
        <f>A12+'1.설계입력'!$C$12</f>
        <v>1.4</v>
      </c>
      <c r="B13" s="40">
        <f t="shared" si="0"/>
        <v>2.4434609527920613E-2</v>
      </c>
      <c r="C13" s="40">
        <f>ATAN2('1.설계입력'!$C$6/('1.설계입력'!$C$8*'1.설계입력'!$C$15)-COS((1-'1.설계입력'!$C$15)*B13),SIN((1-'1.설계입력'!$C$15)*B13))</f>
        <v>-0.80270817926522664</v>
      </c>
      <c r="D13" s="40">
        <f>'1.설계입력'!$C$6*COS(B13)-'1.설계입력'!$C$7*COS(B13+C13)-'1.설계입력'!$C$8*COS('1.설계입력'!$C$15*B13)</f>
        <v>78.288226243566555</v>
      </c>
      <c r="E13" s="40">
        <f>-'1.설계입력'!$C$6*SIN(B13)+'1.설계입력'!$C$7*SIN(B13+C13)+'1.설계입력'!$C$8*SIN('1.설계입력'!$C$15*B13)</f>
        <v>-3.5680863660066713</v>
      </c>
      <c r="F13" s="40">
        <f>ATAN2(('1.설계입력'!$C$6+'1.설계입력'!$C$33)/('1.설계입력'!$C$8*'1.설계입력'!$C$15)-COS((1-'1.설계입력'!$C$15)*B13),SIN((1-'1.설계입력'!$C$15)*B13))</f>
        <v>-0.80274096964756692</v>
      </c>
      <c r="G13" s="40">
        <f>('1.설계입력'!$C$6+'1.설계입력'!$C$33)*COS(B13)-('1.설계입력'!$C$7+'1.설계입력'!$C$34)*COS(B13+F13)-'1.설계입력'!$C$8*COS('1.설계입력'!$C$15*B13)</f>
        <v>78.279451213244911</v>
      </c>
      <c r="H13" s="40">
        <f>-('1.설계입력'!$C$6+'1.설계입력'!$C$33)*SIN(B13)+('1.설계입력'!$C$7+'1.설계입력'!$C$34)*SIN(B13+F13)+'1.설계입력'!$C$8*SIN('1.설계입력'!$C$15*B13)</f>
        <v>-3.5737908308388091</v>
      </c>
      <c r="I13" s="40">
        <f t="shared" si="1"/>
        <v>78.369494120347269</v>
      </c>
      <c r="J13" s="40">
        <f t="shared" si="2"/>
        <v>78.360988145565003</v>
      </c>
      <c r="K13" s="38">
        <f>IF(OR(A13&gt;180,'1.설계입력'!$C$39&gt;=1),"",'1.설계입력'!$C$34*(1-SIN(B13)/SQRT(1+'1.설계입력'!$C$39^2-2*'1.설계입력'!$C$39*COS(B13)))-'1.설계입력'!$C$33*(1-'1.설계입력'!$C$39*COS(B13)-SQRT(MAX(0,1-'1.설계입력'!$C$39^2))*SIN(B13))/SQRT(1+'1.설계입력'!$C$39^2-2*'1.설계입력'!$C$39*COS(B13)))</f>
        <v>1.0265820336493906E-2</v>
      </c>
      <c r="M13" s="3" t="s">
        <v>121</v>
      </c>
      <c r="N13" s="9">
        <f>MAX(I6:I1805)-MAX(J6:J1805)</f>
        <v>1.1199999999988108E-2</v>
      </c>
      <c r="O13" s="2" t="s">
        <v>122</v>
      </c>
    </row>
    <row r="14" spans="1:15" x14ac:dyDescent="0.3">
      <c r="A14" s="40">
        <f>A13+'1.설계입력'!$C$12</f>
        <v>1.5999999999999999</v>
      </c>
      <c r="B14" s="40">
        <f t="shared" si="0"/>
        <v>2.792526803190927E-2</v>
      </c>
      <c r="C14" s="40">
        <f>ATAN2('1.설계입력'!$C$6/('1.설계입력'!$C$8*'1.설계입력'!$C$15)-COS((1-'1.설계입력'!$C$15)*B14),SIN((1-'1.설계입력'!$C$15)*B14))</f>
        <v>-0.77580564375860617</v>
      </c>
      <c r="D14" s="40">
        <f>'1.설계입력'!$C$6*COS(B14)-'1.설계입력'!$C$7*COS(B14+C14)-'1.설계입력'!$C$8*COS('1.설계입력'!$C$15*B14)</f>
        <v>78.377944544383567</v>
      </c>
      <c r="E14" s="40">
        <f>-'1.설계입력'!$C$6*SIN(B14)+'1.설계입력'!$C$7*SIN(B14+C14)+'1.설계입력'!$C$8*SIN('1.설계입력'!$C$15*B14)</f>
        <v>-3.6617286037340566</v>
      </c>
      <c r="F14" s="40">
        <f>ATAN2(('1.설계입력'!$C$6+'1.설계입력'!$C$33)/('1.설계입력'!$C$8*'1.설계입력'!$C$15)-COS((1-'1.설계입력'!$C$15)*B14),SIN((1-'1.설계입력'!$C$15)*B14))</f>
        <v>-0.77583423593460665</v>
      </c>
      <c r="G14" s="40">
        <f>('1.설계입력'!$C$6+'1.설계입력'!$C$33)*COS(B14)-('1.설계입력'!$C$7+'1.설계입력'!$C$34)*COS(B14+F14)-'1.설계입력'!$C$8*COS('1.설계입력'!$C$15*B14)</f>
        <v>78.368985322783587</v>
      </c>
      <c r="H14" s="40">
        <f>-('1.설계입력'!$C$6+'1.설계입력'!$C$33)*SIN(B14)+('1.설계입력'!$C$7+'1.설계입력'!$C$34)*SIN(B14+F14)+'1.설계입력'!$C$8*SIN('1.설계입력'!$C$15*B14)</f>
        <v>-3.6672347619203727</v>
      </c>
      <c r="I14" s="40">
        <f t="shared" si="1"/>
        <v>78.463433823468804</v>
      </c>
      <c r="J14" s="40">
        <f t="shared" si="2"/>
        <v>78.454741547733789</v>
      </c>
      <c r="K14" s="38">
        <f>IF(OR(A14&gt;180,'1.설계입력'!$C$39&gt;=1),"",'1.설계입력'!$C$34*(1-SIN(B14)/SQRT(1+'1.설계입력'!$C$39^2-2*'1.설계입력'!$C$39*COS(B14)))-'1.설계입력'!$C$33*(1-'1.설계입력'!$C$39*COS(B14)-SQRT(MAX(0,1-'1.설계입력'!$C$39^2))*SIN(B14))/SQRT(1+'1.설계입력'!$C$39^2-2*'1.설계입력'!$C$39*COS(B14)))</f>
        <v>1.0132271374744808E-2</v>
      </c>
      <c r="M14" s="3" t="s">
        <v>123</v>
      </c>
      <c r="N14" s="9">
        <f>MAX(K6:K1805)</f>
        <v>1.1199999999999998E-2</v>
      </c>
      <c r="O14" s="2" t="s">
        <v>124</v>
      </c>
    </row>
    <row r="15" spans="1:15" x14ac:dyDescent="0.3">
      <c r="A15" s="40">
        <f>A14+'1.설계입력'!$C$12</f>
        <v>1.7999999999999998</v>
      </c>
      <c r="B15" s="40">
        <f t="shared" si="0"/>
        <v>3.1415926535897927E-2</v>
      </c>
      <c r="C15" s="40">
        <f>ATAN2('1.설계입력'!$C$6/('1.설계입력'!$C$8*'1.설계입력'!$C$15)-COS((1-'1.설계입력'!$C$15)*B15),SIN((1-'1.설계입력'!$C$15)*B15))</f>
        <v>-0.74121343056081734</v>
      </c>
      <c r="D15" s="40">
        <f>'1.설계입력'!$C$6*COS(B15)-'1.설계입력'!$C$7*COS(B15+C15)-'1.설계입력'!$C$8*COS('1.설계입력'!$C$15*B15)</f>
        <v>78.462037041801608</v>
      </c>
      <c r="E15" s="40">
        <f>-'1.설계입력'!$C$6*SIN(B15)+'1.설계입력'!$C$7*SIN(B15+C15)+'1.설계입력'!$C$8*SIN('1.설계입력'!$C$15*B15)</f>
        <v>-3.7558182396875708</v>
      </c>
      <c r="F15" s="40">
        <f>ATAN2(('1.설계입력'!$C$6+'1.설계입력'!$C$33)/('1.설계입력'!$C$8*'1.설계입력'!$C$15)-COS((1-'1.설계입력'!$C$15)*B15),SIN((1-'1.설계입력'!$C$15)*B15))</f>
        <v>-0.74123846462517462</v>
      </c>
      <c r="G15" s="40">
        <f>('1.설계입력'!$C$6+'1.설계입력'!$C$33)*COS(B15)-('1.설계입력'!$C$7+'1.설계입력'!$C$34)*COS(B15+F15)-'1.설계입력'!$C$8*COS('1.설계입력'!$C$15*B15)</f>
        <v>78.452860161158995</v>
      </c>
      <c r="H15" s="40">
        <f>-('1.설계입력'!$C$6+'1.설계입력'!$C$33)*SIN(B15)+('1.설계입력'!$C$7+'1.설계입력'!$C$34)*SIN(B15+F15)+'1.설계입력'!$C$8*SIN('1.설계입력'!$C$15*B15)</f>
        <v>-3.7610755816147634</v>
      </c>
      <c r="I15" s="40">
        <f t="shared" si="1"/>
        <v>78.551877300282371</v>
      </c>
      <c r="J15" s="40">
        <f t="shared" si="2"/>
        <v>78.542962491855292</v>
      </c>
      <c r="K15" s="38">
        <f>IF(OR(A15&gt;180,'1.설계입력'!$C$39&gt;=1),"",'1.설계입력'!$C$34*(1-SIN(B15)/SQRT(1+'1.설계입력'!$C$39^2-2*'1.설계입력'!$C$39*COS(B15)))-'1.설계입력'!$C$33*(1-'1.설계입력'!$C$39*COS(B15)-SQRT(MAX(0,1-'1.설계입력'!$C$39^2))*SIN(B15))/SQRT(1+'1.설계입력'!$C$39^2-2*'1.설계입력'!$C$39*COS(B15)))</f>
        <v>9.9988526277040891E-3</v>
      </c>
      <c r="M15" s="3" t="s">
        <v>125</v>
      </c>
      <c r="N15" s="8">
        <f>COUNT(A6:A1805)</f>
        <v>1800</v>
      </c>
      <c r="O15" s="2" t="s">
        <v>126</v>
      </c>
    </row>
    <row r="16" spans="1:15" x14ac:dyDescent="0.3">
      <c r="A16" s="40">
        <f>A15+'1.설계입력'!$C$12</f>
        <v>1.9999999999999998</v>
      </c>
      <c r="B16" s="40">
        <f t="shared" si="0"/>
        <v>3.4906585039886584E-2</v>
      </c>
      <c r="C16" s="40">
        <f>ATAN2('1.설계입력'!$C$6/('1.설계입력'!$C$8*'1.설계입력'!$C$15)-COS((1-'1.설계입력'!$C$15)*B16),SIN((1-'1.설계입력'!$C$15)*B16))</f>
        <v>-0.70108025199683011</v>
      </c>
      <c r="D16" s="40">
        <f>'1.설계입력'!$C$6*COS(B16)-'1.설계입력'!$C$7*COS(B16+C16)-'1.설계입력'!$C$8*COS('1.설계입력'!$C$15*B16)</f>
        <v>78.544807463491168</v>
      </c>
      <c r="E16" s="40">
        <f>-'1.설계입력'!$C$6*SIN(B16)+'1.설계입력'!$C$7*SIN(B16+C16)+'1.설계입력'!$C$8*SIN('1.설계입력'!$C$15*B16)</f>
        <v>-3.856476243074777</v>
      </c>
      <c r="F16" s="40">
        <f>ATAN2(('1.설계입력'!$C$6+'1.설계입력'!$C$33)/('1.설계입력'!$C$8*'1.설계입력'!$C$15)-COS((1-'1.설계입력'!$C$15)*B16),SIN((1-'1.설계입력'!$C$15)*B16))</f>
        <v>-0.70110223036318919</v>
      </c>
      <c r="G16" s="40">
        <f>('1.설계입력'!$C$6+'1.설계입력'!$C$33)*COS(B16)-('1.설계입력'!$C$7+'1.설계입력'!$C$34)*COS(B16+F16)-'1.설계입력'!$C$8*COS('1.설계입력'!$C$15*B16)</f>
        <v>78.535395636295661</v>
      </c>
      <c r="H16" s="40">
        <f>-('1.설계입력'!$C$6+'1.설계입력'!$C$33)*SIN(B16)+('1.설계입력'!$C$7+'1.설계입력'!$C$34)*SIN(B16+F16)+'1.설계입력'!$C$8*SIN('1.설계입력'!$C$15*B16)</f>
        <v>-3.8614429673780544</v>
      </c>
      <c r="I16" s="40">
        <f t="shared" si="1"/>
        <v>78.639425153610432</v>
      </c>
      <c r="J16" s="40">
        <f t="shared" si="2"/>
        <v>78.630268405619731</v>
      </c>
      <c r="K16" s="38">
        <f>IF(OR(A16&gt;180,'1.설계입력'!$C$39&gt;=1),"",'1.설계입력'!$C$34*(1-SIN(B16)/SQRT(1+'1.설계입력'!$C$39^2-2*'1.설계입력'!$C$39*COS(B16)))-'1.설계입력'!$C$33*(1-'1.설계입력'!$C$39*COS(B16)-SQRT(MAX(0,1-'1.설계입력'!$C$39^2))*SIN(B16))/SQRT(1+'1.설계입력'!$C$39^2-2*'1.설계입력'!$C$39*COS(B16)))</f>
        <v>9.8656146628982224E-3</v>
      </c>
    </row>
    <row r="17" spans="1:15" x14ac:dyDescent="0.3">
      <c r="A17" s="40">
        <f>A16+'1.설계입력'!$C$12</f>
        <v>2.1999999999999997</v>
      </c>
      <c r="B17" s="40">
        <f t="shared" si="0"/>
        <v>3.8397243543875248E-2</v>
      </c>
      <c r="C17" s="40">
        <f>ATAN2('1.설계입력'!$C$6/('1.설계입력'!$C$8*'1.설계입력'!$C$15)-COS((1-'1.설계입력'!$C$15)*B17),SIN((1-'1.설계입력'!$C$15)*B17))</f>
        <v>-0.65684553750096197</v>
      </c>
      <c r="D17" s="40">
        <f>'1.설계입력'!$C$6*COS(B17)-'1.설계입력'!$C$7*COS(B17+C17)-'1.설계입력'!$C$8*COS('1.설계입력'!$C$15*B17)</f>
        <v>78.628093611634</v>
      </c>
      <c r="E17" s="40">
        <f>-'1.설계입력'!$C$6*SIN(B17)+'1.설계입력'!$C$7*SIN(B17+C17)+'1.설계입력'!$C$8*SIN('1.설계입력'!$C$15*B17)</f>
        <v>-3.9678003503241639</v>
      </c>
      <c r="F17" s="40">
        <f>ATAN2(('1.설계입력'!$C$6+'1.설계입력'!$C$33)/('1.설계입력'!$C$8*'1.설계입력'!$C$15)-COS((1-'1.설계입력'!$C$15)*B17),SIN((1-'1.설계입력'!$C$15)*B17))</f>
        <v>-0.65686485424018759</v>
      </c>
      <c r="G17" s="40">
        <f>('1.설계입력'!$C$6+'1.설계입력'!$C$33)*COS(B17)-('1.설계입력'!$C$7+'1.설계입력'!$C$34)*COS(B17+F17)-'1.설계입력'!$C$8*COS('1.설계입력'!$C$15*B17)</f>
        <v>78.618441074615745</v>
      </c>
      <c r="H17" s="40">
        <f>-('1.설계입력'!$C$6+'1.설계입력'!$C$33)*SIN(B17)+('1.설계입력'!$C$7+'1.설계입력'!$C$34)*SIN(B17+F17)+'1.설계입력'!$C$8*SIN('1.설계입력'!$C$15*B17)</f>
        <v>-3.9724405803142853</v>
      </c>
      <c r="I17" s="40">
        <f t="shared" si="1"/>
        <v>78.728143281928809</v>
      </c>
      <c r="J17" s="40">
        <f t="shared" si="2"/>
        <v>78.718737039963713</v>
      </c>
      <c r="K17" s="38">
        <f>IF(OR(A17&gt;180,'1.설계입력'!$C$39&gt;=1),"",'1.설계입력'!$C$34*(1-SIN(B17)/SQRT(1+'1.설계입력'!$C$39^2-2*'1.설계입력'!$C$39*COS(B17)))-'1.설계입력'!$C$33*(1-'1.설계입력'!$C$39*COS(B17)-SQRT(MAX(0,1-'1.설계입력'!$C$39^2))*SIN(B17))/SQRT(1+'1.설계입력'!$C$39^2-2*'1.설계입력'!$C$39*COS(B17)))</f>
        <v>9.7326075546268296E-3</v>
      </c>
      <c r="M17" s="35" t="s">
        <v>127</v>
      </c>
      <c r="N17" s="31"/>
      <c r="O17" s="31"/>
    </row>
    <row r="18" spans="1:15" x14ac:dyDescent="0.3">
      <c r="A18" s="40">
        <f>A17+'1.설계입력'!$C$12</f>
        <v>2.4</v>
      </c>
      <c r="B18" s="40">
        <f t="shared" si="0"/>
        <v>4.1887902047863905E-2</v>
      </c>
      <c r="C18" s="40">
        <f>ATAN2('1.설계입력'!$C$6/('1.설계입력'!$C$8*'1.설계입력'!$C$15)-COS((1-'1.설계입력'!$C$15)*B18),SIN((1-'1.설계입력'!$C$15)*B18))</f>
        <v>-0.60950735154275304</v>
      </c>
      <c r="D18" s="40">
        <f>'1.설계입력'!$C$6*COS(B18)-'1.설계입력'!$C$7*COS(B18+C18)-'1.설계입력'!$C$8*COS('1.설계입력'!$C$15*B18)</f>
        <v>78.712131923963369</v>
      </c>
      <c r="E18" s="40">
        <f>-'1.설계입력'!$C$6*SIN(B18)+'1.설계입력'!$C$7*SIN(B18+C18)+'1.설계입력'!$C$8*SIN('1.설계입력'!$C$15*B18)</f>
        <v>-4.0925260978738791</v>
      </c>
      <c r="F18" s="40">
        <f>ATAN2(('1.설계입력'!$C$6+'1.설계입력'!$C$33)/('1.설계입력'!$C$8*'1.설계입력'!$C$15)-COS((1-'1.설계입력'!$C$15)*B18),SIN((1-'1.설계입력'!$C$15)*B18))</f>
        <v>-0.60952431735150692</v>
      </c>
      <c r="G18" s="40">
        <f>('1.설계입력'!$C$6+'1.설계입력'!$C$33)*COS(B18)-('1.설계입력'!$C$7+'1.설계입력'!$C$34)*COS(B18+F18)-'1.설계입력'!$C$8*COS('1.설계입력'!$C$15*B18)</f>
        <v>78.702241418621867</v>
      </c>
      <c r="H18" s="40">
        <f>-('1.설계입력'!$C$6+'1.설계입력'!$C$33)*SIN(B18)+('1.설계입력'!$C$7+'1.설계입력'!$C$34)*SIN(B18+F18)+'1.설계입력'!$C$8*SIN('1.설계입력'!$C$15*B18)</f>
        <v>-4.0968083933539665</v>
      </c>
      <c r="I18" s="40">
        <f t="shared" si="1"/>
        <v>78.81845267370575</v>
      </c>
      <c r="J18" s="40">
        <f t="shared" si="2"/>
        <v>78.80879800711908</v>
      </c>
      <c r="K18" s="38">
        <f>IF(OR(A18&gt;180,'1.설계입력'!$C$39&gt;=1),"",'1.설계입력'!$C$34*(1-SIN(B18)/SQRT(1+'1.설계입력'!$C$39^2-2*'1.설계입력'!$C$39*COS(B18)))-'1.설계입력'!$C$33*(1-'1.설계입력'!$C$39*COS(B18)-SQRT(MAX(0,1-'1.설계입력'!$C$39^2))*SIN(B18))/SQRT(1+'1.설계입력'!$C$39^2-2*'1.설계입력'!$C$39*COS(B18)))</f>
        <v>9.5998807970057859E-3</v>
      </c>
      <c r="M18" s="3" t="s">
        <v>128</v>
      </c>
      <c r="N18" s="18" t="str">
        <f>IF(ABS(N5-N8)&lt;0.0001,"통과","불일치")</f>
        <v>통과</v>
      </c>
      <c r="O18" s="2" t="s">
        <v>129</v>
      </c>
    </row>
    <row r="19" spans="1:15" x14ac:dyDescent="0.3">
      <c r="A19" s="40">
        <f>A18+'1.설계입력'!$C$12</f>
        <v>2.6</v>
      </c>
      <c r="B19" s="40">
        <f t="shared" si="0"/>
        <v>4.5378560551852569E-2</v>
      </c>
      <c r="C19" s="40">
        <f>ATAN2('1.설계입력'!$C$6/('1.설계입력'!$C$8*'1.설계입력'!$C$15)-COS((1-'1.설계입력'!$C$15)*B19),SIN((1-'1.설계입력'!$C$15)*B19))</f>
        <v>-0.55977923114784367</v>
      </c>
      <c r="D19" s="40">
        <f>'1.설계입력'!$C$6*COS(B19)-'1.설계입력'!$C$7*COS(B19+C19)-'1.설계입력'!$C$8*COS('1.설계입력'!$C$15*B19)</f>
        <v>78.796118539857289</v>
      </c>
      <c r="E19" s="40">
        <f>-'1.설계입력'!$C$6*SIN(B19)+'1.설계입력'!$C$7*SIN(B19+C19)+'1.설계입력'!$C$8*SIN('1.설계입력'!$C$15*B19)</f>
        <v>-4.232374111547057</v>
      </c>
      <c r="F19" s="40">
        <f>ATAN2(('1.설계입력'!$C$6+'1.설계입력'!$C$33)/('1.설계입력'!$C$8*'1.설계입력'!$C$15)-COS((1-'1.설계입력'!$C$15)*B19),SIN((1-'1.설계입력'!$C$15)*B19))</f>
        <v>-0.55979409263060642</v>
      </c>
      <c r="G19" s="40">
        <f>('1.설계입력'!$C$6+'1.설계입력'!$C$33)*COS(B19)-('1.설계입력'!$C$7+'1.설계입력'!$C$34)*COS(B19+F19)-'1.설계입력'!$C$8*COS('1.설계입력'!$C$15*B19)</f>
        <v>78.785999278056309</v>
      </c>
      <c r="H19" s="40">
        <f>-('1.설계입력'!$C$6+'1.설계입력'!$C$33)*SIN(B19)+('1.설계입력'!$C$7+'1.설계입력'!$C$34)*SIN(B19+F19)+'1.설계입력'!$C$8*SIN('1.설계입력'!$C$15*B19)</f>
        <v>-4.2362706504310355</v>
      </c>
      <c r="I19" s="40">
        <f t="shared" si="1"/>
        <v>78.909703380302574</v>
      </c>
      <c r="J19" s="40">
        <f t="shared" si="2"/>
        <v>78.899807802462945</v>
      </c>
      <c r="K19" s="38">
        <f>IF(OR(A19&gt;180,'1.설계입력'!$C$39&gt;=1),"",'1.설계입력'!$C$34*(1-SIN(B19)/SQRT(1+'1.설계입력'!$C$39^2-2*'1.설계입력'!$C$39*COS(B19)))-'1.설계입력'!$C$33*(1-'1.설계입력'!$C$39*COS(B19)-SQRT(MAX(0,1-'1.설계입력'!$C$39^2))*SIN(B19))/SQRT(1+'1.설계입력'!$C$39^2-2*'1.설계입력'!$C$39*COS(B19)))</f>
        <v>9.4674832198206101E-3</v>
      </c>
      <c r="M19" s="3" t="s">
        <v>130</v>
      </c>
      <c r="N19" s="18" t="str">
        <f>IF(ABS(N6-N9)&lt;0.0001,"통과","불일치")</f>
        <v>통과</v>
      </c>
      <c r="O19" s="2" t="s">
        <v>131</v>
      </c>
    </row>
    <row r="20" spans="1:15" x14ac:dyDescent="0.3">
      <c r="A20" s="40">
        <f>A19+'1.설계입력'!$C$12</f>
        <v>2.8000000000000003</v>
      </c>
      <c r="B20" s="40">
        <f t="shared" si="0"/>
        <v>4.8869219055841233E-2</v>
      </c>
      <c r="C20" s="40">
        <f>ATAN2('1.설계입력'!$C$6/('1.설계입력'!$C$8*'1.설계입력'!$C$15)-COS((1-'1.설계입력'!$C$15)*B20),SIN((1-'1.설계입력'!$C$15)*B20))</f>
        <v>-0.50818553785190346</v>
      </c>
      <c r="D20" s="40">
        <f>'1.설계입력'!$C$6*COS(B20)-'1.설계입력'!$C$7*COS(B20+C20)-'1.설계입력'!$C$8*COS('1.설계입력'!$C$15*B20)</f>
        <v>78.878589923874586</v>
      </c>
      <c r="E20" s="40">
        <f>-'1.설계입력'!$C$6*SIN(B20)+'1.설계입력'!$C$7*SIN(B20+C20)+'1.설계입력'!$C$8*SIN('1.설계입력'!$C$15*B20)</f>
        <v>-4.3882468974214639</v>
      </c>
      <c r="F20" s="40">
        <f>ATAN2(('1.설계입력'!$C$6+'1.설계입력'!$C$33)/('1.설계입력'!$C$8*'1.설계입력'!$C$15)-COS((1-'1.설계입력'!$C$15)*B20),SIN((1-'1.설계입력'!$C$15)*B20))</f>
        <v>-0.50819849194267919</v>
      </c>
      <c r="G20" s="40">
        <f>('1.설계입력'!$C$6+'1.설계입력'!$C$33)*COS(B20)-('1.설계입력'!$C$7+'1.설계입력'!$C$34)*COS(B20+F20)-'1.설계입력'!$C$8*COS('1.설계입력'!$C$15*B20)</f>
        <v>78.86825616165892</v>
      </c>
      <c r="H20" s="40">
        <f>-('1.설계입력'!$C$6+'1.설계입력'!$C$33)*SIN(B20)+('1.설계입력'!$C$7+'1.설계입력'!$C$34)*SIN(B20+F20)+'1.설계입력'!$C$8*SIN('1.설계입력'!$C$15*B20)</f>
        <v>-4.3917330195878783</v>
      </c>
      <c r="I20" s="40">
        <f t="shared" si="1"/>
        <v>79.000561132257147</v>
      </c>
      <c r="J20" s="40">
        <f t="shared" si="2"/>
        <v>78.990437072448131</v>
      </c>
      <c r="K20" s="38">
        <f>IF(OR(A20&gt;180,'1.설계입력'!$C$39&gt;=1),"",'1.설계입력'!$C$34*(1-SIN(B20)/SQRT(1+'1.설계입력'!$C$39^2-2*'1.설계입력'!$C$39*COS(B20)))-'1.설계입력'!$C$33*(1-'1.설계입력'!$C$39*COS(B20)-SQRT(MAX(0,1-'1.설계입력'!$C$39^2))*SIN(B20))/SQRT(1+'1.설계입력'!$C$39^2-2*'1.설계입력'!$C$39*COS(B20)))</f>
        <v>9.3354629075039809E-3</v>
      </c>
      <c r="M20" s="3" t="s">
        <v>132</v>
      </c>
      <c r="N20" s="18" t="str">
        <f>IF(ABS(N7-N10)&lt;0.0001,"통과","불일치")</f>
        <v>통과</v>
      </c>
      <c r="O20" s="2" t="s">
        <v>133</v>
      </c>
    </row>
    <row r="21" spans="1:15" x14ac:dyDescent="0.3">
      <c r="A21" s="40">
        <f>A20+'1.설계입력'!$C$12</f>
        <v>3.0000000000000004</v>
      </c>
      <c r="B21" s="40">
        <f t="shared" si="0"/>
        <v>5.2359877559829897E-2</v>
      </c>
      <c r="C21" s="40">
        <f>ATAN2('1.설계입력'!$C$6/('1.설계입력'!$C$8*'1.설계입력'!$C$15)-COS((1-'1.설계입력'!$C$15)*B21),SIN((1-'1.설계입력'!$C$15)*B21))</f>
        <v>-0.45512147353225385</v>
      </c>
      <c r="D21" s="40">
        <f>'1.설계입력'!$C$6*COS(B21)-'1.설계입력'!$C$7*COS(B21+C21)-'1.설계입력'!$C$8*COS('1.설계입력'!$C$15*B21)</f>
        <v>78.957693581671521</v>
      </c>
      <c r="E21" s="40">
        <f>-'1.설계입력'!$C$6*SIN(B21)+'1.설계입력'!$C$7*SIN(B21+C21)+'1.설계입력'!$C$8*SIN('1.설계입력'!$C$15*B21)</f>
        <v>-4.5603521161466638</v>
      </c>
      <c r="F21" s="40">
        <f>ATAN2(('1.설계입력'!$C$6+'1.설계입력'!$C$33)/('1.설계입력'!$C$8*'1.설계입력'!$C$15)-COS((1-'1.설계입력'!$C$15)*B21),SIN((1-'1.설계입력'!$C$15)*B21))</f>
        <v>-0.45513267818519321</v>
      </c>
      <c r="G21" s="40">
        <f>('1.설계입력'!$C$6+'1.설계입력'!$C$33)*COS(B21)-('1.설계입력'!$C$7+'1.설계입력'!$C$34)*COS(B21+F21)-'1.설계입력'!$C$8*COS('1.설계입력'!$C$15*B21)</f>
        <v>78.947163578298898</v>
      </c>
      <c r="H21" s="40">
        <f>-('1.설계입력'!$C$6+'1.설계입력'!$C$33)*SIN(B21)+('1.설계입력'!$C$7+'1.설계입력'!$C$34)*SIN(B21+F21)+'1.설계입력'!$C$8*SIN('1.설계입력'!$C$15*B21)</f>
        <v>-4.5634060700632775</v>
      </c>
      <c r="I21" s="40">
        <f t="shared" si="1"/>
        <v>79.089279849802494</v>
      </c>
      <c r="J21" s="40">
        <f t="shared" si="2"/>
        <v>79.078943543897793</v>
      </c>
      <c r="K21" s="38">
        <f>IF(OR(A21&gt;180,'1.설계입력'!$C$39&gt;=1),"",'1.설계입력'!$C$34*(1-SIN(B21)/SQRT(1+'1.설계입력'!$C$39^2-2*'1.설계입력'!$C$39*COS(B21)))-'1.설계입력'!$C$33*(1-'1.설계입력'!$C$39*COS(B21)-SQRT(MAX(0,1-'1.설계입력'!$C$39^2))*SIN(B21))/SQRT(1+'1.설계입력'!$C$39^2-2*'1.설계입력'!$C$39*COS(B21)))</f>
        <v>9.203867121526918E-3</v>
      </c>
      <c r="M21" s="3" t="s">
        <v>134</v>
      </c>
      <c r="N21" s="18" t="str">
        <f>IF(AND(N13&gt;0,N13&lt;0.1),"통과","확인필요")</f>
        <v>통과</v>
      </c>
      <c r="O21" s="2" t="s">
        <v>135</v>
      </c>
    </row>
    <row r="22" spans="1:15" x14ac:dyDescent="0.3">
      <c r="A22" s="40">
        <f>A21+'1.설계입력'!$C$12</f>
        <v>3.2000000000000006</v>
      </c>
      <c r="B22" s="40">
        <f t="shared" si="0"/>
        <v>5.5850536063818554E-2</v>
      </c>
      <c r="C22" s="40">
        <f>ATAN2('1.설계입력'!$C$6/('1.설계입력'!$C$8*'1.설계입력'!$C$15)-COS((1-'1.설계입력'!$C$15)*B22),SIN((1-'1.설계입력'!$C$15)*B22))</f>
        <v>-0.40089206957504697</v>
      </c>
      <c r="D22" s="40">
        <f>'1.설계입력'!$C$6*COS(B22)-'1.설계입력'!$C$7*COS(B22+C22)-'1.설계입력'!$C$8*COS('1.설계입력'!$C$15*B22)</f>
        <v>79.031389254713602</v>
      </c>
      <c r="E22" s="40">
        <f>-'1.설계입력'!$C$6*SIN(B22)+'1.설계입력'!$C$7*SIN(B22+C22)+'1.설계입력'!$C$8*SIN('1.설계입력'!$C$15*B22)</f>
        <v>-4.7482903315251797</v>
      </c>
      <c r="F22" s="40">
        <f>ATAN2(('1.설계입력'!$C$6+'1.설계입력'!$C$33)/('1.설계입력'!$C$8*'1.설계입력'!$C$15)-COS((1-'1.설계입력'!$C$15)*B22),SIN((1-'1.설계입력'!$C$15)*B22))</f>
        <v>-0.4009016516902405</v>
      </c>
      <c r="G22" s="40">
        <f>('1.설계입력'!$C$6+'1.설계입력'!$C$33)*COS(B22)-('1.설계입력'!$C$7+'1.설계입력'!$C$34)*COS(B22+F22)-'1.설계입력'!$C$8*COS('1.설계입력'!$C$15*B22)</f>
        <v>79.020684481443269</v>
      </c>
      <c r="H22" s="40">
        <f>-('1.설계입력'!$C$6+'1.설계입력'!$C$33)*SIN(B22)+('1.설계입력'!$C$7+'1.설계입력'!$C$34)*SIN(B22+F22)+'1.설계입력'!$C$8*SIN('1.설계입력'!$C$15*B22)</f>
        <v>-4.7508931369545317</v>
      </c>
      <c r="I22" s="40">
        <f t="shared" si="1"/>
        <v>79.173901941249028</v>
      </c>
      <c r="J22" s="40">
        <f t="shared" si="2"/>
        <v>79.163372600683019</v>
      </c>
      <c r="K22" s="38">
        <f>IF(OR(A22&gt;180,'1.설계입력'!$C$39&gt;=1),"",'1.설계입력'!$C$34*(1-SIN(B22)/SQRT(1+'1.설계입력'!$C$39^2-2*'1.설계입력'!$C$39*COS(B22)))-'1.설계입력'!$C$33*(1-'1.설계입력'!$C$39*COS(B22)-SQRT(MAX(0,1-'1.설계입력'!$C$39^2))*SIN(B22))/SQRT(1+'1.설계입력'!$C$39^2-2*'1.설계입력'!$C$39*COS(B22)))</f>
        <v>9.0727422264671488E-3</v>
      </c>
      <c r="M22" s="3" t="s">
        <v>136</v>
      </c>
      <c r="N22" s="18" t="str">
        <f>IF(AND(N14&gt;0,N14&lt;0.1),"통과","확인필요")</f>
        <v>통과</v>
      </c>
      <c r="O22" s="2" t="s">
        <v>137</v>
      </c>
    </row>
    <row r="23" spans="1:15" x14ac:dyDescent="0.3">
      <c r="A23" s="40">
        <f>A22+'1.설계입력'!$C$12</f>
        <v>3.4000000000000008</v>
      </c>
      <c r="B23" s="40">
        <f t="shared" si="0"/>
        <v>5.9341194567807218E-2</v>
      </c>
      <c r="C23" s="40">
        <f>ATAN2('1.설계입력'!$C$6/('1.설계입력'!$C$8*'1.설계입력'!$C$15)-COS((1-'1.설계입력'!$C$15)*B23),SIN((1-'1.설계입력'!$C$15)*B23))</f>
        <v>-0.34573826681195996</v>
      </c>
      <c r="D23" s="40">
        <f>'1.설계입력'!$C$6*COS(B23)-'1.설계입력'!$C$7*COS(B23+C23)-'1.설계입력'!$C$8*COS('1.설계입력'!$C$15*B23)</f>
        <v>79.097603914357236</v>
      </c>
      <c r="E23" s="40">
        <f>-'1.설계입력'!$C$6*SIN(B23)+'1.설계입력'!$C$7*SIN(B23+C23)+'1.설계입력'!$C$8*SIN('1.설계입력'!$C$15*B23)</f>
        <v>-4.9511266500796545</v>
      </c>
      <c r="F23" s="40">
        <f>ATAN2(('1.설계입력'!$C$6+'1.설계입력'!$C$33)/('1.설계입력'!$C$8*'1.설계입력'!$C$15)-COS((1-'1.설계입력'!$C$15)*B23),SIN((1-'1.설계입력'!$C$15)*B23))</f>
        <v>-0.34574632812954048</v>
      </c>
      <c r="G23" s="40">
        <f>('1.설계입력'!$C$6+'1.설계입력'!$C$33)*COS(B23)-('1.설계입력'!$C$7+'1.설계입력'!$C$34)*COS(B23+F23)-'1.설계입력'!$C$8*COS('1.설계입력'!$C$15*B23)</f>
        <v>79.086748428539011</v>
      </c>
      <c r="H23" s="40">
        <f>-('1.설계입력'!$C$6+'1.설계입력'!$C$33)*SIN(B23)+('1.설계입력'!$C$7+'1.설계입력'!$C$34)*SIN(B23+F23)+'1.설계입력'!$C$8*SIN('1.설계입력'!$C$15*B23)</f>
        <v>-4.9532620277095312</v>
      </c>
      <c r="I23" s="40">
        <f t="shared" si="1"/>
        <v>79.252410689503137</v>
      </c>
      <c r="J23" s="40">
        <f t="shared" si="2"/>
        <v>79.241709861121535</v>
      </c>
      <c r="K23" s="38">
        <f>IF(OR(A23&gt;180,'1.설계입력'!$C$39&gt;=1),"",'1.설계입력'!$C$34*(1-SIN(B23)/SQRT(1+'1.설계입력'!$C$39^2-2*'1.설계입력'!$C$39*COS(B23)))-'1.설계입력'!$C$33*(1-'1.설계입력'!$C$39*COS(B23)-SQRT(MAX(0,1-'1.설계입력'!$C$39^2))*SIN(B23))/SQRT(1+'1.설계입력'!$C$39^2-2*'1.설계입력'!$C$39*COS(B23)))</f>
        <v>8.9421336199908153E-3</v>
      </c>
    </row>
    <row r="24" spans="1:15" x14ac:dyDescent="0.3">
      <c r="A24" s="40">
        <f>A23+'1.설계입력'!$C$12</f>
        <v>3.600000000000001</v>
      </c>
      <c r="B24" s="40">
        <f t="shared" si="0"/>
        <v>6.2831853071795882E-2</v>
      </c>
      <c r="C24" s="40">
        <f>ATAN2('1.설계입력'!$C$6/('1.설계입력'!$C$8*'1.설계입력'!$C$15)-COS((1-'1.설계입력'!$C$15)*B24),SIN((1-'1.설계입력'!$C$15)*B24))</f>
        <v>-0.28985484957605601</v>
      </c>
      <c r="D24" s="40">
        <f>'1.설계입력'!$C$6*COS(B24)-'1.설계입력'!$C$7*COS(B24+C24)-'1.설계입력'!$C$8*COS('1.설계입력'!$C$15*B24)</f>
        <v>79.154354145452189</v>
      </c>
      <c r="E24" s="40">
        <f>-'1.설계입력'!$C$6*SIN(B24)+'1.설계입력'!$C$7*SIN(B24+C24)+'1.설계입력'!$C$8*SIN('1.설계입력'!$C$15*B24)</f>
        <v>-5.16745636026398</v>
      </c>
      <c r="F24" s="40">
        <f>ATAN2(('1.설계입력'!$C$6+'1.설계입력'!$C$33)/('1.설계입력'!$C$8*'1.설계입력'!$C$15)-COS((1-'1.설계입력'!$C$15)*B24),SIN((1-'1.설계입력'!$C$15)*B24))</f>
        <v>-0.28986147107082966</v>
      </c>
      <c r="G24" s="40">
        <f>('1.설계입력'!$C$6+'1.설계입력'!$C$33)*COS(B24)-('1.설계입력'!$C$7+'1.설계입력'!$C$34)*COS(B24+F24)-'1.설계입력'!$C$8*COS('1.설계입력'!$C$15*B24)</f>
        <v>79.143374075928932</v>
      </c>
      <c r="H24" s="40">
        <f>-('1.설계입력'!$C$6+'1.설계입력'!$C$33)*SIN(B24)+('1.설계입력'!$C$7+'1.설계입력'!$C$34)*SIN(B24+F24)+'1.설계입력'!$C$8*SIN('1.설계입력'!$C$15*B24)</f>
        <v>-5.1691106993263372</v>
      </c>
      <c r="I24" s="40">
        <f t="shared" si="1"/>
        <v>79.322849075275258</v>
      </c>
      <c r="J24" s="40">
        <f t="shared" si="2"/>
        <v>79.31200013582</v>
      </c>
      <c r="K24" s="38">
        <f>IF(OR(A24&gt;180,'1.설계입력'!$C$39&gt;=1),"",'1.설계입력'!$C$34*(1-SIN(B24)/SQRT(1+'1.설계입력'!$C$39^2-2*'1.설계입력'!$C$39*COS(B24)))-'1.설계입력'!$C$33*(1-'1.설계입력'!$C$39*COS(B24)-SQRT(MAX(0,1-'1.설계입력'!$C$39^2))*SIN(B24))/SQRT(1+'1.설계입력'!$C$39^2-2*'1.설계입력'!$C$39*COS(B24)))</f>
        <v>8.8120856669552661E-3</v>
      </c>
    </row>
    <row r="25" spans="1:15" x14ac:dyDescent="0.3">
      <c r="A25" s="40">
        <f>A24+'1.설계입력'!$C$12</f>
        <v>3.8000000000000012</v>
      </c>
      <c r="B25" s="40">
        <f t="shared" si="0"/>
        <v>6.6322511575784546E-2</v>
      </c>
      <c r="C25" s="40">
        <f>ATAN2('1.설계입력'!$C$6/('1.설계입력'!$C$8*'1.설계입력'!$C$15)-COS((1-'1.설계입력'!$C$15)*B25),SIN((1-'1.설계입력'!$C$15)*B25))</f>
        <v>-0.23340311919023757</v>
      </c>
      <c r="D25" s="40">
        <f>'1.설계입력'!$C$6*COS(B25)-'1.설계입력'!$C$7*COS(B25+C25)-'1.설계입력'!$C$8*COS('1.설계입력'!$C$15*B25)</f>
        <v>79.199843885732122</v>
      </c>
      <c r="E25" s="40">
        <f>-'1.설계입력'!$C$6*SIN(B25)+'1.설계입력'!$C$7*SIN(B25+C25)+'1.설계입력'!$C$8*SIN('1.설계입력'!$C$15*B25)</f>
        <v>-5.3954697827522704</v>
      </c>
      <c r="F25" s="40">
        <f>ATAN2(('1.설계입력'!$C$6+'1.설계입력'!$C$33)/('1.설계입력'!$C$8*'1.설계입력'!$C$15)-COS((1-'1.설계입력'!$C$15)*B25),SIN((1-'1.설계입력'!$C$15)*B25))</f>
        <v>-0.2334083643464234</v>
      </c>
      <c r="G25" s="40">
        <f>('1.설계입력'!$C$6+'1.설계입력'!$C$33)*COS(B25)-('1.설계입력'!$C$7+'1.설계입력'!$C$34)*COS(B25+F25)-'1.설계입력'!$C$8*COS('1.설계입력'!$C$15*B25)</f>
        <v>79.188766994214362</v>
      </c>
      <c r="H25" s="40">
        <f>-('1.설계입력'!$C$6+'1.설계입력'!$C$33)*SIN(B25)+('1.설계입력'!$C$7+'1.설계입력'!$C$34)*SIN(B25+F25)+'1.설계입력'!$C$8*SIN('1.설계입력'!$C$15*B25)</f>
        <v>-5.3966321290251518</v>
      </c>
      <c r="I25" s="40">
        <f t="shared" si="1"/>
        <v>79.383413668731407</v>
      </c>
      <c r="J25" s="40">
        <f t="shared" si="2"/>
        <v>79.372441416400946</v>
      </c>
      <c r="K25" s="38">
        <f>IF(OR(A25&gt;180,'1.설계입력'!$C$39&gt;=1),"",'1.설계입력'!$C$34*(1-SIN(B25)/SQRT(1+'1.설계입력'!$C$39^2-2*'1.설계입력'!$C$39*COS(B25)))-'1.설계입력'!$C$33*(1-'1.설계입력'!$C$39*COS(B25)-SQRT(MAX(0,1-'1.설계입력'!$C$39^2))*SIN(B25))/SQRT(1+'1.설계입력'!$C$39^2-2*'1.설계입력'!$C$39*COS(B25)))</f>
        <v>8.6826416378115046E-3</v>
      </c>
    </row>
    <row r="26" spans="1:15" x14ac:dyDescent="0.3">
      <c r="A26" s="40">
        <f>A25+'1.설계입력'!$C$12</f>
        <v>4.0000000000000009</v>
      </c>
      <c r="B26" s="40">
        <f t="shared" si="0"/>
        <v>6.9813170079773196E-2</v>
      </c>
      <c r="C26" s="40">
        <f>ATAN2('1.설계입력'!$C$6/('1.설계입력'!$C$8*'1.설계입력'!$C$15)-COS((1-'1.설계입력'!$C$15)*B26),SIN((1-'1.설계입력'!$C$15)*B26))</f>
        <v>-0.17652010855195113</v>
      </c>
      <c r="D26" s="40">
        <f>'1.설계입력'!$C$6*COS(B26)-'1.설계입력'!$C$7*COS(B26+C26)-'1.설계입력'!$C$8*COS('1.설계입력'!$C$15*B26)</f>
        <v>79.232542193880619</v>
      </c>
      <c r="E26" s="40">
        <f>-'1.설계입력'!$C$6*SIN(B26)+'1.설계입력'!$C$7*SIN(B26+C26)+'1.설계입력'!$C$8*SIN('1.설계입력'!$C$15*B26)</f>
        <v>-5.6330188437702136</v>
      </c>
      <c r="F26" s="40">
        <f>ATAN2(('1.설계입력'!$C$6+'1.설계입력'!$C$33)/('1.설계입력'!$C$8*'1.설계입력'!$C$15)-COS((1-'1.설계입력'!$C$15)*B26),SIN((1-'1.설계입력'!$C$15)*B26))</f>
        <v>-0.17652402578653681</v>
      </c>
      <c r="G26" s="40">
        <f>('1.설계입력'!$C$6+'1.설계입력'!$C$33)*COS(B26)-('1.설계입력'!$C$7+'1.설계입력'!$C$34)*COS(B26+F26)-'1.설계입력'!$C$8*COS('1.설계입력'!$C$15*B26)</f>
        <v>79.221397488609327</v>
      </c>
      <c r="H26" s="40">
        <f>-('1.설계입력'!$C$6+'1.설계입력'!$C$33)*SIN(B26)+('1.설계입력'!$C$7+'1.설계입력'!$C$34)*SIN(B26+F26)+'1.설계입력'!$C$8*SIN('1.설계입력'!$C$15*B26)</f>
        <v>-5.6336808969430194</v>
      </c>
      <c r="I26" s="40">
        <f t="shared" si="1"/>
        <v>79.432528877024581</v>
      </c>
      <c r="J26" s="40">
        <f t="shared" si="2"/>
        <v>79.421459193953467</v>
      </c>
      <c r="K26" s="38">
        <f>IF(OR(A26&gt;180,'1.설계입력'!$C$39&gt;=1),"",'1.설계입력'!$C$34*(1-SIN(B26)/SQRT(1+'1.설계입력'!$C$39^2-2*'1.설계입력'!$C$39*COS(B26)))-'1.설계입력'!$C$33*(1-'1.설계입력'!$C$39*COS(B26)-SQRT(MAX(0,1-'1.설계입력'!$C$39^2))*SIN(B26))/SQRT(1+'1.설계입력'!$C$39^2-2*'1.설계입력'!$C$39*COS(B26)))</f>
        <v>8.5538436514553673E-3</v>
      </c>
    </row>
    <row r="27" spans="1:15" x14ac:dyDescent="0.3">
      <c r="A27" s="40">
        <f>A26+'1.설계입력'!$C$12</f>
        <v>4.2000000000000011</v>
      </c>
      <c r="B27" s="40">
        <f t="shared" si="0"/>
        <v>7.330382858376186E-2</v>
      </c>
      <c r="C27" s="40">
        <f>ATAN2('1.설계입력'!$C$6/('1.설계입력'!$C$8*'1.설계입력'!$C$15)-COS((1-'1.설계입력'!$C$15)*B27),SIN((1-'1.설계입력'!$C$15)*B27))</f>
        <v>-0.11932549771044748</v>
      </c>
      <c r="D27" s="40">
        <f>'1.설계입력'!$C$6*COS(B27)-'1.설계입력'!$C$7*COS(B27+C27)-'1.설계입력'!$C$8*COS('1.설계입력'!$C$15*B27)</f>
        <v>79.251243773967673</v>
      </c>
      <c r="E27" s="40">
        <f>-'1.설계입력'!$C$6*SIN(B27)+'1.설계입력'!$C$7*SIN(B27+C27)+'1.설계입력'!$C$8*SIN('1.설계입력'!$C$15*B27)</f>
        <v>-5.8776863292135584</v>
      </c>
      <c r="F27" s="40">
        <f>ATAN2(('1.설계입력'!$C$6+'1.설계입력'!$C$33)/('1.설계입력'!$C$8*'1.설계입력'!$C$15)-COS((1-'1.설계입력'!$C$15)*B27),SIN((1-'1.설계입력'!$C$15)*B27))</f>
        <v>-0.11932812213369524</v>
      </c>
      <c r="G27" s="40">
        <f>('1.설계입력'!$C$6+'1.설계입력'!$C$33)*COS(B27)-('1.설계입력'!$C$7+'1.설계입력'!$C$34)*COS(B27+F27)-'1.설계입력'!$C$8*COS('1.설계입력'!$C$15*B27)</f>
        <v>79.240061159392809</v>
      </c>
      <c r="H27" s="40">
        <f>-('1.설계입력'!$C$6+'1.설계입력'!$C$33)*SIN(B27)+('1.설계입력'!$C$7+'1.설계입력'!$C$34)*SIN(B27+F27)+'1.설계입력'!$C$8*SIN('1.설계입력'!$C$15*B27)</f>
        <v>-5.8778424425595484</v>
      </c>
      <c r="I27" s="40">
        <f t="shared" si="1"/>
        <v>79.468904838971284</v>
      </c>
      <c r="J27" s="40">
        <f t="shared" si="2"/>
        <v>79.457764405524699</v>
      </c>
      <c r="K27" s="38">
        <f>IF(OR(A27&gt;180,'1.설계입력'!$C$39&gt;=1),"",'1.설계입력'!$C$34*(1-SIN(B27)/SQRT(1+'1.설계입력'!$C$39^2-2*'1.설계입력'!$C$39*COS(B27)))-'1.설계입력'!$C$33*(1-'1.설계입력'!$C$39*COS(B27)-SQRT(MAX(0,1-'1.설계입력'!$C$39^2))*SIN(B27))/SQRT(1+'1.설계입력'!$C$39^2-2*'1.설계입력'!$C$39*COS(B27)))</f>
        <v>8.4257326226466478E-3</v>
      </c>
    </row>
    <row r="28" spans="1:15" x14ac:dyDescent="0.3">
      <c r="A28" s="40">
        <f>A27+'1.설계입력'!$C$12</f>
        <v>4.4000000000000012</v>
      </c>
      <c r="B28" s="40">
        <f t="shared" si="0"/>
        <v>7.6794487087750524E-2</v>
      </c>
      <c r="C28" s="40">
        <f>ATAN2('1.설계입력'!$C$6/('1.설계입력'!$C$8*'1.설계입력'!$C$15)-COS((1-'1.설계입력'!$C$15)*B28),SIN((1-'1.설계입력'!$C$15)*B28))</f>
        <v>-6.1927002472475561E-2</v>
      </c>
      <c r="D28" s="40">
        <f>'1.설계입력'!$C$6*COS(B28)-'1.설계입력'!$C$7*COS(B28+C28)-'1.설계입력'!$C$8*COS('1.설계입력'!$C$15*B28)</f>
        <v>79.255113834051571</v>
      </c>
      <c r="E28" s="40">
        <f>-'1.설계입력'!$C$6*SIN(B28)+'1.설계입력'!$C$7*SIN(B28+C28)+'1.설계입력'!$C$8*SIN('1.설계입력'!$C$15*B28)</f>
        <v>-6.1268578481909648</v>
      </c>
      <c r="F28" s="40">
        <f>ATAN2(('1.설계입력'!$C$6+'1.설계입력'!$C$33)/('1.설계입력'!$C$8*'1.설계입력'!$C$15)-COS((1-'1.설계입력'!$C$15)*B28),SIN((1-'1.설계입력'!$C$15)*B28))</f>
        <v>-6.1928357116069671E-2</v>
      </c>
      <c r="G28" s="40">
        <f>('1.설계입력'!$C$6+'1.설계입력'!$C$33)*COS(B28)-('1.설계입력'!$C$7+'1.설계입력'!$C$34)*COS(B28+F28)-'1.설계입력'!$C$8*COS('1.설계입력'!$C$15*B28)</f>
        <v>79.243923785006615</v>
      </c>
      <c r="H28" s="40">
        <f>-('1.설계입력'!$C$6+'1.설계입력'!$C$33)*SIN(B28)+('1.설계입력'!$C$7+'1.설계입력'!$C$34)*SIN(B28+F28)+'1.설계입력'!$C$8*SIN('1.설계입력'!$C$15*B28)</f>
        <v>-6.1265050259618743</v>
      </c>
      <c r="I28" s="40">
        <f t="shared" si="1"/>
        <v>79.491581038122604</v>
      </c>
      <c r="J28" s="40">
        <f t="shared" si="2"/>
        <v>79.480397084294154</v>
      </c>
      <c r="K28" s="38">
        <f>IF(OR(A28&gt;180,'1.설계입력'!$C$39&gt;=1),"",'1.설계입력'!$C$34*(1-SIN(B28)/SQRT(1+'1.설계입력'!$C$39^2-2*'1.설계입력'!$C$39*COS(B28)))-'1.설계입력'!$C$33*(1-'1.설계입력'!$C$39*COS(B28)-SQRT(MAX(0,1-'1.설계입력'!$C$39^2))*SIN(B28))/SQRT(1+'1.설계입력'!$C$39^2-2*'1.설계입력'!$C$39*COS(B28)))</f>
        <v>8.2983482140859613E-3</v>
      </c>
    </row>
    <row r="29" spans="1:15" x14ac:dyDescent="0.3">
      <c r="A29" s="40">
        <f>A28+'1.설계입력'!$C$12</f>
        <v>4.6000000000000014</v>
      </c>
      <c r="B29" s="40">
        <f t="shared" si="0"/>
        <v>8.0285145591739188E-2</v>
      </c>
      <c r="C29" s="40">
        <f>ATAN2('1.설계입력'!$C$6/('1.설계입력'!$C$8*'1.설계입력'!$C$15)-COS((1-'1.설계입력'!$C$15)*B29),SIN((1-'1.설계입력'!$C$15)*B29))</f>
        <v>-4.4247711499473289E-3</v>
      </c>
      <c r="D29" s="40">
        <f>'1.설계입력'!$C$6*COS(B29)-'1.설계입력'!$C$7*COS(B29+C29)-'1.설계입력'!$C$8*COS('1.설계입력'!$C$15*B29)</f>
        <v>79.243718183067969</v>
      </c>
      <c r="E29" s="40">
        <f>-'1.설계입력'!$C$6*SIN(B29)+'1.설계입력'!$C$7*SIN(B29+C29)+'1.설계입력'!$C$8*SIN('1.설계입력'!$C$15*B29)</f>
        <v>-6.3777959647566256</v>
      </c>
      <c r="F29" s="40">
        <f>ATAN2(('1.설계입력'!$C$6+'1.설계입력'!$C$33)/('1.설계입력'!$C$8*'1.설계입력'!$C$15)-COS((1-'1.설계입력'!$C$15)*B29),SIN((1-'1.설계입력'!$C$15)*B29))</f>
        <v>-4.4248677501500218E-3</v>
      </c>
      <c r="G29" s="40">
        <f>('1.설계입력'!$C$6+'1.설계입력'!$C$33)*COS(B29)-('1.설계입력'!$C$7+'1.설계입력'!$C$34)*COS(B29+F29)-'1.설계입력'!$C$8*COS('1.설계입력'!$C$15*B29)</f>
        <v>79.232551434951461</v>
      </c>
      <c r="H29" s="40">
        <f>-('1.설계입력'!$C$6+'1.설계입력'!$C$33)*SIN(B29)+('1.설계입력'!$C$7+'1.설계입력'!$C$34)*SIN(B29+F29)+'1.설계입력'!$C$8*SIN('1.설계입력'!$C$15*B29)</f>
        <v>-6.3769338543157605</v>
      </c>
      <c r="I29" s="40">
        <f t="shared" si="1"/>
        <v>79.499956936123951</v>
      </c>
      <c r="J29" s="40">
        <f t="shared" si="2"/>
        <v>79.488757018049711</v>
      </c>
      <c r="K29" s="38">
        <f>IF(OR(A29&gt;180,'1.설계입력'!$C$39&gt;=1),"",'1.설계입력'!$C$34*(1-SIN(B29)/SQRT(1+'1.설계입력'!$C$39^2-2*'1.설계입력'!$C$39*COS(B29)))-'1.설계입력'!$C$33*(1-'1.설계입력'!$C$39*COS(B29)-SQRT(MAX(0,1-'1.설계입력'!$C$39^2))*SIN(B29))/SQRT(1+'1.설계입력'!$C$39^2-2*'1.설계입력'!$C$39*COS(B29)))</f>
        <v>8.1717287932098343E-3</v>
      </c>
    </row>
    <row r="30" spans="1:15" x14ac:dyDescent="0.3">
      <c r="A30" s="40">
        <f>A29+'1.설계입력'!$C$12</f>
        <v>4.8000000000000016</v>
      </c>
      <c r="B30" s="40">
        <f t="shared" si="0"/>
        <v>8.3775804095727852E-2</v>
      </c>
      <c r="C30" s="40">
        <f>ATAN2('1.설계입력'!$C$6/('1.설계입력'!$C$8*'1.설계입력'!$C$15)-COS((1-'1.설계입력'!$C$15)*B30),SIN((1-'1.설계입력'!$C$15)*B30))</f>
        <v>5.3084818940849078E-2</v>
      </c>
      <c r="D30" s="40">
        <f>'1.설계입력'!$C$6*COS(B30)-'1.설계입력'!$C$7*COS(B30+C30)-'1.설계입력'!$C$8*COS('1.설계입력'!$C$15*B30)</f>
        <v>79.217039082333045</v>
      </c>
      <c r="E30" s="40">
        <f>-'1.설계입력'!$C$6*SIN(B30)+'1.설계입력'!$C$7*SIN(B30+C30)+'1.설계입력'!$C$8*SIN('1.설계입력'!$C$15*B30)</f>
        <v>-6.6277156062080023</v>
      </c>
      <c r="F30" s="40">
        <f>ATAN2(('1.설계입력'!$C$6+'1.설계입력'!$C$33)/('1.설계입력'!$C$8*'1.설계입력'!$C$15)-COS((1-'1.설계입력'!$C$15)*B30),SIN((1-'1.설계입력'!$C$15)*B30))</f>
        <v>5.3085979551042516E-2</v>
      </c>
      <c r="G30" s="40">
        <f>('1.설계입력'!$C$6+'1.설계입력'!$C$33)*COS(B30)-('1.설계입력'!$C$7+'1.설계입력'!$C$34)*COS(B30+F30)-'1.설계입력'!$C$8*COS('1.설계입력'!$C$15*B30)</f>
        <v>79.205926330666458</v>
      </c>
      <c r="H30" s="40">
        <f>-('1.설계입력'!$C$6+'1.설계입력'!$C$33)*SIN(B30)+('1.설계입력'!$C$7+'1.설계입력'!$C$34)*SIN(B30+F30)+'1.설계입력'!$C$8*SIN('1.설계입력'!$C$15*B30)</f>
        <v>-6.6263464830071737</v>
      </c>
      <c r="I30" s="40">
        <f t="shared" si="1"/>
        <v>79.493810420237466</v>
      </c>
      <c r="J30" s="40">
        <f t="shared" si="2"/>
        <v>79.482622211473512</v>
      </c>
      <c r="K30" s="38">
        <f>IF(OR(A30&gt;180,'1.설계입력'!$C$39&gt;=1),"",'1.설계입력'!$C$34*(1-SIN(B30)/SQRT(1+'1.설계입력'!$C$39^2-2*'1.설계입력'!$C$39*COS(B30)))-'1.설계입력'!$C$33*(1-'1.설계입력'!$C$39*COS(B30)-SQRT(MAX(0,1-'1.설계입력'!$C$39^2))*SIN(B30))/SQRT(1+'1.설계입력'!$C$39^2-2*'1.설계입력'!$C$39*COS(B30)))</f>
        <v>8.0459113937361142E-3</v>
      </c>
    </row>
    <row r="31" spans="1:15" x14ac:dyDescent="0.3">
      <c r="A31" s="40">
        <f>A30+'1.설계입력'!$C$12</f>
        <v>5.0000000000000018</v>
      </c>
      <c r="B31" s="40">
        <f t="shared" si="0"/>
        <v>8.7266462599716502E-2</v>
      </c>
      <c r="C31" s="40">
        <f>ATAN2('1.설계입력'!$C$6/('1.설계입력'!$C$8*'1.설계입력'!$C$15)-COS((1-'1.설계입력'!$C$15)*B31),SIN((1-'1.설계입력'!$C$15)*B31))</f>
        <v>0.11050565595419785</v>
      </c>
      <c r="D31" s="40">
        <f>'1.설계입력'!$C$6*COS(B31)-'1.설계입력'!$C$7*COS(B31+C31)-'1.설계입력'!$C$8*COS('1.설계입력'!$C$15*B31)</f>
        <v>79.175477146967808</v>
      </c>
      <c r="E31" s="40">
        <f>-'1.설계입력'!$C$6*SIN(B31)+'1.설계입력'!$C$7*SIN(B31+C31)+'1.설계입력'!$C$8*SIN('1.설계입력'!$C$15*B31)</f>
        <v>-6.8738596506420366</v>
      </c>
      <c r="F31" s="40">
        <f>ATAN2(('1.설계입력'!$C$6+'1.설계입력'!$C$33)/('1.설계입력'!$C$8*'1.설계입력'!$C$15)-COS((1-'1.설계입력'!$C$15)*B31),SIN((1-'1.설계입력'!$C$15)*B31))</f>
        <v>0.11050808381740378</v>
      </c>
      <c r="G31" s="40">
        <f>('1.설계입력'!$C$6+'1.설계입력'!$C$33)*COS(B31)-('1.설계입력'!$C$7+'1.설계입력'!$C$34)*COS(B31+F31)-'1.설계입력'!$C$8*COS('1.설계입력'!$C$15*B31)</f>
        <v>79.164448750706541</v>
      </c>
      <c r="H31" s="40">
        <f>-('1.설계입력'!$C$6+'1.설계입력'!$C$33)*SIN(B31)+('1.설계입력'!$C$7+'1.설계입력'!$C$34)*SIN(B31+F31)+'1.설계입력'!$C$8*SIN('1.설계입력'!$C$15*B31)</f>
        <v>-6.8719883949383327</v>
      </c>
      <c r="I31" s="40">
        <f t="shared" si="1"/>
        <v>79.47330449872301</v>
      </c>
      <c r="J31" s="40">
        <f t="shared" si="2"/>
        <v>79.462155586816351</v>
      </c>
      <c r="K31" s="38">
        <f>IF(OR(A31&gt;180,'1.설계입력'!$C$39&gt;=1),"",'1.설계입력'!$C$34*(1-SIN(B31)/SQRT(1+'1.설계입력'!$C$39^2-2*'1.설계입력'!$C$39*COS(B31)))-'1.설계입력'!$C$33*(1-'1.설계입력'!$C$39*COS(B31)-SQRT(MAX(0,1-'1.설계입력'!$C$39^2))*SIN(B31))/SQRT(1+'1.설계입력'!$C$39^2-2*'1.설계입력'!$C$39*COS(B31)))</f>
        <v>7.9209316819641822E-3</v>
      </c>
    </row>
    <row r="32" spans="1:15" x14ac:dyDescent="0.3">
      <c r="A32" s="40">
        <f>A31+'1.설계입력'!$C$12</f>
        <v>5.200000000000002</v>
      </c>
      <c r="B32" s="40">
        <f t="shared" si="0"/>
        <v>9.0757121103705166E-2</v>
      </c>
      <c r="C32" s="40">
        <f>ATAN2('1.설계입력'!$C$6/('1.설계입력'!$C$8*'1.설계입력'!$C$15)-COS((1-'1.설계입력'!$C$15)*B32),SIN((1-'1.설계입력'!$C$15)*B32))</f>
        <v>0.16773840826595734</v>
      </c>
      <c r="D32" s="40">
        <f>'1.설계입력'!$C$6*COS(B32)-'1.설계입력'!$C$7*COS(B32+C32)-'1.설계입력'!$C$8*COS('1.설계입력'!$C$15*B32)</f>
        <v>79.119839457998651</v>
      </c>
      <c r="E32" s="40">
        <f>-'1.설계입력'!$C$6*SIN(B32)+'1.설계입력'!$C$7*SIN(B32+C32)+'1.설계입력'!$C$8*SIN('1.설계입력'!$C$15*B32)</f>
        <v>-7.113573495760952</v>
      </c>
      <c r="F32" s="40">
        <f>ATAN2(('1.설계입력'!$C$6+'1.설계입력'!$C$33)/('1.설계입력'!$C$8*'1.설계입력'!$C$15)-COS((1-'1.설계입력'!$C$15)*B32),SIN((1-'1.설계입력'!$C$15)*B32))</f>
        <v>0.16774212463539312</v>
      </c>
      <c r="G32" s="40">
        <f>('1.설계입력'!$C$6+'1.설계입력'!$C$33)*COS(B32)-('1.설계입력'!$C$7+'1.설계입력'!$C$34)*COS(B32+F32)-'1.설계입력'!$C$8*COS('1.설계입력'!$C$15*B32)</f>
        <v>79.108925141291579</v>
      </c>
      <c r="H32" s="40">
        <f>-('1.설계입력'!$C$6+'1.설계입력'!$C$33)*SIN(B32)+('1.설계입력'!$C$7+'1.설계입력'!$C$34)*SIN(B32+F32)+'1.설계입력'!$C$8*SIN('1.설계입력'!$C$15*B32)</f>
        <v>-7.1112075606000991</v>
      </c>
      <c r="I32" s="40">
        <f t="shared" si="1"/>
        <v>79.438982393652751</v>
      </c>
      <c r="J32" s="40">
        <f t="shared" si="2"/>
        <v>79.427900072835939</v>
      </c>
      <c r="K32" s="38">
        <f>IF(OR(A32&gt;180,'1.설계입력'!$C$39&gt;=1),"",'1.설계입력'!$C$34*(1-SIN(B32)/SQRT(1+'1.설계입력'!$C$39^2-2*'1.설계입력'!$C$39*COS(B32)))-'1.설계입력'!$C$33*(1-'1.설계입력'!$C$39*COS(B32)-SQRT(MAX(0,1-'1.설계입력'!$C$39^2))*SIN(B32))/SQRT(1+'1.설계입력'!$C$39^2-2*'1.설계입력'!$C$39*COS(B32)))</f>
        <v>7.7968239278079395E-3</v>
      </c>
    </row>
    <row r="33" spans="1:11" x14ac:dyDescent="0.3">
      <c r="A33" s="40">
        <f>A32+'1.설계입력'!$C$12</f>
        <v>5.4000000000000021</v>
      </c>
      <c r="B33" s="40">
        <f t="shared" si="0"/>
        <v>9.424777960769383E-2</v>
      </c>
      <c r="C33" s="40">
        <f>ATAN2('1.설계입력'!$C$6/('1.설계입력'!$C$8*'1.설계입력'!$C$15)-COS((1-'1.설계입력'!$C$15)*B33),SIN((1-'1.설계입력'!$C$15)*B33))</f>
        <v>0.22467679145653441</v>
      </c>
      <c r="D33" s="40">
        <f>'1.설계입력'!$C$6*COS(B33)-'1.설계입력'!$C$7*COS(B33+C33)-'1.설계입력'!$C$8*COS('1.설계입력'!$C$15*B33)</f>
        <v>79.051313936691287</v>
      </c>
      <c r="E33" s="40">
        <f>-'1.설계입력'!$C$6*SIN(B33)+'1.설계입력'!$C$7*SIN(B33+C33)+'1.설계입력'!$C$8*SIN('1.설계입력'!$C$15*B33)</f>
        <v>-7.3443773958693841</v>
      </c>
      <c r="F33" s="40">
        <f>ATAN2(('1.설계입력'!$C$6+'1.설계입력'!$C$33)/('1.설계입력'!$C$8*'1.설계입력'!$C$15)-COS((1-'1.설계입력'!$C$15)*B33),SIN((1-'1.설계입력'!$C$15)*B33))</f>
        <v>0.22468182951624588</v>
      </c>
      <c r="G33" s="40">
        <f>('1.설계입력'!$C$6+'1.설계입력'!$C$33)*COS(B33)-('1.설계입력'!$C$7+'1.설계입력'!$C$34)*COS(B33+F33)-'1.설계입력'!$C$8*COS('1.설계입력'!$C$15*B33)</f>
        <v>79.0405424834683</v>
      </c>
      <c r="H33" s="40">
        <f>-('1.설계입력'!$C$6+'1.설계입력'!$C$33)*SIN(B33)+('1.설계입력'!$C$7+'1.설계입력'!$C$34)*SIN(B33+F33)+'1.설계입력'!$C$8*SIN('1.설계입력'!$C$15*B33)</f>
        <v>-7.3415267664346695</v>
      </c>
      <c r="I33" s="40">
        <f t="shared" si="1"/>
        <v>79.391750921933195</v>
      </c>
      <c r="J33" s="40">
        <f t="shared" si="2"/>
        <v>79.380761972553742</v>
      </c>
      <c r="K33" s="38">
        <f>IF(OR(A33&gt;180,'1.설계입력'!$C$39&gt;=1),"",'1.설계입력'!$C$34*(1-SIN(B33)/SQRT(1+'1.설계입력'!$C$39^2-2*'1.설계입력'!$C$39*COS(B33)))-'1.설계입력'!$C$33*(1-'1.설계입력'!$C$39*COS(B33)-SQRT(MAX(0,1-'1.설계입력'!$C$39^2))*SIN(B33))/SQRT(1+'1.설계입력'!$C$39^2-2*'1.설계입력'!$C$39*COS(B33)))</f>
        <v>7.6736209805144621E-3</v>
      </c>
    </row>
    <row r="34" spans="1:11" x14ac:dyDescent="0.3">
      <c r="A34" s="40">
        <f>A33+'1.설계입력'!$C$12</f>
        <v>5.6000000000000023</v>
      </c>
      <c r="B34" s="40">
        <f t="shared" si="0"/>
        <v>9.7738438111682494E-2</v>
      </c>
      <c r="C34" s="40">
        <f>ATAN2('1.설계입력'!$C$6/('1.설계입력'!$C$8*'1.설계입력'!$C$15)-COS((1-'1.설계입력'!$C$15)*B34),SIN((1-'1.설계입력'!$C$15)*B34))</f>
        <v>0.2812032867447134</v>
      </c>
      <c r="D34" s="40">
        <f>'1.설계입력'!$C$6*COS(B34)-'1.설계입력'!$C$7*COS(B34+C34)-'1.설계입력'!$C$8*COS('1.설계입력'!$C$15*B34)</f>
        <v>78.971429893461845</v>
      </c>
      <c r="E34" s="40">
        <f>-'1.설계입력'!$C$6*SIN(B34)+'1.설계입력'!$C$7*SIN(B34+C34)+'1.설계입력'!$C$8*SIN('1.설계입력'!$C$15*B34)</f>
        <v>-7.5640354191772712</v>
      </c>
      <c r="F34" s="40">
        <f>ATAN2(('1.설계입력'!$C$6+'1.설계입력'!$C$33)/('1.설계입력'!$C$8*'1.설계입력'!$C$15)-COS((1-'1.설계입력'!$C$15)*B34),SIN((1-'1.설계입력'!$C$15)*B34))</f>
        <v>0.28120969276450192</v>
      </c>
      <c r="G34" s="40">
        <f>('1.설계입력'!$C$6+'1.설계입력'!$C$33)*COS(B34)-('1.설계입력'!$C$7+'1.설계입력'!$C$34)*COS(B34+F34)-'1.설계입력'!$C$8*COS('1.설계입력'!$C$15*B34)</f>
        <v>78.960828828224919</v>
      </c>
      <c r="H34" s="40">
        <f>-('1.설계입력'!$C$6+'1.설계입력'!$C$33)*SIN(B34)+('1.설계입력'!$C$7+'1.설계입력'!$C$34)*SIN(B34+F34)+'1.설계입력'!$C$8*SIN('1.설계입력'!$C$15*B34)</f>
        <v>-7.5607125642082282</v>
      </c>
      <c r="I34" s="40">
        <f t="shared" si="1"/>
        <v>79.332851778065603</v>
      </c>
      <c r="J34" s="40">
        <f t="shared" si="2"/>
        <v>79.321982222576935</v>
      </c>
      <c r="K34" s="38">
        <f>IF(OR(A34&gt;180,'1.설계입력'!$C$39&gt;=1),"",'1.설계입력'!$C$34*(1-SIN(B34)/SQRT(1+'1.설계입력'!$C$39^2-2*'1.설계입력'!$C$39*COS(B34)))-'1.설계입력'!$C$33*(1-'1.설계입력'!$C$39*COS(B34)-SQRT(MAX(0,1-'1.설계입력'!$C$39^2))*SIN(B34))/SQRT(1+'1.설계입력'!$C$39^2-2*'1.설계입력'!$C$39*COS(B34)))</f>
        <v>7.5513542489974812E-3</v>
      </c>
    </row>
    <row r="35" spans="1:11" x14ac:dyDescent="0.3">
      <c r="A35" s="40">
        <f>A34+'1.설계입력'!$C$12</f>
        <v>5.8000000000000025</v>
      </c>
      <c r="B35" s="40">
        <f t="shared" si="0"/>
        <v>0.10122909661567116</v>
      </c>
      <c r="C35" s="40">
        <f>ATAN2('1.설계입력'!$C$6/('1.설계입력'!$C$8*'1.설계입력'!$C$15)-COS((1-'1.설계입력'!$C$15)*B35),SIN((1-'1.설계입력'!$C$15)*B35))</f>
        <v>0.33718393533906765</v>
      </c>
      <c r="D35" s="40">
        <f>'1.설계입력'!$C$6*COS(B35)-'1.설계입력'!$C$7*COS(B35+C35)-'1.설계입력'!$C$8*COS('1.설계입력'!$C$15*B35)</f>
        <v>78.882004433097563</v>
      </c>
      <c r="E35" s="40">
        <f>-'1.설계입력'!$C$6*SIN(B35)+'1.설계입력'!$C$7*SIN(B35+C35)+'1.설계입력'!$C$8*SIN('1.설계입력'!$C$15*B35)</f>
        <v>-7.7706200300797157</v>
      </c>
      <c r="F35" s="40">
        <f>ATAN2(('1.설계입력'!$C$6+'1.설계입력'!$C$33)/('1.설계입력'!$C$8*'1.설계입력'!$C$15)-COS((1-'1.설계입력'!$C$15)*B35),SIN((1-'1.설계입력'!$C$15)*B35))</f>
        <v>0.33719177034582354</v>
      </c>
      <c r="G35" s="40">
        <f>('1.설계입력'!$C$6+'1.설계입력'!$C$33)*COS(B35)-('1.설계입력'!$C$7+'1.설계입력'!$C$34)*COS(B35+F35)-'1.설계입력'!$C$8*COS('1.설계입력'!$C$15*B35)</f>
        <v>78.871599679435917</v>
      </c>
      <c r="H35" s="40">
        <f>-('1.설계입력'!$C$6+'1.설계입력'!$C$33)*SIN(B35)+('1.설계입력'!$C$7+'1.설계입력'!$C$34)*SIN(B35+F35)+'1.설계입력'!$C$8*SIN('1.설계입력'!$C$15*B35)</f>
        <v>-7.7668398468084678</v>
      </c>
      <c r="I35" s="40">
        <f t="shared" si="1"/>
        <v>79.263819987653264</v>
      </c>
      <c r="J35" s="40">
        <f t="shared" si="2"/>
        <v>79.253094811490911</v>
      </c>
      <c r="K35" s="38">
        <f>IF(OR(A35&gt;180,'1.설계입력'!$C$39&gt;=1),"",'1.설계입력'!$C$34*(1-SIN(B35)/SQRT(1+'1.설계입력'!$C$39^2-2*'1.설계입력'!$C$39*COS(B35)))-'1.설계입력'!$C$33*(1-'1.설계입력'!$C$39*COS(B35)-SQRT(MAX(0,1-'1.설계입력'!$C$39^2))*SIN(B35))/SQRT(1+'1.설계입력'!$C$39^2-2*'1.설계입력'!$C$39*COS(B35)))</f>
        <v>7.4300536866927658E-3</v>
      </c>
    </row>
    <row r="36" spans="1:11" x14ac:dyDescent="0.3">
      <c r="A36" s="40">
        <f>A35+'1.설계입력'!$C$12</f>
        <v>6.0000000000000027</v>
      </c>
      <c r="B36" s="40">
        <f t="shared" si="0"/>
        <v>0.10471975511965982</v>
      </c>
      <c r="C36" s="40">
        <f>ATAN2('1.설계입력'!$C$6/('1.설계입력'!$C$8*'1.설계입력'!$C$15)-COS((1-'1.설계입력'!$C$15)*B36),SIN((1-'1.설계입력'!$C$15)*B36))</f>
        <v>0.39246170072043918</v>
      </c>
      <c r="D36" s="40">
        <f>'1.설계입력'!$C$6*COS(B36)-'1.설계입력'!$C$7*COS(B36+C36)-'1.설계입력'!$C$8*COS('1.설계입력'!$C$15*B36)</f>
        <v>78.785073994943787</v>
      </c>
      <c r="E36" s="40">
        <f>-'1.설계입력'!$C$6*SIN(B36)+'1.설계입력'!$C$7*SIN(B36+C36)+'1.설계입력'!$C$8*SIN('1.설계입력'!$C$15*B36)</f>
        <v>-7.9625715642172592</v>
      </c>
      <c r="F36" s="40">
        <f>ATAN2(('1.설계입력'!$C$6+'1.설계입력'!$C$33)/('1.설계입력'!$C$8*'1.설계입력'!$C$15)-COS((1-'1.설계입력'!$C$15)*B36),SIN((1-'1.설계입력'!$C$15)*B36))</f>
        <v>0.39247104280891576</v>
      </c>
      <c r="G36" s="40">
        <f>('1.설계입력'!$C$6+'1.설계입력'!$C$33)*COS(B36)-('1.설계입력'!$C$7+'1.설계입력'!$C$34)*COS(B36+F36)-'1.설계입력'!$C$8*COS('1.설계입력'!$C$15*B36)</f>
        <v>78.774889500268316</v>
      </c>
      <c r="H36" s="40">
        <f>-('1.설계입력'!$C$6+'1.설계입력'!$C$33)*SIN(B36)+('1.설계입력'!$C$7+'1.설계입력'!$C$34)*SIN(B36+F36)+'1.설계입력'!$C$8*SIN('1.설계입력'!$C$15*B36)</f>
        <v>-7.9583513193024213</v>
      </c>
      <c r="I36" s="40">
        <f t="shared" si="1"/>
        <v>79.186428321424174</v>
      </c>
      <c r="J36" s="40">
        <f t="shared" si="2"/>
        <v>79.175871144566045</v>
      </c>
      <c r="K36" s="38">
        <f>IF(OR(A36&gt;180,'1.설계입력'!$C$39&gt;=1),"",'1.설계입력'!$C$34*(1-SIN(B36)/SQRT(1+'1.설계입력'!$C$39^2-2*'1.설계입력'!$C$39*COS(B36)))-'1.설계입력'!$C$33*(1-'1.설계입력'!$C$39*COS(B36)-SQRT(MAX(0,1-'1.설계입력'!$C$39^2))*SIN(B36))/SQRT(1+'1.설계입력'!$C$39^2-2*'1.설계입력'!$C$39*COS(B36)))</f>
        <v>7.3097477808221978E-3</v>
      </c>
    </row>
    <row r="37" spans="1:11" x14ac:dyDescent="0.3">
      <c r="A37" s="40">
        <f>A36+'1.설계입력'!$C$12</f>
        <v>6.2000000000000028</v>
      </c>
      <c r="B37" s="40">
        <f t="shared" si="0"/>
        <v>0.10821041362364849</v>
      </c>
      <c r="C37" s="40">
        <f>ATAN2('1.설계입력'!$C$6/('1.설계입력'!$C$8*'1.설계입력'!$C$15)-COS((1-'1.설계입력'!$C$15)*B37),SIN((1-'1.설계입력'!$C$15)*B37))</f>
        <v>0.44684767126077701</v>
      </c>
      <c r="D37" s="40">
        <f>'1.설계입력'!$C$6*COS(B37)-'1.설계입력'!$C$7*COS(B37+C37)-'1.설계입력'!$C$8*COS('1.설계입력'!$C$15*B37)</f>
        <v>78.682809610271988</v>
      </c>
      <c r="E37" s="40">
        <f>-'1.설계입력'!$C$6*SIN(B37)+'1.설계입력'!$C$7*SIN(B37+C37)+'1.설계입력'!$C$8*SIN('1.설계입력'!$C$15*B37)</f>
        <v>-8.1387522870112399</v>
      </c>
      <c r="F37" s="40">
        <f>ATAN2(('1.설계입력'!$C$6+'1.설계입력'!$C$33)/('1.설계입력'!$C$8*'1.설계입력'!$C$15)-COS((1-'1.설계입력'!$C$15)*B37),SIN((1-'1.설계입력'!$C$15)*B37))</f>
        <v>0.4468586187221818</v>
      </c>
      <c r="G37" s="40">
        <f>('1.설계입력'!$C$6+'1.설계입력'!$C$33)*COS(B37)-('1.설계입력'!$C$7+'1.설계입력'!$C$34)*COS(B37+F37)-'1.설계입력'!$C$8*COS('1.설계입력'!$C$15*B37)</f>
        <v>78.672866920511723</v>
      </c>
      <c r="H37" s="40">
        <f>-('1.설계입력'!$C$6+'1.설계입력'!$C$33)*SIN(B37)+('1.설계입력'!$C$7+'1.설계입력'!$C$34)*SIN(B37+F37)+'1.설계입력'!$C$8*SIN('1.설계입력'!$C$15*B37)</f>
        <v>-8.1341115575126484</v>
      </c>
      <c r="I37" s="40">
        <f t="shared" si="1"/>
        <v>79.102615740287888</v>
      </c>
      <c r="J37" s="40">
        <f t="shared" si="2"/>
        <v>79.092248421211337</v>
      </c>
      <c r="K37" s="38">
        <f>IF(OR(A37&gt;180,'1.설계입력'!$C$39&gt;=1),"",'1.설계입력'!$C$34*(1-SIN(B37)/SQRT(1+'1.설계입력'!$C$39^2-2*'1.설계입력'!$C$39*COS(B37)))-'1.설계입력'!$C$33*(1-'1.설계입력'!$C$39*COS(B37)-SQRT(MAX(0,1-'1.설계입력'!$C$39^2))*SIN(B37))/SQRT(1+'1.설계입력'!$C$39^2-2*'1.설계입력'!$C$39*COS(B37)))</f>
        <v>7.1904635459346996E-3</v>
      </c>
    </row>
    <row r="38" spans="1:11" x14ac:dyDescent="0.3">
      <c r="A38" s="40">
        <f>A37+'1.설계입력'!$C$12</f>
        <v>6.400000000000003</v>
      </c>
      <c r="B38" s="40">
        <f t="shared" si="0"/>
        <v>0.11170107212763715</v>
      </c>
      <c r="C38" s="40">
        <f>ATAN2('1.설계입력'!$C$6/('1.설계입력'!$C$8*'1.설계입력'!$C$15)-COS((1-'1.설계입력'!$C$15)*B38),SIN((1-'1.설계입력'!$C$15)*B38))</f>
        <v>0.50010901618070103</v>
      </c>
      <c r="D38" s="40">
        <f>'1.설계입력'!$C$6*COS(B38)-'1.설계입력'!$C$7*COS(B38+C38)-'1.설계입력'!$C$8*COS('1.설계입력'!$C$15*B38)</f>
        <v>78.577413274708874</v>
      </c>
      <c r="E38" s="40">
        <f>-'1.설계입력'!$C$6*SIN(B38)+'1.설계입력'!$C$7*SIN(B38+C38)+'1.설계입력'!$C$8*SIN('1.설계입력'!$C$15*B38)</f>
        <v>-8.2984954059026386</v>
      </c>
      <c r="F38" s="40">
        <f>ATAN2(('1.설계입력'!$C$6+'1.설계입력'!$C$33)/('1.설계입력'!$C$8*'1.설계입력'!$C$15)-COS((1-'1.설계입력'!$C$15)*B38),SIN((1-'1.설계입력'!$C$15)*B38))</f>
        <v>0.50012169170353837</v>
      </c>
      <c r="G38" s="40">
        <f>('1.설계입력'!$C$6+'1.설계입력'!$C$33)*COS(B38)-('1.설계입력'!$C$7+'1.설계입력'!$C$34)*COS(B38+F38)-'1.설계입력'!$C$8*COS('1.설계입력'!$C$15*B38)</f>
        <v>78.567731035293448</v>
      </c>
      <c r="H38" s="40">
        <f>-('1.설계입력'!$C$6+'1.설계입력'!$C$33)*SIN(B38)+('1.설계입력'!$C$7+'1.설계입력'!$C$34)*SIN(B38+F38)+'1.설계입력'!$C$8*SIN('1.설계입력'!$C$15*B38)</f>
        <v>-8.2934560268596211</v>
      </c>
      <c r="I38" s="40">
        <f t="shared" si="1"/>
        <v>79.014396808089231</v>
      </c>
      <c r="J38" s="40">
        <f t="shared" si="2"/>
        <v>79.004238955284336</v>
      </c>
      <c r="K38" s="38">
        <f>IF(OR(A38&gt;180,'1.설계입력'!$C$39&gt;=1),"",'1.설계입력'!$C$34*(1-SIN(B38)/SQRT(1+'1.설계입력'!$C$39^2-2*'1.설계입력'!$C$39*COS(B38)))-'1.설계입력'!$C$33*(1-'1.설계입력'!$C$39*COS(B38)-SQRT(MAX(0,1-'1.설계입력'!$C$39^2))*SIN(B38))/SQRT(1+'1.설계입력'!$C$39^2-2*'1.설계입력'!$C$39*COS(B38)))</f>
        <v>7.0722265215756551E-3</v>
      </c>
    </row>
    <row r="39" spans="1:11" x14ac:dyDescent="0.3">
      <c r="A39" s="40">
        <f>A38+'1.설계입력'!$C$12</f>
        <v>6.6000000000000032</v>
      </c>
      <c r="B39" s="40">
        <f t="shared" si="0"/>
        <v>0.1151917306316258</v>
      </c>
      <c r="C39" s="40">
        <f>ATAN2('1.설계입력'!$C$6/('1.설계입력'!$C$8*'1.설계입력'!$C$15)-COS((1-'1.설계입력'!$C$15)*B39),SIN((1-'1.설계입력'!$C$15)*B39))</f>
        <v>0.55195201460080612</v>
      </c>
      <c r="D39" s="40">
        <f>'1.설계입력'!$C$6*COS(B39)-'1.설계입력'!$C$7*COS(B39+C39)-'1.설계입력'!$C$8*COS('1.설계입력'!$C$15*B39)</f>
        <v>78.470990832638577</v>
      </c>
      <c r="E39" s="40">
        <f>-'1.설계입력'!$C$6*SIN(B39)+'1.설계입력'!$C$7*SIN(B39+C39)+'1.설계입력'!$C$8*SIN('1.설계입력'!$C$15*B39)</f>
        <v>-8.4416505328633438</v>
      </c>
      <c r="F39" s="40">
        <f>ATAN2(('1.설계입력'!$C$6+'1.설계입력'!$C$33)/('1.설계입력'!$C$8*'1.설계입력'!$C$15)-COS((1-'1.설계입력'!$C$15)*B39),SIN((1-'1.설계입력'!$C$15)*B39))</f>
        <v>0.55196657090401724</v>
      </c>
      <c r="G39" s="40">
        <f>('1.설계입력'!$C$6+'1.설계입력'!$C$33)*COS(B39)-('1.설계입력'!$C$7+'1.설계입력'!$C$34)*COS(B39+F39)-'1.설계입력'!$C$8*COS('1.설계입력'!$C$15*B39)</f>
        <v>78.461584180393189</v>
      </c>
      <c r="H39" s="40">
        <f>-('1.설계입력'!$C$6+'1.설계입력'!$C$33)*SIN(B39)+('1.설계입력'!$C$7+'1.설계입력'!$C$34)*SIN(B39+F39)+'1.설계입력'!$C$8*SIN('1.설계입력'!$C$15*B39)</f>
        <v>-8.436236562295262</v>
      </c>
      <c r="I39" s="40">
        <f t="shared" si="1"/>
        <v>78.923747161263449</v>
      </c>
      <c r="J39" s="40">
        <f t="shared" si="2"/>
        <v>78.9138155168785</v>
      </c>
      <c r="K39" s="38">
        <f>IF(OR(A39&gt;180,'1.설계입력'!$C$39&gt;=1),"",'1.설계입력'!$C$34*(1-SIN(B39)/SQRT(1+'1.설계입력'!$C$39^2-2*'1.설계입력'!$C$39*COS(B39)))-'1.설계입력'!$C$33*(1-'1.설계입력'!$C$39*COS(B39)-SQRT(MAX(0,1-'1.설계입력'!$C$39^2))*SIN(B39))/SQRT(1+'1.설계입력'!$C$39^2-2*'1.설계입력'!$C$39*COS(B39)))</f>
        <v>6.9550607739215214E-3</v>
      </c>
    </row>
    <row r="40" spans="1:11" x14ac:dyDescent="0.3">
      <c r="A40" s="40">
        <f>A39+'1.설계입력'!$C$12</f>
        <v>6.8000000000000034</v>
      </c>
      <c r="B40" s="40">
        <f t="shared" si="0"/>
        <v>0.11868238913561446</v>
      </c>
      <c r="C40" s="40">
        <f>ATAN2('1.설계입력'!$C$6/('1.설계입력'!$C$8*'1.설계입력'!$C$15)-COS((1-'1.설계입력'!$C$15)*B40),SIN((1-'1.설계입력'!$C$15)*B40))</f>
        <v>0.60199747927620917</v>
      </c>
      <c r="D40" s="40">
        <f>'1.설계입력'!$C$6*COS(B40)-'1.설계입력'!$C$7*COS(B40+C40)-'1.설계입력'!$C$8*COS('1.설계입력'!$C$15*B40)</f>
        <v>78.365393377220272</v>
      </c>
      <c r="E40" s="40">
        <f>-'1.설계입력'!$C$6*SIN(B40)+'1.설계입력'!$C$7*SIN(B40+C40)+'1.설계입력'!$C$8*SIN('1.설계입력'!$C$15*B40)</f>
        <v>-8.56862904762799</v>
      </c>
      <c r="F40" s="40">
        <f>ATAN2(('1.설계입력'!$C$6+'1.설계입력'!$C$33)/('1.설계입력'!$C$8*'1.설계입력'!$C$15)-COS((1-'1.설계입력'!$C$15)*B40),SIN((1-'1.설계입력'!$C$15)*B40))</f>
        <v>0.60201410668025968</v>
      </c>
      <c r="G40" s="40">
        <f>('1.설계입력'!$C$6+'1.설계입력'!$C$33)*COS(B40)-('1.설계입력'!$C$7+'1.설계입력'!$C$34)*COS(B40+F40)-'1.설계입력'!$C$8*COS('1.설계입력'!$C$15*B40)</f>
        <v>78.356273169032804</v>
      </c>
      <c r="H40" s="40">
        <f>-('1.설계입력'!$C$6+'1.설계입력'!$C$33)*SIN(B40)+('1.설계입력'!$C$7+'1.설계입력'!$C$34)*SIN(B40+F40)+'1.설계입력'!$C$8*SIN('1.설계입력'!$C$15*B40)</f>
        <v>-8.5628667672616317</v>
      </c>
      <c r="I40" s="40">
        <f t="shared" si="1"/>
        <v>78.832457039739239</v>
      </c>
      <c r="J40" s="40">
        <f t="shared" si="2"/>
        <v>78.822764682634443</v>
      </c>
      <c r="K40" s="38">
        <f>IF(OR(A40&gt;180,'1.설계입력'!$C$39&gt;=1),"",'1.설계입력'!$C$34*(1-SIN(B40)/SQRT(1+'1.설계입력'!$C$39^2-2*'1.설계입력'!$C$39*COS(B40)))-'1.설계입력'!$C$33*(1-'1.설계입력'!$C$39*COS(B40)-SQRT(MAX(0,1-'1.설계입력'!$C$39^2))*SIN(B40))/SQRT(1+'1.설계입력'!$C$39^2-2*'1.설계입력'!$C$39*COS(B40)))</f>
        <v>6.8389889012037183E-3</v>
      </c>
    </row>
    <row r="41" spans="1:11" x14ac:dyDescent="0.3">
      <c r="A41" s="40">
        <f>A40+'1.설계입력'!$C$12</f>
        <v>7.0000000000000036</v>
      </c>
      <c r="B41" s="40">
        <f t="shared" si="0"/>
        <v>0.12217304763960313</v>
      </c>
      <c r="C41" s="40">
        <f>ATAN2('1.설계입력'!$C$6/('1.설계입력'!$C$8*'1.설계입력'!$C$15)-COS((1-'1.설계입력'!$C$15)*B41),SIN((1-'1.설계입력'!$C$15)*B41))</f>
        <v>0.64974417413326813</v>
      </c>
      <c r="D41" s="40">
        <f>'1.설계입력'!$C$6*COS(B41)-'1.설계입력'!$C$7*COS(B41+C41)-'1.설계입력'!$C$8*COS('1.설계입력'!$C$15*B41)</f>
        <v>78.262013346622467</v>
      </c>
      <c r="E41" s="40">
        <f>-'1.설계입력'!$C$6*SIN(B41)+'1.설계입력'!$C$7*SIN(B41+C41)+'1.설계입력'!$C$8*SIN('1.설계입력'!$C$15*B41)</f>
        <v>-8.6804563793585849</v>
      </c>
      <c r="F41" s="40">
        <f>ATAN2(('1.설계입력'!$C$6+'1.설계입력'!$C$33)/('1.설계입력'!$C$8*'1.설계입력'!$C$15)-COS((1-'1.설계입력'!$C$15)*B41),SIN((1-'1.설계입력'!$C$15)*B41))</f>
        <v>0.64976311076840676</v>
      </c>
      <c r="G41" s="40">
        <f>('1.설계입력'!$C$6+'1.설계입력'!$C$33)*COS(B41)-('1.설계입력'!$C$7+'1.설계입력'!$C$34)*COS(B41+F41)-'1.설계입력'!$C$8*COS('1.설계입력'!$C$15*B41)</f>
        <v>78.253185139938907</v>
      </c>
      <c r="H41" s="40">
        <f>-('1.설계입력'!$C$6+'1.설계입력'!$C$33)*SIN(B41)+('1.설계입력'!$C$7+'1.설계입력'!$C$34)*SIN(B41+F41)+'1.설계입력'!$C$8*SIN('1.설계입력'!$C$15*B41)</f>
        <v>-8.6743743630732553</v>
      </c>
      <c r="I41" s="40">
        <f t="shared" si="1"/>
        <v>78.741939625722082</v>
      </c>
      <c r="J41" s="40">
        <f t="shared" si="2"/>
        <v>78.732494912433069</v>
      </c>
      <c r="K41" s="38">
        <f>IF(OR(A41&gt;180,'1.설계입력'!$C$39&gt;=1),"",'1.설계입력'!$C$34*(1-SIN(B41)/SQRT(1+'1.설계입력'!$C$39^2-2*'1.설계입력'!$C$39*COS(B41)))-'1.설계입력'!$C$33*(1-'1.설계입력'!$C$39*COS(B41)-SQRT(MAX(0,1-'1.설계입력'!$C$39^2))*SIN(B41))/SQRT(1+'1.설계입력'!$C$39^2-2*'1.설계입력'!$C$39*COS(B41)))</f>
        <v>6.7240320427347875E-3</v>
      </c>
    </row>
    <row r="42" spans="1:11" x14ac:dyDescent="0.3">
      <c r="A42" s="40">
        <f>A41+'1.설계입력'!$C$12</f>
        <v>7.2000000000000037</v>
      </c>
      <c r="B42" s="40">
        <f t="shared" si="0"/>
        <v>0.12566370614359179</v>
      </c>
      <c r="C42" s="40">
        <f>ATAN2('1.설계입력'!$C$6/('1.설계입력'!$C$8*'1.설계입력'!$C$15)-COS((1-'1.설계입력'!$C$15)*B42),SIN((1-'1.설계입력'!$C$15)*B42))</f>
        <v>0.69451276334709311</v>
      </c>
      <c r="D42" s="40">
        <f>'1.설계입력'!$C$6*COS(B42)-'1.설계입력'!$C$7*COS(B42+C42)-'1.설계입력'!$C$8*COS('1.설계입력'!$C$15*B42)</f>
        <v>78.161511329291145</v>
      </c>
      <c r="E42" s="40">
        <f>-'1.설계입력'!$C$6*SIN(B42)+'1.설계입력'!$C$7*SIN(B42+C42)+'1.설계입력'!$C$8*SIN('1.설계입력'!$C$15*B42)</f>
        <v>-8.7788450884325897</v>
      </c>
      <c r="F42" s="40">
        <f>ATAN2(('1.설계입력'!$C$6+'1.설계입력'!$C$33)/('1.설계입력'!$C$8*'1.설계입력'!$C$15)-COS((1-'1.설계입력'!$C$15)*B42),SIN((1-'1.설계입력'!$C$15)*B42))</f>
        <v>0.6945343089293845</v>
      </c>
      <c r="G42" s="40">
        <f>('1.설계입력'!$C$6+'1.설계입력'!$C$33)*COS(B42)-('1.설계입력'!$C$7+'1.설계입력'!$C$34)*COS(B42+F42)-'1.설계입력'!$C$8*COS('1.설계입력'!$C$15*B42)</f>
        <v>78.152973977605754</v>
      </c>
      <c r="H42" s="40">
        <f>-('1.설계입력'!$C$6+'1.설계입력'!$C$33)*SIN(B42)+('1.설계입력'!$C$7+'1.설계입력'!$C$34)*SIN(B42+F42)+'1.설계입력'!$C$8*SIN('1.설계입력'!$C$15*B42)</f>
        <v>-8.7724743964610639</v>
      </c>
      <c r="I42" s="40">
        <f t="shared" si="1"/>
        <v>78.652971808861778</v>
      </c>
      <c r="J42" s="40">
        <f t="shared" si="2"/>
        <v>78.643776922149968</v>
      </c>
      <c r="K42" s="38">
        <f>IF(OR(A42&gt;180,'1.설계입력'!$C$39&gt;=1),"",'1.설계입력'!$C$34*(1-SIN(B42)/SQRT(1+'1.설계입력'!$C$39^2-2*'1.설계입력'!$C$39*COS(B42)))-'1.설계입력'!$C$33*(1-'1.설계입력'!$C$39*COS(B42)-SQRT(MAX(0,1-'1.설계입력'!$C$39^2))*SIN(B42))/SQRT(1+'1.설계입력'!$C$39^2-2*'1.설계입력'!$C$39*COS(B42)))</f>
        <v>6.6102098913409426E-3</v>
      </c>
    </row>
    <row r="43" spans="1:11" x14ac:dyDescent="0.3">
      <c r="A43" s="40">
        <f>A42+'1.설계입력'!$C$12</f>
        <v>7.4000000000000039</v>
      </c>
      <c r="B43" s="40">
        <f t="shared" si="0"/>
        <v>0.12915436464758046</v>
      </c>
      <c r="C43" s="40">
        <f>ATAN2('1.설계입력'!$C$6/('1.설계입력'!$C$8*'1.설계입력'!$C$15)-COS((1-'1.설계입력'!$C$15)*B43),SIN((1-'1.설계입력'!$C$15)*B43))</f>
        <v>0.73535720769430324</v>
      </c>
      <c r="D43" s="40">
        <f>'1.설계입력'!$C$6*COS(B43)-'1.설계입력'!$C$7*COS(B43+C43)-'1.설계입력'!$C$8*COS('1.설계입력'!$C$15*B43)</f>
        <v>78.063431482114922</v>
      </c>
      <c r="E43" s="40">
        <f>-'1.설계입력'!$C$6*SIN(B43)+'1.설계입력'!$C$7*SIN(B43+C43)+'1.설계입력'!$C$8*SIN('1.설계입력'!$C$15*B43)</f>
        <v>-8.8663165524598764</v>
      </c>
      <c r="F43" s="40">
        <f>ATAN2(('1.설계입력'!$C$6+'1.설계입력'!$C$33)/('1.설계입력'!$C$8*'1.설계입력'!$C$15)-COS((1-'1.설계입력'!$C$15)*B43),SIN((1-'1.설계입력'!$C$15)*B43))</f>
        <v>0.73538174198803952</v>
      </c>
      <c r="G43" s="40">
        <f>('1.설계입력'!$C$6+'1.설계입력'!$C$33)*COS(B43)-('1.설계입력'!$C$7+'1.설계입력'!$C$34)*COS(B43+F43)-'1.설계입력'!$C$8*COS('1.설계입력'!$C$15*B43)</f>
        <v>78.055175118717088</v>
      </c>
      <c r="H43" s="40">
        <f>-('1.설계입력'!$C$6+'1.설계입력'!$C$33)*SIN(B43)+('1.설계입력'!$C$7+'1.설계입력'!$C$34)*SIN(B43+F43)+'1.설계입력'!$C$8*SIN('1.설계입력'!$C$15*B43)</f>
        <v>-8.8596911611605158</v>
      </c>
      <c r="I43" s="40">
        <f t="shared" si="1"/>
        <v>78.565328892401865</v>
      </c>
      <c r="J43" s="40">
        <f t="shared" si="2"/>
        <v>78.556377782359192</v>
      </c>
      <c r="K43" s="38">
        <f>IF(OR(A43&gt;180,'1.설계입력'!$C$39&gt;=1),"",'1.설계입력'!$C$34*(1-SIN(B43)/SQRT(1+'1.설계입력'!$C$39^2-2*'1.설계입력'!$C$39*COS(B43)))-'1.설계입력'!$C$33*(1-'1.설계입력'!$C$39*COS(B43)-SQRT(MAX(0,1-'1.설계입력'!$C$39^2))*SIN(B43))/SQRT(1+'1.설계입력'!$C$39^2-2*'1.설계입력'!$C$39*COS(B43)))</f>
        <v>6.4975407089978982E-3</v>
      </c>
    </row>
    <row r="44" spans="1:11" x14ac:dyDescent="0.3">
      <c r="A44" s="40">
        <f>A43+'1.설계입력'!$C$12</f>
        <v>7.6000000000000041</v>
      </c>
      <c r="B44" s="40">
        <f t="shared" si="0"/>
        <v>0.13264502315156912</v>
      </c>
      <c r="C44" s="40">
        <f>ATAN2('1.설계입력'!$C$6/('1.설계입력'!$C$8*'1.설계입력'!$C$15)-COS((1-'1.설계입력'!$C$15)*B44),SIN((1-'1.설계입력'!$C$15)*B44))</f>
        <v>0.77091983254162932</v>
      </c>
      <c r="D44" s="40">
        <f>'1.설계입력'!$C$6*COS(B44)-'1.설계입력'!$C$7*COS(B44+C44)-'1.설계입력'!$C$8*COS('1.설계입력'!$C$15*B44)</f>
        <v>77.965630637319407</v>
      </c>
      <c r="E44" s="40">
        <f>-'1.설계입력'!$C$6*SIN(B44)+'1.설계입력'!$C$7*SIN(B44+C44)+'1.설계입력'!$C$8*SIN('1.설계입력'!$C$15*B44)</f>
        <v>-8.9464288501660167</v>
      </c>
      <c r="F44" s="40">
        <f>ATAN2(('1.설계입력'!$C$6+'1.설계입력'!$C$33)/('1.설계입력'!$C$8*'1.설계입력'!$C$15)-COS((1-'1.설계입력'!$C$15)*B44),SIN((1-'1.설계입력'!$C$15)*B44))</f>
        <v>0.77094783944640422</v>
      </c>
      <c r="G44" s="40">
        <f>('1.설계입력'!$C$6+'1.설계입력'!$C$33)*COS(B44)-('1.설계입력'!$C$7+'1.설계입력'!$C$34)*COS(B44+F44)-'1.설계입력'!$C$8*COS('1.설계입력'!$C$15*B44)</f>
        <v>77.957633660285495</v>
      </c>
      <c r="H44" s="40">
        <f>-('1.설계입력'!$C$6+'1.설계입력'!$C$33)*SIN(B44)+('1.설계입력'!$C$7+'1.설계입력'!$C$34)*SIN(B44+F44)+'1.설계입력'!$C$8*SIN('1.설계입력'!$C$15*B44)</f>
        <v>-8.9395865351905801</v>
      </c>
      <c r="I44" s="40">
        <f t="shared" si="1"/>
        <v>78.477246064359321</v>
      </c>
      <c r="J44" s="40">
        <f t="shared" si="2"/>
        <v>78.468521416753092</v>
      </c>
      <c r="K44" s="38">
        <f>IF(OR(A44&gt;180,'1.설계입력'!$C$39&gt;=1),"",'1.설계입력'!$C$34*(1-SIN(B44)/SQRT(1+'1.설계입력'!$C$39^2-2*'1.설계입력'!$C$39*COS(B44)))-'1.설계입력'!$C$33*(1-'1.설계입력'!$C$39*COS(B44)-SQRT(MAX(0,1-'1.설계입력'!$C$39^2))*SIN(B44))/SQRT(1+'1.설계입력'!$C$39^2-2*'1.설계입력'!$C$39*COS(B44)))</f>
        <v>6.3860413454614427E-3</v>
      </c>
    </row>
    <row r="45" spans="1:11" x14ac:dyDescent="0.3">
      <c r="A45" s="40">
        <f>A44+'1.설계입력'!$C$12</f>
        <v>7.8000000000000043</v>
      </c>
      <c r="B45" s="40">
        <f t="shared" si="0"/>
        <v>0.13613568165555778</v>
      </c>
      <c r="C45" s="40">
        <f>ATAN2('1.설계입력'!$C$6/('1.설계입력'!$C$8*'1.설계입력'!$C$15)-COS((1-'1.설계입력'!$C$15)*B45),SIN((1-'1.설계입력'!$C$15)*B45))</f>
        <v>0.79918523100285599</v>
      </c>
      <c r="D45" s="40">
        <f>'1.설계입력'!$C$6*COS(B45)-'1.설계입력'!$C$7*COS(B45+C45)-'1.설계입력'!$C$8*COS('1.설계입력'!$C$15*B45)</f>
        <v>77.863386250031255</v>
      </c>
      <c r="E45" s="40">
        <f>-'1.설계입력'!$C$6*SIN(B45)+'1.설계입력'!$C$7*SIN(B45+C45)+'1.설계입력'!$C$8*SIN('1.설계입력'!$C$15*B45)</f>
        <v>-9.024235775718136</v>
      </c>
      <c r="F45" s="40">
        <f>ATAN2(('1.설계입력'!$C$6+'1.설계입력'!$C$33)/('1.설계입력'!$C$8*'1.설계입력'!$C$15)-COS((1-'1.설계입력'!$C$15)*B45),SIN((1-'1.설계입력'!$C$15)*B45))</f>
        <v>0.79921732751745955</v>
      </c>
      <c r="G45" s="40">
        <f>('1.설계입력'!$C$6+'1.설계입력'!$C$33)*COS(B45)-('1.설계입력'!$C$7+'1.설계입력'!$C$34)*COS(B45+F45)-'1.설계입력'!$C$8*COS('1.설계입력'!$C$15*B45)</f>
        <v>77.855610628409337</v>
      </c>
      <c r="H45" s="40">
        <f>-('1.설계입력'!$C$6+'1.설계입력'!$C$33)*SIN(B45)+('1.설계입력'!$C$7+'1.설계입력'!$C$34)*SIN(B45+F45)+'1.설계입력'!$C$8*SIN('1.설계입력'!$C$15*B45)</f>
        <v>-9.0172199041728263</v>
      </c>
      <c r="I45" s="40">
        <f t="shared" si="1"/>
        <v>78.384588725445937</v>
      </c>
      <c r="J45" s="40">
        <f t="shared" si="2"/>
        <v>78.376057320604588</v>
      </c>
      <c r="K45" s="38">
        <f>IF(OR(A45&gt;180,'1.설계입력'!$C$39&gt;=1),"",'1.설계입력'!$C$34*(1-SIN(B45)/SQRT(1+'1.설계입력'!$C$39^2-2*'1.설계입력'!$C$39*COS(B45)))-'1.설계입력'!$C$33*(1-'1.설계입력'!$C$39*COS(B45)-SQRT(MAX(0,1-'1.설계입력'!$C$39^2))*SIN(B45))/SQRT(1+'1.설계입력'!$C$39^2-2*'1.설계입력'!$C$39*COS(B45)))</f>
        <v>6.2757272596806815E-3</v>
      </c>
    </row>
    <row r="46" spans="1:11" x14ac:dyDescent="0.3">
      <c r="A46" s="40">
        <f>A45+'1.설계입력'!$C$12</f>
        <v>8.0000000000000036</v>
      </c>
      <c r="B46" s="40">
        <f t="shared" si="0"/>
        <v>0.13962634015954642</v>
      </c>
      <c r="C46" s="40">
        <f>ATAN2('1.설계입력'!$C$6/('1.설계입력'!$C$8*'1.설계입력'!$C$15)-COS((1-'1.설계입력'!$C$15)*B46),SIN((1-'1.설계입력'!$C$15)*B46))</f>
        <v>0.81704537838721436</v>
      </c>
      <c r="D46" s="40">
        <f>'1.설계입력'!$C$6*COS(B46)-'1.설계입력'!$C$7*COS(B46+C46)-'1.설계입력'!$C$8*COS('1.설계입력'!$C$15*B46)</f>
        <v>77.747941753836614</v>
      </c>
      <c r="E46" s="40">
        <f>-'1.설계입력'!$C$6*SIN(B46)+'1.설계입력'!$C$7*SIN(B46+C46)+'1.설계입력'!$C$8*SIN('1.설계입력'!$C$15*B46)</f>
        <v>-9.1072628987880204</v>
      </c>
      <c r="F46" s="40">
        <f>ATAN2(('1.설계입력'!$C$6+'1.설계입력'!$C$33)/('1.설계입력'!$C$8*'1.설계입력'!$C$15)-COS((1-'1.설계입력'!$C$15)*B46),SIN((1-'1.설계입력'!$C$15)*B46))</f>
        <v>0.81708234063184748</v>
      </c>
      <c r="G46" s="40">
        <f>('1.설계입력'!$C$6+'1.설계입력'!$C$33)*COS(B46)-('1.설계입력'!$C$7+'1.설계입력'!$C$34)*COS(B46+F46)-'1.설계입력'!$C$8*COS('1.설계입력'!$C$15*B46)</f>
        <v>77.740325432069355</v>
      </c>
      <c r="H46" s="40">
        <f>-('1.설계입력'!$C$6+'1.설계입력'!$C$33)*SIN(B46)+('1.설계입력'!$C$7+'1.설계입력'!$C$34)*SIN(B46+F46)+'1.설계입력'!$C$8*SIN('1.설계입력'!$C$15*B46)</f>
        <v>-9.1001261414960712</v>
      </c>
      <c r="I46" s="40">
        <f t="shared" si="1"/>
        <v>78.279529153320865</v>
      </c>
      <c r="J46" s="40">
        <f t="shared" si="2"/>
        <v>78.271134488233841</v>
      </c>
      <c r="K46" s="38">
        <f>IF(OR(A46&gt;180,'1.설계입력'!$C$39&gt;=1),"",'1.설계입력'!$C$34*(1-SIN(B46)/SQRT(1+'1.설계입력'!$C$39^2-2*'1.설계입력'!$C$39*COS(B46)))-'1.설계입력'!$C$33*(1-'1.설계입력'!$C$39*COS(B46)-SQRT(MAX(0,1-'1.설계입력'!$C$39^2))*SIN(B46))/SQRT(1+'1.설계입력'!$C$39^2-2*'1.설계입력'!$C$39*COS(B46)))</f>
        <v>6.1666125437796664E-3</v>
      </c>
    </row>
    <row r="47" spans="1:11" x14ac:dyDescent="0.3">
      <c r="A47" s="40">
        <f>A46+'1.설계입력'!$C$12</f>
        <v>8.2000000000000028</v>
      </c>
      <c r="B47" s="40">
        <f t="shared" si="0"/>
        <v>0.14311699866353508</v>
      </c>
      <c r="C47" s="40">
        <f>ATAN2('1.설계입력'!$C$6/('1.설계입력'!$C$8*'1.설계입력'!$C$15)-COS((1-'1.설계입력'!$C$15)*B47),SIN((1-'1.설계입력'!$C$15)*B47))</f>
        <v>0.81950020104115973</v>
      </c>
      <c r="D47" s="40">
        <f>'1.설계입력'!$C$6*COS(B47)-'1.설계입력'!$C$7*COS(B47+C47)-'1.설계입력'!$C$8*COS('1.설계입력'!$C$15*B47)</f>
        <v>77.604082644760865</v>
      </c>
      <c r="E47" s="40">
        <f>-'1.설계입력'!$C$6*SIN(B47)+'1.설계입력'!$C$7*SIN(B47+C47)+'1.설계입력'!$C$8*SIN('1.설계입력'!$C$15*B47)</f>
        <v>-9.2076923509821551</v>
      </c>
      <c r="F47" s="40">
        <f>ATAN2(('1.설계입력'!$C$6+'1.설계입력'!$C$33)/('1.설계입력'!$C$8*'1.설계입력'!$C$15)-COS((1-'1.설계입력'!$C$15)*B47),SIN((1-'1.설계입력'!$C$15)*B47))</f>
        <v>0.81954295366246355</v>
      </c>
      <c r="G47" s="40">
        <f>('1.설계입력'!$C$6+'1.설계입력'!$C$33)*COS(B47)-('1.설계입력'!$C$7+'1.설계입력'!$C$34)*COS(B47+F47)-'1.설계입력'!$C$8*COS('1.설계입력'!$C$15*B47)</f>
        <v>77.596526841602227</v>
      </c>
      <c r="H47" s="40">
        <f>-('1.설계입력'!$C$6+'1.설계입력'!$C$33)*SIN(B47)+('1.설계입력'!$C$7+'1.설계입력'!$C$34)*SIN(B47+F47)+'1.설계입력'!$C$8*SIN('1.설계입력'!$C$15*B47)</f>
        <v>-9.2005047082818212</v>
      </c>
      <c r="I47" s="40">
        <f t="shared" si="1"/>
        <v>78.148418036229046</v>
      </c>
      <c r="J47" s="40">
        <f t="shared" si="2"/>
        <v>78.140068241374166</v>
      </c>
      <c r="K47" s="38">
        <f>IF(OR(A47&gt;180,'1.설계입력'!$C$39&gt;=1),"",'1.설계입력'!$C$34*(1-SIN(B47)/SQRT(1+'1.설계입력'!$C$39^2-2*'1.설계입력'!$C$39*COS(B47)))-'1.설계입력'!$C$33*(1-'1.설계입력'!$C$39*COS(B47)-SQRT(MAX(0,1-'1.설계입력'!$C$39^2))*SIN(B47))/SQRT(1+'1.설계입력'!$C$39^2-2*'1.설계입력'!$C$39*COS(B47)))</f>
        <v>6.0587099493927335E-3</v>
      </c>
    </row>
    <row r="48" spans="1:11" x14ac:dyDescent="0.3">
      <c r="A48" s="40">
        <f>A47+'1.설계입력'!$C$12</f>
        <v>8.4000000000000021</v>
      </c>
      <c r="B48" s="40">
        <f t="shared" si="0"/>
        <v>0.14660765716752372</v>
      </c>
      <c r="C48" s="40">
        <f>ATAN2('1.설계입력'!$C$6/('1.설계입력'!$C$8*'1.설계입력'!$C$15)-COS((1-'1.설계입력'!$C$15)*B48),SIN((1-'1.설계입력'!$C$15)*B48))</f>
        <v>0.79814411185849854</v>
      </c>
      <c r="D48" s="40">
        <f>'1.설계입력'!$C$6*COS(B48)-'1.설계입력'!$C$7*COS(B48+C48)-'1.설계입력'!$C$8*COS('1.설계입력'!$C$15*B48)</f>
        <v>77.406236910848719</v>
      </c>
      <c r="E48" s="40">
        <f>-'1.설계입력'!$C$6*SIN(B48)+'1.설계입력'!$C$7*SIN(B48+C48)+'1.설계입력'!$C$8*SIN('1.설계입력'!$C$15*B48)</f>
        <v>-9.3475072695590793</v>
      </c>
      <c r="F48" s="40">
        <f>ATAN2(('1.설계입력'!$C$6+'1.설계입력'!$C$33)/('1.설계입력'!$C$8*'1.설계입력'!$C$15)-COS((1-'1.설계입력'!$C$15)*B48),SIN((1-'1.설계입력'!$C$15)*B48))</f>
        <v>0.79819355522299773</v>
      </c>
      <c r="G48" s="40">
        <f>('1.설계입력'!$C$6+'1.설계입력'!$C$33)*COS(B48)-('1.설계입력'!$C$7+'1.설계입력'!$C$34)*COS(B48+F48)-'1.설계입력'!$C$8*COS('1.설계입력'!$C$15*B48)</f>
        <v>77.398584613229545</v>
      </c>
      <c r="H48" s="40">
        <f>-('1.설계입력'!$C$6+'1.설계입력'!$C$33)*SIN(B48)+('1.설계입력'!$C$7+'1.설계입력'!$C$34)*SIN(B48+F48)+'1.설계입력'!$C$8*SIN('1.설계입력'!$C$15*B48)</f>
        <v>-9.3403744500686692</v>
      </c>
      <c r="I48" s="40">
        <f t="shared" si="1"/>
        <v>77.96859242575114</v>
      </c>
      <c r="J48" s="40">
        <f t="shared" si="2"/>
        <v>77.960140424442216</v>
      </c>
      <c r="K48" s="38">
        <f>IF(OR(A48&gt;180,'1.설계입력'!$C$39&gt;=1),"",'1.설계입력'!$C$34*(1-SIN(B48)/SQRT(1+'1.설계입력'!$C$39^2-2*'1.설계입력'!$C$39*COS(B48)))-'1.설계입력'!$C$33*(1-'1.설계입력'!$C$39*COS(B48)-SQRT(MAX(0,1-'1.설계입력'!$C$39^2))*SIN(B48))/SQRT(1+'1.설계입력'!$C$39^2-2*'1.설계입력'!$C$39*COS(B48)))</f>
        <v>5.9520309161396508E-3</v>
      </c>
    </row>
    <row r="49" spans="1:11" x14ac:dyDescent="0.3">
      <c r="A49" s="40">
        <f>A48+'1.설계입력'!$C$12</f>
        <v>8.6000000000000014</v>
      </c>
      <c r="B49" s="40">
        <f t="shared" si="0"/>
        <v>0.15009831567151236</v>
      </c>
      <c r="C49" s="40">
        <f>ATAN2('1.설계입력'!$C$6/('1.설계입력'!$C$8*'1.설계입력'!$C$15)-COS((1-'1.설계입력'!$C$15)*B49),SIN((1-'1.설계입력'!$C$15)*B49))</f>
        <v>0.73833527495739437</v>
      </c>
      <c r="D49" s="40">
        <f>'1.설계입력'!$C$6*COS(B49)-'1.설계입력'!$C$7*COS(B49+C49)-'1.설계입력'!$C$8*COS('1.설계입력'!$C$15*B49)</f>
        <v>77.113616836472232</v>
      </c>
      <c r="E49" s="40">
        <f>-'1.설계입력'!$C$6*SIN(B49)+'1.설계입력'!$C$7*SIN(B49+C49)+'1.설계입력'!$C$8*SIN('1.설계입력'!$C$15*B49)</f>
        <v>-9.5710146852817317</v>
      </c>
      <c r="F49" s="40">
        <f>ATAN2(('1.설계입력'!$C$6+'1.설계입력'!$C$33)/('1.설계입력'!$C$8*'1.설계입력'!$C$15)-COS((1-'1.설계입력'!$C$15)*B49),SIN((1-'1.설계입력'!$C$15)*B49))</f>
        <v>0.73839150331628167</v>
      </c>
      <c r="G49" s="40">
        <f>('1.설계입력'!$C$6+'1.설계입력'!$C$33)*COS(B49)-('1.설계입력'!$C$7+'1.설계입력'!$C$34)*COS(B49+F49)-'1.설계입력'!$C$8*COS('1.설계입력'!$C$15*B49)</f>
        <v>77.105618510492747</v>
      </c>
      <c r="H49" s="40">
        <f>-('1.설계입력'!$C$6+'1.설계입력'!$C$33)*SIN(B49)+('1.설계입력'!$C$7+'1.설계입력'!$C$34)*SIN(B49+F49)+'1.설계입력'!$C$8*SIN('1.설계입력'!$C$15*B49)</f>
        <v>-9.5641227190905482</v>
      </c>
      <c r="I49" s="40">
        <f t="shared" si="1"/>
        <v>77.705303703853659</v>
      </c>
      <c r="J49" s="40">
        <f t="shared" si="2"/>
        <v>77.696517613542156</v>
      </c>
      <c r="K49" s="38">
        <f>IF(OR(A49&gt;180,'1.설계입력'!$C$39&gt;=1),"",'1.설계입력'!$C$34*(1-SIN(B49)/SQRT(1+'1.설계입력'!$C$39^2-2*'1.설계입력'!$C$39*COS(B49)))-'1.설계입력'!$C$33*(1-'1.설계입력'!$C$39*COS(B49)-SQRT(MAX(0,1-'1.설계입력'!$C$39^2))*SIN(B49))/SQRT(1+'1.설계입력'!$C$39^2-2*'1.설계입력'!$C$39*COS(B49)))</f>
        <v>5.8465856020290122E-3</v>
      </c>
    </row>
    <row r="50" spans="1:11" x14ac:dyDescent="0.3">
      <c r="A50" s="40">
        <f>A49+'1.설계입력'!$C$12</f>
        <v>8.8000000000000007</v>
      </c>
      <c r="B50" s="40">
        <f t="shared" si="0"/>
        <v>0.15358897417550102</v>
      </c>
      <c r="C50" s="40">
        <f>ATAN2('1.설계입력'!$C$6/('1.설계입력'!$C$8*'1.설계입력'!$C$15)-COS((1-'1.설계입력'!$C$15)*B50),SIN((1-'1.설계입력'!$C$15)*B50))</f>
        <v>0.61479477134003691</v>
      </c>
      <c r="D50" s="40">
        <f>'1.설계입력'!$C$6*COS(B50)-'1.설계입력'!$C$7*COS(B50+C50)-'1.설계입력'!$C$8*COS('1.설계입력'!$C$15*B50)</f>
        <v>76.673185722980222</v>
      </c>
      <c r="E50" s="40">
        <f>-'1.설계입력'!$C$6*SIN(B50)+'1.설계입력'!$C$7*SIN(B50+C50)+'1.설계입력'!$C$8*SIN('1.설계입력'!$C$15*B50)</f>
        <v>-9.9737022125553949</v>
      </c>
      <c r="F50" s="40">
        <f>ATAN2(('1.설계입력'!$C$6+'1.설계입력'!$C$33)/('1.설계입력'!$C$8*'1.설계입력'!$C$15)-COS((1-'1.설계입력'!$C$15)*B50),SIN((1-'1.설계입력'!$C$15)*B50))</f>
        <v>0.61485424685041279</v>
      </c>
      <c r="G50" s="40">
        <f>('1.설계입력'!$C$6+'1.설계입력'!$C$33)*COS(B50)-('1.설계입력'!$C$7+'1.설계입력'!$C$34)*COS(B50+F50)-'1.설계입력'!$C$8*COS('1.설계입력'!$C$15*B50)</f>
        <v>76.664463708242607</v>
      </c>
      <c r="H50" s="40">
        <f>-('1.설계입력'!$C$6+'1.설계입력'!$C$33)*SIN(B50)+('1.설계입력'!$C$7+'1.설계입력'!$C$34)*SIN(B50+F50)+'1.설계입력'!$C$8*SIN('1.설계입력'!$C$15*B50)</f>
        <v>-9.9674272657029075</v>
      </c>
      <c r="I50" s="40">
        <f t="shared" si="1"/>
        <v>77.319157682526196</v>
      </c>
      <c r="J50" s="40">
        <f t="shared" si="2"/>
        <v>77.309699274861529</v>
      </c>
      <c r="K50" s="38">
        <f>IF(OR(A50&gt;180,'1.설계입력'!$C$39&gt;=1),"",'1.설계입력'!$C$34*(1-SIN(B50)/SQRT(1+'1.설계입력'!$C$39^2-2*'1.설계입력'!$C$39*COS(B50)))-'1.설계입력'!$C$33*(1-'1.설계입력'!$C$39*COS(B50)-SQRT(MAX(0,1-'1.설계입력'!$C$39^2))*SIN(B50))/SQRT(1+'1.설계입력'!$C$39^2-2*'1.설계입력'!$C$39*COS(B50)))</f>
        <v>5.7423829155815436E-3</v>
      </c>
    </row>
    <row r="51" spans="1:11" x14ac:dyDescent="0.3">
      <c r="A51" s="40">
        <f>A50+'1.설계입력'!$C$12</f>
        <v>9</v>
      </c>
      <c r="B51" s="40">
        <f t="shared" si="0"/>
        <v>0.15707963267948966</v>
      </c>
      <c r="C51" s="40">
        <f>ATAN2('1.설계입력'!$C$6/('1.설계입력'!$C$8*'1.설계입력'!$C$15)-COS((1-'1.설계입력'!$C$15)*B51),SIN((1-'1.설계입력'!$C$15)*B51))</f>
        <v>0.3914743699558933</v>
      </c>
      <c r="D51" s="40">
        <f>'1.설계입력'!$C$6*COS(B51)-'1.설계입력'!$C$7*COS(B51+C51)-'1.설계입력'!$C$8*COS('1.설계입력'!$C$15*B51)</f>
        <v>76.07732618929532</v>
      </c>
      <c r="E51" s="40">
        <f>-'1.설계입력'!$C$6*SIN(B51)+'1.설계입력'!$C$7*SIN(B51+C51)+'1.설계입력'!$C$8*SIN('1.설계입력'!$C$15*B51)</f>
        <v>-10.741810394488429</v>
      </c>
      <c r="F51" s="40">
        <f>ATAN2(('1.설계입력'!$C$6+'1.설계입력'!$C$33)/('1.설계입력'!$C$8*'1.설계입력'!$C$15)-COS((1-'1.설계입력'!$C$15)*B51),SIN((1-'1.설계입력'!$C$15)*B51))</f>
        <v>0.39152245779775541</v>
      </c>
      <c r="G51" s="40">
        <f>('1.설계입력'!$C$6+'1.설계입력'!$C$33)*COS(B51)-('1.설계입력'!$C$7+'1.설계입력'!$C$34)*COS(B51+F51)-'1.설계입력'!$C$8*COS('1.설계입력'!$C$15*B51)</f>
        <v>76.067453301460958</v>
      </c>
      <c r="H51" s="40">
        <f>-('1.설계입력'!$C$6+'1.설계입력'!$C$33)*SIN(B51)+('1.설계입력'!$C$7+'1.설계입력'!$C$34)*SIN(B51+F51)+'1.설계입력'!$C$8*SIN('1.설계입력'!$C$15*B51)</f>
        <v>-10.736937211364038</v>
      </c>
      <c r="I51" s="40">
        <f t="shared" si="1"/>
        <v>76.831933794897935</v>
      </c>
      <c r="J51" s="40">
        <f t="shared" si="2"/>
        <v>76.821476635448221</v>
      </c>
      <c r="K51" s="38">
        <f>IF(OR(A51&gt;180,'1.설계입력'!$C$39&gt;=1),"",'1.설계입력'!$C$34*(1-SIN(B51)/SQRT(1+'1.설계입력'!$C$39^2-2*'1.설계입력'!$C$39*COS(B51)))-'1.설계입력'!$C$33*(1-'1.설계입력'!$C$39*COS(B51)-SQRT(MAX(0,1-'1.설계입력'!$C$39^2))*SIN(B51))/SQRT(1+'1.설계입력'!$C$39^2-2*'1.설계입력'!$C$39*COS(B51)))</f>
        <v>5.6394305494696919E-3</v>
      </c>
    </row>
    <row r="52" spans="1:11" x14ac:dyDescent="0.3">
      <c r="A52" s="40">
        <f>A51+'1.설계입력'!$C$12</f>
        <v>9.1999999999999993</v>
      </c>
      <c r="B52" s="40">
        <f t="shared" si="0"/>
        <v>0.16057029118347832</v>
      </c>
      <c r="C52" s="40">
        <f>ATAN2('1.설계입력'!$C$6/('1.설계입력'!$C$8*'1.설계입력'!$C$15)-COS((1-'1.설계입력'!$C$15)*B52),SIN((1-'1.설계입력'!$C$15)*B52))</f>
        <v>5.7019672654852631E-2</v>
      </c>
      <c r="D52" s="40">
        <f>'1.설계입력'!$C$6*COS(B52)-'1.설계입력'!$C$7*COS(B52+C52)-'1.설계입력'!$C$8*COS('1.설계입력'!$C$15*B52)</f>
        <v>75.554089409008753</v>
      </c>
      <c r="E52" s="40">
        <f>-'1.설계입력'!$C$6*SIN(B52)+'1.설계입력'!$C$7*SIN(B52+C52)+'1.설계입력'!$C$8*SIN('1.설계입력'!$C$15*B52)</f>
        <v>-12.037989565505375</v>
      </c>
      <c r="F52" s="40">
        <f>ATAN2(('1.설계입력'!$C$6+'1.설계입력'!$C$33)/('1.설계입력'!$C$8*'1.설계입력'!$C$15)-COS((1-'1.설계입력'!$C$15)*B52),SIN((1-'1.설계입력'!$C$15)*B52))</f>
        <v>5.702768617380994E-2</v>
      </c>
      <c r="G52" s="40">
        <f>('1.설계입력'!$C$6+'1.설계입력'!$C$33)*COS(B52)-('1.설계입력'!$C$7+'1.설계입력'!$C$34)*COS(B52+F52)-'1.설계입력'!$C$8*COS('1.설계입력'!$C$15*B52)</f>
        <v>75.543127213960943</v>
      </c>
      <c r="H52" s="40">
        <f>-('1.설계입력'!$C$6+'1.설계입력'!$C$33)*SIN(B52)+('1.설계입력'!$C$7+'1.설계입력'!$C$34)*SIN(B52+F52)+'1.설계입력'!$C$8*SIN('1.설계입력'!$C$15*B52)</f>
        <v>-12.035713968161883</v>
      </c>
      <c r="I52" s="40">
        <f t="shared" si="1"/>
        <v>76.507082150632996</v>
      </c>
      <c r="J52" s="40">
        <f t="shared" si="2"/>
        <v>76.495898452061425</v>
      </c>
      <c r="K52" s="38">
        <f>IF(OR(A52&gt;180,'1.설계입력'!$C$39&gt;=1),"",'1.설계입력'!$C$34*(1-SIN(B52)/SQRT(1+'1.설계입력'!$C$39^2-2*'1.설계입력'!$C$39*COS(B52)))-'1.설계입력'!$C$33*(1-'1.설계입력'!$C$39*COS(B52)-SQRT(MAX(0,1-'1.설계입력'!$C$39^2))*SIN(B52))/SQRT(1+'1.설계입력'!$C$39^2-2*'1.설계입력'!$C$39*COS(B52)))</f>
        <v>5.5377350154749913E-3</v>
      </c>
    </row>
    <row r="53" spans="1:11" x14ac:dyDescent="0.3">
      <c r="A53" s="40">
        <f>A52+'1.설계입력'!$C$12</f>
        <v>9.3999999999999986</v>
      </c>
      <c r="B53" s="40">
        <f t="shared" si="0"/>
        <v>0.16406094968746696</v>
      </c>
      <c r="C53" s="40">
        <f>ATAN2('1.설계입력'!$C$6/('1.설계입력'!$C$8*'1.설계입력'!$C$15)-COS((1-'1.설계입력'!$C$15)*B53),SIN((1-'1.설계입력'!$C$15)*B53))</f>
        <v>-0.29868854833660824</v>
      </c>
      <c r="D53" s="40">
        <f>'1.설계입력'!$C$6*COS(B53)-'1.설계입력'!$C$7*COS(B53+C53)-'1.설계입력'!$C$8*COS('1.설계입력'!$C$15*B53)</f>
        <v>75.493219171437801</v>
      </c>
      <c r="E53" s="40">
        <f>-'1.설계입력'!$C$6*SIN(B53)+'1.설계입력'!$C$7*SIN(B53+C53)+'1.설계입력'!$C$8*SIN('1.설계입력'!$C$15*B53)</f>
        <v>-13.516158024843092</v>
      </c>
      <c r="F53" s="40">
        <f>ATAN2(('1.설계입력'!$C$6+'1.설계입력'!$C$33)/('1.설계입력'!$C$8*'1.설계입력'!$C$15)-COS((1-'1.설계입력'!$C$15)*B53),SIN((1-'1.설계입력'!$C$15)*B53))</f>
        <v>-0.29872747868325861</v>
      </c>
      <c r="G53" s="40">
        <f>('1.설계입력'!$C$6+'1.설계입력'!$C$33)*COS(B53)-('1.설계입력'!$C$7+'1.설계입력'!$C$34)*COS(B53+F53)-'1.설계입력'!$C$8*COS('1.설계입력'!$C$15*B53)</f>
        <v>75.482155037985294</v>
      </c>
      <c r="H53" s="40">
        <f>-('1.설계입력'!$C$6+'1.설계입력'!$C$33)*SIN(B53)+('1.설계입력'!$C$7+'1.설계입력'!$C$34)*SIN(B53+F53)+'1.설계입력'!$C$8*SIN('1.설계입력'!$C$15*B53)</f>
        <v>-13.516893531196857</v>
      </c>
      <c r="I53" s="40">
        <f t="shared" si="1"/>
        <v>76.693628605114739</v>
      </c>
      <c r="J53" s="40">
        <f t="shared" si="2"/>
        <v>76.682867316710059</v>
      </c>
      <c r="K53" s="38">
        <f>IF(OR(A53&gt;180,'1.설계입력'!$C$39&gt;=1),"",'1.설계입력'!$C$34*(1-SIN(B53)/SQRT(1+'1.설계입력'!$C$39^2-2*'1.설계입력'!$C$39*COS(B53)))-'1.설계입력'!$C$33*(1-'1.설계입력'!$C$39*COS(B53)-SQRT(MAX(0,1-'1.설계입력'!$C$39^2))*SIN(B53))/SQRT(1+'1.설계입력'!$C$39^2-2*'1.설계입력'!$C$39*COS(B53)))</f>
        <v>5.4373016805712472E-3</v>
      </c>
    </row>
    <row r="54" spans="1:11" x14ac:dyDescent="0.3">
      <c r="A54" s="40">
        <f>A53+'1.설계입력'!$C$12</f>
        <v>9.5999999999999979</v>
      </c>
      <c r="B54" s="40">
        <f t="shared" si="0"/>
        <v>0.16755160819145559</v>
      </c>
      <c r="C54" s="40">
        <f>ATAN2('1.설계입력'!$C$6/('1.설계입력'!$C$8*'1.설계입력'!$C$15)-COS((1-'1.설계입력'!$C$15)*B54),SIN((1-'1.설계입력'!$C$15)*B54))</f>
        <v>-0.55839642317481253</v>
      </c>
      <c r="D54" s="40">
        <f>'1.설계입력'!$C$6*COS(B54)-'1.설계입력'!$C$7*COS(B54+C54)-'1.설계입력'!$C$8*COS('1.설계입력'!$C$15*B54)</f>
        <v>75.783006689451781</v>
      </c>
      <c r="E54" s="40">
        <f>-'1.설계입력'!$C$6*SIN(B54)+'1.설계입력'!$C$7*SIN(B54+C54)+'1.설계입력'!$C$8*SIN('1.설계입력'!$C$15*B54)</f>
        <v>-14.588810891665277</v>
      </c>
      <c r="F54" s="40">
        <f>ATAN2(('1.설계입력'!$C$6+'1.설계입력'!$C$33)/('1.설계입력'!$C$8*'1.설계입력'!$C$15)-COS((1-'1.설계입력'!$C$15)*B54),SIN((1-'1.설계입력'!$C$15)*B54))</f>
        <v>-0.55845474899216774</v>
      </c>
      <c r="G54" s="40">
        <f>('1.설계입력'!$C$6+'1.설계입력'!$C$33)*COS(B54)-('1.설계입력'!$C$7+'1.설계입력'!$C$34)*COS(B54+F54)-'1.설계입력'!$C$8*COS('1.설계입력'!$C$15*B54)</f>
        <v>75.772550010409788</v>
      </c>
      <c r="H54" s="40">
        <f>-('1.설계입력'!$C$6+'1.설계입력'!$C$33)*SIN(B54)+('1.설계입력'!$C$7+'1.설계입력'!$C$34)*SIN(B54+F54)+'1.설계입력'!$C$8*SIN('1.설계입력'!$C$15*B54)</f>
        <v>-14.591595906277297</v>
      </c>
      <c r="I54" s="40">
        <f t="shared" si="1"/>
        <v>77.174461489059084</v>
      </c>
      <c r="J54" s="40">
        <f t="shared" si="2"/>
        <v>77.164719957841754</v>
      </c>
      <c r="K54" s="38">
        <f>IF(OR(A54&gt;180,'1.설계입력'!$C$39&gt;=1),"",'1.설계입력'!$C$34*(1-SIN(B54)/SQRT(1+'1.설계입력'!$C$39^2-2*'1.설계입력'!$C$39*COS(B54)))-'1.설계입력'!$C$33*(1-'1.설계입력'!$C$39*COS(B54)-SQRT(MAX(0,1-'1.설계입력'!$C$39^2))*SIN(B54))/SQRT(1+'1.설계입력'!$C$39^2-2*'1.설계입력'!$C$39*COS(B54)))</f>
        <v>5.3381348039485098E-3</v>
      </c>
    </row>
    <row r="55" spans="1:11" x14ac:dyDescent="0.3">
      <c r="A55" s="40">
        <f>A54+'1.설계입력'!$C$12</f>
        <v>9.7999999999999972</v>
      </c>
      <c r="B55" s="40">
        <f t="shared" si="0"/>
        <v>0.17104226669544426</v>
      </c>
      <c r="C55" s="40">
        <f>ATAN2('1.설계입력'!$C$6/('1.설계입력'!$C$8*'1.설계입력'!$C$15)-COS((1-'1.설계입력'!$C$15)*B55),SIN((1-'1.설계입력'!$C$15)*B55))</f>
        <v>-0.70864663909643189</v>
      </c>
      <c r="D55" s="40">
        <f>'1.설계입력'!$C$6*COS(B55)-'1.설계입력'!$C$7*COS(B55+C55)-'1.설계입력'!$C$8*COS('1.설계입력'!$C$15*B55)</f>
        <v>76.095623942013404</v>
      </c>
      <c r="E55" s="40">
        <f>-'1.설계입력'!$C$6*SIN(B55)+'1.설계입력'!$C$7*SIN(B55+C55)+'1.설계입력'!$C$8*SIN('1.설계입력'!$C$15*B55)</f>
        <v>-15.210619106100301</v>
      </c>
      <c r="F55" s="40">
        <f>ATAN2(('1.설계입력'!$C$6+'1.설계입력'!$C$33)/('1.설계입력'!$C$8*'1.설계입력'!$C$15)-COS((1-'1.설계입력'!$C$15)*B55),SIN((1-'1.설계입력'!$C$15)*B55))</f>
        <v>-0.70870455997816917</v>
      </c>
      <c r="G55" s="40">
        <f>('1.설계입력'!$C$6+'1.설계입력'!$C$33)*COS(B55)-('1.설계입력'!$C$7+'1.설계입력'!$C$34)*COS(B55+F55)-'1.설계입력'!$C$8*COS('1.설계입력'!$C$15*B55)</f>
        <v>76.085730667027917</v>
      </c>
      <c r="H55" s="40">
        <f>-('1.설계입력'!$C$6+'1.설계입력'!$C$33)*SIN(B55)+('1.설계입력'!$C$7+'1.설계입력'!$C$34)*SIN(B55+F55)+'1.설계입력'!$C$8*SIN('1.설계입력'!$C$15*B55)</f>
        <v>-15.214438704068433</v>
      </c>
      <c r="I55" s="40">
        <f t="shared" si="1"/>
        <v>77.600946622545706</v>
      </c>
      <c r="J55" s="40">
        <f t="shared" si="2"/>
        <v>77.591994150268931</v>
      </c>
      <c r="K55" s="38">
        <f>IF(OR(A55&gt;180,'1.설계입력'!$C$39&gt;=1),"",'1.설계입력'!$C$34*(1-SIN(B55)/SQRT(1+'1.설계입력'!$C$39^2-2*'1.설계입력'!$C$39*COS(B55)))-'1.설계입력'!$C$33*(1-'1.설계입력'!$C$39*COS(B55)-SQRT(MAX(0,1-'1.설계입력'!$C$39^2))*SIN(B55))/SQRT(1+'1.설계입력'!$C$39^2-2*'1.설계입력'!$C$39*COS(B55)))</f>
        <v>5.2402375748002378E-3</v>
      </c>
    </row>
    <row r="56" spans="1:11" x14ac:dyDescent="0.3">
      <c r="A56" s="40">
        <f>A55+'1.설계입력'!$C$12</f>
        <v>9.9999999999999964</v>
      </c>
      <c r="B56" s="40">
        <f t="shared" si="0"/>
        <v>0.17453292519943289</v>
      </c>
      <c r="C56" s="40">
        <f>ATAN2('1.설계입력'!$C$6/('1.설계입력'!$C$8*'1.설계입력'!$C$15)-COS((1-'1.설계입력'!$C$15)*B56),SIN((1-'1.설계입력'!$C$15)*B56))</f>
        <v>-0.78475731155750417</v>
      </c>
      <c r="D56" s="40">
        <f>'1.설계입력'!$C$6*COS(B56)-'1.설계입력'!$C$7*COS(B56+C56)-'1.설계입력'!$C$8*COS('1.설계입력'!$C$15*B56)</f>
        <v>76.327091268045777</v>
      </c>
      <c r="E56" s="40">
        <f>-'1.설계입력'!$C$6*SIN(B56)+'1.설계입력'!$C$7*SIN(B56+C56)+'1.설계입력'!$C$8*SIN('1.설계입력'!$C$15*B56)</f>
        <v>-15.567174608201848</v>
      </c>
      <c r="F56" s="40">
        <f>ATAN2(('1.설계입력'!$C$6+'1.설계입력'!$C$33)/('1.설계입력'!$C$8*'1.설계입력'!$C$15)-COS((1-'1.설계입력'!$C$15)*B56),SIN((1-'1.설계입력'!$C$15)*B56))</f>
        <v>-0.78480891466894509</v>
      </c>
      <c r="G56" s="40">
        <f>('1.설계입력'!$C$6+'1.설계입력'!$C$33)*COS(B56)-('1.설계입력'!$C$7+'1.설계입력'!$C$34)*COS(B56+F56)-'1.설계입력'!$C$8*COS('1.설계입력'!$C$15*B56)</f>
        <v>76.317518785271361</v>
      </c>
      <c r="H56" s="40">
        <f>-('1.설계입력'!$C$6+'1.설계입력'!$C$33)*SIN(B56)+('1.설계입력'!$C$7+'1.설계입력'!$C$34)*SIN(B56+F56)+'1.설계입력'!$C$8*SIN('1.설계입력'!$C$15*B56)</f>
        <v>-15.571447513399095</v>
      </c>
      <c r="I56" s="40">
        <f t="shared" si="1"/>
        <v>77.898406830453439</v>
      </c>
      <c r="J56" s="40">
        <f t="shared" si="2"/>
        <v>77.889881571374787</v>
      </c>
      <c r="K56" s="38">
        <f>IF(OR(A56&gt;180,'1.설계입력'!$C$39&gt;=1),"",'1.설계입력'!$C$34*(1-SIN(B56)/SQRT(1+'1.설계입력'!$C$39^2-2*'1.설계입력'!$C$39*COS(B56)))-'1.설계입력'!$C$33*(1-'1.설계입력'!$C$39*COS(B56)-SQRT(MAX(0,1-'1.설계입력'!$C$39^2))*SIN(B56))/SQRT(1+'1.설계입력'!$C$39^2-2*'1.설계입력'!$C$39*COS(B56)))</f>
        <v>5.1436121507044599E-3</v>
      </c>
    </row>
    <row r="57" spans="1:11" x14ac:dyDescent="0.3">
      <c r="A57" s="40">
        <f>A56+'1.설계입력'!$C$12</f>
        <v>10.199999999999996</v>
      </c>
      <c r="B57" s="40">
        <f t="shared" si="0"/>
        <v>0.17802358370342153</v>
      </c>
      <c r="C57" s="40">
        <f>ATAN2('1.설계입력'!$C$6/('1.설계입력'!$C$8*'1.설계입력'!$C$15)-COS((1-'1.설계입력'!$C$15)*B57),SIN((1-'1.설계입력'!$C$15)*B57))</f>
        <v>-0.81598793491503463</v>
      </c>
      <c r="D57" s="40">
        <f>'1.설계입력'!$C$6*COS(B57)-'1.설계입력'!$C$7*COS(B57+C57)-'1.설계입력'!$C$8*COS('1.설계입력'!$C$15*B57)</f>
        <v>76.487104842606598</v>
      </c>
      <c r="E57" s="40">
        <f>-'1.설계입력'!$C$6*SIN(B57)+'1.설계입력'!$C$7*SIN(B57+C57)+'1.설계입력'!$C$8*SIN('1.설계입력'!$C$15*B57)</f>
        <v>-15.788477147525121</v>
      </c>
      <c r="F57" s="40">
        <f>ATAN2(('1.설계입력'!$C$6+'1.설계입력'!$C$33)/('1.설계입력'!$C$8*'1.설계입력'!$C$15)-COS((1-'1.설계입력'!$C$15)*B57),SIN((1-'1.설계입력'!$C$15)*B57))</f>
        <v>-0.81603266269592156</v>
      </c>
      <c r="G57" s="40">
        <f>('1.설계입력'!$C$6+'1.설계입력'!$C$33)*COS(B57)-('1.설계입력'!$C$7+'1.설계입력'!$C$34)*COS(B57+F57)-'1.설계입력'!$C$8*COS('1.설계입력'!$C$15*B57)</f>
        <v>76.477653798594034</v>
      </c>
      <c r="H57" s="40">
        <f>-('1.설계입력'!$C$6+'1.설계입력'!$C$33)*SIN(B57)+('1.설계입력'!$C$7+'1.설계입력'!$C$34)*SIN(B57+F57)+'1.설계입력'!$C$8*SIN('1.설계입력'!$C$15*B57)</f>
        <v>-15.792896242032985</v>
      </c>
      <c r="I57" s="40">
        <f t="shared" si="1"/>
        <v>78.099636477014514</v>
      </c>
      <c r="J57" s="40">
        <f t="shared" si="2"/>
        <v>78.091274174834822</v>
      </c>
      <c r="K57" s="38">
        <f>IF(OR(A57&gt;180,'1.설계입력'!$C$39&gt;=1),"",'1.설계입력'!$C$34*(1-SIN(B57)/SQRT(1+'1.설계입력'!$C$39^2-2*'1.설계입력'!$C$39*COS(B57)))-'1.설계입력'!$C$33*(1-'1.설계입력'!$C$39*COS(B57)-SQRT(MAX(0,1-'1.설계입력'!$C$39^2))*SIN(B57))/SQRT(1+'1.설계입력'!$C$39^2-2*'1.설계입력'!$C$39*COS(B57)))</f>
        <v>5.0482596964380282E-3</v>
      </c>
    </row>
    <row r="58" spans="1:11" x14ac:dyDescent="0.3">
      <c r="A58" s="40">
        <f>A57+'1.설계입력'!$C$12</f>
        <v>10.399999999999995</v>
      </c>
      <c r="B58" s="40">
        <f t="shared" si="0"/>
        <v>0.18151424220741019</v>
      </c>
      <c r="C58" s="40">
        <f>ATAN2('1.설계입력'!$C$6/('1.설계입력'!$C$8*'1.설계입력'!$C$15)-COS((1-'1.설계입력'!$C$15)*B58),SIN((1-'1.설계입력'!$C$15)*B58))</f>
        <v>-0.81974597988728815</v>
      </c>
      <c r="D58" s="40">
        <f>'1.설계입력'!$C$6*COS(B58)-'1.설계입력'!$C$7*COS(B58+C58)-'1.설계입력'!$C$8*COS('1.설계입력'!$C$15*B58)</f>
        <v>76.601469245275865</v>
      </c>
      <c r="E58" s="40">
        <f>-'1.설계입력'!$C$6*SIN(B58)+'1.설계입력'!$C$7*SIN(B58+C58)+'1.설계입력'!$C$8*SIN('1.설계입력'!$C$15*B58)</f>
        <v>-15.942118322733545</v>
      </c>
      <c r="F58" s="40">
        <f>ATAN2(('1.설계입력'!$C$6+'1.설계입력'!$C$33)/('1.설계입력'!$C$8*'1.설계입력'!$C$15)-COS((1-'1.설계입력'!$C$15)*B58),SIN((1-'1.설계입력'!$C$15)*B58))</f>
        <v>-0.81978462037236288</v>
      </c>
      <c r="G58" s="40">
        <f>('1.설계입력'!$C$6+'1.설계입력'!$C$33)*COS(B58)-('1.설계입력'!$C$7+'1.설계입력'!$C$34)*COS(B58+F58)-'1.설계입력'!$C$8*COS('1.설계입력'!$C$15*B58)</f>
        <v>76.592006927852054</v>
      </c>
      <c r="H58" s="40">
        <f>-('1.설계입력'!$C$6+'1.설계입력'!$C$33)*SIN(B58)+('1.설계입력'!$C$7+'1.설계입력'!$C$34)*SIN(B58+F58)+'1.설계입력'!$C$8*SIN('1.설계입력'!$C$15*B58)</f>
        <v>-15.946508886638142</v>
      </c>
      <c r="I58" s="40">
        <f t="shared" si="1"/>
        <v>78.242803037410283</v>
      </c>
      <c r="J58" s="40">
        <f t="shared" si="2"/>
        <v>78.23443404861932</v>
      </c>
      <c r="K58" s="38">
        <f>IF(OR(A58&gt;180,'1.설계입력'!$C$39&gt;=1),"",'1.설계입력'!$C$34*(1-SIN(B58)/SQRT(1+'1.설계입력'!$C$39^2-2*'1.설계입력'!$C$39*COS(B58)))-'1.설계입력'!$C$33*(1-'1.설계입력'!$C$39*COS(B58)-SQRT(MAX(0,1-'1.설계입력'!$C$39^2))*SIN(B58))/SQRT(1+'1.설계입력'!$C$39^2-2*'1.설계입력'!$C$39*COS(B58)))</f>
        <v>4.9541804230720339E-3</v>
      </c>
    </row>
    <row r="59" spans="1:11" x14ac:dyDescent="0.3">
      <c r="A59" s="40">
        <f>A58+'1.설계입력'!$C$12</f>
        <v>10.599999999999994</v>
      </c>
      <c r="B59" s="40">
        <f t="shared" si="0"/>
        <v>0.18500490071139883</v>
      </c>
      <c r="C59" s="40">
        <f>ATAN2('1.설계입력'!$C$6/('1.설계입력'!$C$8*'1.설계입력'!$C$15)-COS((1-'1.설계입력'!$C$15)*B59),SIN((1-'1.설계입력'!$C$15)*B59))</f>
        <v>-0.80597399290915162</v>
      </c>
      <c r="D59" s="40">
        <f>'1.설계입력'!$C$6*COS(B59)-'1.설계입력'!$C$7*COS(B59+C59)-'1.설계입력'!$C$8*COS('1.설계입력'!$C$15*B59)</f>
        <v>76.68988191833094</v>
      </c>
      <c r="E59" s="40">
        <f>-'1.설계입력'!$C$6*SIN(B59)+'1.설계입력'!$C$7*SIN(B59+C59)+'1.설계입력'!$C$8*SIN('1.설계입력'!$C$15*B59)</f>
        <v>-16.063114124152509</v>
      </c>
      <c r="F59" s="40">
        <f>ATAN2(('1.설계입력'!$C$6+'1.설계입력'!$C$33)/('1.설계입력'!$C$8*'1.설계입력'!$C$15)-COS((1-'1.설계입력'!$C$15)*B59),SIN((1-'1.설계입력'!$C$15)*B59))</f>
        <v>-0.8060074961442254</v>
      </c>
      <c r="G59" s="40">
        <f>('1.설계입력'!$C$6+'1.설계입력'!$C$33)*COS(B59)-('1.설계입력'!$C$7+'1.설계입력'!$C$34)*COS(B59+F59)-'1.설계입력'!$C$8*COS('1.설계입력'!$C$15*B59)</f>
        <v>76.680325098880701</v>
      </c>
      <c r="H59" s="40">
        <f>-('1.설계입력'!$C$6+'1.설계입력'!$C$33)*SIN(B59)+('1.설계입력'!$C$7+'1.설계입력'!$C$34)*SIN(B59+F59)+'1.설계입력'!$C$8*SIN('1.설계입력'!$C$15*B59)</f>
        <v>-16.067365860353188</v>
      </c>
      <c r="I59" s="40">
        <f t="shared" si="1"/>
        <v>78.354078541024847</v>
      </c>
      <c r="J59" s="40">
        <f t="shared" si="2"/>
        <v>78.345596576709255</v>
      </c>
      <c r="K59" s="38">
        <f>IF(OR(A59&gt;180,'1.설계입력'!$C$39&gt;=1),"",'1.설계입력'!$C$34*(1-SIN(B59)/SQRT(1+'1.설계입력'!$C$39^2-2*'1.설계입력'!$C$39*COS(B59)))-'1.설계입력'!$C$33*(1-'1.설계입력'!$C$39*COS(B59)-SQRT(MAX(0,1-'1.설계입력'!$C$39^2))*SIN(B59))/SQRT(1+'1.설계입력'!$C$39^2-2*'1.설계입력'!$C$39*COS(B59)))</f>
        <v>4.8613736272053558E-3</v>
      </c>
    </row>
    <row r="60" spans="1:11" x14ac:dyDescent="0.3">
      <c r="A60" s="40">
        <f>A59+'1.설계입력'!$C$12</f>
        <v>10.799999999999994</v>
      </c>
      <c r="B60" s="40">
        <f t="shared" si="0"/>
        <v>0.18849555921538749</v>
      </c>
      <c r="C60" s="40">
        <f>ATAN2('1.설계입력'!$C$6/('1.설계입력'!$C$8*'1.설계입력'!$C$15)-COS((1-'1.설계입력'!$C$15)*B60),SIN((1-'1.설계입력'!$C$15)*B60))</f>
        <v>-0.78051163836371695</v>
      </c>
      <c r="D60" s="40">
        <f>'1.설계입력'!$C$6*COS(B60)-'1.설계입력'!$C$7*COS(B60+C60)-'1.설계입력'!$C$8*COS('1.설계입력'!$C$15*B60)</f>
        <v>76.764759775018291</v>
      </c>
      <c r="E60" s="40">
        <f>-'1.설계입력'!$C$6*SIN(B60)+'1.설계입력'!$C$7*SIN(B60+C60)+'1.설계입력'!$C$8*SIN('1.설계입력'!$C$15*B60)</f>
        <v>-16.170823554664089</v>
      </c>
      <c r="F60" s="40">
        <f>ATAN2(('1.설계입력'!$C$6+'1.설계입력'!$C$33)/('1.설계입력'!$C$8*'1.설계입력'!$C$15)-COS((1-'1.설계입력'!$C$15)*B60),SIN((1-'1.설계입력'!$C$15)*B60))</f>
        <v>-0.78054083090734616</v>
      </c>
      <c r="G60" s="40">
        <f>('1.설계입력'!$C$6+'1.설계입력'!$C$33)*COS(B60)-('1.설계입력'!$C$7+'1.설계입력'!$C$34)*COS(B60+F60)-'1.설계입력'!$C$8*COS('1.설계입력'!$C$15*B60)</f>
        <v>76.755058459452229</v>
      </c>
      <c r="H60" s="40">
        <f>-('1.설계입력'!$C$6+'1.설계입력'!$C$33)*SIN(B60)+('1.설계입력'!$C$7+'1.설계입력'!$C$34)*SIN(B60+F60)+'1.설계입력'!$C$8*SIN('1.설계입력'!$C$15*B60)</f>
        <v>-16.174859850347232</v>
      </c>
      <c r="I60" s="40">
        <f t="shared" si="1"/>
        <v>78.449498900581546</v>
      </c>
      <c r="J60" s="40">
        <f t="shared" si="2"/>
        <v>78.44083815393806</v>
      </c>
      <c r="K60" s="38">
        <f>IF(OR(A60&gt;180,'1.설계입력'!$C$39&gt;=1),"",'1.설계입력'!$C$34*(1-SIN(B60)/SQRT(1+'1.설계입력'!$C$39^2-2*'1.설계입력'!$C$39*COS(B60)))-'1.설계입력'!$C$33*(1-'1.설계입력'!$C$39*COS(B60)-SQRT(MAX(0,1-'1.설계입력'!$C$39^2))*SIN(B60))/SQRT(1+'1.설계입력'!$C$39^2-2*'1.설계입력'!$C$39*COS(B60)))</f>
        <v>4.769837730202663E-3</v>
      </c>
    </row>
    <row r="61" spans="1:11" x14ac:dyDescent="0.3">
      <c r="A61" s="40">
        <f>A60+'1.설계입력'!$C$12</f>
        <v>10.999999999999993</v>
      </c>
      <c r="B61" s="40">
        <f t="shared" si="0"/>
        <v>0.19198621771937613</v>
      </c>
      <c r="C61" s="40">
        <f>ATAN2('1.설계입력'!$C$6/('1.설계입력'!$C$8*'1.설계입력'!$C$15)-COS((1-'1.설계입력'!$C$15)*B61),SIN((1-'1.설계입력'!$C$15)*B61))</f>
        <v>-0.74693982265860559</v>
      </c>
      <c r="D61" s="40">
        <f>'1.설계입력'!$C$6*COS(B61)-'1.설계입력'!$C$7*COS(B61+C61)-'1.설계입력'!$C$8*COS('1.설계입력'!$C$15*B61)</f>
        <v>76.83325722852183</v>
      </c>
      <c r="E61" s="40">
        <f>-'1.설계입력'!$C$6*SIN(B61)+'1.설계입력'!$C$7*SIN(B61+C61)+'1.설계입력'!$C$8*SIN('1.설계입력'!$C$15*B61)</f>
        <v>-16.276741465172822</v>
      </c>
      <c r="F61" s="40">
        <f>ATAN2(('1.설계입력'!$C$6+'1.설계입력'!$C$33)/('1.설계입력'!$C$8*'1.설계입력'!$C$15)-COS((1-'1.설계입력'!$C$15)*B61),SIN((1-'1.설계입력'!$C$15)*B61))</f>
        <v>-0.74696536832669502</v>
      </c>
      <c r="G61" s="40">
        <f>('1.설계입력'!$C$6+'1.설계입력'!$C$33)*COS(B61)-('1.설계입력'!$C$7+'1.설계입력'!$C$34)*COS(B61+F61)-'1.설계입력'!$C$8*COS('1.설계입력'!$C$15*B61)</f>
        <v>76.823383743252862</v>
      </c>
      <c r="H61" s="40">
        <f>-('1.설계입력'!$C$6+'1.설계입력'!$C$33)*SIN(B61)+('1.설계입력'!$C$7+'1.설계입력'!$C$34)*SIN(B61+F61)+'1.설계입력'!$C$8*SIN('1.설계입력'!$C$15*B61)</f>
        <v>-16.280504901395162</v>
      </c>
      <c r="I61" s="40">
        <f t="shared" si="1"/>
        <v>78.538409259853722</v>
      </c>
      <c r="J61" s="40">
        <f t="shared" si="2"/>
        <v>78.529530302984995</v>
      </c>
      <c r="K61" s="38">
        <f>IF(OR(A61&gt;180,'1.설계입력'!$C$39&gt;=1),"",'1.설계입력'!$C$34*(1-SIN(B61)/SQRT(1+'1.설계입력'!$C$39^2-2*'1.설계입력'!$C$39*COS(B61)))-'1.설계입력'!$C$33*(1-'1.설계입력'!$C$39*COS(B61)-SQRT(MAX(0,1-'1.설계입력'!$C$39^2))*SIN(B61))/SQRT(1+'1.설계입력'!$C$39^2-2*'1.설계입력'!$C$39*COS(B61)))</f>
        <v>4.6795703173122235E-3</v>
      </c>
    </row>
    <row r="62" spans="1:11" x14ac:dyDescent="0.3">
      <c r="A62" s="40">
        <f>A61+'1.설계입력'!$C$12</f>
        <v>11.199999999999992</v>
      </c>
      <c r="B62" s="40">
        <f t="shared" si="0"/>
        <v>0.19547687622336476</v>
      </c>
      <c r="C62" s="40">
        <f>ATAN2('1.설계입력'!$C$6/('1.설계입력'!$C$8*'1.설계입력'!$C$15)-COS((1-'1.설계입력'!$C$15)*B62),SIN((1-'1.설계입력'!$C$15)*B62))</f>
        <v>-0.70755148623712116</v>
      </c>
      <c r="D62" s="40">
        <f>'1.설계입력'!$C$6*COS(B62)-'1.설계입력'!$C$7*COS(B62+C62)-'1.설계입력'!$C$8*COS('1.설계입력'!$C$15*B62)</f>
        <v>76.899054082304175</v>
      </c>
      <c r="E62" s="40">
        <f>-'1.설계입력'!$C$6*SIN(B62)+'1.설계입력'!$C$7*SIN(B62+C62)+'1.설계입력'!$C$8*SIN('1.설계입력'!$C$15*B62)</f>
        <v>-16.388077757590708</v>
      </c>
      <c r="F62" s="40">
        <f>ATAN2(('1.설계입력'!$C$6+'1.설계입력'!$C$33)/('1.설계입력'!$C$8*'1.설계입력'!$C$15)-COS((1-'1.설계입력'!$C$15)*B62),SIN((1-'1.설계입력'!$C$15)*B62))</f>
        <v>-0.7075739066664557</v>
      </c>
      <c r="G62" s="40">
        <f>('1.설계입력'!$C$6+'1.설계입력'!$C$33)*COS(B62)-('1.설계입력'!$C$7+'1.설계입력'!$C$34)*COS(B62+F62)-'1.설계입력'!$C$8*COS('1.설계입력'!$C$15*B62)</f>
        <v>76.888996142234845</v>
      </c>
      <c r="H62" s="40">
        <f>-('1.설계입력'!$C$6+'1.설계입력'!$C$33)*SIN(B62)+('1.설계입력'!$C$7+'1.설계입력'!$C$34)*SIN(B62+F62)+'1.설계입력'!$C$8*SIN('1.설계입력'!$C$15*B62)</f>
        <v>-16.391522860225599</v>
      </c>
      <c r="I62" s="40">
        <f t="shared" si="1"/>
        <v>78.625909287854867</v>
      </c>
      <c r="J62" s="40">
        <f t="shared" si="2"/>
        <v>78.616790505832171</v>
      </c>
      <c r="K62" s="38">
        <f>IF(OR(A62&gt;180,'1.설계입력'!$C$39&gt;=1),"",'1.설계입력'!$C$34*(1-SIN(B62)/SQRT(1+'1.설계입력'!$C$39^2-2*'1.설계입력'!$C$39*COS(B62)))-'1.설계입력'!$C$33*(1-'1.설계입력'!$C$39*COS(B62)-SQRT(MAX(0,1-'1.설계입력'!$C$39^2))*SIN(B62))/SQRT(1+'1.설계입력'!$C$39^2-2*'1.설계입력'!$C$39*COS(B62)))</f>
        <v>4.5905681765482358E-3</v>
      </c>
    </row>
    <row r="63" spans="1:11" x14ac:dyDescent="0.3">
      <c r="A63" s="40">
        <f>A62+'1.설계입력'!$C$12</f>
        <v>11.399999999999991</v>
      </c>
      <c r="B63" s="40">
        <f t="shared" si="0"/>
        <v>0.19896753472735343</v>
      </c>
      <c r="C63" s="40">
        <f>ATAN2('1.설계입력'!$C$6/('1.설계입력'!$C$8*'1.설계입력'!$C$15)-COS((1-'1.설계입력'!$C$15)*B63),SIN((1-'1.설계입력'!$C$15)*B63))</f>
        <v>-0.66387397902039358</v>
      </c>
      <c r="D63" s="40">
        <f>'1.설계입력'!$C$6*COS(B63)-'1.설계입력'!$C$7*COS(B63+C63)-'1.설계입력'!$C$8*COS('1.설계입력'!$C$15*B63)</f>
        <v>76.963574957053851</v>
      </c>
      <c r="E63" s="40">
        <f>-'1.설계입력'!$C$6*SIN(B63)+'1.설계입력'!$C$7*SIN(B63+C63)+'1.설계입력'!$C$8*SIN('1.설계입력'!$C$15*B63)</f>
        <v>-16.50947577753529</v>
      </c>
      <c r="F63" s="40">
        <f>ATAN2(('1.설계입력'!$C$6+'1.설계입력'!$C$33)/('1.설계입력'!$C$8*'1.설계입력'!$C$15)-COS((1-'1.설계입력'!$C$15)*B63),SIN((1-'1.설계입력'!$C$15)*B63))</f>
        <v>-0.66389368318060993</v>
      </c>
      <c r="G63" s="40">
        <f>('1.설계입력'!$C$6+'1.설계입력'!$C$33)*COS(B63)-('1.설계입력'!$C$7+'1.설계입력'!$C$34)*COS(B63+F63)-'1.설계입력'!$C$8*COS('1.설계입력'!$C$15*B63)</f>
        <v>76.953331230787455</v>
      </c>
      <c r="H63" s="40">
        <f>-('1.설계입력'!$C$6+'1.설계입력'!$C$33)*SIN(B63)+('1.설계입력'!$C$7+'1.설계입력'!$C$34)*SIN(B63+F63)+'1.설계입력'!$C$8*SIN('1.설계입력'!$C$15*B63)</f>
        <v>-16.512565180751505</v>
      </c>
      <c r="I63" s="40">
        <f t="shared" si="1"/>
        <v>78.714386617816388</v>
      </c>
      <c r="J63" s="40">
        <f t="shared" si="2"/>
        <v>78.705018876586607</v>
      </c>
      <c r="K63" s="38">
        <f>IF(OR(A63&gt;180,'1.설계입력'!$C$39&gt;=1),"",'1.설계입력'!$C$34*(1-SIN(B63)/SQRT(1+'1.설계입력'!$C$39^2-2*'1.설계입력'!$C$39*COS(B63)))-'1.설계입력'!$C$33*(1-'1.설계입력'!$C$39*COS(B63)-SQRT(MAX(0,1-'1.설계입력'!$C$39^2))*SIN(B63))/SQRT(1+'1.설계입력'!$C$39^2-2*'1.설계입력'!$C$39*COS(B63)))</f>
        <v>4.5028273372314208E-3</v>
      </c>
    </row>
    <row r="64" spans="1:11" x14ac:dyDescent="0.3">
      <c r="A64" s="40">
        <f>A63+'1.설계입력'!$C$12</f>
        <v>11.599999999999991</v>
      </c>
      <c r="B64" s="40">
        <f t="shared" si="0"/>
        <v>0.20245819323134207</v>
      </c>
      <c r="C64" s="40">
        <f>ATAN2('1.설계입력'!$C$6/('1.설계입력'!$C$8*'1.설계입력'!$C$15)-COS((1-'1.설계입력'!$C$15)*B64),SIN((1-'1.설계입력'!$C$15)*B64))</f>
        <v>-0.61696101303602224</v>
      </c>
      <c r="D64" s="40">
        <f>'1.설계입력'!$C$6*COS(B64)-'1.설계입력'!$C$7*COS(B64+C64)-'1.설계입력'!$C$8*COS('1.설계입력'!$C$15*B64)</f>
        <v>77.026786648818643</v>
      </c>
      <c r="E64" s="40">
        <f>-'1.설계입력'!$C$6*SIN(B64)+'1.설계입력'!$C$7*SIN(B64+C64)+'1.설계입력'!$C$8*SIN('1.설계입력'!$C$15*B64)</f>
        <v>-16.643885556001184</v>
      </c>
      <c r="F64" s="40">
        <f>ATAN2(('1.설계입력'!$C$6+'1.설계입력'!$C$33)/('1.설계입력'!$C$8*'1.설계입력'!$C$15)-COS((1-'1.설계입력'!$C$15)*B64),SIN((1-'1.설계입력'!$C$15)*B64))</f>
        <v>-0.61697832305880185</v>
      </c>
      <c r="G64" s="40">
        <f>('1.설계입력'!$C$6+'1.설계입력'!$C$33)*COS(B64)-('1.설계입력'!$C$7+'1.설계입력'!$C$34)*COS(B64+F64)-'1.설계입력'!$C$8*COS('1.설계입력'!$C$15*B64)</f>
        <v>77.016363842973831</v>
      </c>
      <c r="H64" s="40">
        <f>-('1.설계입력'!$C$6+'1.설계입력'!$C$33)*SIN(B64)+('1.설계입력'!$C$7+'1.설계입력'!$C$34)*SIN(B64+F64)+'1.설계입력'!$C$8*SIN('1.설계입력'!$C$15*B64)</f>
        <v>-16.646587871863918</v>
      </c>
      <c r="I64" s="40">
        <f t="shared" si="1"/>
        <v>78.804471877196733</v>
      </c>
      <c r="J64" s="40">
        <f t="shared" si="2"/>
        <v>78.79485508184537</v>
      </c>
      <c r="K64" s="38">
        <f>IF(OR(A64&gt;180,'1.설계입력'!$C$39&gt;=1),"",'1.설계입력'!$C$34*(1-SIN(B64)/SQRT(1+'1.설계입력'!$C$39^2-2*'1.설계입력'!$C$39*COS(B64)))-'1.설계입력'!$C$33*(1-'1.설계입력'!$C$39*COS(B64)-SQRT(MAX(0,1-'1.설계입력'!$C$39^2))*SIN(B64))/SQRT(1+'1.설계입력'!$C$39^2-2*'1.설계입력'!$C$39*COS(B64)))</f>
        <v>4.4163431080906299E-3</v>
      </c>
    </row>
    <row r="65" spans="1:11" x14ac:dyDescent="0.3">
      <c r="A65" s="40">
        <f>A64+'1.설계입력'!$C$12</f>
        <v>11.79999999999999</v>
      </c>
      <c r="B65" s="40">
        <f t="shared" si="0"/>
        <v>0.2059488517353307</v>
      </c>
      <c r="C65" s="40">
        <f>ATAN2('1.설계입력'!$C$6/('1.설계입력'!$C$8*'1.설계입력'!$C$15)-COS((1-'1.설계입력'!$C$15)*B65),SIN((1-'1.설계입력'!$C$15)*B65))</f>
        <v>-0.56756253571451198</v>
      </c>
      <c r="D65" s="40">
        <f>'1.설계입력'!$C$6*COS(B65)-'1.설계입력'!$C$7*COS(B65+C65)-'1.설계입력'!$C$8*COS('1.설계입력'!$C$15*B65)</f>
        <v>77.087727184134167</v>
      </c>
      <c r="E65" s="40">
        <f>-'1.설계입력'!$C$6*SIN(B65)+'1.설계입력'!$C$7*SIN(B65+C65)+'1.설계입력'!$C$8*SIN('1.설계입력'!$C$15*B65)</f>
        <v>-16.793036531870467</v>
      </c>
      <c r="F65" s="40">
        <f>ATAN2(('1.설계입력'!$C$6+'1.설계입력'!$C$33)/('1.설계입력'!$C$8*'1.설계입력'!$C$15)-COS((1-'1.설계입력'!$C$15)*B65),SIN((1-'1.설계입력'!$C$15)*B65))</f>
        <v>-0.56757770701764709</v>
      </c>
      <c r="G65" s="40">
        <f>('1.설계입력'!$C$6+'1.설계입력'!$C$33)*COS(B65)-('1.설계입력'!$C$7+'1.설계입력'!$C$34)*COS(B65+F65)-'1.설계입력'!$C$8*COS('1.설계입력'!$C$15*B65)</f>
        <v>77.077138058710773</v>
      </c>
      <c r="H65" s="40">
        <f>-('1.설계입력'!$C$6+'1.설계입력'!$C$33)*SIN(B65)+('1.설계입력'!$C$7+'1.설계입력'!$C$34)*SIN(B65+F65)+'1.설계입력'!$C$8*SIN('1.설계입력'!$C$15*B65)</f>
        <v>-16.795325119940244</v>
      </c>
      <c r="I65" s="40">
        <f t="shared" si="1"/>
        <v>78.895651073910486</v>
      </c>
      <c r="J65" s="40">
        <f t="shared" si="2"/>
        <v>78.885791858902294</v>
      </c>
      <c r="K65" s="38">
        <f>IF(OR(A65&gt;180,'1.설계입력'!$C$39&gt;=1),"",'1.설계입력'!$C$34*(1-SIN(B65)/SQRT(1+'1.설계입력'!$C$39^2-2*'1.설계입력'!$C$39*COS(B65)))-'1.설계입력'!$C$33*(1-'1.설계입력'!$C$39*COS(B65)-SQRT(MAX(0,1-'1.설계입력'!$C$39^2))*SIN(B65))/SQRT(1+'1.설계입력'!$C$39^2-2*'1.설계입력'!$C$39*COS(B65)))</f>
        <v>4.3311101148370001E-3</v>
      </c>
    </row>
    <row r="66" spans="1:11" x14ac:dyDescent="0.3">
      <c r="A66" s="40">
        <f>A65+'1.설계입력'!$C$12</f>
        <v>11.999999999999989</v>
      </c>
      <c r="B66" s="40">
        <f t="shared" si="0"/>
        <v>0.20943951023931937</v>
      </c>
      <c r="C66" s="40">
        <f>ATAN2('1.설계입력'!$C$6/('1.설계입력'!$C$8*'1.설계입력'!$C$15)-COS((1-'1.설계입력'!$C$15)*B66),SIN((1-'1.설계입력'!$C$15)*B66))</f>
        <v>-0.51622742831694945</v>
      </c>
      <c r="D66" s="40">
        <f>'1.설계입력'!$C$6*COS(B66)-'1.설계입력'!$C$7*COS(B66+C66)-'1.설계입력'!$C$8*COS('1.설계입력'!$C$15*B66)</f>
        <v>77.144869145373249</v>
      </c>
      <c r="E66" s="40">
        <f>-'1.설계입력'!$C$6*SIN(B66)+'1.설계입력'!$C$7*SIN(B66+C66)+'1.설계입력'!$C$8*SIN('1.설계입력'!$C$15*B66)</f>
        <v>-16.957712919556926</v>
      </c>
      <c r="F66" s="40">
        <f>ATAN2(('1.설계입력'!$C$6+'1.설계입력'!$C$33)/('1.설계입력'!$C$8*'1.설계입력'!$C$15)-COS((1-'1.설계입력'!$C$15)*B66),SIN((1-'1.설계입력'!$C$15)*B66))</f>
        <v>-0.51624066469914598</v>
      </c>
      <c r="G66" s="40">
        <f>('1.설계입력'!$C$6+'1.설계입력'!$C$33)*COS(B66)-('1.설계입력'!$C$7+'1.설계입력'!$C$34)*COS(B66+F66)-'1.설계입력'!$C$8*COS('1.설계입력'!$C$15*B66)</f>
        <v>77.13413111089065</v>
      </c>
      <c r="H66" s="40">
        <f>-('1.설계입력'!$C$6+'1.설계입력'!$C$33)*SIN(B66)+('1.설계입력'!$C$7+'1.설계입력'!$C$34)*SIN(B66+F66)+'1.설계입력'!$C$8*SIN('1.설계입력'!$C$15*B66)</f>
        <v>-16.959565153407993</v>
      </c>
      <c r="I66" s="40">
        <f t="shared" si="1"/>
        <v>78.986675223855769</v>
      </c>
      <c r="J66" s="40">
        <f t="shared" si="2"/>
        <v>78.976585342902482</v>
      </c>
      <c r="K66" s="38">
        <f>IF(OR(A66&gt;180,'1.설계입력'!$C$39&gt;=1),"",'1.설계입력'!$C$34*(1-SIN(B66)/SQRT(1+'1.설계입력'!$C$39^2-2*'1.설계입력'!$C$39*COS(B66)))-'1.설계입력'!$C$33*(1-'1.설계입력'!$C$39*COS(B66)-SQRT(MAX(0,1-'1.설계입력'!$C$39^2))*SIN(B66))/SQRT(1+'1.설계입력'!$C$39^2-2*'1.설계입력'!$C$39*COS(B66)))</f>
        <v>4.2471223371308708E-3</v>
      </c>
    </row>
    <row r="67" spans="1:11" x14ac:dyDescent="0.3">
      <c r="A67" s="40">
        <f>A66+'1.설계입력'!$C$12</f>
        <v>12.199999999999989</v>
      </c>
      <c r="B67" s="40">
        <f t="shared" si="0"/>
        <v>0.212930168743308</v>
      </c>
      <c r="C67" s="40">
        <f>ATAN2('1.설계입력'!$C$6/('1.설계입력'!$C$8*'1.설계입력'!$C$15)-COS((1-'1.설계입력'!$C$15)*B67),SIN((1-'1.설계입력'!$C$15)*B67))</f>
        <v>-0.46336781521299469</v>
      </c>
      <c r="D67" s="40">
        <f>'1.설계입력'!$C$6*COS(B67)-'1.설계입력'!$C$7*COS(B67+C67)-'1.설계입력'!$C$8*COS('1.설계입력'!$C$15*B67)</f>
        <v>77.196379330629526</v>
      </c>
      <c r="E67" s="40">
        <f>-'1.설계입력'!$C$6*SIN(B67)+'1.설계입력'!$C$7*SIN(B67+C67)+'1.설계입력'!$C$8*SIN('1.설계입력'!$C$15*B67)</f>
        <v>-17.137929085526146</v>
      </c>
      <c r="F67" s="40">
        <f>ATAN2(('1.설계입력'!$C$6+'1.설계입력'!$C$33)/('1.설계입력'!$C$8*'1.설계입력'!$C$15)-COS((1-'1.설계입력'!$C$15)*B67),SIN((1-'1.설계입력'!$C$15)*B67))</f>
        <v>-0.46337928004980444</v>
      </c>
      <c r="G67" s="40">
        <f>('1.설계입력'!$C$6+'1.설계입력'!$C$33)*COS(B67)-('1.설계입력'!$C$7+'1.설계입력'!$C$34)*COS(B67+F67)-'1.설계입력'!$C$8*COS('1.설계입력'!$C$15*B67)</f>
        <v>77.185513417023287</v>
      </c>
      <c r="H67" s="40">
        <f>-('1.설계입력'!$C$6+'1.설계입력'!$C$33)*SIN(B67)+('1.설계입력'!$C$7+'1.설계입력'!$C$34)*SIN(B67+F67)+'1.설계입력'!$C$8*SIN('1.설계입력'!$C$15*B67)</f>
        <v>-17.13932590389236</v>
      </c>
      <c r="I67" s="40">
        <f t="shared" si="1"/>
        <v>79.075847103265161</v>
      </c>
      <c r="J67" s="40">
        <f t="shared" si="2"/>
        <v>79.065542266459644</v>
      </c>
      <c r="K67" s="38">
        <f>IF(OR(A67&gt;180,'1.설계입력'!$C$39&gt;=1),"",'1.설계입력'!$C$34*(1-SIN(B67)/SQRT(1+'1.설계입력'!$C$39^2-2*'1.설계입력'!$C$39*COS(B67)))-'1.설계입력'!$C$33*(1-'1.설계입력'!$C$39*COS(B67)-SQRT(MAX(0,1-'1.설계입력'!$C$39^2))*SIN(B67))/SQRT(1+'1.설계입력'!$C$39^2-2*'1.설계입력'!$C$39*COS(B67)))</f>
        <v>4.1643731448696786E-3</v>
      </c>
    </row>
    <row r="68" spans="1:11" x14ac:dyDescent="0.3">
      <c r="A68" s="40">
        <f>A67+'1.설계입력'!$C$12</f>
        <v>12.399999999999988</v>
      </c>
      <c r="B68" s="40">
        <f t="shared" si="0"/>
        <v>0.21642082724729667</v>
      </c>
      <c r="C68" s="40">
        <f>ATAN2('1.설계입력'!$C$6/('1.설계입력'!$C$8*'1.설계입력'!$C$15)-COS((1-'1.설계입력'!$C$15)*B68),SIN((1-'1.설계입력'!$C$15)*B68))</f>
        <v>-0.40930064675094824</v>
      </c>
      <c r="D68" s="40">
        <f>'1.설계입력'!$C$6*COS(B68)-'1.설계입력'!$C$7*COS(B68+C68)-'1.설계입력'!$C$8*COS('1.설계입력'!$C$15*B68)</f>
        <v>77.240311386769136</v>
      </c>
      <c r="E68" s="40">
        <f>-'1.설계입력'!$C$6*SIN(B68)+'1.설계입력'!$C$7*SIN(B68+C68)+'1.설계입력'!$C$8*SIN('1.설계입력'!$C$15*B68)</f>
        <v>-17.333053683529201</v>
      </c>
      <c r="F68" s="40">
        <f>ATAN2(('1.설계입력'!$C$6+'1.설계입력'!$C$33)/('1.설계입력'!$C$8*'1.설계입력'!$C$15)-COS((1-'1.설계입력'!$C$15)*B68),SIN((1-'1.설계입력'!$C$15)*B68))</f>
        <v>-0.40931047129254172</v>
      </c>
      <c r="G68" s="40">
        <f>('1.설계입력'!$C$6+'1.설계입력'!$C$33)*COS(B68)-('1.설계입력'!$C$7+'1.설계입력'!$C$34)*COS(B68+F68)-'1.설계입력'!$C$8*COS('1.설계입력'!$C$15*B68)</f>
        <v>77.22934145515994</v>
      </c>
      <c r="H68" s="40">
        <f>-('1.설계입력'!$C$6+'1.설계입력'!$C$33)*SIN(B68)+('1.설계입력'!$C$7+'1.설계입력'!$C$34)*SIN(B68+F68)+'1.설계입력'!$C$8*SIN('1.설계입력'!$C$15*B68)</f>
        <v>-17.333979308946674</v>
      </c>
      <c r="I68" s="40">
        <f t="shared" si="1"/>
        <v>79.161230745366524</v>
      </c>
      <c r="J68" s="40">
        <f t="shared" si="2"/>
        <v>79.150729752041315</v>
      </c>
      <c r="K68" s="38">
        <f>IF(OR(A68&gt;180,'1.설계입력'!$C$39&gt;=1),"",'1.설계입력'!$C$34*(1-SIN(B68)/SQRT(1+'1.설계입력'!$C$39^2-2*'1.설계입력'!$C$39*COS(B68)))-'1.설계입력'!$C$33*(1-'1.설계입력'!$C$39*COS(B68)-SQRT(MAX(0,1-'1.설계입력'!$C$39^2))*SIN(B68))/SQRT(1+'1.설계입력'!$C$39^2-2*'1.설계입력'!$C$39*COS(B68)))</f>
        <v>4.0828553337333671E-3</v>
      </c>
    </row>
    <row r="69" spans="1:11" x14ac:dyDescent="0.3">
      <c r="A69" s="40">
        <f>A68+'1.설계입력'!$C$12</f>
        <v>12.599999999999987</v>
      </c>
      <c r="B69" s="40">
        <f t="shared" si="0"/>
        <v>0.2199114857512853</v>
      </c>
      <c r="C69" s="40">
        <f>ATAN2('1.설계입력'!$C$6/('1.설계입력'!$C$8*'1.설계입력'!$C$15)-COS((1-'1.설계입력'!$C$15)*B69),SIN((1-'1.설계입력'!$C$15)*B69))</f>
        <v>-0.35427539292371596</v>
      </c>
      <c r="D69" s="40">
        <f>'1.설계입력'!$C$6*COS(B69)-'1.설계입력'!$C$7*COS(B69+C69)-'1.설계입력'!$C$8*COS('1.설계입력'!$C$15*B69)</f>
        <v>77.274752999883873</v>
      </c>
      <c r="E69" s="40">
        <f>-'1.설계입력'!$C$6*SIN(B69)+'1.설계입력'!$C$7*SIN(B69+C69)+'1.설계입력'!$C$8*SIN('1.설계입력'!$C$15*B69)</f>
        <v>-17.541907830444465</v>
      </c>
      <c r="F69" s="40">
        <f>ATAN2(('1.설계입력'!$C$6+'1.설계입력'!$C$33)/('1.설계입력'!$C$8*'1.설계입력'!$C$15)-COS((1-'1.설계입력'!$C$15)*B69),SIN((1-'1.설계입력'!$C$15)*B69))</f>
        <v>-0.35428368246244574</v>
      </c>
      <c r="G69" s="40">
        <f>('1.설계입력'!$C$6+'1.설계입력'!$C$33)*COS(B69)-('1.설계입력'!$C$7+'1.설계입력'!$C$34)*COS(B69+F69)-'1.설계입력'!$C$8*COS('1.설계입력'!$C$15*B69)</f>
        <v>77.263705116303257</v>
      </c>
      <c r="H69" s="40">
        <f>-('1.설계입력'!$C$6+'1.설계입력'!$C$33)*SIN(B69)+('1.설계입력'!$C$7+'1.설계입력'!$C$34)*SIN(B69+F69)+'1.설계입력'!$C$8*SIN('1.설계입력'!$C$15*B69)</f>
        <v>-17.542349588036277</v>
      </c>
      <c r="I69" s="40">
        <f t="shared" si="1"/>
        <v>79.240810076152499</v>
      </c>
      <c r="J69" s="40">
        <f t="shared" si="2"/>
        <v>79.230134149627332</v>
      </c>
      <c r="K69" s="38">
        <f>IF(OR(A69&gt;180,'1.설계입력'!$C$39&gt;=1),"",'1.설계입력'!$C$34*(1-SIN(B69)/SQRT(1+'1.설계입력'!$C$39^2-2*'1.설계입력'!$C$39*COS(B69)))-'1.설계입력'!$C$33*(1-'1.설계입력'!$C$39*COS(B69)-SQRT(MAX(0,1-'1.설계입력'!$C$39^2))*SIN(B69))/SQRT(1+'1.설계입력'!$C$39^2-2*'1.설계입력'!$C$39*COS(B69)))</f>
        <v>4.0025611599313043E-3</v>
      </c>
    </row>
    <row r="70" spans="1:11" x14ac:dyDescent="0.3">
      <c r="A70" s="40">
        <f>A69+'1.설계입력'!$C$12</f>
        <v>12.799999999999986</v>
      </c>
      <c r="B70" s="40">
        <f t="shared" ref="B70:B133" si="3">RADIANS(A70)</f>
        <v>0.22340214425527394</v>
      </c>
      <c r="C70" s="40">
        <f>ATAN2('1.설계입력'!$C$6/('1.설계입력'!$C$8*'1.설계입력'!$C$15)-COS((1-'1.설계입력'!$C$15)*B70),SIN((1-'1.설계입력'!$C$15)*B70))</f>
        <v>-0.2984930073707347</v>
      </c>
      <c r="D70" s="40">
        <f>'1.설계입력'!$C$6*COS(B70)-'1.설계입력'!$C$7*COS(B70+C70)-'1.설계입력'!$C$8*COS('1.설계입력'!$C$15*B70)</f>
        <v>77.297940419748073</v>
      </c>
      <c r="E70" s="40">
        <f>-'1.설계입력'!$C$6*SIN(B70)+'1.설계입력'!$C$7*SIN(B70+C70)+'1.설계입력'!$C$8*SIN('1.설계입력'!$C$15*B70)</f>
        <v>-17.762850719201531</v>
      </c>
      <c r="F70" s="40">
        <f>ATAN2(('1.설계입력'!$C$6+'1.설계입력'!$C$33)/('1.설계입력'!$C$8*'1.설계입력'!$C$15)-COS((1-'1.설계입력'!$C$15)*B70),SIN((1-'1.설계입력'!$C$15)*B70))</f>
        <v>-0.29849984583845912</v>
      </c>
      <c r="G70" s="40">
        <f>('1.설계입력'!$C$6+'1.설계입력'!$C$33)*COS(B70)-('1.설계입력'!$C$7+'1.설계입력'!$C$34)*COS(B70+F70)-'1.설계입력'!$C$8*COS('1.설계입력'!$C$15*B70)</f>
        <v>77.286842338848913</v>
      </c>
      <c r="H70" s="40">
        <f>-('1.설계입력'!$C$6+'1.설계입력'!$C$33)*SIN(B70)+('1.설계입력'!$C$7+'1.설계입력'!$C$34)*SIN(B70+F70)+'1.설계입력'!$C$8*SIN('1.설계입력'!$C$15*B70)</f>
        <v>-17.762798915423851</v>
      </c>
      <c r="I70" s="40">
        <f t="shared" ref="I70:I133" si="4">SQRT(D70^2+E70^2)</f>
        <v>79.312612230385909</v>
      </c>
      <c r="J70" s="40">
        <f t="shared" ref="J70:J133" si="5">SQRT(G70^2+H70^2)</f>
        <v>79.301784494548869</v>
      </c>
      <c r="K70" s="38">
        <f>IF(OR(A70&gt;180,'1.설계입력'!$C$39&gt;=1),"",'1.설계입력'!$C$34*(1-SIN(B70)/SQRT(1+'1.설계입력'!$C$39^2-2*'1.설계입력'!$C$39*COS(B70)))-'1.설계입력'!$C$33*(1-'1.설계입력'!$C$39*COS(B70)-SQRT(MAX(0,1-'1.설계입력'!$C$39^2))*SIN(B70))/SQRT(1+'1.설계입력'!$C$39^2-2*'1.설계입력'!$C$39*COS(B70)))</f>
        <v>3.9234823741020886E-3</v>
      </c>
    </row>
    <row r="71" spans="1:11" x14ac:dyDescent="0.3">
      <c r="A71" s="40">
        <f>A70+'1.설계입력'!$C$12</f>
        <v>12.999999999999986</v>
      </c>
      <c r="B71" s="40">
        <f t="shared" si="3"/>
        <v>0.2268928027592626</v>
      </c>
      <c r="C71" s="40">
        <f>ATAN2('1.설계입력'!$C$6/('1.설계입력'!$C$8*'1.설계입력'!$C$15)-COS((1-'1.설계입력'!$C$15)*B71),SIN((1-'1.설계입력'!$C$15)*B71))</f>
        <v>-0.24211927214330381</v>
      </c>
      <c r="D71" s="40">
        <f>'1.설계입력'!$C$6*COS(B71)-'1.설계입력'!$C$7*COS(B71+C71)-'1.설계입력'!$C$8*COS('1.설계입력'!$C$15*B71)</f>
        <v>77.30834792534931</v>
      </c>
      <c r="E71" s="40">
        <f>-'1.설계입력'!$C$6*SIN(B71)+'1.설계입력'!$C$7*SIN(B71+C71)+'1.설계입력'!$C$8*SIN('1.설계입력'!$C$15*B71)</f>
        <v>-17.99385976531422</v>
      </c>
      <c r="F71" s="40">
        <f>ATAN2(('1.설계입력'!$C$6+'1.설계입력'!$C$33)/('1.설계입력'!$C$8*'1.설계입력'!$C$15)-COS((1-'1.설계입력'!$C$15)*B71),SIN((1-'1.설계입력'!$C$15)*B71))</f>
        <v>-0.2421247255385707</v>
      </c>
      <c r="G71" s="40">
        <f>('1.설계입력'!$C$6+'1.설계입력'!$C$33)*COS(B71)-('1.설계입력'!$C$7+'1.설계입력'!$C$34)*COS(B71+F71)-'1.설계입력'!$C$8*COS('1.설계입력'!$C$15*B71)</f>
        <v>77.297228649967224</v>
      </c>
      <c r="H71" s="40">
        <f>-('1.설계입력'!$C$6+'1.설계입력'!$C$33)*SIN(B71)+('1.설계입력'!$C$7+'1.설계입력'!$C$34)*SIN(B71+F71)+'1.설계입력'!$C$8*SIN('1.설계입력'!$C$15*B71)</f>
        <v>-17.99330760190097</v>
      </c>
      <c r="I71" s="40">
        <f t="shared" si="4"/>
        <v>79.374804870315458</v>
      </c>
      <c r="J71" s="40">
        <f t="shared" si="5"/>
        <v>79.36384992817537</v>
      </c>
      <c r="K71" s="38">
        <f>IF(OR(A71&gt;180,'1.설계입력'!$C$39&gt;=1),"",'1.설계입력'!$C$34*(1-SIN(B71)/SQRT(1+'1.설계입력'!$C$39^2-2*'1.설계입력'!$C$39*COS(B71)))-'1.설계입력'!$C$33*(1-'1.설계입력'!$C$39*COS(B71)-SQRT(MAX(0,1-'1.설계입력'!$C$39^2))*SIN(B71))/SQRT(1+'1.설계입력'!$C$39^2-2*'1.설계입력'!$C$39*COS(B71)))</f>
        <v>3.845610254324487E-3</v>
      </c>
    </row>
    <row r="72" spans="1:11" x14ac:dyDescent="0.3">
      <c r="A72" s="40">
        <f>A71+'1.설계입력'!$C$12</f>
        <v>13.199999999999985</v>
      </c>
      <c r="B72" s="40">
        <f t="shared" si="3"/>
        <v>0.23038346126325124</v>
      </c>
      <c r="C72" s="40">
        <f>ATAN2('1.설계입력'!$C$6/('1.설계입력'!$C$8*'1.설계입력'!$C$15)-COS((1-'1.설계입력'!$C$15)*B72),SIN((1-'1.설계입력'!$C$15)*B72))</f>
        <v>-0.18529445647727477</v>
      </c>
      <c r="D72" s="40">
        <f>'1.설계입력'!$C$6*COS(B72)-'1.설계입력'!$C$7*COS(B72+C72)-'1.설계입력'!$C$8*COS('1.설계입력'!$C$15*B72)</f>
        <v>77.304756784591106</v>
      </c>
      <c r="E72" s="40">
        <f>-'1.설계입력'!$C$6*SIN(B72)+'1.설계입력'!$C$7*SIN(B72+C72)+'1.설계입력'!$C$8*SIN('1.설계입력'!$C$15*B72)</f>
        <v>-18.232608898674304</v>
      </c>
      <c r="F72" s="40">
        <f>ATAN2(('1.설계입력'!$C$6+'1.설계입력'!$C$33)/('1.설계입력'!$C$8*'1.설계입력'!$C$15)-COS((1-'1.설계입력'!$C$15)*B72),SIN((1-'1.설계입력'!$C$15)*B72))</f>
        <v>-0.18529857540567932</v>
      </c>
      <c r="G72" s="40">
        <f>('1.설계입력'!$C$6+'1.설계입력'!$C$33)*COS(B72)-('1.설계입력'!$C$7+'1.설계입력'!$C$34)*COS(B72+F72)-'1.설계입력'!$C$8*COS('1.설계입력'!$C$15*B72)</f>
        <v>77.293646178229992</v>
      </c>
      <c r="H72" s="40">
        <f>-('1.설계입력'!$C$6+'1.설계입력'!$C$33)*SIN(B72)+('1.설계입력'!$C$7+'1.설계입력'!$C$34)*SIN(B72+F72)+'1.설계입력'!$C$8*SIN('1.설계입력'!$C$15*B72)</f>
        <v>-18.231552406075444</v>
      </c>
      <c r="I72" s="40">
        <f t="shared" si="4"/>
        <v>79.425773202259748</v>
      </c>
      <c r="J72" s="40">
        <f t="shared" si="5"/>
        <v>79.414716788898033</v>
      </c>
      <c r="K72" s="38">
        <f>IF(OR(A72&gt;180,'1.설계입력'!$C$39&gt;=1),"",'1.설계입력'!$C$34*(1-SIN(B72)/SQRT(1+'1.설계입력'!$C$39^2-2*'1.설계입력'!$C$39*COS(B72)))-'1.설계입력'!$C$33*(1-'1.설계입력'!$C$39*COS(B72)-SQRT(MAX(0,1-'1.설계입력'!$C$39^2))*SIN(B72))/SQRT(1+'1.설계입력'!$C$39^2-2*'1.설계입력'!$C$39*COS(B72)))</f>
        <v>3.7689356382044981E-3</v>
      </c>
    </row>
    <row r="73" spans="1:11" x14ac:dyDescent="0.3">
      <c r="A73" s="40">
        <f>A72+'1.설계입력'!$C$12</f>
        <v>13.399999999999984</v>
      </c>
      <c r="B73" s="40">
        <f t="shared" si="3"/>
        <v>0.23387411976723987</v>
      </c>
      <c r="C73" s="40">
        <f>ATAN2('1.설계입력'!$C$6/('1.설계입력'!$C$8*'1.설계입력'!$C$15)-COS((1-'1.설계입력'!$C$15)*B73),SIN((1-'1.설계입력'!$C$15)*B73))</f>
        <v>-0.12814052822330174</v>
      </c>
      <c r="D73" s="40">
        <f>'1.설계입력'!$C$6*COS(B73)-'1.설계입력'!$C$7*COS(B73+C73)-'1.설계입력'!$C$8*COS('1.설계입력'!$C$15*B73)</f>
        <v>77.286306450535207</v>
      </c>
      <c r="E73" s="40">
        <f>-'1.설계입력'!$C$6*SIN(B73)+'1.설계입력'!$C$7*SIN(B73+C73)+'1.설계입력'!$C$8*SIN('1.설계입력'!$C$15*B73)</f>
        <v>-18.476546608318042</v>
      </c>
      <c r="F73" s="40">
        <f>ATAN2(('1.설계입력'!$C$6+'1.설계입력'!$C$33)/('1.설계입력'!$C$8*'1.설계입력'!$C$15)-COS((1-'1.설계입력'!$C$15)*B73),SIN((1-'1.설계입력'!$C$15)*B73))</f>
        <v>-0.12814334975022537</v>
      </c>
      <c r="G73" s="40">
        <f>('1.설계입력'!$C$6+'1.설계입력'!$C$33)*COS(B73)-('1.설계입력'!$C$7+'1.설계입력'!$C$34)*COS(B73+F73)-'1.설계입력'!$C$8*COS('1.설계입력'!$C$15*B73)</f>
        <v>77.275234887001162</v>
      </c>
      <c r="H73" s="40">
        <f>-('1.설계입력'!$C$6+'1.설계입력'!$C$33)*SIN(B73)+('1.설계입력'!$C$7+'1.설계입력'!$C$34)*SIN(B73+F73)+'1.설계입력'!$C$8*SIN('1.설계입력'!$C$15*B73)</f>
        <v>-18.474984588420671</v>
      </c>
      <c r="I73" s="40">
        <f t="shared" si="4"/>
        <v>79.464180228171912</v>
      </c>
      <c r="J73" s="40">
        <f t="shared" si="5"/>
        <v>79.453048918110014</v>
      </c>
      <c r="K73" s="38">
        <f>IF(OR(A73&gt;180,'1.설계입력'!$C$39&gt;=1),"",'1.설계입력'!$C$34*(1-SIN(B73)/SQRT(1+'1.설계입력'!$C$39^2-2*'1.설계입력'!$C$39*COS(B73)))-'1.설계입력'!$C$33*(1-'1.설계입력'!$C$39*COS(B73)-SQRT(MAX(0,1-'1.설계입력'!$C$39^2))*SIN(B73))/SQRT(1+'1.설계입력'!$C$39^2-2*'1.설계입력'!$C$39*COS(B73)))</f>
        <v>3.6934489540095435E-3</v>
      </c>
    </row>
    <row r="74" spans="1:11" x14ac:dyDescent="0.3">
      <c r="A74" s="40">
        <f>A73+'1.설계입력'!$C$12</f>
        <v>13.599999999999984</v>
      </c>
      <c r="B74" s="40">
        <f t="shared" si="3"/>
        <v>0.23736477827122854</v>
      </c>
      <c r="C74" s="40">
        <f>ATAN2('1.설계입력'!$C$6/('1.설계입력'!$C$8*'1.설계입력'!$C$15)-COS((1-'1.설계입력'!$C$15)*B74),SIN((1-'1.설계입력'!$C$15)*B74))</f>
        <v>-7.0766737901238871E-2</v>
      </c>
      <c r="D74" s="40">
        <f>'1.설계입력'!$C$6*COS(B74)-'1.설계입력'!$C$7*COS(B74+C74)-'1.설계입력'!$C$8*COS('1.설계입력'!$C$15*B74)</f>
        <v>77.252529666518598</v>
      </c>
      <c r="E74" s="40">
        <f>-'1.설계입력'!$C$6*SIN(B74)+'1.설계입력'!$C$7*SIN(B74+C74)+'1.설계입력'!$C$8*SIN('1.설계입력'!$C$15*B74)</f>
        <v>-18.722974157249158</v>
      </c>
      <c r="F74" s="40">
        <f>ATAN2(('1.설계입력'!$C$6+'1.설계입력'!$C$33)/('1.설계입력'!$C$8*'1.설계입력'!$C$15)-COS((1-'1.설계입력'!$C$15)*B74),SIN((1-'1.설계입력'!$C$15)*B74))</f>
        <v>-7.0768286855266482E-2</v>
      </c>
      <c r="G74" s="40">
        <f>('1.설계입력'!$C$6+'1.설계입력'!$C$33)*COS(B74)-('1.설계입력'!$C$7+'1.설계입력'!$C$34)*COS(B74+F74)-'1.설계입력'!$C$8*COS('1.설계입력'!$C$15*B74)</f>
        <v>77.241527705524319</v>
      </c>
      <c r="H74" s="40">
        <f>-('1.설계입력'!$C$6+'1.설계입력'!$C$33)*SIN(B74)+('1.설계입력'!$C$7+'1.설계입력'!$C$34)*SIN(B74+F74)+'1.설계입력'!$C$8*SIN('1.설계입력'!$C$15*B74)</f>
        <v>-18.720908128603543</v>
      </c>
      <c r="I74" s="40">
        <f t="shared" si="4"/>
        <v>79.489012455617754</v>
      </c>
      <c r="J74" s="40">
        <f t="shared" si="5"/>
        <v>79.47783340934059</v>
      </c>
      <c r="K74" s="38">
        <f>IF(OR(A74&gt;180,'1.설계입력'!$C$39&gt;=1),"",'1.설계입력'!$C$34*(1-SIN(B74)/SQRT(1+'1.설계입력'!$C$39^2-2*'1.설계입력'!$C$39*COS(B74)))-'1.설계입력'!$C$33*(1-'1.설계입력'!$C$39*COS(B74)-SQRT(MAX(0,1-'1.설계입력'!$C$39^2))*SIN(B74))/SQRT(1+'1.설계입력'!$C$39^2-2*'1.설계입력'!$C$39*COS(B74)))</f>
        <v>3.6191402508266796E-3</v>
      </c>
    </row>
    <row r="75" spans="1:11" x14ac:dyDescent="0.3">
      <c r="A75" s="40">
        <f>A74+'1.설계입력'!$C$12</f>
        <v>13.799999999999983</v>
      </c>
      <c r="B75" s="40">
        <f t="shared" si="3"/>
        <v>0.24085543677521717</v>
      </c>
      <c r="C75" s="40">
        <f>ATAN2('1.설계입력'!$C$6/('1.설계입력'!$C$8*'1.설계입력'!$C$15)-COS((1-'1.설계입력'!$C$15)*B75),SIN((1-'1.설계입력'!$C$15)*B75))</f>
        <v>-1.3274139783965631E-2</v>
      </c>
      <c r="D75" s="40">
        <f>'1.설계입력'!$C$6*COS(B75)-'1.설계입력'!$C$7*COS(B75+C75)-'1.설계입력'!$C$8*COS('1.설계입력'!$C$15*B75)</f>
        <v>77.203372528264723</v>
      </c>
      <c r="E75" s="40">
        <f>-'1.설계입력'!$C$6*SIN(B75)+'1.설계입력'!$C$7*SIN(B75+C75)+'1.설계입력'!$C$8*SIN('1.설계입력'!$C$15*B75)</f>
        <v>-18.969123661093587</v>
      </c>
      <c r="F75" s="40">
        <f>ATAN2(('1.설계입력'!$C$6+'1.설계입력'!$C$33)/('1.설계입력'!$C$8*'1.설계입력'!$C$15)-COS((1-'1.설계입력'!$C$15)*B75),SIN((1-'1.설계입력'!$C$15)*B75))</f>
        <v>-1.3274429604236783E-2</v>
      </c>
      <c r="G75" s="40">
        <f>('1.설계입력'!$C$6+'1.설계입력'!$C$33)*COS(B75)-('1.설계입력'!$C$7+'1.설계입력'!$C$34)*COS(B75+F75)-'1.설계입력'!$C$8*COS('1.설계입력'!$C$15*B75)</f>
        <v>77.19247060876188</v>
      </c>
      <c r="H75" s="40">
        <f>-('1.설계입력'!$C$6+'1.설계입력'!$C$33)*SIN(B75)+('1.설계입력'!$C$7+'1.설계입력'!$C$34)*SIN(B75+F75)+'1.설계입력'!$C$8*SIN('1.설계입력'!$C$15*B75)</f>
        <v>-18.966557802073044</v>
      </c>
      <c r="I75" s="40">
        <f t="shared" si="4"/>
        <v>79.49961246577169</v>
      </c>
      <c r="J75" s="40">
        <f t="shared" si="5"/>
        <v>79.488413203082274</v>
      </c>
      <c r="K75" s="38">
        <f>IF(OR(A75&gt;180,'1.설계입력'!$C$39&gt;=1),"",'1.설계입력'!$C$34*(1-SIN(B75)/SQRT(1+'1.설계입력'!$C$39^2-2*'1.설계입력'!$C$39*COS(B75)))-'1.설계입력'!$C$33*(1-'1.설계입력'!$C$39*COS(B75)-SQRT(MAX(0,1-'1.설계입력'!$C$39^2))*SIN(B75))/SQRT(1+'1.설계입력'!$C$39^2-2*'1.설계입력'!$C$39*COS(B75)))</f>
        <v>3.5459992277271932E-3</v>
      </c>
    </row>
    <row r="76" spans="1:11" x14ac:dyDescent="0.3">
      <c r="A76" s="40">
        <f>A75+'1.설계입력'!$C$12</f>
        <v>13.999999999999982</v>
      </c>
      <c r="B76" s="40">
        <f t="shared" si="3"/>
        <v>0.24434609527920584</v>
      </c>
      <c r="C76" s="40">
        <f>ATAN2('1.설계입력'!$C$6/('1.설계입력'!$C$8*'1.설계입력'!$C$15)-COS((1-'1.설계입력'!$C$15)*B76),SIN((1-'1.설계입력'!$C$15)*B76))</f>
        <v>4.4240540883050593E-2</v>
      </c>
      <c r="D76" s="40">
        <f>'1.설계입력'!$C$6*COS(B76)-'1.설계입력'!$C$7*COS(B76+C76)-'1.설계입력'!$C$8*COS('1.설계입력'!$C$15*B76)</f>
        <v>77.139200194531071</v>
      </c>
      <c r="E76" s="40">
        <f>-'1.설계입력'!$C$6*SIN(B76)+'1.설계입력'!$C$7*SIN(B76+C76)+'1.설계입력'!$C$8*SIN('1.설계입력'!$C$15*B76)</f>
        <v>-19.212235283338419</v>
      </c>
      <c r="F76" s="40">
        <f>ATAN2(('1.설계입력'!$C$6+'1.설계입력'!$C$33)/('1.설계입력'!$C$8*'1.설계입력'!$C$15)-COS((1-'1.설계입력'!$C$15)*B76),SIN((1-'1.설계입력'!$C$15)*B76))</f>
        <v>4.4241507696898996E-2</v>
      </c>
      <c r="G76" s="40">
        <f>('1.설계입력'!$C$6+'1.설계입력'!$C$33)*COS(B76)-('1.설계입력'!$C$7+'1.설계입력'!$C$34)*COS(B76+F76)-'1.설계입력'!$C$8*COS('1.설계입력'!$C$15*B76)</f>
        <v>77.12842833933189</v>
      </c>
      <c r="H76" s="40">
        <f>-('1.설계입력'!$C$6+'1.설계입력'!$C$33)*SIN(B76)+('1.설계입력'!$C$7+'1.설계입력'!$C$34)*SIN(B76+F76)+'1.설계입력'!$C$8*SIN('1.설계입력'!$C$15*B76)</f>
        <v>-19.209176370121263</v>
      </c>
      <c r="I76" s="40">
        <f t="shared" si="4"/>
        <v>79.495699199606364</v>
      </c>
      <c r="J76" s="40">
        <f t="shared" si="5"/>
        <v>79.48450738926347</v>
      </c>
      <c r="K76" s="38">
        <f>IF(OR(A76&gt;180,'1.설계입력'!$C$39&gt;=1),"",'1.설계입력'!$C$34*(1-SIN(B76)/SQRT(1+'1.설계입력'!$C$39^2-2*'1.설계입력'!$C$39*COS(B76)))-'1.설계입력'!$C$33*(1-'1.설계입력'!$C$39*COS(B76)-SQRT(MAX(0,1-'1.설계입력'!$C$39^2))*SIN(B76))/SQRT(1+'1.설계입력'!$C$39^2-2*'1.설계입력'!$C$39*COS(B76)))</f>
        <v>3.4740152619248906E-3</v>
      </c>
    </row>
    <row r="77" spans="1:11" x14ac:dyDescent="0.3">
      <c r="A77" s="40">
        <f>A76+'1.설계입력'!$C$12</f>
        <v>14.199999999999982</v>
      </c>
      <c r="B77" s="40">
        <f t="shared" si="3"/>
        <v>0.24783675378319447</v>
      </c>
      <c r="C77" s="40">
        <f>ATAN2('1.설계입력'!$C$6/('1.설계입력'!$C$8*'1.설계입력'!$C$15)-COS((1-'1.설계입력'!$C$15)*B77),SIN((1-'1.설계입력'!$C$15)*B77))</f>
        <v>0.10168137574098526</v>
      </c>
      <c r="D77" s="40">
        <f>'1.설계입력'!$C$6*COS(B77)-'1.설계입력'!$C$7*COS(B77+C77)-'1.설계입력'!$C$8*COS('1.설계입력'!$C$15*B77)</f>
        <v>77.060788736250416</v>
      </c>
      <c r="E77" s="40">
        <f>-'1.설계입력'!$C$6*SIN(B77)+'1.설계입력'!$C$7*SIN(B77+C77)+'1.설계입력'!$C$8*SIN('1.설계입력'!$C$15*B77)</f>
        <v>-19.449632539494335</v>
      </c>
      <c r="F77" s="40">
        <f>ATAN2(('1.설계입력'!$C$6+'1.설계입력'!$C$33)/('1.설계입력'!$C$8*'1.설계입력'!$C$15)-COS((1-'1.설계입력'!$C$15)*B77),SIN((1-'1.설계입력'!$C$15)*B77))</f>
        <v>0.10168360754580952</v>
      </c>
      <c r="G77" s="40">
        <f>('1.설계입력'!$C$6+'1.설계입력'!$C$33)*COS(B77)-('1.설계입력'!$C$7+'1.설계입력'!$C$34)*COS(B77+F77)-'1.설계입력'!$C$8*COS('1.설계입력'!$C$15*B77)</f>
        <v>77.05017626247583</v>
      </c>
      <c r="H77" s="40">
        <f>-('1.설계입력'!$C$6+'1.설계입력'!$C$33)*SIN(B77)+('1.설계입력'!$C$7+'1.설계입력'!$C$34)*SIN(B77+F77)+'1.설계입력'!$C$8*SIN('1.설계입력'!$C$15*B77)</f>
        <v>-19.446089876751962</v>
      </c>
      <c r="I77" s="40">
        <f t="shared" si="4"/>
        <v>79.477376444963113</v>
      </c>
      <c r="J77" s="40">
        <f t="shared" si="5"/>
        <v>79.466219701035925</v>
      </c>
      <c r="K77" s="38">
        <f>IF(OR(A77&gt;180,'1.설계입력'!$C$39&gt;=1),"",'1.설계입력'!$C$34*(1-SIN(B77)/SQRT(1+'1.설계입력'!$C$39^2-2*'1.설계입력'!$C$39*COS(B77)))-'1.설계입력'!$C$33*(1-'1.설계입력'!$C$39*COS(B77)-SQRT(MAX(0,1-'1.설계입력'!$C$39^2))*SIN(B77))/SQRT(1+'1.설계입력'!$C$39^2-2*'1.설계입력'!$C$39*COS(B77)))</f>
        <v>3.4031774359201644E-3</v>
      </c>
    </row>
    <row r="78" spans="1:11" x14ac:dyDescent="0.3">
      <c r="A78" s="40">
        <f>A77+'1.설계입력'!$C$12</f>
        <v>14.399999999999981</v>
      </c>
      <c r="B78" s="40">
        <f t="shared" si="3"/>
        <v>0.25132741228718314</v>
      </c>
      <c r="C78" s="40">
        <f>ATAN2('1.설계입력'!$C$6/('1.설계입력'!$C$8*'1.설계입력'!$C$15)-COS((1-'1.설계입력'!$C$15)*B78),SIN((1-'1.설계입력'!$C$15)*B78))</f>
        <v>0.15894976206687517</v>
      </c>
      <c r="D78" s="40">
        <f>'1.설계입력'!$C$6*COS(B78)-'1.설계입력'!$C$7*COS(B78+C78)-'1.설계입력'!$C$8*COS('1.설계입력'!$C$15*B78)</f>
        <v>76.969303490886887</v>
      </c>
      <c r="E78" s="40">
        <f>-'1.설계입력'!$C$6*SIN(B78)+'1.설계입력'!$C$7*SIN(B78+C78)+'1.설계입력'!$C$8*SIN('1.설계입력'!$C$15*B78)</f>
        <v>-19.67879456579228</v>
      </c>
      <c r="F78" s="40">
        <f>ATAN2(('1.설계입력'!$C$6+'1.설계입력'!$C$33)/('1.설계입력'!$C$8*'1.설계입력'!$C$15)-COS((1-'1.설계입력'!$C$15)*B78),SIN((1-'1.설계입력'!$C$15)*B78))</f>
        <v>0.15895327835437872</v>
      </c>
      <c r="G78" s="40">
        <f>('1.설계입력'!$C$6+'1.설계입력'!$C$33)*COS(B78)-('1.설계입력'!$C$7+'1.설계입력'!$C$34)*COS(B78+F78)-'1.설계입력'!$C$8*COS('1.설계입력'!$C$15*B78)</f>
        <v>76.958878721088908</v>
      </c>
      <c r="H78" s="40">
        <f>-('1.설계입력'!$C$6+'1.설계입력'!$C$33)*SIN(B78)+('1.설계입력'!$C$7+'1.설계입력'!$C$34)*SIN(B78+F78)+'1.설계입력'!$C$8*SIN('1.설계입력'!$C$15*B78)</f>
        <v>-19.674779908674413</v>
      </c>
      <c r="I78" s="40">
        <f t="shared" si="4"/>
        <v>79.445129715010907</v>
      </c>
      <c r="J78" s="40">
        <f t="shared" si="5"/>
        <v>79.434035390769679</v>
      </c>
      <c r="K78" s="38">
        <f>IF(OR(A78&gt;180,'1.설계입력'!$C$39&gt;=1),"",'1.설계입력'!$C$34*(1-SIN(B78)/SQRT(1+'1.설계입력'!$C$39^2-2*'1.설계입력'!$C$39*COS(B78)))-'1.설계입력'!$C$33*(1-'1.설계입력'!$C$39*COS(B78)-SQRT(MAX(0,1-'1.설계입력'!$C$39^2))*SIN(B78))/SQRT(1+'1.설계입력'!$C$39^2-2*'1.설계입력'!$C$39*COS(B78)))</f>
        <v>3.3334745636261019E-3</v>
      </c>
    </row>
    <row r="79" spans="1:11" x14ac:dyDescent="0.3">
      <c r="A79" s="40">
        <f>A78+'1.설계입력'!$C$12</f>
        <v>14.59999999999998</v>
      </c>
      <c r="B79" s="40">
        <f t="shared" si="3"/>
        <v>0.25481807079117175</v>
      </c>
      <c r="C79" s="40">
        <f>ATAN2('1.설계입력'!$C$6/('1.설계입력'!$C$8*'1.설계입력'!$C$15)-COS((1-'1.설계입력'!$C$15)*B79),SIN((1-'1.설계입력'!$C$15)*B79))</f>
        <v>0.21594074619840919</v>
      </c>
      <c r="D79" s="40">
        <f>'1.설계입력'!$C$6*COS(B79)-'1.설계입력'!$C$7*COS(B79+C79)-'1.설계입력'!$C$8*COS('1.설계입력'!$C$15*B79)</f>
        <v>76.866264185082926</v>
      </c>
      <c r="E79" s="40">
        <f>-'1.설계입력'!$C$6*SIN(B79)+'1.설계입력'!$C$7*SIN(B79+C79)+'1.설계입력'!$C$8*SIN('1.설계입력'!$C$15*B79)</f>
        <v>-19.897424163256122</v>
      </c>
      <c r="F79" s="40">
        <f>ATAN2(('1.설계입력'!$C$6+'1.설계입력'!$C$33)/('1.설계입력'!$C$8*'1.설계입력'!$C$15)-COS((1-'1.설계입력'!$C$15)*B79),SIN((1-'1.설계입력'!$C$15)*B79))</f>
        <v>0.21594557825360192</v>
      </c>
      <c r="G79" s="40">
        <f>('1.설계입력'!$C$6+'1.설계입력'!$C$33)*COS(B79)-('1.설계입력'!$C$7+'1.설계입력'!$C$34)*COS(B79+F79)-'1.설계입력'!$C$8*COS('1.설계입력'!$C$15*B79)</f>
        <v>76.856054153580999</v>
      </c>
      <c r="H79" s="40">
        <f>-('1.설계입력'!$C$6+'1.설계입력'!$C$33)*SIN(B79)+('1.설계입력'!$C$7+'1.설계입력'!$C$34)*SIN(B79+F79)+'1.설계입력'!$C$8*SIN('1.설계입력'!$C$15*B79)</f>
        <v>-19.892951629797182</v>
      </c>
      <c r="I79" s="40">
        <f t="shared" si="4"/>
        <v>79.399811448790544</v>
      </c>
      <c r="J79" s="40">
        <f t="shared" si="5"/>
        <v>79.388806418812123</v>
      </c>
      <c r="K79" s="38">
        <f>IF(OR(A79&gt;180,'1.설계입력'!$C$39&gt;=1),"",'1.설계입력'!$C$34*(1-SIN(B79)/SQRT(1+'1.설계입력'!$C$39^2-2*'1.설계입력'!$C$39*COS(B79)))-'1.설계입력'!$C$33*(1-'1.설계입력'!$C$39*COS(B79)-SQRT(MAX(0,1-'1.설계입력'!$C$39^2))*SIN(B79))/SQRT(1+'1.설계입력'!$C$39^2-2*'1.설계입력'!$C$39*COS(B79)))</f>
        <v>3.264895215476963E-3</v>
      </c>
    </row>
    <row r="80" spans="1:11" x14ac:dyDescent="0.3">
      <c r="A80" s="40">
        <f>A79+'1.설계입력'!$C$12</f>
        <v>14.799999999999979</v>
      </c>
      <c r="B80" s="40">
        <f t="shared" si="3"/>
        <v>0.25830872929516041</v>
      </c>
      <c r="C80" s="40">
        <f>ATAN2('1.설계입력'!$C$6/('1.설계입력'!$C$8*'1.설계입력'!$C$15)-COS((1-'1.설계입력'!$C$15)*B80),SIN((1-'1.설계입력'!$C$15)*B80))</f>
        <v>0.27253884836866682</v>
      </c>
      <c r="D80" s="40">
        <f>'1.설계입력'!$C$6*COS(B80)-'1.설계입력'!$C$7*COS(B80+C80)-'1.설계입력'!$C$8*COS('1.설계입력'!$C$15*B80)</f>
        <v>76.753496951023479</v>
      </c>
      <c r="E80" s="40">
        <f>-'1.설계입력'!$C$6*SIN(B80)+'1.설계입력'!$C$7*SIN(B80+C80)+'1.설계입력'!$C$8*SIN('1.설계입력'!$C$15*B80)</f>
        <v>-20.10351045900909</v>
      </c>
      <c r="F80" s="40">
        <f>ATAN2(('1.설계입력'!$C$6+'1.설계입력'!$C$33)/('1.설계입력'!$C$8*'1.설계입력'!$C$15)-COS((1-'1.설계입력'!$C$15)*B80),SIN((1-'1.설계입력'!$C$15)*B80))</f>
        <v>0.27254504035348842</v>
      </c>
      <c r="G80" s="40">
        <f>('1.설계입력'!$C$6+'1.설계입력'!$C$33)*COS(B80)-('1.설계입력'!$C$7+'1.설계입력'!$C$34)*COS(B80+F80)-'1.설계입력'!$C$8*COS('1.설계입력'!$C$15*B80)</f>
        <v>76.743527099020838</v>
      </c>
      <c r="H80" s="40">
        <f>-('1.설계입력'!$C$6+'1.설계입력'!$C$33)*SIN(B80)+('1.설계입력'!$C$7+'1.설계입력'!$C$34)*SIN(B80+F80)+'1.설계입력'!$C$8*SIN('1.설계입력'!$C$15*B80)</f>
        <v>-20.098596432522989</v>
      </c>
      <c r="I80" s="40">
        <f t="shared" si="4"/>
        <v>79.342614193044199</v>
      </c>
      <c r="J80" s="40">
        <f t="shared" si="5"/>
        <v>79.331724613521246</v>
      </c>
      <c r="K80" s="38">
        <f>IF(OR(A80&gt;180,'1.설계입력'!$C$39&gt;=1),"",'1.설계입력'!$C$34*(1-SIN(B80)/SQRT(1+'1.설계입력'!$C$39^2-2*'1.설계입력'!$C$39*COS(B80)))-'1.설계입력'!$C$33*(1-'1.설계입력'!$C$39*COS(B80)-SQRT(MAX(0,1-'1.설계입력'!$C$39^2))*SIN(B80))/SQRT(1+'1.설계입력'!$C$39^2-2*'1.설계입력'!$C$39*COS(B80)))</f>
        <v>3.1974277425228879E-3</v>
      </c>
    </row>
    <row r="81" spans="1:11" x14ac:dyDescent="0.3">
      <c r="A81" s="40">
        <f>A80+'1.설계입력'!$C$12</f>
        <v>14.999999999999979</v>
      </c>
      <c r="B81" s="40">
        <f t="shared" si="3"/>
        <v>0.26179938779914907</v>
      </c>
      <c r="C81" s="40">
        <f>ATAN2('1.설계입력'!$C$6/('1.설계입력'!$C$8*'1.설계입력'!$C$15)-COS((1-'1.설계입력'!$C$15)*B81),SIN((1-'1.설계입력'!$C$15)*B81))</f>
        <v>0.32861302815352877</v>
      </c>
      <c r="D81" s="40">
        <f>'1.설계입력'!$C$6*COS(B81)-'1.설계입력'!$C$7*COS(B81+C81)-'1.설계입력'!$C$8*COS('1.설계입력'!$C$15*B81)</f>
        <v>76.633073130586411</v>
      </c>
      <c r="E81" s="40">
        <f>-'1.설계입력'!$C$6*SIN(B81)+'1.설계입력'!$C$7*SIN(B81+C81)+'1.설계입력'!$C$8*SIN('1.설계입력'!$C$15*B81)</f>
        <v>-20.295385128963346</v>
      </c>
      <c r="F81" s="40">
        <f>ATAN2(('1.설계입력'!$C$6+'1.설계입력'!$C$33)/('1.설계입력'!$C$8*'1.설계입력'!$C$15)-COS((1-'1.설계입력'!$C$15)*B81),SIN((1-'1.설계입력'!$C$15)*B81))</f>
        <v>0.32862063869189556</v>
      </c>
      <c r="G81" s="40">
        <f>('1.설계입력'!$C$6+'1.설계입력'!$C$33)*COS(B81)-('1.설계입력'!$C$7+'1.설계입력'!$C$34)*COS(B81+F81)-'1.설계입력'!$C$8*COS('1.설계입력'!$C$15*B81)</f>
        <v>76.623366981832191</v>
      </c>
      <c r="H81" s="40">
        <f>-('1.설계입력'!$C$6+'1.설계입력'!$C$33)*SIN(B81)+('1.설계입력'!$C$7+'1.설계입력'!$C$34)*SIN(B81+F81)+'1.설계입력'!$C$8*SIN('1.설계입력'!$C$15*B81)</f>
        <v>-20.290048150425033</v>
      </c>
      <c r="I81" s="40">
        <f t="shared" si="4"/>
        <v>79.27503109410145</v>
      </c>
      <c r="J81" s="40">
        <f t="shared" si="5"/>
        <v>79.264282129967583</v>
      </c>
      <c r="K81" s="38">
        <f>IF(OR(A81&gt;180,'1.설계입력'!$C$39&gt;=1),"",'1.설계입력'!$C$34*(1-SIN(B81)/SQRT(1+'1.설계입력'!$C$39^2-2*'1.설계입력'!$C$39*COS(B81)))-'1.설계입력'!$C$33*(1-'1.설계입력'!$C$39*COS(B81)-SQRT(MAX(0,1-'1.설계입력'!$C$39^2))*SIN(B81))/SQRT(1+'1.설계입력'!$C$39^2-2*'1.설계입력'!$C$39*COS(B81)))</f>
        <v>3.1310602995179683E-3</v>
      </c>
    </row>
    <row r="82" spans="1:11" x14ac:dyDescent="0.3">
      <c r="A82" s="40">
        <f>A81+'1.설계입력'!$C$12</f>
        <v>15.199999999999978</v>
      </c>
      <c r="B82" s="40">
        <f t="shared" si="3"/>
        <v>0.26529004630313768</v>
      </c>
      <c r="C82" s="40">
        <f>ATAN2('1.설계입력'!$C$6/('1.설계입력'!$C$8*'1.설계입력'!$C$15)-COS((1-'1.설계입력'!$C$15)*B82),SIN((1-'1.설계입력'!$C$15)*B82))</f>
        <v>0.38401030765200755</v>
      </c>
      <c r="D82" s="40">
        <f>'1.설계입력'!$C$6*COS(B82)-'1.설계입력'!$C$7*COS(B82+C82)-'1.설계입력'!$C$8*COS('1.설계입력'!$C$15*B82)</f>
        <v>76.507234357068</v>
      </c>
      <c r="E82" s="40">
        <f>-'1.설계입력'!$C$6*SIN(B82)+'1.설계입력'!$C$7*SIN(B82+C82)+'1.설계입력'!$C$8*SIN('1.설계입력'!$C$15*B82)</f>
        <v>-20.471771307282257</v>
      </c>
      <c r="F82" s="40">
        <f>ATAN2(('1.설계입력'!$C$6+'1.설계입력'!$C$33)/('1.설계입력'!$C$8*'1.설계입력'!$C$15)-COS((1-'1.설계입력'!$C$15)*B82),SIN((1-'1.설계입력'!$C$15)*B82))</f>
        <v>0.38401941203218698</v>
      </c>
      <c r="G82" s="40">
        <f>('1.설계입력'!$C$6+'1.설계입력'!$C$33)*COS(B82)-('1.설계입력'!$C$7+'1.설계입력'!$C$34)*COS(B82+F82)-'1.설계입력'!$C$8*COS('1.설계입력'!$C$15*B82)</f>
        <v>76.49781316289392</v>
      </c>
      <c r="H82" s="40">
        <f>-('1.설계입력'!$C$6+'1.설계입력'!$C$33)*SIN(B82)+('1.설계입력'!$C$7+'1.설계입력'!$C$34)*SIN(B82+F82)+'1.설계입력'!$C$8*SIN('1.설계입력'!$C$15*B82)</f>
        <v>-20.466031958204898</v>
      </c>
      <c r="I82" s="40">
        <f t="shared" si="4"/>
        <v>79.198802575701805</v>
      </c>
      <c r="J82" s="40">
        <f t="shared" si="5"/>
        <v>79.188218080843882</v>
      </c>
      <c r="K82" s="38">
        <f>IF(OR(A82&gt;180,'1.설계입력'!$C$39&gt;=1),"",'1.설계입력'!$C$34*(1-SIN(B82)/SQRT(1+'1.설계입력'!$C$39^2-2*'1.설계입력'!$C$39*COS(B82)))-'1.설계입력'!$C$33*(1-'1.설계입력'!$C$39*COS(B82)-SQRT(MAX(0,1-'1.설계입력'!$C$39^2))*SIN(B82))/SQRT(1+'1.설계입력'!$C$39^2-2*'1.설계입력'!$C$39*COS(B82)))</f>
        <v>3.0657808670117807E-3</v>
      </c>
    </row>
    <row r="83" spans="1:11" x14ac:dyDescent="0.3">
      <c r="A83" s="40">
        <f>A82+'1.설계입력'!$C$12</f>
        <v>15.399999999999977</v>
      </c>
      <c r="B83" s="40">
        <f t="shared" si="3"/>
        <v>0.26878070480712635</v>
      </c>
      <c r="C83" s="40">
        <f>ATAN2('1.설계입력'!$C$6/('1.설계입력'!$C$8*'1.설계입력'!$C$15)-COS((1-'1.설계입력'!$C$15)*B83),SIN((1-'1.설계입력'!$C$15)*B83))</f>
        <v>0.43854736601285232</v>
      </c>
      <c r="D83" s="40">
        <f>'1.설계입력'!$C$6*COS(B83)-'1.설계입력'!$C$7*COS(B83+C83)-'1.설계입력'!$C$8*COS('1.설계입력'!$C$15*B83)</f>
        <v>76.378302708426773</v>
      </c>
      <c r="E83" s="40">
        <f>-'1.설계입력'!$C$6*SIN(B83)+'1.설계입력'!$C$7*SIN(B83+C83)+'1.설계입력'!$C$8*SIN('1.설계입력'!$C$15*B83)</f>
        <v>-20.631824593648975</v>
      </c>
      <c r="F83" s="40">
        <f>ATAN2(('1.설계입력'!$C$6+'1.설계입력'!$C$33)/('1.설계입력'!$C$8*'1.설계입력'!$C$15)-COS((1-'1.설계입력'!$C$15)*B83),SIN((1-'1.설계입력'!$C$15)*B83))</f>
        <v>0.43855805917587171</v>
      </c>
      <c r="G83" s="40">
        <f>('1.설계입력'!$C$6+'1.설계입력'!$C$33)*COS(B83)-('1.설계입력'!$C$7+'1.설계입력'!$C$34)*COS(B83+F83)-'1.설계입력'!$C$8*COS('1.설계입력'!$C$15*B83)</f>
        <v>76.369185046373985</v>
      </c>
      <c r="H83" s="40">
        <f>-('1.설계입력'!$C$6+'1.설계입력'!$C$33)*SIN(B83)+('1.설계입력'!$C$7+'1.설계입력'!$C$34)*SIN(B83+F83)+'1.설계입력'!$C$8*SIN('1.설계입력'!$C$15*B83)</f>
        <v>-20.625705370694778</v>
      </c>
      <c r="I83" s="40">
        <f t="shared" si="4"/>
        <v>79.115847405454559</v>
      </c>
      <c r="J83" s="40">
        <f t="shared" si="5"/>
        <v>79.105449538486411</v>
      </c>
      <c r="K83" s="38">
        <f>IF(OR(A83&gt;180,'1.설계입력'!$C$39&gt;=1),"",'1.설계입력'!$C$34*(1-SIN(B83)/SQRT(1+'1.설계입력'!$C$39^2-2*'1.설계입력'!$C$39*COS(B83)))-'1.설계입력'!$C$33*(1-'1.설계입력'!$C$39*COS(B83)-SQRT(MAX(0,1-'1.설계입력'!$C$39^2))*SIN(B83))/SQRT(1+'1.설계입력'!$C$39^2-2*'1.설계입력'!$C$39*COS(B83)))</f>
        <v>3.0015772724570232E-3</v>
      </c>
    </row>
    <row r="84" spans="1:11" x14ac:dyDescent="0.3">
      <c r="A84" s="40">
        <f>A83+'1.설계입력'!$C$12</f>
        <v>15.599999999999977</v>
      </c>
      <c r="B84" s="40">
        <f t="shared" si="3"/>
        <v>0.27227136331111501</v>
      </c>
      <c r="C84" s="40">
        <f>ATAN2('1.설계입력'!$C$6/('1.설계입력'!$C$8*'1.설계입력'!$C$15)-COS((1-'1.설계입력'!$C$15)*B84),SIN((1-'1.설계입력'!$C$15)*B84))</f>
        <v>0.49199908581368701</v>
      </c>
      <c r="D84" s="40">
        <f>'1.설계입력'!$C$6*COS(B84)-'1.설계입력'!$C$7*COS(B84+C84)-'1.설계입력'!$C$8*COS('1.설계입력'!$C$15*B84)</f>
        <v>76.248573546752212</v>
      </c>
      <c r="E84" s="40">
        <f>-'1.설계입력'!$C$6*SIN(B84)+'1.설계입력'!$C$7*SIN(B84+C84)+'1.설계입력'!$C$8*SIN('1.설계입력'!$C$15*B84)</f>
        <v>-20.775166016782656</v>
      </c>
      <c r="F84" s="40">
        <f>ATAN2(('1.설계입력'!$C$6+'1.설계입력'!$C$33)/('1.설계입력'!$C$8*'1.설계입력'!$C$15)-COS((1-'1.설계입력'!$C$15)*B84),SIN((1-'1.설계입력'!$C$15)*B84))</f>
        <v>0.49201148636883224</v>
      </c>
      <c r="G84" s="40">
        <f>('1.설계입력'!$C$6+'1.설계입력'!$C$33)*COS(B84)-('1.설계입력'!$C$7+'1.설계입력'!$C$34)*COS(B84+F84)-'1.설계입력'!$C$8*COS('1.설계입력'!$C$15*B84)</f>
        <v>76.23977484979342</v>
      </c>
      <c r="H84" s="40">
        <f>-('1.설계입력'!$C$6+'1.설계입력'!$C$33)*SIN(B84)+('1.설계입력'!$C$7+'1.설계입력'!$C$34)*SIN(B84+F84)+'1.설계입력'!$C$8*SIN('1.설계입력'!$C$15*B84)</f>
        <v>-20.76869120053766</v>
      </c>
      <c r="I84" s="40">
        <f t="shared" si="4"/>
        <v>79.028175298050272</v>
      </c>
      <c r="J84" s="40">
        <f t="shared" si="5"/>
        <v>79.017984050028033</v>
      </c>
      <c r="K84" s="38">
        <f>IF(OR(A84&gt;180,'1.설계입력'!$C$39&gt;=1),"",'1.설계입력'!$C$34*(1-SIN(B84)/SQRT(1+'1.설계입력'!$C$39^2-2*'1.설계입력'!$C$39*COS(B84)))-'1.설계입력'!$C$33*(1-'1.설계입력'!$C$39*COS(B84)-SQRT(MAX(0,1-'1.설계입력'!$C$39^2))*SIN(B84))/SQRT(1+'1.설계입력'!$C$39^2-2*'1.설계입력'!$C$39*COS(B84)))</f>
        <v>2.9384372103484829E-3</v>
      </c>
    </row>
    <row r="85" spans="1:11" x14ac:dyDescent="0.3">
      <c r="A85" s="40">
        <f>A84+'1.설계입력'!$C$12</f>
        <v>15.799999999999976</v>
      </c>
      <c r="B85" s="40">
        <f t="shared" si="3"/>
        <v>0.27576202181510362</v>
      </c>
      <c r="C85" s="40">
        <f>ATAN2('1.설계입력'!$C$6/('1.설계입력'!$C$8*'1.설계입력'!$C$15)-COS((1-'1.설계입력'!$C$15)*B85),SIN((1-'1.설계입력'!$C$15)*B85))</f>
        <v>0.54408248315062069</v>
      </c>
      <c r="D85" s="40">
        <f>'1.설계입력'!$C$6*COS(B85)-'1.설계입력'!$C$7*COS(B85+C85)-'1.설계입력'!$C$8*COS('1.설계입력'!$C$15*B85)</f>
        <v>76.120186670006106</v>
      </c>
      <c r="E85" s="40">
        <f>-'1.설계입력'!$C$6*SIN(B85)+'1.설계입력'!$C$7*SIN(B85+C85)+'1.설계입력'!$C$8*SIN('1.설계입력'!$C$15*B85)</f>
        <v>-20.901907542342776</v>
      </c>
      <c r="F85" s="40">
        <f>ATAN2(('1.설계입력'!$C$6+'1.설계입력'!$C$33)/('1.설계입력'!$C$8*'1.설계입력'!$C$15)-COS((1-'1.설계입력'!$C$15)*B85),SIN((1-'1.설계입력'!$C$15)*B85))</f>
        <v>0.5440967387594865</v>
      </c>
      <c r="G85" s="40">
        <f>('1.설계입력'!$C$6+'1.설계입력'!$C$33)*COS(B85)-('1.설계입력'!$C$7+'1.설계입력'!$C$34)*COS(B85+F85)-'1.설계입력'!$C$8*COS('1.설계입력'!$C$15*B85)</f>
        <v>76.111718651986322</v>
      </c>
      <c r="H85" s="40">
        <f>-('1.설계입력'!$C$6+'1.설계입력'!$C$33)*SIN(B85)+('1.설계입력'!$C$7+'1.설계입력'!$C$34)*SIN(B85+F85)+'1.설계입력'!$C$8*SIN('1.설계입력'!$C$15*B85)</f>
        <v>-20.895103064803109</v>
      </c>
      <c r="I85" s="40">
        <f t="shared" si="4"/>
        <v>78.9377764925338</v>
      </c>
      <c r="J85" s="40">
        <f t="shared" si="5"/>
        <v>78.927809093169856</v>
      </c>
      <c r="K85" s="38">
        <f>IF(OR(A85&gt;180,'1.설계입력'!$C$39&gt;=1),"",'1.설계입력'!$C$34*(1-SIN(B85)/SQRT(1+'1.설계입력'!$C$39^2-2*'1.설계입력'!$C$39*COS(B85)))-'1.설계입력'!$C$33*(1-'1.설계입력'!$C$39*COS(B85)-SQRT(MAX(0,1-'1.설계입력'!$C$39^2))*SIN(B85))/SQRT(1+'1.설계입력'!$C$39^2-2*'1.설계입력'!$C$39*COS(B85)))</f>
        <v>2.8763482614102818E-3</v>
      </c>
    </row>
    <row r="86" spans="1:11" x14ac:dyDescent="0.3">
      <c r="A86" s="40">
        <f>A85+'1.설계입력'!$C$12</f>
        <v>15.999999999999975</v>
      </c>
      <c r="B86" s="40">
        <f t="shared" si="3"/>
        <v>0.27925268031909228</v>
      </c>
      <c r="C86" s="40">
        <f>ATAN2('1.설계입력'!$C$6/('1.설계입력'!$C$8*'1.설계입력'!$C$15)-COS((1-'1.설계입력'!$C$15)*B86),SIN((1-'1.설계입력'!$C$15)*B86))</f>
        <v>0.59443353331794624</v>
      </c>
      <c r="D86" s="40">
        <f>'1.설계입력'!$C$6*COS(B86)-'1.설계입력'!$C$7*COS(B86+C86)-'1.설계입력'!$C$8*COS('1.설계입력'!$C$15*B86)</f>
        <v>75.994968028969168</v>
      </c>
      <c r="E86" s="40">
        <f>-'1.설계입력'!$C$6*SIN(B86)+'1.설계입력'!$C$7*SIN(B86+C86)+'1.설계입력'!$C$8*SIN('1.설계입력'!$C$15*B86)</f>
        <v>-21.012671977935813</v>
      </c>
      <c r="F86" s="40">
        <f>ATAN2(('1.설계입력'!$C$6+'1.설계입력'!$C$33)/('1.설계입력'!$C$8*'1.설계입력'!$C$15)-COS((1-'1.설계입력'!$C$15)*B86),SIN((1-'1.설계입력'!$C$15)*B86))</f>
        <v>0.59444982792727985</v>
      </c>
      <c r="G86" s="40">
        <f>('1.설계입력'!$C$6+'1.설계입력'!$C$33)*COS(B86)-('1.설계입력'!$C$7+'1.설계입력'!$C$34)*COS(B86+F86)-'1.설계입력'!$C$8*COS('1.설계입력'!$C$15*B86)</f>
        <v>75.986837953589145</v>
      </c>
      <c r="H86" s="40">
        <f>-('1.설계입력'!$C$6+'1.설계입력'!$C$33)*SIN(B86)+('1.설계입력'!$C$7+'1.설계입력'!$C$34)*SIN(B86+F86)+'1.설계입력'!$C$8*SIN('1.설계입력'!$C$15*B86)</f>
        <v>-21.005565297214389</v>
      </c>
      <c r="I86" s="40">
        <f t="shared" si="4"/>
        <v>78.846480894053698</v>
      </c>
      <c r="J86" s="40">
        <f t="shared" si="5"/>
        <v>78.836751046961297</v>
      </c>
      <c r="K86" s="38">
        <f>IF(OR(A86&gt;180,'1.설계입력'!$C$39&gt;=1),"",'1.설계입력'!$C$34*(1-SIN(B86)/SQRT(1+'1.설계입력'!$C$39^2-2*'1.설계입력'!$C$39*COS(B86)))-'1.설계입력'!$C$33*(1-'1.설계입력'!$C$39*COS(B86)-SQRT(MAX(0,1-'1.설계입력'!$C$39^2))*SIN(B86))/SQRT(1+'1.설계입력'!$C$39^2-2*'1.설계입력'!$C$39*COS(B86)))</f>
        <v>2.8152979108505079E-3</v>
      </c>
    </row>
    <row r="87" spans="1:11" x14ac:dyDescent="0.3">
      <c r="A87" s="40">
        <f>A86+'1.설계입력'!$C$12</f>
        <v>16.199999999999974</v>
      </c>
      <c r="B87" s="40">
        <f t="shared" si="3"/>
        <v>0.28274333882308095</v>
      </c>
      <c r="C87" s="40">
        <f>ATAN2('1.설계입력'!$C$6/('1.설계입력'!$C$8*'1.설계입력'!$C$15)-COS((1-'1.설계입력'!$C$15)*B87),SIN((1-'1.설계입력'!$C$15)*B87))</f>
        <v>0.64257282305988483</v>
      </c>
      <c r="D87" s="40">
        <f>'1.설계입력'!$C$6*COS(B87)-'1.설계입력'!$C$7*COS(B87+C87)-'1.설계입력'!$C$8*COS('1.설계입력'!$C$15*B87)</f>
        <v>75.874228458495523</v>
      </c>
      <c r="E87" s="40">
        <f>-'1.설계입력'!$C$6*SIN(B87)+'1.설계입력'!$C$7*SIN(B87+C87)+'1.설계입력'!$C$8*SIN('1.설계입력'!$C$15*B87)</f>
        <v>-21.108611467902684</v>
      </c>
      <c r="F87" s="40">
        <f>ATAN2(('1.설계입력'!$C$6+'1.설계입력'!$C$33)/('1.설계입력'!$C$8*'1.설계입력'!$C$15)-COS((1-'1.설계입력'!$C$15)*B87),SIN((1-'1.설계입력'!$C$15)*B87))</f>
        <v>0.64259138664954074</v>
      </c>
      <c r="G87" s="40">
        <f>('1.설계입력'!$C$6+'1.설계입력'!$C$33)*COS(B87)-('1.설계입력'!$C$7+'1.설계입력'!$C$34)*COS(B87+F87)-'1.설계입력'!$C$8*COS('1.설계입력'!$C$15*B87)</f>
        <v>75.866438169039355</v>
      </c>
      <c r="H87" s="40">
        <f>-('1.설계입력'!$C$6+'1.설계입력'!$C$33)*SIN(B87)+('1.설계입력'!$C$7+'1.설계입력'!$C$34)*SIN(B87+F87)+'1.설계입력'!$C$8*SIN('1.설계입력'!$C$15*B87)</f>
        <v>-21.101231466374454</v>
      </c>
      <c r="I87" s="40">
        <f t="shared" si="4"/>
        <v>78.755774532886434</v>
      </c>
      <c r="J87" s="40">
        <f t="shared" si="5"/>
        <v>78.746291403812677</v>
      </c>
      <c r="K87" s="38">
        <f>IF(OR(A87&gt;180,'1.설계입력'!$C$39&gt;=1),"",'1.설계입력'!$C$34*(1-SIN(B87)/SQRT(1+'1.설계입력'!$C$39^2-2*'1.설계입력'!$C$39*COS(B87)))-'1.설계입력'!$C$33*(1-'1.설계입력'!$C$39*COS(B87)-SQRT(MAX(0,1-'1.설계입력'!$C$39^2))*SIN(B87))/SQRT(1+'1.설계입력'!$C$39^2-2*'1.설계입력'!$C$39*COS(B87)))</f>
        <v>2.7552735657036635E-3</v>
      </c>
    </row>
    <row r="88" spans="1:11" x14ac:dyDescent="0.3">
      <c r="A88" s="40">
        <f>A87+'1.설계입력'!$C$12</f>
        <v>16.399999999999974</v>
      </c>
      <c r="B88" s="40">
        <f t="shared" si="3"/>
        <v>0.28623399732706961</v>
      </c>
      <c r="C88" s="40">
        <f>ATAN2('1.설계입력'!$C$6/('1.설계입력'!$C$8*'1.설계입력'!$C$15)-COS((1-'1.설계입력'!$C$15)*B88),SIN((1-'1.설계입력'!$C$15)*B88))</f>
        <v>0.68785316398704288</v>
      </c>
      <c r="D88" s="40">
        <f>'1.설계입력'!$C$6*COS(B88)-'1.설계입력'!$C$7*COS(B88+C88)-'1.설계입력'!$C$8*COS('1.설계입력'!$C$15*B88)</f>
        <v>75.758495680321843</v>
      </c>
      <c r="E88" s="40">
        <f>-'1.설계입력'!$C$6*SIN(B88)+'1.설계입력'!$C$7*SIN(B88+C88)+'1.설계입력'!$C$8*SIN('1.설계입력'!$C$15*B88)</f>
        <v>-21.19143338065086</v>
      </c>
      <c r="F88" s="40">
        <f>ATAN2(('1.설계입력'!$C$6+'1.설계입력'!$C$33)/('1.설계입력'!$C$8*'1.설계입력'!$C$15)-COS((1-'1.설계입력'!$C$15)*B88),SIN((1-'1.설계입력'!$C$15)*B88))</f>
        <v>0.68787428572736353</v>
      </c>
      <c r="G88" s="40">
        <f>('1.설계입력'!$C$6+'1.설계입력'!$C$33)*COS(B88)-('1.설계입력'!$C$7+'1.설계입력'!$C$34)*COS(B88+F88)-'1.설계입력'!$C$8*COS('1.설계입력'!$C$15*B88)</f>
        <v>75.751040256371695</v>
      </c>
      <c r="H88" s="40">
        <f>-('1.설계입력'!$C$6+'1.설계입력'!$C$33)*SIN(B88)+('1.설계입력'!$C$7+'1.설계입력'!$C$34)*SIN(B88+F88)+'1.설계입력'!$C$8*SIN('1.설계입력'!$C$15*B88)</f>
        <v>-21.183810318309678</v>
      </c>
      <c r="I88" s="40">
        <f t="shared" si="4"/>
        <v>78.666552717606137</v>
      </c>
      <c r="J88" s="40">
        <f t="shared" si="5"/>
        <v>78.657319554664255</v>
      </c>
      <c r="K88" s="38">
        <f>IF(OR(A88&gt;180,'1.설계입력'!$C$39&gt;=1),"",'1.설계입력'!$C$34*(1-SIN(B88)/SQRT(1+'1.설계입력'!$C$39^2-2*'1.설계입력'!$C$39*COS(B88)))-'1.설계입력'!$C$33*(1-'1.설계입력'!$C$39*COS(B88)-SQRT(MAX(0,1-'1.설계입력'!$C$39^2))*SIN(B88))/SQRT(1+'1.설계입력'!$C$39^2-2*'1.설계입력'!$C$39*COS(B88)))</f>
        <v>2.6962625712828227E-3</v>
      </c>
    </row>
    <row r="89" spans="1:11" x14ac:dyDescent="0.3">
      <c r="A89" s="40">
        <f>A88+'1.설계입력'!$C$12</f>
        <v>16.599999999999973</v>
      </c>
      <c r="B89" s="40">
        <f t="shared" si="3"/>
        <v>0.28972465583105822</v>
      </c>
      <c r="C89" s="40">
        <f>ATAN2('1.설계입력'!$C$6/('1.설계입력'!$C$8*'1.설계입력'!$C$15)-COS((1-'1.설계입력'!$C$15)*B89),SIN((1-'1.설계입력'!$C$15)*B89))</f>
        <v>0.72937719305330539</v>
      </c>
      <c r="D89" s="40">
        <f>'1.설계입력'!$C$6*COS(B89)-'1.설계입력'!$C$7*COS(B89+C89)-'1.설계입력'!$C$8*COS('1.설계입력'!$C$15*B89)</f>
        <v>75.647137503630432</v>
      </c>
      <c r="E89" s="40">
        <f>-'1.설계입력'!$C$6*SIN(B89)+'1.설계입력'!$C$7*SIN(B89+C89)+'1.설계입력'!$C$8*SIN('1.설계입력'!$C$15*B89)</f>
        <v>-21.263452019591252</v>
      </c>
      <c r="F89" s="40">
        <f>ATAN2(('1.설계입력'!$C$6+'1.설계입력'!$C$33)/('1.설계입력'!$C$8*'1.설계입력'!$C$15)-COS((1-'1.설계입력'!$C$15)*B89),SIN((1-'1.설계입력'!$C$15)*B89))</f>
        <v>0.72940123897248021</v>
      </c>
      <c r="G89" s="40">
        <f>('1.설계입력'!$C$6+'1.설계입력'!$C$33)*COS(B89)-('1.설계입력'!$C$7+'1.설계입력'!$C$34)*COS(B89+F89)-'1.설계입력'!$C$8*COS('1.설계입력'!$C$15*B89)</f>
        <v>75.64000332216844</v>
      </c>
      <c r="H89" s="40">
        <f>-('1.설계입력'!$C$6+'1.설계입력'!$C$33)*SIN(B89)+('1.설계입력'!$C$7+'1.설계입력'!$C$34)*SIN(B89+F89)+'1.설계입력'!$C$8*SIN('1.설계입력'!$C$15*B89)</f>
        <v>-21.255617607005956</v>
      </c>
      <c r="I89" s="40">
        <f t="shared" si="4"/>
        <v>78.578774515021735</v>
      </c>
      <c r="J89" s="40">
        <f t="shared" si="5"/>
        <v>78.56978670222361</v>
      </c>
      <c r="K89" s="38">
        <f>IF(OR(A89&gt;180,'1.설계입력'!$C$39&gt;=1),"",'1.설계입력'!$C$34*(1-SIN(B89)/SQRT(1+'1.설계입력'!$C$39^2-2*'1.설계입력'!$C$39*COS(B89)))-'1.설계입력'!$C$33*(1-'1.설계입력'!$C$39*COS(B89)-SQRT(MAX(0,1-'1.설계입력'!$C$39^2))*SIN(B89))/SQRT(1+'1.설계입력'!$C$39^2-2*'1.설계입력'!$C$39*COS(B89)))</f>
        <v>2.6382522267645145E-3</v>
      </c>
    </row>
    <row r="90" spans="1:11" x14ac:dyDescent="0.3">
      <c r="A90" s="40">
        <f>A89+'1.설계입력'!$C$12</f>
        <v>16.799999999999972</v>
      </c>
      <c r="B90" s="40">
        <f t="shared" si="3"/>
        <v>0.29321531433504688</v>
      </c>
      <c r="C90" s="40">
        <f>ATAN2('1.설계입력'!$C$6/('1.설계입력'!$C$8*'1.설계입력'!$C$15)-COS((1-'1.설계입력'!$C$15)*B90),SIN((1-'1.설계입력'!$C$15)*B90))</f>
        <v>0.7658633236695056</v>
      </c>
      <c r="D90" s="40">
        <f>'1.설계입력'!$C$6*COS(B90)-'1.설계입력'!$C$7*COS(B90+C90)-'1.설계입력'!$C$8*COS('1.설계입력'!$C$15*B90)</f>
        <v>75.537800370366924</v>
      </c>
      <c r="E90" s="40">
        <f>-'1.설계입력'!$C$6*SIN(B90)+'1.설계입력'!$C$7*SIN(B90+C90)+'1.설계입력'!$C$8*SIN('1.설계입력'!$C$15*B90)</f>
        <v>-21.327705851754192</v>
      </c>
      <c r="F90" s="40">
        <f>ATAN2(('1.설계입력'!$C$6+'1.설계입력'!$C$33)/('1.설계입력'!$C$8*'1.설계입력'!$C$15)-COS((1-'1.설계입력'!$C$15)*B90),SIN((1-'1.설계입력'!$C$15)*B90))</f>
        <v>0.76589075984991939</v>
      </c>
      <c r="G90" s="40">
        <f>('1.설계입력'!$C$6+'1.설계입력'!$C$33)*COS(B90)-('1.설계입력'!$C$7+'1.설계입력'!$C$34)*COS(B90+F90)-'1.설계입력'!$C$8*COS('1.설계입력'!$C$15*B90)</f>
        <v>75.530962188767759</v>
      </c>
      <c r="H90" s="40">
        <f>-('1.설계입력'!$C$6+'1.설계입력'!$C$33)*SIN(B90)+('1.설계입력'!$C$7+'1.설계입력'!$C$34)*SIN(B90+F90)+'1.설계입력'!$C$8*SIN('1.설계입력'!$C$15*B90)</f>
        <v>-21.319693578420992</v>
      </c>
      <c r="I90" s="40">
        <f t="shared" si="4"/>
        <v>78.490956942136691</v>
      </c>
      <c r="J90" s="40">
        <f t="shared" si="5"/>
        <v>78.482199150118305</v>
      </c>
      <c r="K90" s="38">
        <f>IF(OR(A90&gt;180,'1.설계입력'!$C$39&gt;=1),"",'1.설계입력'!$C$34*(1-SIN(B90)/SQRT(1+'1.설계입력'!$C$39^2-2*'1.설계입력'!$C$39*COS(B90)))-'1.설계입력'!$C$33*(1-'1.설계입력'!$C$39*COS(B90)-SQRT(MAX(0,1-'1.설계입력'!$C$39^2))*SIN(B90))/SQRT(1+'1.설계입력'!$C$39^2-2*'1.설계입력'!$C$39*COS(B90)))</f>
        <v>2.581229799930224E-3</v>
      </c>
    </row>
    <row r="91" spans="1:11" x14ac:dyDescent="0.3">
      <c r="A91" s="40">
        <f>A90+'1.설계입력'!$C$12</f>
        <v>16.999999999999972</v>
      </c>
      <c r="B91" s="40">
        <f t="shared" si="3"/>
        <v>0.29670597283903555</v>
      </c>
      <c r="C91" s="40">
        <f>ATAN2('1.설계입력'!$C$6/('1.설계입력'!$C$8*'1.설계입력'!$C$15)-COS((1-'1.설계입력'!$C$15)*B91),SIN((1-'1.설계입력'!$C$15)*B91))</f>
        <v>0.79541947802409352</v>
      </c>
      <c r="D91" s="40">
        <f>'1.설계입력'!$C$6*COS(B91)-'1.설계입력'!$C$7*COS(B91+C91)-'1.설계입력'!$C$8*COS('1.설계입력'!$C$15*B91)</f>
        <v>75.425523957468144</v>
      </c>
      <c r="E91" s="40">
        <f>-'1.설계입력'!$C$6*SIN(B91)+'1.설계입력'!$C$7*SIN(B91+C91)+'1.설계입력'!$C$8*SIN('1.설계입력'!$C$15*B91)</f>
        <v>-21.388229598012401</v>
      </c>
      <c r="F91" s="40">
        <f>ATAN2(('1.설계입력'!$C$6+'1.설계입력'!$C$33)/('1.설계입력'!$C$8*'1.설계입력'!$C$15)-COS((1-'1.설계입력'!$C$15)*B91),SIN((1-'1.설계입력'!$C$15)*B91))</f>
        <v>0.79545089903627186</v>
      </c>
      <c r="G91" s="40">
        <f>('1.설계입력'!$C$6+'1.설계입력'!$C$33)*COS(B91)-('1.설계입력'!$C$7+'1.설계입력'!$C$34)*COS(B91+F91)-'1.설계입력'!$C$8*COS('1.설계입력'!$C$15*B91)</f>
        <v>75.418940338978061</v>
      </c>
      <c r="H91" s="40">
        <f>-('1.설계입력'!$C$6+'1.설계입력'!$C$33)*SIN(B91)+('1.설계입력'!$C$7+'1.설계입력'!$C$34)*SIN(B91+F91)+'1.설계입력'!$C$8*SIN('1.설계입력'!$C$15*B91)</f>
        <v>-21.380075616206</v>
      </c>
      <c r="I91" s="40">
        <f t="shared" si="4"/>
        <v>78.399400696662823</v>
      </c>
      <c r="J91" s="40">
        <f t="shared" si="5"/>
        <v>78.390842546875447</v>
      </c>
      <c r="K91" s="38">
        <f>IF(OR(A91&gt;180,'1.설계입력'!$C$39&gt;=1),"",'1.설계입력'!$C$34*(1-SIN(B91)/SQRT(1+'1.설계입력'!$C$39^2-2*'1.설계입력'!$C$39*COS(B91)))-'1.설계입력'!$C$33*(1-'1.설계입력'!$C$39*COS(B91)-SQRT(MAX(0,1-'1.설계입력'!$C$39^2))*SIN(B91))/SQRT(1+'1.설계입력'!$C$39^2-2*'1.설계입력'!$C$39*COS(B91)))</f>
        <v>2.5251825410891882E-3</v>
      </c>
    </row>
    <row r="92" spans="1:11" x14ac:dyDescent="0.3">
      <c r="A92" s="40">
        <f>A91+'1.설계입력'!$C$12</f>
        <v>17.199999999999971</v>
      </c>
      <c r="B92" s="40">
        <f t="shared" si="3"/>
        <v>0.30019663134302416</v>
      </c>
      <c r="C92" s="40">
        <f>ATAN2('1.설계입력'!$C$6/('1.설계입력'!$C$8*'1.설계입력'!$C$15)-COS((1-'1.설계입력'!$C$15)*B92),SIN((1-'1.설계입력'!$C$15)*B92))</f>
        <v>0.81514572447458689</v>
      </c>
      <c r="D92" s="40">
        <f>'1.설계입력'!$C$6*COS(B92)-'1.설계입력'!$C$7*COS(B92+C92)-'1.설계입력'!$C$8*COS('1.설계입력'!$C$15*B92)</f>
        <v>75.301273338020167</v>
      </c>
      <c r="E92" s="40">
        <f>-'1.설계입력'!$C$6*SIN(B92)+'1.설계입력'!$C$7*SIN(B92+C92)+'1.설계입력'!$C$8*SIN('1.설계입력'!$C$15*B92)</f>
        <v>-21.450693270008873</v>
      </c>
      <c r="F92" s="40">
        <f>ATAN2(('1.설계입력'!$C$6+'1.설계입력'!$C$33)/('1.설계입력'!$C$8*'1.설계입력'!$C$15)-COS((1-'1.설계입력'!$C$15)*B92),SIN((1-'1.설계입력'!$C$15)*B92))</f>
        <v>0.81518188100727618</v>
      </c>
      <c r="G92" s="40">
        <f>('1.설계입력'!$C$6+'1.설계입력'!$C$33)*COS(B92)-('1.설계입력'!$C$7+'1.설계입력'!$C$34)*COS(B92+F92)-'1.설계입력'!$C$8*COS('1.설계입력'!$C$15*B92)</f>
        <v>75.294879174984658</v>
      </c>
      <c r="H92" s="40">
        <f>-('1.설계입력'!$C$6+'1.설계입력'!$C$33)*SIN(B92)+('1.설계입력'!$C$7+'1.설계입력'!$C$34)*SIN(B92+F92)+'1.설계입력'!$C$8*SIN('1.설계입력'!$C$15*B92)</f>
        <v>-21.442438534275794</v>
      </c>
      <c r="I92" s="40">
        <f t="shared" si="4"/>
        <v>78.296960401354227</v>
      </c>
      <c r="J92" s="40">
        <f t="shared" si="5"/>
        <v>78.288549611496407</v>
      </c>
      <c r="K92" s="38">
        <f>IF(OR(A92&gt;180,'1.설계입력'!$C$39&gt;=1),"",'1.설계입력'!$C$34*(1-SIN(B92)/SQRT(1+'1.설계입력'!$C$39^2-2*'1.설계입력'!$C$39*COS(B92)))-'1.설계입력'!$C$33*(1-'1.설계입력'!$C$39*COS(B92)-SQRT(MAX(0,1-'1.설계입력'!$C$39^2))*SIN(B92))/SQRT(1+'1.설계입력'!$C$39^2-2*'1.설계입력'!$C$39*COS(B92)))</f>
        <v>2.4700976962077673E-3</v>
      </c>
    </row>
    <row r="93" spans="1:11" x14ac:dyDescent="0.3">
      <c r="A93" s="40">
        <f>A92+'1.설계입력'!$C$12</f>
        <v>17.39999999999997</v>
      </c>
      <c r="B93" s="40">
        <f t="shared" si="3"/>
        <v>0.30368728984701282</v>
      </c>
      <c r="C93" s="40">
        <f>ATAN2('1.설계입력'!$C$6/('1.설계입력'!$C$8*'1.설계입력'!$C$15)-COS((1-'1.설계입력'!$C$15)*B93),SIN((1-'1.설계입력'!$C$15)*B93))</f>
        <v>0.82040803908478288</v>
      </c>
      <c r="D93" s="40">
        <f>'1.설계입력'!$C$6*COS(B93)-'1.설계입력'!$C$7*COS(B93+C93)-'1.설계입력'!$C$8*COS('1.설계입력'!$C$15*B93)</f>
        <v>75.149418369344204</v>
      </c>
      <c r="E93" s="40">
        <f>-'1.설계입력'!$C$6*SIN(B93)+'1.설계입력'!$C$7*SIN(B93+C93)+'1.설계입력'!$C$8*SIN('1.설계입력'!$C$15*B93)</f>
        <v>-21.523941321568895</v>
      </c>
      <c r="F93" s="40">
        <f>ATAN2(('1.설계입력'!$C$6+'1.설계입력'!$C$33)/('1.설계입력'!$C$8*'1.설계입력'!$C$15)-COS((1-'1.설계입력'!$C$15)*B93),SIN((1-'1.설계입력'!$C$15)*B93))</f>
        <v>0.82044983748247724</v>
      </c>
      <c r="G93" s="40">
        <f>('1.설계입력'!$C$6+'1.설계입력'!$C$33)*COS(B93)-('1.설계입력'!$C$7+'1.설계입력'!$C$34)*COS(B93+F93)-'1.설계입력'!$C$8*COS('1.설계입력'!$C$15*B93)</f>
        <v>75.143112179239026</v>
      </c>
      <c r="H93" s="40">
        <f>-('1.설계입력'!$C$6+'1.설계입력'!$C$33)*SIN(B93)+('1.설계입력'!$C$7+'1.설계입력'!$C$34)*SIN(B93+F93)+'1.설계입력'!$C$8*SIN('1.설계입력'!$C$15*B93)</f>
        <v>-21.515636720687667</v>
      </c>
      <c r="I93" s="40">
        <f t="shared" si="4"/>
        <v>78.171063260423097</v>
      </c>
      <c r="J93" s="40">
        <f t="shared" si="5"/>
        <v>78.162714458226844</v>
      </c>
      <c r="K93" s="38">
        <f>IF(OR(A93&gt;180,'1.설계입력'!$C$39&gt;=1),"",'1.설계입력'!$C$34*(1-SIN(B93)/SQRT(1+'1.설계입력'!$C$39^2-2*'1.설계입력'!$C$39*COS(B93)))-'1.설계입력'!$C$33*(1-'1.설계입력'!$C$39*COS(B93)-SQRT(MAX(0,1-'1.설계입력'!$C$39^2))*SIN(B93))/SQRT(1+'1.설계입력'!$C$39^2-2*'1.설계입력'!$C$39*COS(B93)))</f>
        <v>2.41596251927106E-3</v>
      </c>
    </row>
    <row r="94" spans="1:11" x14ac:dyDescent="0.3">
      <c r="A94" s="40">
        <f>A93+'1.설계입력'!$C$12</f>
        <v>17.599999999999969</v>
      </c>
      <c r="B94" s="40">
        <f t="shared" si="3"/>
        <v>0.30717794835100148</v>
      </c>
      <c r="C94" s="40">
        <f>ATAN2('1.설계입력'!$C$6/('1.설계입력'!$C$8*'1.설계입력'!$C$15)-COS((1-'1.설계입력'!$C$15)*B94),SIN((1-'1.설계입력'!$C$15)*B94))</f>
        <v>0.8034676298018667</v>
      </c>
      <c r="D94" s="40">
        <f>'1.설계입력'!$C$6*COS(B94)-'1.설계입력'!$C$7*COS(B94+C94)-'1.설계입력'!$C$8*COS('1.설계입력'!$C$15*B94)</f>
        <v>74.943409492642985</v>
      </c>
      <c r="E94" s="40">
        <f>-'1.설계입력'!$C$6*SIN(B94)+'1.설계입력'!$C$7*SIN(B94+C94)+'1.설계입력'!$C$8*SIN('1.설계입력'!$C$15*B94)</f>
        <v>-21.623844824181706</v>
      </c>
      <c r="F94" s="40">
        <f>ATAN2(('1.설계입력'!$C$6+'1.설계입력'!$C$33)/('1.설계입력'!$C$8*'1.설계입력'!$C$15)-COS((1-'1.설계입력'!$C$15)*B94),SIN((1-'1.설계입력'!$C$15)*B94))</f>
        <v>0.80351600055853478</v>
      </c>
      <c r="G94" s="40">
        <f>('1.설계입력'!$C$6+'1.설계입력'!$C$33)*COS(B94)-('1.설계입력'!$C$7+'1.설계입력'!$C$34)*COS(B94+F94)-'1.설계입력'!$C$8*COS('1.설계입력'!$C$15*B94)</f>
        <v>74.93703123894052</v>
      </c>
      <c r="H94" s="40">
        <f>-('1.설계입력'!$C$6+'1.설계입력'!$C$33)*SIN(B94)+('1.설계입력'!$C$7+'1.설계입력'!$C$34)*SIN(B94+F94)+'1.설계입력'!$C$8*SIN('1.설계입력'!$C$15*B94)</f>
        <v>-21.615563902112136</v>
      </c>
      <c r="I94" s="40">
        <f t="shared" si="4"/>
        <v>78.000674941709704</v>
      </c>
      <c r="J94" s="40">
        <f t="shared" si="5"/>
        <v>77.992251241467841</v>
      </c>
      <c r="K94" s="38">
        <f>IF(OR(A94&gt;180,'1.설계입력'!$C$39&gt;=1),"",'1.설계입력'!$C$34*(1-SIN(B94)/SQRT(1+'1.설계입력'!$C$39^2-2*'1.설계입력'!$C$39*COS(B94)))-'1.설계입력'!$C$33*(1-'1.설계입력'!$C$39*COS(B94)-SQRT(MAX(0,1-'1.설계입력'!$C$39^2))*SIN(B94))/SQRT(1+'1.설계입력'!$C$39^2-2*'1.설계입력'!$C$39*COS(B94)))</f>
        <v>2.3627642839026937E-3</v>
      </c>
    </row>
    <row r="95" spans="1:11" x14ac:dyDescent="0.3">
      <c r="A95" s="40">
        <f>A94+'1.설계입력'!$C$12</f>
        <v>17.799999999999969</v>
      </c>
      <c r="B95" s="40">
        <f t="shared" si="3"/>
        <v>0.31066860685499009</v>
      </c>
      <c r="C95" s="40">
        <f>ATAN2('1.설계입력'!$C$6/('1.설계입력'!$C$8*'1.설계입력'!$C$15)-COS((1-'1.설계입력'!$C$15)*B95),SIN((1-'1.설계입력'!$C$15)*B95))</f>
        <v>0.7508981922032657</v>
      </c>
      <c r="D95" s="40">
        <f>'1.설계입력'!$C$6*COS(B95)-'1.설계입력'!$C$7*COS(B95+C95)-'1.설계입력'!$C$8*COS('1.설계입력'!$C$15*B95)</f>
        <v>74.63918939528071</v>
      </c>
      <c r="E95" s="40">
        <f>-'1.설계입력'!$C$6*SIN(B95)+'1.설계입력'!$C$7*SIN(B95+C95)+'1.설계입력'!$C$8*SIN('1.설계입력'!$C$15*B95)</f>
        <v>-21.783293156037541</v>
      </c>
      <c r="F95" s="40">
        <f>ATAN2(('1.설계입력'!$C$6+'1.설계입력'!$C$33)/('1.설계입력'!$C$8*'1.설계입력'!$C$15)-COS((1-'1.설계입력'!$C$15)*B95),SIN((1-'1.설계입력'!$C$15)*B95))</f>
        <v>0.7509534586426917</v>
      </c>
      <c r="G95" s="40">
        <f>('1.설계입력'!$C$6+'1.설계입력'!$C$33)*COS(B95)-('1.설계입력'!$C$7+'1.설계입력'!$C$34)*COS(B95+F95)-'1.설계입력'!$C$8*COS('1.설계입력'!$C$15*B95)</f>
        <v>74.632482417143464</v>
      </c>
      <c r="H95" s="40">
        <f>-('1.설계입력'!$C$6+'1.설계입력'!$C$33)*SIN(B95)+('1.설계입력'!$C$7+'1.설계입력'!$C$34)*SIN(B95+F95)+'1.설계입력'!$C$8*SIN('1.설계입력'!$C$15*B95)</f>
        <v>-21.775165242068212</v>
      </c>
      <c r="I95" s="40">
        <f t="shared" si="4"/>
        <v>77.752944987996798</v>
      </c>
      <c r="J95" s="40">
        <f t="shared" si="5"/>
        <v>77.7442297091212</v>
      </c>
      <c r="K95" s="38">
        <f>IF(OR(A95&gt;180,'1.설계입력'!$C$39&gt;=1),"",'1.설계입력'!$C$34*(1-SIN(B95)/SQRT(1+'1.설계입력'!$C$39^2-2*'1.설계입력'!$C$39*COS(B95)))-'1.설계입력'!$C$33*(1-'1.설계입력'!$C$39*COS(B95)-SQRT(MAX(0,1-'1.설계입력'!$C$39^2))*SIN(B95))/SQRT(1+'1.설계입력'!$C$39^2-2*'1.설계입력'!$C$39*COS(B95)))</f>
        <v>2.3104902942690051E-3</v>
      </c>
    </row>
    <row r="96" spans="1:11" x14ac:dyDescent="0.3">
      <c r="A96" s="40">
        <f>A95+'1.설계입력'!$C$12</f>
        <v>17.999999999999968</v>
      </c>
      <c r="B96" s="40">
        <f t="shared" si="3"/>
        <v>0.31415926535897876</v>
      </c>
      <c r="C96" s="40">
        <f>ATAN2('1.설계입력'!$C$6/('1.설계입력'!$C$8*'1.설계입력'!$C$15)-COS((1-'1.설계입력'!$C$15)*B96),SIN((1-'1.설계입력'!$C$15)*B96))</f>
        <v>0.6393449216449496</v>
      </c>
      <c r="D96" s="40">
        <f>'1.설계입력'!$C$6*COS(B96)-'1.설계입력'!$C$7*COS(B96+C96)-'1.설계입력'!$C$8*COS('1.설계입력'!$C$15*B96)</f>
        <v>74.171317680514733</v>
      </c>
      <c r="E96" s="40">
        <f>-'1.설계입력'!$C$6*SIN(B96)+'1.설계입력'!$C$7*SIN(B96+C96)+'1.설계입력'!$C$8*SIN('1.설계입력'!$C$15*B96)</f>
        <v>-22.07759820735312</v>
      </c>
      <c r="F96" s="40">
        <f>ATAN2(('1.설계입력'!$C$6+'1.설계입력'!$C$33)/('1.설계입력'!$C$8*'1.설계입력'!$C$15)-COS((1-'1.설계입력'!$C$15)*B96),SIN((1-'1.설계입력'!$C$15)*B96))</f>
        <v>0.63940445098604148</v>
      </c>
      <c r="G96" s="40">
        <f>('1.설계입력'!$C$6+'1.설계입력'!$C$33)*COS(B96)-('1.설계입력'!$C$7+'1.설계입력'!$C$34)*COS(B96+F96)-'1.설계입력'!$C$8*COS('1.설계입력'!$C$15*B96)</f>
        <v>74.1638754589233</v>
      </c>
      <c r="H96" s="40">
        <f>-('1.설계입력'!$C$6+'1.설계입력'!$C$33)*SIN(B96)+('1.설계입력'!$C$7+'1.설계입력'!$C$34)*SIN(B96+F96)+'1.설계입력'!$C$8*SIN('1.설계입력'!$C$15*B96)</f>
        <v>-22.069897016536537</v>
      </c>
      <c r="I96" s="40">
        <f t="shared" si="4"/>
        <v>77.387367890820258</v>
      </c>
      <c r="J96" s="40">
        <f t="shared" si="5"/>
        <v>77.378038081920991</v>
      </c>
      <c r="K96" s="38">
        <f>IF(OR(A96&gt;180,'1.설계입력'!$C$39&gt;=1),"",'1.설계입력'!$C$34*(1-SIN(B96)/SQRT(1+'1.설계입력'!$C$39^2-2*'1.설계입력'!$C$39*COS(B96)))-'1.설계입력'!$C$33*(1-'1.설계입력'!$C$39*COS(B96)-SQRT(MAX(0,1-'1.설계입력'!$C$39^2))*SIN(B96))/SQRT(1+'1.설계입력'!$C$39^2-2*'1.설계입력'!$C$39*COS(B96)))</f>
        <v>2.2591278952936982E-3</v>
      </c>
    </row>
    <row r="97" spans="1:11" x14ac:dyDescent="0.3">
      <c r="A97" s="40">
        <f>A96+'1.설계입력'!$C$12</f>
        <v>18.199999999999967</v>
      </c>
      <c r="B97" s="40">
        <f t="shared" si="3"/>
        <v>0.31764992386296742</v>
      </c>
      <c r="C97" s="40">
        <f>ATAN2('1.설계입력'!$C$6/('1.설계입력'!$C$8*'1.설계입력'!$C$15)-COS((1-'1.설계입력'!$C$15)*B97),SIN((1-'1.설계입력'!$C$15)*B97))</f>
        <v>0.4336133616275567</v>
      </c>
      <c r="D97" s="40">
        <f>'1.설계입력'!$C$6*COS(B97)-'1.설계입력'!$C$7*COS(B97+C97)-'1.설계입력'!$C$8*COS('1.설계입력'!$C$15*B97)</f>
        <v>73.488997398308911</v>
      </c>
      <c r="E97" s="40">
        <f>-'1.설계입력'!$C$6*SIN(B97)+'1.설계입력'!$C$7*SIN(B97+C97)+'1.설계입력'!$C$8*SIN('1.설계입력'!$C$15*B97)</f>
        <v>-22.672453475367526</v>
      </c>
      <c r="F97" s="40">
        <f>ATAN2(('1.설계입력'!$C$6+'1.설계입력'!$C$33)/('1.설계입력'!$C$8*'1.설계입력'!$C$15)-COS((1-'1.설계입력'!$C$15)*B97),SIN((1-'1.설계입력'!$C$15)*B97))</f>
        <v>0.43366487162320039</v>
      </c>
      <c r="G97" s="40">
        <f>('1.설계입력'!$C$6+'1.설계입력'!$C$33)*COS(B97)-('1.설계입력'!$C$7+'1.설계입력'!$C$34)*COS(B97+F97)-'1.설계입력'!$C$8*COS('1.설계입력'!$C$15*B97)</f>
        <v>73.480273708631543</v>
      </c>
      <c r="H97" s="40">
        <f>-('1.설계입력'!$C$6+'1.설계입력'!$C$33)*SIN(B97)+('1.설계입력'!$C$7+'1.설계입력'!$C$34)*SIN(B97+F97)+'1.설계입력'!$C$8*SIN('1.설계입력'!$C$15*B97)</f>
        <v>-22.665805599569076</v>
      </c>
      <c r="I97" s="40">
        <f t="shared" si="4"/>
        <v>76.906910516554746</v>
      </c>
      <c r="J97" s="40">
        <f t="shared" si="5"/>
        <v>76.896614800476527</v>
      </c>
      <c r="K97" s="38">
        <f>IF(OR(A97&gt;180,'1.설계입력'!$C$39&gt;=1),"",'1.설계입력'!$C$34*(1-SIN(B97)/SQRT(1+'1.설계입력'!$C$39^2-2*'1.설계입력'!$C$39*COS(B97)))-'1.설계입력'!$C$33*(1-'1.설계입력'!$C$39*COS(B97)-SQRT(MAX(0,1-'1.설계입력'!$C$39^2))*SIN(B97))/SQRT(1+'1.설계입력'!$C$39^2-2*'1.설계입력'!$C$39*COS(B97)))</f>
        <v>2.2086644822090816E-3</v>
      </c>
    </row>
    <row r="98" spans="1:11" x14ac:dyDescent="0.3">
      <c r="A98" s="40">
        <f>A97+'1.설계입력'!$C$12</f>
        <v>18.399999999999967</v>
      </c>
      <c r="B98" s="40">
        <f t="shared" si="3"/>
        <v>0.32114058236695603</v>
      </c>
      <c r="C98" s="40">
        <f>ATAN2('1.설계입력'!$C$6/('1.설계입력'!$C$8*'1.설계입력'!$C$15)-COS((1-'1.설계입력'!$C$15)*B98),SIN((1-'1.설계입력'!$C$15)*B98))</f>
        <v>0.11344458338219895</v>
      </c>
      <c r="D98" s="40">
        <f>'1.설계입력'!$C$6*COS(B98)-'1.설계입력'!$C$7*COS(B98+C98)-'1.설계입력'!$C$8*COS('1.설계입력'!$C$15*B98)</f>
        <v>72.737761292013275</v>
      </c>
      <c r="E98" s="40">
        <f>-'1.설계입력'!$C$6*SIN(B98)+'1.설계입력'!$C$7*SIN(B98+C98)+'1.설계입력'!$C$8*SIN('1.설계입력'!$C$15*B98)</f>
        <v>-23.785628338484468</v>
      </c>
      <c r="F98" s="40">
        <f>ATAN2(('1.설계입력'!$C$6+'1.설계입력'!$C$33)/('1.설계입력'!$C$8*'1.설계입력'!$C$15)-COS((1-'1.설계입력'!$C$15)*B98),SIN((1-'1.설계입력'!$C$15)*B98))</f>
        <v>0.11346039632749144</v>
      </c>
      <c r="G98" s="40">
        <f>('1.설계입력'!$C$6+'1.설계입력'!$C$33)*COS(B98)-('1.설계입력'!$C$7+'1.설계입력'!$C$34)*COS(B98+F98)-'1.설계입력'!$C$8*COS('1.설계입력'!$C$15*B98)</f>
        <v>72.727499399204802</v>
      </c>
      <c r="H98" s="40">
        <f>-('1.설계입력'!$C$6+'1.설계입력'!$C$33)*SIN(B98)+('1.설계입력'!$C$7+'1.설계입력'!$C$34)*SIN(B98+F98)+'1.설계입력'!$C$8*SIN('1.설계입력'!$C$15*B98)</f>
        <v>-23.781181961572958</v>
      </c>
      <c r="I98" s="40">
        <f t="shared" si="4"/>
        <v>76.52802122902709</v>
      </c>
      <c r="J98" s="40">
        <f t="shared" si="5"/>
        <v>76.516885615861142</v>
      </c>
      <c r="K98" s="38">
        <f>IF(OR(A98&gt;180,'1.설계입력'!$C$39&gt;=1),"",'1.설계입력'!$C$34*(1-SIN(B98)/SQRT(1+'1.설계입력'!$C$39^2-2*'1.설계입력'!$C$39*COS(B98)))-'1.설계입력'!$C$33*(1-'1.설계입력'!$C$39*COS(B98)-SQRT(MAX(0,1-'1.설계입력'!$C$39^2))*SIN(B98))/SQRT(1+'1.설계입력'!$C$39^2-2*'1.설계입력'!$C$39*COS(B98)))</f>
        <v>2.1590875094699138E-3</v>
      </c>
    </row>
    <row r="99" spans="1:11" x14ac:dyDescent="0.3">
      <c r="A99" s="40">
        <f>A98+'1.설계입력'!$C$12</f>
        <v>18.599999999999966</v>
      </c>
      <c r="B99" s="40">
        <f t="shared" si="3"/>
        <v>0.32463124087094469</v>
      </c>
      <c r="C99" s="40">
        <f>ATAN2('1.설계입력'!$C$6/('1.설계입력'!$C$8*'1.설계입력'!$C$15)-COS((1-'1.설계입력'!$C$15)*B99),SIN((1-'1.설계입력'!$C$15)*B99))</f>
        <v>-0.24835429785501423</v>
      </c>
      <c r="D99" s="40">
        <f>'1.설계입력'!$C$6*COS(B99)-'1.설계입력'!$C$7*COS(B99+C99)-'1.설계입력'!$C$8*COS('1.설계입력'!$C$15*B99)</f>
        <v>72.358322137633593</v>
      </c>
      <c r="E99" s="40">
        <f>-'1.설계입력'!$C$6*SIN(B99)+'1.설계입력'!$C$7*SIN(B99+C99)+'1.설계입력'!$C$8*SIN('1.설계입력'!$C$15*B99)</f>
        <v>-25.239746401292102</v>
      </c>
      <c r="F99" s="40">
        <f>ATAN2(('1.설계입력'!$C$6+'1.설계입력'!$C$33)/('1.설계입력'!$C$8*'1.설계입력'!$C$15)-COS((1-'1.설계입력'!$C$15)*B99),SIN((1-'1.설계입력'!$C$15)*B99))</f>
        <v>-0.24838747470307646</v>
      </c>
      <c r="G99" s="40">
        <f>('1.설계입력'!$C$6+'1.설계입력'!$C$33)*COS(B99)-('1.설계입력'!$C$7+'1.설계입력'!$C$34)*COS(B99+F99)-'1.설계입력'!$C$8*COS('1.설계입력'!$C$15*B99)</f>
        <v>72.347297476756694</v>
      </c>
      <c r="H99" s="40">
        <f>-('1.설계입력'!$C$6+'1.설계입력'!$C$33)*SIN(B99)+('1.설계입력'!$C$7+'1.설계입력'!$C$34)*SIN(B99+F99)+'1.설계입력'!$C$8*SIN('1.설계입력'!$C$15*B99)</f>
        <v>-25.238272972781616</v>
      </c>
      <c r="I99" s="40">
        <f t="shared" si="4"/>
        <v>76.634010602180368</v>
      </c>
      <c r="J99" s="40">
        <f t="shared" si="5"/>
        <v>76.623115799600342</v>
      </c>
      <c r="K99" s="38">
        <f>IF(OR(A99&gt;180,'1.설계입력'!$C$39&gt;=1),"",'1.설계입력'!$C$34*(1-SIN(B99)/SQRT(1+'1.설계입력'!$C$39^2-2*'1.설계입력'!$C$39*COS(B99)))-'1.설계입력'!$C$33*(1-'1.설계입력'!$C$39*COS(B99)-SQRT(MAX(0,1-'1.설계입력'!$C$39^2))*SIN(B99))/SQRT(1+'1.설계입력'!$C$39^2-2*'1.설계입력'!$C$39*COS(B99)))</f>
        <v>2.1103844990554496E-3</v>
      </c>
    </row>
    <row r="100" spans="1:11" x14ac:dyDescent="0.3">
      <c r="A100" s="40">
        <f>A99+'1.설계입력'!$C$12</f>
        <v>18.799999999999965</v>
      </c>
      <c r="B100" s="40">
        <f t="shared" si="3"/>
        <v>0.32812189937493336</v>
      </c>
      <c r="C100" s="40">
        <f>ATAN2('1.설계입력'!$C$6/('1.설계입력'!$C$8*'1.설계입력'!$C$15)-COS((1-'1.설계입력'!$C$15)*B100),SIN((1-'1.설계입력'!$C$15)*B100))</f>
        <v>-0.5262687519464998</v>
      </c>
      <c r="D100" s="40">
        <f>'1.설계입력'!$C$6*COS(B100)-'1.설계입력'!$C$7*COS(B100+C100)-'1.설계입력'!$C$8*COS('1.설계입력'!$C$15*B100)</f>
        <v>72.431434951892413</v>
      </c>
      <c r="E100" s="40">
        <f>-'1.설계입력'!$C$6*SIN(B100)+'1.설계입력'!$C$7*SIN(B100+C100)+'1.설계입력'!$C$8*SIN('1.설계입력'!$C$15*B100)</f>
        <v>-26.41831924393443</v>
      </c>
      <c r="F100" s="40">
        <f>ATAN2(('1.설계입력'!$C$6+'1.설계입력'!$C$33)/('1.설계입력'!$C$8*'1.설계입력'!$C$15)-COS((1-'1.설계입력'!$C$15)*B100),SIN((1-'1.설계입력'!$C$15)*B100))</f>
        <v>-0.52632584653362591</v>
      </c>
      <c r="G100" s="40">
        <f>('1.설계입력'!$C$6+'1.설계입력'!$C$33)*COS(B100)-('1.설계입력'!$C$7+'1.설계입력'!$C$34)*COS(B100+F100)-'1.설계입력'!$C$8*COS('1.설계입력'!$C$15*B100)</f>
        <v>72.420603885769623</v>
      </c>
      <c r="H100" s="40">
        <f>-('1.설계입력'!$C$6+'1.설계입력'!$C$33)*SIN(B100)+('1.설계입력'!$C$7+'1.설계입력'!$C$34)*SIN(B100+F100)+'1.설계입력'!$C$8*SIN('1.설계입력'!$C$15*B100)</f>
        <v>-26.41913908963393</v>
      </c>
      <c r="I100" s="40">
        <f t="shared" si="4"/>
        <v>77.098899868056861</v>
      </c>
      <c r="J100" s="40">
        <f t="shared" si="5"/>
        <v>77.089005554728573</v>
      </c>
      <c r="K100" s="38">
        <f>IF(OR(A100&gt;180,'1.설계입력'!$C$39&gt;=1),"",'1.설계입력'!$C$34*(1-SIN(B100)/SQRT(1+'1.설계입력'!$C$39^2-2*'1.설계입력'!$C$39*COS(B100)))-'1.설계입력'!$C$33*(1-'1.설계입력'!$C$39*COS(B100)-SQRT(MAX(0,1-'1.설계입력'!$C$39^2))*SIN(B100))/SQRT(1+'1.설계입력'!$C$39^2-2*'1.설계입력'!$C$39*COS(B100)))</f>
        <v>2.0625430481851594E-3</v>
      </c>
    </row>
    <row r="101" spans="1:11" x14ac:dyDescent="0.3">
      <c r="A101" s="40">
        <f>A100+'1.설계입력'!$C$12</f>
        <v>18.999999999999964</v>
      </c>
      <c r="B101" s="40">
        <f t="shared" si="3"/>
        <v>0.33161255787892202</v>
      </c>
      <c r="C101" s="40">
        <f>ATAN2('1.설계입력'!$C$6/('1.설계입력'!$C$8*'1.설계입력'!$C$15)-COS((1-'1.설계입력'!$C$15)*B101),SIN((1-'1.설계입력'!$C$15)*B101))</f>
        <v>-0.69127080375459415</v>
      </c>
      <c r="D101" s="40">
        <f>'1.설계입력'!$C$6*COS(B101)-'1.설계입력'!$C$7*COS(B101+C101)-'1.설계입력'!$C$8*COS('1.설계입력'!$C$15*B101)</f>
        <v>72.639387893692472</v>
      </c>
      <c r="E101" s="40">
        <f>-'1.설계입력'!$C$6*SIN(B101)+'1.설계입력'!$C$7*SIN(B101+C101)+'1.설계입력'!$C$8*SIN('1.설계입력'!$C$15*B101)</f>
        <v>-27.140224715396176</v>
      </c>
      <c r="F101" s="40">
        <f>ATAN2(('1.설계입력'!$C$6+'1.설계입력'!$C$33)/('1.설계입력'!$C$8*'1.설계입력'!$C$15)-COS((1-'1.설계입력'!$C$15)*B101),SIN((1-'1.설계입력'!$C$15)*B101))</f>
        <v>-0.69132940343710025</v>
      </c>
      <c r="G101" s="40">
        <f>('1.설계입력'!$C$6+'1.설계입력'!$C$33)*COS(B101)-('1.설계입력'!$C$7+'1.설계입력'!$C$34)*COS(B101+F101)-'1.설계입력'!$C$8*COS('1.설계입력'!$C$15*B101)</f>
        <v>72.628957718266136</v>
      </c>
      <c r="H101" s="40">
        <f>-('1.설계입력'!$C$6+'1.설계입력'!$C$33)*SIN(B101)+('1.설계입력'!$C$7+'1.설계입력'!$C$34)*SIN(B101+F101)+'1.설계입력'!$C$8*SIN('1.설계입력'!$C$15*B101)</f>
        <v>-27.142286127581787</v>
      </c>
      <c r="I101" s="40">
        <f t="shared" si="4"/>
        <v>77.544003450766695</v>
      </c>
      <c r="J101" s="40">
        <f t="shared" si="5"/>
        <v>77.534954668673208</v>
      </c>
      <c r="K101" s="38">
        <f>IF(OR(A101&gt;180,'1.설계입력'!$C$39&gt;=1),"",'1.설계입력'!$C$34*(1-SIN(B101)/SQRT(1+'1.설계입력'!$C$39^2-2*'1.설계입력'!$C$39*COS(B101)))-'1.설계입력'!$C$33*(1-'1.설계입력'!$C$39*COS(B101)-SQRT(MAX(0,1-'1.설계입력'!$C$39^2))*SIN(B101))/SQRT(1+'1.설계입력'!$C$39^2-2*'1.설계입력'!$C$39*COS(B101)))</f>
        <v>2.0155508364730914E-3</v>
      </c>
    </row>
    <row r="102" spans="1:11" x14ac:dyDescent="0.3">
      <c r="A102" s="40">
        <f>A101+'1.설계입력'!$C$12</f>
        <v>19.199999999999964</v>
      </c>
      <c r="B102" s="40">
        <f t="shared" si="3"/>
        <v>0.33510321638291063</v>
      </c>
      <c r="C102" s="40">
        <f>ATAN2('1.설계입력'!$C$6/('1.설계입력'!$C$8*'1.설계입력'!$C$15)-COS((1-'1.설계입력'!$C$15)*B102),SIN((1-'1.설계입력'!$C$15)*B102))</f>
        <v>-0.77654519894712581</v>
      </c>
      <c r="D102" s="40">
        <f>'1.설계입력'!$C$6*COS(B102)-'1.설계입력'!$C$7*COS(B102+C102)-'1.설계입력'!$C$8*COS('1.설계입력'!$C$15*B102)</f>
        <v>72.818620347856452</v>
      </c>
      <c r="E102" s="40">
        <f>-'1.설계입력'!$C$6*SIN(B102)+'1.설계입력'!$C$7*SIN(B102+C102)+'1.설계입력'!$C$8*SIN('1.설계입력'!$C$15*B102)</f>
        <v>-27.561322425973202</v>
      </c>
      <c r="F102" s="40">
        <f>ATAN2(('1.설계입력'!$C$6+'1.설계입력'!$C$33)/('1.설계입력'!$C$8*'1.설계입력'!$C$15)-COS((1-'1.설계입력'!$C$15)*B102),SIN((1-'1.설계입력'!$C$15)*B102))</f>
        <v>-0.77659787589806095</v>
      </c>
      <c r="G102" s="40">
        <f>('1.설계입력'!$C$6+'1.설계입력'!$C$33)*COS(B102)-('1.설계입력'!$C$7+'1.설계입력'!$C$34)*COS(B102+F102)-'1.설계입력'!$C$8*COS('1.설계입력'!$C$15*B102)</f>
        <v>72.808459486150383</v>
      </c>
      <c r="H102" s="40">
        <f>-('1.설계입력'!$C$6+'1.설계입력'!$C$33)*SIN(B102)+('1.설계입력'!$C$7+'1.설계입력'!$C$34)*SIN(B102+F102)+'1.설계입력'!$C$8*SIN('1.설계입력'!$C$15*B102)</f>
        <v>-27.563954505022913</v>
      </c>
      <c r="I102" s="40">
        <f t="shared" si="4"/>
        <v>77.859989489041851</v>
      </c>
      <c r="J102" s="40">
        <f t="shared" si="5"/>
        <v>77.851418488691493</v>
      </c>
      <c r="K102" s="38">
        <f>IF(OR(A102&gt;180,'1.설계입력'!$C$39&gt;=1),"",'1.설계입력'!$C$34*(1-SIN(B102)/SQRT(1+'1.설계입력'!$C$39^2-2*'1.설계입력'!$C$39*COS(B102)))-'1.설계입력'!$C$33*(1-'1.설계입력'!$C$39*COS(B102)-SQRT(MAX(0,1-'1.설계입력'!$C$39^2))*SIN(B102))/SQRT(1+'1.설계입력'!$C$39^2-2*'1.설계입력'!$C$39*COS(B102)))</f>
        <v>1.9693956325454319E-3</v>
      </c>
    </row>
    <row r="103" spans="1:11" x14ac:dyDescent="0.3">
      <c r="A103" s="40">
        <f>A102+'1.설계입력'!$C$12</f>
        <v>19.399999999999963</v>
      </c>
      <c r="B103" s="40">
        <f t="shared" si="3"/>
        <v>0.33859387488689929</v>
      </c>
      <c r="C103" s="40">
        <f>ATAN2('1.설계입력'!$C$6/('1.설계입력'!$C$8*'1.설계입력'!$C$15)-COS((1-'1.설계입력'!$C$15)*B103),SIN((1-'1.설계입력'!$C$15)*B103))</f>
        <v>-0.81329921113294301</v>
      </c>
      <c r="D103" s="40">
        <f>'1.설계입력'!$C$6*COS(B103)-'1.설계입력'!$C$7*COS(B103+C103)-'1.설계입력'!$C$8*COS('1.설계입력'!$C$15*B103)</f>
        <v>72.947758820186337</v>
      </c>
      <c r="E103" s="40">
        <f>-'1.설계입력'!$C$6*SIN(B103)+'1.설계입력'!$C$7*SIN(B103+C103)+'1.설계입력'!$C$8*SIN('1.설계입력'!$C$15*B103)</f>
        <v>-27.821961995616785</v>
      </c>
      <c r="F103" s="40">
        <f>ATAN2(('1.설계입력'!$C$6+'1.설계입력'!$C$33)/('1.설계입력'!$C$8*'1.설계입력'!$C$15)-COS((1-'1.설계입력'!$C$15)*B103),SIN((1-'1.설계입력'!$C$15)*B103))</f>
        <v>-0.81334495783108163</v>
      </c>
      <c r="G103" s="40">
        <f>('1.설계입력'!$C$6+'1.설계입력'!$C$33)*COS(B103)-('1.설계입력'!$C$7+'1.설계입력'!$C$34)*COS(B103+F103)-'1.설계입력'!$C$8*COS('1.설계입력'!$C$15*B103)</f>
        <v>72.937714279690397</v>
      </c>
      <c r="H103" s="40">
        <f>-('1.설계입력'!$C$6+'1.설계입력'!$C$33)*SIN(B103)+('1.설계입력'!$C$7+'1.설계입력'!$C$34)*SIN(B103+F103)+'1.설계입력'!$C$8*SIN('1.설계입력'!$C$15*B103)</f>
        <v>-27.82479769596037</v>
      </c>
      <c r="I103" s="40">
        <f t="shared" si="4"/>
        <v>78.073280231930937</v>
      </c>
      <c r="J103" s="40">
        <f t="shared" si="5"/>
        <v>78.064905887132625</v>
      </c>
      <c r="K103" s="38">
        <f>IF(OR(A103&gt;180,'1.설계입력'!$C$39&gt;=1),"",'1.설계입력'!$C$34*(1-SIN(B103)/SQRT(1+'1.설계입력'!$C$39^2-2*'1.설계입력'!$C$39*COS(B103)))-'1.설계입력'!$C$33*(1-'1.설계입력'!$C$39*COS(B103)-SQRT(MAX(0,1-'1.설계입력'!$C$39^2))*SIN(B103))/SQRT(1+'1.설계입력'!$C$39^2-2*'1.설계입력'!$C$39*COS(B103)))</f>
        <v>1.9240653001453855E-3</v>
      </c>
    </row>
    <row r="104" spans="1:11" x14ac:dyDescent="0.3">
      <c r="A104" s="40">
        <f>A103+'1.설계입력'!$C$12</f>
        <v>19.599999999999962</v>
      </c>
      <c r="B104" s="40">
        <f t="shared" si="3"/>
        <v>0.34208453339088796</v>
      </c>
      <c r="C104" s="40">
        <f>ATAN2('1.설계입력'!$C$6/('1.설계입력'!$C$8*'1.설계입력'!$C$15)-COS((1-'1.설계입력'!$C$15)*B104),SIN((1-'1.설계입력'!$C$15)*B104))</f>
        <v>-0.82049791612031064</v>
      </c>
      <c r="D104" s="40">
        <f>'1.설계입력'!$C$6*COS(B104)-'1.설계입력'!$C$7*COS(B104+C104)-'1.설계입력'!$C$8*COS('1.설계입력'!$C$15*B104)</f>
        <v>73.04024851698685</v>
      </c>
      <c r="E104" s="40">
        <f>-'1.설계입력'!$C$6*SIN(B104)+'1.설계입력'!$C$7*SIN(B104+C104)+'1.설계입력'!$C$8*SIN('1.설계입력'!$C$15*B104)</f>
        <v>-28.000322743823133</v>
      </c>
      <c r="F104" s="40">
        <f>ATAN2(('1.설계입력'!$C$6+'1.설계입력'!$C$33)/('1.설계입력'!$C$8*'1.설계입력'!$C$15)-COS((1-'1.설계입력'!$C$15)*B104),SIN((1-'1.설계입력'!$C$15)*B104))</f>
        <v>-0.82053742990944223</v>
      </c>
      <c r="G104" s="40">
        <f>('1.설계입력'!$C$6+'1.설계입력'!$C$33)*COS(B104)-('1.설계입력'!$C$7+'1.설계입력'!$C$34)*COS(B104+F104)-'1.설계입력'!$C$8*COS('1.설계입력'!$C$15*B104)</f>
        <v>73.030210468631722</v>
      </c>
      <c r="H104" s="40">
        <f>-('1.설계입력'!$C$6+'1.설계입력'!$C$33)*SIN(B104)+('1.설계입력'!$C$7+'1.설계입력'!$C$34)*SIN(B104+F104)+'1.설계입력'!$C$8*SIN('1.설계입력'!$C$15*B104)</f>
        <v>-28.003152443705073</v>
      </c>
      <c r="I104" s="40">
        <f t="shared" si="4"/>
        <v>78.223372320435388</v>
      </c>
      <c r="J104" s="40">
        <f t="shared" si="5"/>
        <v>78.215012547963141</v>
      </c>
      <c r="K104" s="38">
        <f>IF(OR(A104&gt;180,'1.설계입력'!$C$39&gt;=1),"",'1.설계입력'!$C$34*(1-SIN(B104)/SQRT(1+'1.설계입력'!$C$39^2-2*'1.설계입력'!$C$39*COS(B104)))-'1.설계입력'!$C$33*(1-'1.설계입력'!$C$39*COS(B104)-SQRT(MAX(0,1-'1.설계입력'!$C$39^2))*SIN(B104))/SQRT(1+'1.설계입력'!$C$39^2-2*'1.설계입력'!$C$39*COS(B104)))</f>
        <v>1.8795478037488978E-3</v>
      </c>
    </row>
    <row r="105" spans="1:11" x14ac:dyDescent="0.3">
      <c r="A105" s="40">
        <f>A104+'1.설계입력'!$C$12</f>
        <v>19.799999999999962</v>
      </c>
      <c r="B105" s="40">
        <f t="shared" si="3"/>
        <v>0.34557519189487657</v>
      </c>
      <c r="C105" s="40">
        <f>ATAN2('1.설계입력'!$C$6/('1.설계입력'!$C$8*'1.설계입력'!$C$15)-COS((1-'1.설계입력'!$C$15)*B105),SIN((1-'1.설계입력'!$C$15)*B105))</f>
        <v>-0.80896725152964932</v>
      </c>
      <c r="D105" s="40">
        <f>'1.설계입력'!$C$6*COS(B105)-'1.설계입력'!$C$7*COS(B105+C105)-'1.설계입력'!$C$8*COS('1.설계입력'!$C$15*B105)</f>
        <v>73.110531774908097</v>
      </c>
      <c r="E105" s="40">
        <f>-'1.설계입력'!$C$6*SIN(B105)+'1.설계입력'!$C$7*SIN(B105+C105)+'1.설계입력'!$C$8*SIN('1.설계입력'!$C$15*B105)</f>
        <v>-28.137864728063423</v>
      </c>
      <c r="F105" s="40">
        <f>ATAN2(('1.설계입력'!$C$6+'1.설계입력'!$C$33)/('1.설계입력'!$C$8*'1.설계입력'!$C$15)-COS((1-'1.설계입력'!$C$15)*B105),SIN((1-'1.설계입력'!$C$15)*B105))</f>
        <v>-0.80900148721965837</v>
      </c>
      <c r="G105" s="40">
        <f>('1.설계입력'!$C$6+'1.설계입력'!$C$33)*COS(B105)-('1.설계입력'!$C$7+'1.설계입력'!$C$34)*COS(B105+F105)-'1.설계입력'!$C$8*COS('1.설계입력'!$C$15*B105)</f>
        <v>73.100430596219326</v>
      </c>
      <c r="H105" s="40">
        <f>-('1.설계입력'!$C$6+'1.설계입력'!$C$33)*SIN(B105)+('1.설계입력'!$C$7+'1.설계입력'!$C$34)*SIN(B105+F105)+'1.설계입력'!$C$8*SIN('1.설계입력'!$C$15*B105)</f>
        <v>-28.140557967085737</v>
      </c>
      <c r="I105" s="40">
        <f t="shared" si="4"/>
        <v>78.338300261523685</v>
      </c>
      <c r="J105" s="40">
        <f t="shared" si="5"/>
        <v>78.32984077637073</v>
      </c>
      <c r="K105" s="38">
        <f>IF(OR(A105&gt;180,'1.설계입력'!$C$39&gt;=1),"",'1.설계입력'!$C$34*(1-SIN(B105)/SQRT(1+'1.설계입력'!$C$39^2-2*'1.설계입력'!$C$39*COS(B105)))-'1.설계입력'!$C$33*(1-'1.설계입력'!$C$39*COS(B105)-SQRT(MAX(0,1-'1.설계입력'!$C$39^2))*SIN(B105))/SQRT(1+'1.설계입력'!$C$39^2-2*'1.설계입력'!$C$39*COS(B105)))</f>
        <v>1.8358312137141974E-3</v>
      </c>
    </row>
    <row r="106" spans="1:11" x14ac:dyDescent="0.3">
      <c r="A106" s="40">
        <f>A105+'1.설계입력'!$C$12</f>
        <v>19.999999999999961</v>
      </c>
      <c r="B106" s="40">
        <f t="shared" si="3"/>
        <v>0.34906585039886523</v>
      </c>
      <c r="C106" s="40">
        <f>ATAN2('1.설계입력'!$C$6/('1.설계입력'!$C$8*'1.설계입력'!$C$15)-COS((1-'1.설계입력'!$C$15)*B106),SIN((1-'1.설계입력'!$C$15)*B106))</f>
        <v>-0.78502806713864037</v>
      </c>
      <c r="D106" s="40">
        <f>'1.설계입력'!$C$6*COS(B106)-'1.설계입력'!$C$7*COS(B106+C106)-'1.설계입력'!$C$8*COS('1.설계입력'!$C$15*B106)</f>
        <v>73.168466100337668</v>
      </c>
      <c r="E106" s="40">
        <f>-'1.설계입력'!$C$6*SIN(B106)+'1.설계입력'!$C$7*SIN(B106+C106)+'1.설계입력'!$C$8*SIN('1.설계입력'!$C$15*B106)</f>
        <v>-28.257571369921571</v>
      </c>
      <c r="F106" s="40">
        <f>ATAN2(('1.설계입력'!$C$6+'1.설계입력'!$C$33)/('1.설계입력'!$C$8*'1.설계입력'!$C$15)-COS((1-'1.설계입력'!$C$15)*B106),SIN((1-'1.설계입력'!$C$15)*B106))</f>
        <v>-0.78505787571195618</v>
      </c>
      <c r="G106" s="40">
        <f>('1.설계입력'!$C$6+'1.설계입력'!$C$33)*COS(B106)-('1.설계입력'!$C$7+'1.설계입력'!$C$34)*COS(B106+F106)-'1.설계입력'!$C$8*COS('1.설계입력'!$C$15*B106)</f>
        <v>73.158261147891267</v>
      </c>
      <c r="H106" s="40">
        <f>-('1.설계입력'!$C$6+'1.설계입력'!$C$33)*SIN(B106)+('1.설계입력'!$C$7+'1.설계입력'!$C$34)*SIN(B106+F106)+'1.설계입력'!$C$8*SIN('1.설계입력'!$C$15*B106)</f>
        <v>-28.260039897975616</v>
      </c>
      <c r="I106" s="40">
        <f t="shared" si="4"/>
        <v>78.435417836602838</v>
      </c>
      <c r="J106" s="40">
        <f t="shared" si="5"/>
        <v>78.426787701768276</v>
      </c>
      <c r="K106" s="38">
        <f>IF(OR(A106&gt;180,'1.설계입력'!$C$39&gt;=1),"",'1.설계입력'!$C$34*(1-SIN(B106)/SQRT(1+'1.설계입력'!$C$39^2-2*'1.설계입력'!$C$39*COS(B106)))-'1.설계입력'!$C$33*(1-'1.설계입력'!$C$39*COS(B106)-SQRT(MAX(0,1-'1.설계입력'!$C$39^2))*SIN(B106))/SQRT(1+'1.설계입력'!$C$39^2-2*'1.설계입력'!$C$39*COS(B106)))</f>
        <v>1.7929037109875815E-3</v>
      </c>
    </row>
    <row r="107" spans="1:11" x14ac:dyDescent="0.3">
      <c r="A107" s="40">
        <f>A106+'1.설계입력'!$C$12</f>
        <v>20.19999999999996</v>
      </c>
      <c r="B107" s="40">
        <f t="shared" si="3"/>
        <v>0.35255650890285389</v>
      </c>
      <c r="C107" s="40">
        <f>ATAN2('1.설계입력'!$C$6/('1.설계입력'!$C$8*'1.설계입력'!$C$15)-COS((1-'1.설계입력'!$C$15)*B107),SIN((1-'1.설계입력'!$C$15)*B107))</f>
        <v>-0.75252996523760562</v>
      </c>
      <c r="D107" s="40">
        <f>'1.설계입력'!$C$6*COS(B107)-'1.설계입력'!$C$7*COS(B107+C107)-'1.설계입력'!$C$8*COS('1.설계입력'!$C$15*B107)</f>
        <v>73.2197933001557</v>
      </c>
      <c r="E107" s="40">
        <f>-'1.설계입력'!$C$6*SIN(B107)+'1.설계입력'!$C$7*SIN(B107+C107)+'1.설계입력'!$C$8*SIN('1.설계입력'!$C$15*B107)</f>
        <v>-28.372941652698227</v>
      </c>
      <c r="F107" s="40">
        <f>ATAN2(('1.설계입력'!$C$6+'1.설계입력'!$C$33)/('1.설계입력'!$C$8*'1.설계입력'!$C$15)-COS((1-'1.설계입력'!$C$15)*B107),SIN((1-'1.설계입력'!$C$15)*B107))</f>
        <v>-0.75255603479666489</v>
      </c>
      <c r="G107" s="40">
        <f>('1.설계입력'!$C$6+'1.설계입력'!$C$33)*COS(B107)-('1.설계입력'!$C$7+'1.설계입력'!$C$34)*COS(B107+F107)-'1.설계입력'!$C$8*COS('1.설계입력'!$C$15*B107)</f>
        <v>73.209463982798653</v>
      </c>
      <c r="H107" s="40">
        <f>-('1.설계입력'!$C$6+'1.설계입력'!$C$33)*SIN(B107)+('1.설계입력'!$C$7+'1.설계입력'!$C$34)*SIN(B107+F107)+'1.설계입력'!$C$8*SIN('1.설계입력'!$C$15*B107)</f>
        <v>-28.375121560481389</v>
      </c>
      <c r="I107" s="40">
        <f t="shared" si="4"/>
        <v>78.524912919053563</v>
      </c>
      <c r="J107" s="40">
        <f t="shared" si="5"/>
        <v>78.516069312089158</v>
      </c>
      <c r="K107" s="38">
        <f>IF(OR(A107&gt;180,'1.설계입력'!$C$39&gt;=1),"",'1.설계입력'!$C$34*(1-SIN(B107)/SQRT(1+'1.설계입력'!$C$39^2-2*'1.설계입력'!$C$39*COS(B107)))-'1.설계입력'!$C$33*(1-'1.설계입력'!$C$39*COS(B107)-SQRT(MAX(0,1-'1.설계입력'!$C$39^2))*SIN(B107))/SQRT(1+'1.설계입력'!$C$39^2-2*'1.설계입력'!$C$39*COS(B107)))</f>
        <v>1.7507535913871917E-3</v>
      </c>
    </row>
    <row r="108" spans="1:11" x14ac:dyDescent="0.3">
      <c r="A108" s="40">
        <f>A107+'1.설계입력'!$C$12</f>
        <v>20.399999999999959</v>
      </c>
      <c r="B108" s="40">
        <f t="shared" si="3"/>
        <v>0.3560471674068425</v>
      </c>
      <c r="C108" s="40">
        <f>ATAN2('1.설계입력'!$C$6/('1.설계입력'!$C$8*'1.설계입력'!$C$15)-COS((1-'1.설계입력'!$C$15)*B108),SIN((1-'1.설계입력'!$C$15)*B108))</f>
        <v>-0.71392208455624317</v>
      </c>
      <c r="D108" s="40">
        <f>'1.설계입력'!$C$6*COS(B108)-'1.설계입력'!$C$7*COS(B108+C108)-'1.설계입력'!$C$8*COS('1.설계입력'!$C$15*B108)</f>
        <v>73.267342546025375</v>
      </c>
      <c r="E108" s="40">
        <f>-'1.설계입력'!$C$6*SIN(B108)+'1.설계입력'!$C$7*SIN(B108+C108)+'1.설계입력'!$C$8*SIN('1.설계입력'!$C$15*B108)</f>
        <v>-28.49226336154122</v>
      </c>
      <c r="F108" s="40">
        <f>ATAN2(('1.설계입력'!$C$6+'1.설계입력'!$C$33)/('1.설계입력'!$C$8*'1.설계입력'!$C$15)-COS((1-'1.설계입력'!$C$15)*B108),SIN((1-'1.설계입력'!$C$15)*B108))</f>
        <v>-0.71394495667830005</v>
      </c>
      <c r="G108" s="40">
        <f>('1.설계입력'!$C$6+'1.설계입력'!$C$33)*COS(B108)-('1.설계입력'!$C$7+'1.설계입력'!$C$34)*COS(B108+F108)-'1.설계입력'!$C$8*COS('1.설계입력'!$C$15*B108)</f>
        <v>73.256882273835274</v>
      </c>
      <c r="H108" s="40">
        <f>-('1.설계입력'!$C$6+'1.설계입력'!$C$33)*SIN(B108)+('1.설계입력'!$C$7+'1.설계입력'!$C$34)*SIN(B108+F108)+'1.설계입력'!$C$8*SIN('1.설계입력'!$C$15*B108)</f>
        <v>-28.494105958541777</v>
      </c>
      <c r="I108" s="40">
        <f t="shared" si="4"/>
        <v>78.612419853481455</v>
      </c>
      <c r="J108" s="40">
        <f t="shared" si="5"/>
        <v>78.603338827680645</v>
      </c>
      <c r="K108" s="38">
        <f>IF(OR(A108&gt;180,'1.설계입력'!$C$39&gt;=1),"",'1.설계입력'!$C$34*(1-SIN(B108)/SQRT(1+'1.설계입력'!$C$39^2-2*'1.설계입력'!$C$39*COS(B108)))-'1.설계입력'!$C$33*(1-'1.설계입력'!$C$39*COS(B108)-SQRT(MAX(0,1-'1.설계입력'!$C$39^2))*SIN(B108))/SQRT(1+'1.설계입력'!$C$39^2-2*'1.설계입력'!$C$39*COS(B108)))</f>
        <v>1.7093692694858998E-3</v>
      </c>
    </row>
    <row r="109" spans="1:11" x14ac:dyDescent="0.3">
      <c r="A109" s="40">
        <f>A108+'1.설계입력'!$C$12</f>
        <v>20.599999999999959</v>
      </c>
      <c r="B109" s="40">
        <f t="shared" si="3"/>
        <v>0.35953782591083117</v>
      </c>
      <c r="C109" s="40">
        <f>ATAN2('1.설계입력'!$C$6/('1.설계입력'!$C$8*'1.설계입력'!$C$15)-COS((1-'1.설계입력'!$C$15)*B109),SIN((1-'1.설계입력'!$C$15)*B109))</f>
        <v>-0.67082641042348778</v>
      </c>
      <c r="D109" s="40">
        <f>'1.설계입력'!$C$6*COS(B109)-'1.설계입력'!$C$7*COS(B109+C109)-'1.설계입력'!$C$8*COS('1.설계입력'!$C$15*B109)</f>
        <v>73.312006031958987</v>
      </c>
      <c r="E109" s="40">
        <f>-'1.설계입력'!$C$6*SIN(B109)+'1.설계입력'!$C$7*SIN(B109+C109)+'1.설계입력'!$C$8*SIN('1.설계입력'!$C$15*B109)</f>
        <v>-28.620713760273869</v>
      </c>
      <c r="F109" s="40">
        <f>ATAN2(('1.설계입력'!$C$6+'1.설계입력'!$C$33)/('1.설계입력'!$C$8*'1.설계입력'!$C$15)-COS((1-'1.설계입력'!$C$15)*B109),SIN((1-'1.설계입력'!$C$15)*B109))</f>
        <v>-0.67084650959060266</v>
      </c>
      <c r="G109" s="40">
        <f>('1.설계입력'!$C$6+'1.설계입력'!$C$33)*COS(B109)-('1.설계입력'!$C$7+'1.설계입력'!$C$34)*COS(B109+F109)-'1.설계입력'!$C$8*COS('1.설계입력'!$C$15*B109)</f>
        <v>73.301418210917959</v>
      </c>
      <c r="H109" s="40">
        <f>-('1.설계입력'!$C$6+'1.설계입력'!$C$33)*SIN(B109)+('1.설계입력'!$C$7+'1.설계입력'!$C$34)*SIN(B109+F109)+'1.설계입력'!$C$8*SIN('1.설계입력'!$C$15*B109)</f>
        <v>-28.622180651589527</v>
      </c>
      <c r="I109" s="40">
        <f t="shared" si="4"/>
        <v>78.700670165999981</v>
      </c>
      <c r="J109" s="40">
        <f t="shared" si="5"/>
        <v>78.691340927602198</v>
      </c>
      <c r="K109" s="38">
        <f>IF(OR(A109&gt;180,'1.설계입력'!$C$39&gt;=1),"",'1.설계입력'!$C$34*(1-SIN(B109)/SQRT(1+'1.설계입력'!$C$39^2-2*'1.설계입력'!$C$39*COS(B109)))-'1.설계입력'!$C$33*(1-'1.설계입력'!$C$39*COS(B109)-SQRT(MAX(0,1-'1.설계입력'!$C$39^2))*SIN(B109))/SQRT(1+'1.설계입력'!$C$39^2-2*'1.설계입력'!$C$39*COS(B109)))</f>
        <v>1.6687392821138772E-3</v>
      </c>
    </row>
    <row r="110" spans="1:11" x14ac:dyDescent="0.3">
      <c r="A110" s="40">
        <f>A109+'1.설계입력'!$C$12</f>
        <v>20.799999999999958</v>
      </c>
      <c r="B110" s="40">
        <f t="shared" si="3"/>
        <v>0.36302848441481983</v>
      </c>
      <c r="C110" s="40">
        <f>ATAN2('1.설계입력'!$C$6/('1.설계입력'!$C$8*'1.설계입력'!$C$15)-COS((1-'1.설계입력'!$C$15)*B110),SIN((1-'1.설계입력'!$C$15)*B110))</f>
        <v>-0.62435622374720323</v>
      </c>
      <c r="D110" s="40">
        <f>'1.설계입력'!$C$6*COS(B110)-'1.설계입력'!$C$7*COS(B110+C110)-'1.설계입력'!$C$8*COS('1.설계입력'!$C$15*B110)</f>
        <v>73.35342419278048</v>
      </c>
      <c r="E110" s="40">
        <f>-'1.설계입력'!$C$6*SIN(B110)+'1.설계입력'!$C$7*SIN(B110+C110)+'1.설계입력'!$C$8*SIN('1.설계입력'!$C$15*B110)</f>
        <v>-28.761448891204946</v>
      </c>
      <c r="F110" s="40">
        <f>ATAN2(('1.설계입력'!$C$6+'1.설계입력'!$C$33)/('1.설계입력'!$C$8*'1.설계입력'!$C$15)-COS((1-'1.설계입력'!$C$15)*B110),SIN((1-'1.설계입력'!$C$15)*B110))</f>
        <v>-0.62437388400063787</v>
      </c>
      <c r="G110" s="40">
        <f>('1.설계입력'!$C$6+'1.설계입력'!$C$33)*COS(B110)-('1.설계입력'!$C$7+'1.설계입력'!$C$34)*COS(B110+F110)-'1.설계입력'!$C$8*COS('1.설계입력'!$C$15*B110)</f>
        <v>73.342719534698418</v>
      </c>
      <c r="H110" s="40">
        <f>-('1.설계입력'!$C$6+'1.설계입력'!$C$33)*SIN(B110)+('1.설계입력'!$C$7+'1.설계입력'!$C$34)*SIN(B110+F110)+'1.설계입력'!$C$8*SIN('1.설계입력'!$C$15*B110)</f>
        <v>-28.76250918410155</v>
      </c>
      <c r="I110" s="40">
        <f t="shared" si="4"/>
        <v>78.79051835803206</v>
      </c>
      <c r="J110" s="40">
        <f t="shared" si="5"/>
        <v>78.780939593984016</v>
      </c>
      <c r="K110" s="38">
        <f>IF(OR(A110&gt;180,'1.설계입력'!$C$39&gt;=1),"",'1.설계입력'!$C$34*(1-SIN(B110)/SQRT(1+'1.설계입력'!$C$39^2-2*'1.설계입력'!$C$39*COS(B110)))-'1.설계입력'!$C$33*(1-'1.설계입력'!$C$39*COS(B110)-SQRT(MAX(0,1-'1.설계입력'!$C$39^2))*SIN(B110))/SQRT(1+'1.설계입력'!$C$39^2-2*'1.설계입력'!$C$39*COS(B110)))</f>
        <v>1.6288522915005182E-3</v>
      </c>
    </row>
    <row r="111" spans="1:11" x14ac:dyDescent="0.3">
      <c r="A111" s="40">
        <f>A110+'1.설계입력'!$C$12</f>
        <v>20.999999999999957</v>
      </c>
      <c r="B111" s="40">
        <f t="shared" si="3"/>
        <v>0.36651914291880844</v>
      </c>
      <c r="C111" s="40">
        <f>ATAN2('1.설계입력'!$C$6/('1.설계입력'!$C$8*'1.설계입력'!$C$15)-COS((1-'1.설계입력'!$C$15)*B111),SIN((1-'1.설계입력'!$C$15)*B111))</f>
        <v>-0.57530026069407825</v>
      </c>
      <c r="D111" s="40">
        <f>'1.설계입력'!$C$6*COS(B111)-'1.설계입력'!$C$7*COS(B111+C111)-'1.설계입력'!$C$8*COS('1.설계입력'!$C$15*B111)</f>
        <v>73.390457867929229</v>
      </c>
      <c r="E111" s="40">
        <f>-'1.설계입력'!$C$6*SIN(B111)+'1.설계입력'!$C$7*SIN(B111+C111)+'1.설계입력'!$C$8*SIN('1.설계입력'!$C$15*B111)</f>
        <v>-28.916204320207441</v>
      </c>
      <c r="F111" s="40">
        <f>ATAN2(('1.설계입력'!$C$6+'1.설계입력'!$C$33)/('1.설계입력'!$C$8*'1.설계입력'!$C$15)-COS((1-'1.설계입력'!$C$15)*B111),SIN((1-'1.설계입력'!$C$15)*B111))</f>
        <v>-0.57531574661992135</v>
      </c>
      <c r="G111" s="40">
        <f>('1.설계입력'!$C$6+'1.설계입력'!$C$33)*COS(B111)-('1.설계입력'!$C$7+'1.설계입력'!$C$34)*COS(B111+F111)-'1.설계입력'!$C$8*COS('1.설계입력'!$C$15*B111)</f>
        <v>73.37965253136403</v>
      </c>
      <c r="H111" s="40">
        <f>-('1.설계입력'!$C$6+'1.설계입력'!$C$33)*SIN(B111)+('1.설계입력'!$C$7+'1.설계입력'!$C$34)*SIN(B111+F111)+'1.설계입력'!$C$8*SIN('1.설계입력'!$C$15*B111)</f>
        <v>-28.91683296861774</v>
      </c>
      <c r="I111" s="40">
        <f t="shared" si="4"/>
        <v>78.881595941970389</v>
      </c>
      <c r="J111" s="40">
        <f t="shared" si="5"/>
        <v>78.871773370190283</v>
      </c>
      <c r="K111" s="38">
        <f>IF(OR(A111&gt;180,'1.설계입력'!$C$39&gt;=1),"",'1.설계입력'!$C$34*(1-SIN(B111)/SQRT(1+'1.설계입력'!$C$39^2-2*'1.설계입력'!$C$39*COS(B111)))-'1.설계입력'!$C$33*(1-'1.설계입력'!$C$39*COS(B111)-SQRT(MAX(0,1-'1.설계입력'!$C$39^2))*SIN(B111))/SQRT(1+'1.설계입력'!$C$39^2-2*'1.설계입력'!$C$39*COS(B111)))</f>
        <v>1.5896970880750552E-3</v>
      </c>
    </row>
    <row r="112" spans="1:11" x14ac:dyDescent="0.3">
      <c r="A112" s="40">
        <f>A111+'1.설계입력'!$C$12</f>
        <v>21.199999999999957</v>
      </c>
      <c r="B112" s="40">
        <f t="shared" si="3"/>
        <v>0.3700098014227971</v>
      </c>
      <c r="C112" s="40">
        <f>ATAN2('1.설계입력'!$C$6/('1.설계입력'!$C$8*'1.설계입력'!$C$15)-COS((1-'1.설계입력'!$C$15)*B112),SIN((1-'1.설계입력'!$C$15)*B112))</f>
        <v>-0.52423341567897441</v>
      </c>
      <c r="D112" s="40">
        <f>'1.설계입력'!$C$6*COS(B112)-'1.설계입력'!$C$7*COS(B112+C112)-'1.설계입력'!$C$8*COS('1.설계입력'!$C$15*B112)</f>
        <v>73.421519546675682</v>
      </c>
      <c r="E112" s="40">
        <f>-'1.설계입력'!$C$6*SIN(B112)+'1.설계입력'!$C$7*SIN(B112+C112)+'1.설계입력'!$C$8*SIN('1.설계입력'!$C$15*B112)</f>
        <v>-29.085650515412457</v>
      </c>
      <c r="F112" s="40">
        <f>ATAN2(('1.설계입력'!$C$6+'1.설계입력'!$C$33)/('1.설계입력'!$C$8*'1.설계입력'!$C$15)-COS((1-'1.설계입력'!$C$15)*B112),SIN((1-'1.설계입력'!$C$15)*B112))</f>
        <v>-0.52424693820368418</v>
      </c>
      <c r="G112" s="40">
        <f>('1.설계입력'!$C$6+'1.설계입력'!$C$33)*COS(B112)-('1.설계입력'!$C$7+'1.설계입력'!$C$34)*COS(B112+F112)-'1.설계입력'!$C$8*COS('1.설계입력'!$C$15*B112)</f>
        <v>73.410633807179508</v>
      </c>
      <c r="H112" s="40">
        <f>-('1.설계입력'!$C$6+'1.설계입력'!$C$33)*SIN(B112)+('1.설계입력'!$C$7+'1.설계입력'!$C$34)*SIN(B112+F112)+'1.설계입력'!$C$8*SIN('1.설계입력'!$C$15*B112)</f>
        <v>-29.08582730062539</v>
      </c>
      <c r="I112" s="40">
        <f t="shared" si="4"/>
        <v>78.972745921916584</v>
      </c>
      <c r="J112" s="40">
        <f t="shared" si="5"/>
        <v>78.962690593302426</v>
      </c>
      <c r="K112" s="38">
        <f>IF(OR(A112&gt;180,'1.설계입력'!$C$39&gt;=1),"",'1.설계입력'!$C$34*(1-SIN(B112)/SQRT(1+'1.설계입력'!$C$39^2-2*'1.설계입력'!$C$39*COS(B112)))-'1.설계입력'!$C$33*(1-'1.설계입력'!$C$39*COS(B112)-SQRT(MAX(0,1-'1.설계입력'!$C$39^2))*SIN(B112))/SQRT(1+'1.설계입력'!$C$39^2-2*'1.설계입력'!$C$39*COS(B112)))</f>
        <v>1.5512625929441682E-3</v>
      </c>
    </row>
    <row r="113" spans="1:11" x14ac:dyDescent="0.3">
      <c r="A113" s="40">
        <f>A112+'1.설계입력'!$C$12</f>
        <v>21.399999999999956</v>
      </c>
      <c r="B113" s="40">
        <f t="shared" si="3"/>
        <v>0.37350045992678577</v>
      </c>
      <c r="C113" s="40">
        <f>ATAN2('1.설계입력'!$C$6/('1.설계입력'!$C$8*'1.설계입력'!$C$15)-COS((1-'1.설계입력'!$C$15)*B113),SIN((1-'1.설계입력'!$C$15)*B113))</f>
        <v>-0.47158570349959988</v>
      </c>
      <c r="D113" s="40">
        <f>'1.설계입력'!$C$6*COS(B113)-'1.설계입력'!$C$7*COS(B113+C113)-'1.설계입력'!$C$8*COS('1.설계입력'!$C$15*B113)</f>
        <v>73.444812609835452</v>
      </c>
      <c r="E113" s="40">
        <f>-'1.설계입력'!$C$6*SIN(B113)+'1.설계입력'!$C$7*SIN(B113+C113)+'1.설계입력'!$C$8*SIN('1.설계입력'!$C$15*B113)</f>
        <v>-29.269620936721296</v>
      </c>
      <c r="F113" s="40">
        <f>ATAN2(('1.설계입력'!$C$6+'1.설계입력'!$C$33)/('1.설계입력'!$C$8*'1.설계입력'!$C$15)-COS((1-'1.설계입력'!$C$15)*B113),SIN((1-'1.설계입력'!$C$15)*B113))</f>
        <v>-0.47159743161505691</v>
      </c>
      <c r="G113" s="40">
        <f>('1.설계입력'!$C$6+'1.설계입력'!$C$33)*COS(B113)-('1.설계입력'!$C$7+'1.설계입력'!$C$34)*COS(B113+F113)-'1.설계입력'!$C$8*COS('1.설계입력'!$C$15*B113)</f>
        <v>73.433869873096597</v>
      </c>
      <c r="H113" s="40">
        <f>-('1.설계입력'!$C$6+'1.설계입력'!$C$33)*SIN(B113)+('1.설계입력'!$C$7+'1.설계입력'!$C$34)*SIN(B113+F113)+'1.설계입력'!$C$8*SIN('1.설계입력'!$C$15*B113)</f>
        <v>-29.269329817338829</v>
      </c>
      <c r="I113" s="40">
        <f t="shared" si="4"/>
        <v>79.06232483979457</v>
      </c>
      <c r="J113" s="40">
        <f t="shared" si="5"/>
        <v>79.052051918309132</v>
      </c>
      <c r="K113" s="38">
        <f>IF(OR(A113&gt;180,'1.설계입력'!$C$39&gt;=1),"",'1.설계입력'!$C$34*(1-SIN(B113)/SQRT(1+'1.설계입력'!$C$39^2-2*'1.설계입력'!$C$39*COS(B113)))-'1.설계입력'!$C$33*(1-'1.설계입력'!$C$39*COS(B113)-SQRT(MAX(0,1-'1.설계입력'!$C$39^2))*SIN(B113))/SQRT(1+'1.설계입력'!$C$39^2-2*'1.설계입력'!$C$39*COS(B113)))</f>
        <v>1.513537860064546E-3</v>
      </c>
    </row>
    <row r="114" spans="1:11" x14ac:dyDescent="0.3">
      <c r="A114" s="40">
        <f>A113+'1.설계입력'!$C$12</f>
        <v>21.599999999999955</v>
      </c>
      <c r="B114" s="40">
        <f t="shared" si="3"/>
        <v>0.37699111843077437</v>
      </c>
      <c r="C114" s="40">
        <f>ATAN2('1.설계입력'!$C$6/('1.설계입력'!$C$8*'1.설계입력'!$C$15)-COS((1-'1.설계입력'!$C$15)*B114),SIN((1-'1.설계입력'!$C$15)*B114))</f>
        <v>-0.41768663938954737</v>
      </c>
      <c r="D114" s="40">
        <f>'1.설계입력'!$C$6*COS(B114)-'1.설계입력'!$C$7*COS(B114+C114)-'1.설계입력'!$C$8*COS('1.설계입력'!$C$15*B114)</f>
        <v>73.458509128151235</v>
      </c>
      <c r="E114" s="40">
        <f>-'1.설계입력'!$C$6*SIN(B114)+'1.설계입력'!$C$7*SIN(B114+C114)+'1.설계입력'!$C$8*SIN('1.설계입력'!$C$15*B114)</f>
        <v>-29.467272598002324</v>
      </c>
      <c r="F114" s="40">
        <f>ATAN2(('1.설계입력'!$C$6+'1.설계입력'!$C$33)/('1.설계입력'!$C$8*'1.설계입력'!$C$15)-COS((1-'1.설계입력'!$C$15)*B114),SIN((1-'1.설계입력'!$C$15)*B114))</f>
        <v>-0.41769670884091464</v>
      </c>
      <c r="G114" s="40">
        <f>('1.설계입력'!$C$6+'1.설계입력'!$C$33)*COS(B114)-('1.설계입력'!$C$7+'1.설계입력'!$C$34)*COS(B114+F114)-'1.설계입력'!$C$8*COS('1.설계입력'!$C$15*B114)</f>
        <v>73.447535169622554</v>
      </c>
      <c r="H114" s="40">
        <f>-('1.설계입력'!$C$6+'1.설계입력'!$C$33)*SIN(B114)+('1.설계입력'!$C$7+'1.설계입력'!$C$34)*SIN(B114+F114)+'1.설계입력'!$C$8*SIN('1.설계입력'!$C$15*B114)</f>
        <v>-29.466501280574782</v>
      </c>
      <c r="I114" s="40">
        <f t="shared" si="4"/>
        <v>79.148422079632496</v>
      </c>
      <c r="J114" s="40">
        <f t="shared" si="5"/>
        <v>79.137949936873255</v>
      </c>
      <c r="K114" s="38">
        <f>IF(OR(A114&gt;180,'1.설계입력'!$C$39&gt;=1),"",'1.설계입력'!$C$34*(1-SIN(B114)/SQRT(1+'1.설계입력'!$C$39^2-2*'1.설계입력'!$C$39*COS(B114)))-'1.설계입력'!$C$33*(1-'1.설계입력'!$C$39*COS(B114)-SQRT(MAX(0,1-'1.설계입력'!$C$39^2))*SIN(B114))/SQRT(1+'1.설계입력'!$C$39^2-2*'1.설계입력'!$C$39*COS(B114)))</f>
        <v>1.4765120781274701E-3</v>
      </c>
    </row>
    <row r="115" spans="1:11" x14ac:dyDescent="0.3">
      <c r="A115" s="40">
        <f>A114+'1.설계입력'!$C$12</f>
        <v>21.799999999999955</v>
      </c>
      <c r="B115" s="40">
        <f t="shared" si="3"/>
        <v>0.38048177693476304</v>
      </c>
      <c r="C115" s="40">
        <f>ATAN2('1.설계입력'!$C$6/('1.설계입력'!$C$8*'1.설계입력'!$C$15)-COS((1-'1.설계입력'!$C$15)*B115),SIN((1-'1.설계입력'!$C$15)*B115))</f>
        <v>-0.36279466557418433</v>
      </c>
      <c r="D115" s="40">
        <f>'1.설계입력'!$C$6*COS(B115)-'1.설계입력'!$C$7*COS(B115+C115)-'1.설계입력'!$C$8*COS('1.설계입력'!$C$15*B115)</f>
        <v>73.460884845029184</v>
      </c>
      <c r="E115" s="40">
        <f>-'1.설계입력'!$C$6*SIN(B115)+'1.설계입력'!$C$7*SIN(B115+C115)+'1.설계입력'!$C$8*SIN('1.설계입력'!$C$15*B115)</f>
        <v>-29.677210414192416</v>
      </c>
      <c r="F115" s="40">
        <f>ATAN2(('1.설계입력'!$C$6+'1.설계입력'!$C$33)/('1.설계입력'!$C$8*'1.설계입력'!$C$15)-COS((1-'1.설계입력'!$C$15)*B115),SIN((1-'1.설계입력'!$C$15)*B115))</f>
        <v>-0.36280318531408745</v>
      </c>
      <c r="G115" s="40">
        <f>('1.설계입력'!$C$6+'1.설계입력'!$C$33)*COS(B115)-('1.설계입력'!$C$7+'1.설계입력'!$C$34)*COS(B115+F115)-'1.설계입력'!$C$8*COS('1.설계입력'!$C$15*B115)</f>
        <v>73.44990720210815</v>
      </c>
      <c r="H115" s="40">
        <f>-('1.설계입력'!$C$6+'1.설계입력'!$C$33)*SIN(B115)+('1.설계입력'!$C$7+'1.설계입력'!$C$34)*SIN(B115+F115)+'1.설계입력'!$C$8*SIN('1.설계입력'!$C$15*B115)</f>
        <v>-29.675950058400691</v>
      </c>
      <c r="I115" s="40">
        <f t="shared" si="4"/>
        <v>79.229025111905102</v>
      </c>
      <c r="J115" s="40">
        <f t="shared" si="5"/>
        <v>79.218374635352063</v>
      </c>
      <c r="K115" s="38">
        <f>IF(OR(A115&gt;180,'1.설계입력'!$C$39&gt;=1),"",'1.설계입력'!$C$34*(1-SIN(B115)/SQRT(1+'1.설계입력'!$C$39^2-2*'1.설계입력'!$C$39*COS(B115)))-'1.설계입력'!$C$33*(1-'1.설계입력'!$C$39*COS(B115)-SQRT(MAX(0,1-'1.설계입력'!$C$39^2))*SIN(B115))/SQRT(1+'1.설계입력'!$C$39^2-2*'1.설계입력'!$C$39*COS(B115)))</f>
        <v>1.4401745721719426E-3</v>
      </c>
    </row>
    <row r="116" spans="1:11" x14ac:dyDescent="0.3">
      <c r="A116" s="40">
        <f>A115+'1.설계입력'!$C$12</f>
        <v>21.999999999999954</v>
      </c>
      <c r="B116" s="40">
        <f t="shared" si="3"/>
        <v>0.3839724354387517</v>
      </c>
      <c r="C116" s="40">
        <f>ATAN2('1.설계입력'!$C$6/('1.설계입력'!$C$8*'1.설계입력'!$C$15)-COS((1-'1.설계입력'!$C$15)*B116),SIN((1-'1.설계입력'!$C$15)*B116))</f>
        <v>-0.30711721724522478</v>
      </c>
      <c r="D116" s="40">
        <f>'1.설계입력'!$C$6*COS(B116)-'1.설계입력'!$C$7*COS(B116+C116)-'1.설계입력'!$C$8*COS('1.설계입력'!$C$15*B116)</f>
        <v>73.450422641028183</v>
      </c>
      <c r="E116" s="40">
        <f>-'1.설계입력'!$C$6*SIN(B116)+'1.설계입력'!$C$7*SIN(B116+C116)+'1.설계입력'!$C$8*SIN('1.설계입력'!$C$15*B116)</f>
        <v>-29.897592124710336</v>
      </c>
      <c r="F116" s="40">
        <f>ATAN2(('1.설계입력'!$C$6+'1.설계입력'!$C$33)/('1.설계입력'!$C$8*'1.설계입력'!$C$15)-COS((1-'1.설계입력'!$C$15)*B116),SIN((1-'1.설계입력'!$C$15)*B116))</f>
        <v>-0.30712427424315375</v>
      </c>
      <c r="G116" s="40">
        <f>('1.설계입력'!$C$6+'1.설계입력'!$C$33)*COS(B116)-('1.설계입력'!$C$7+'1.설계입력'!$C$34)*COS(B116+F116)-'1.설계입력'!$C$8*COS('1.설계입력'!$C$15*B116)</f>
        <v>73.439470109917963</v>
      </c>
      <c r="H116" s="40">
        <f>-('1.설계입력'!$C$6+'1.설계입력'!$C$33)*SIN(B116)+('1.설계입력'!$C$7+'1.설계입력'!$C$34)*SIN(B116+F116)+'1.설계입력'!$C$8*SIN('1.설계입력'!$C$15*B116)</f>
        <v>-29.895837131337785</v>
      </c>
      <c r="I116" s="40">
        <f t="shared" si="4"/>
        <v>79.302147518217993</v>
      </c>
      <c r="J116" s="40">
        <f t="shared" si="5"/>
        <v>79.291341568982233</v>
      </c>
      <c r="K116" s="38">
        <f>IF(OR(A116&gt;180,'1.설계입력'!$C$39&gt;=1),"",'1.설계입력'!$C$34*(1-SIN(B116)/SQRT(1+'1.설계입력'!$C$39^2-2*'1.설계입력'!$C$39*COS(B116)))-'1.설계입력'!$C$33*(1-'1.설계입력'!$C$39*COS(B116)-SQRT(MAX(0,1-'1.설계입력'!$C$39^2))*SIN(B116))/SQRT(1+'1.설계입력'!$C$39^2-2*'1.설계입력'!$C$39*COS(B116)))</f>
        <v>1.4045148049421647E-3</v>
      </c>
    </row>
    <row r="117" spans="1:11" x14ac:dyDescent="0.3">
      <c r="A117" s="40">
        <f>A116+'1.설계입력'!$C$12</f>
        <v>22.199999999999953</v>
      </c>
      <c r="B117" s="40">
        <f t="shared" si="3"/>
        <v>0.38746309394274037</v>
      </c>
      <c r="C117" s="40">
        <f>ATAN2('1.설계입력'!$C$6/('1.설계입력'!$C$8*'1.설계입력'!$C$15)-COS((1-'1.설계입력'!$C$15)*B117),SIN((1-'1.설계입력'!$C$15)*B117))</f>
        <v>-0.25082478347397447</v>
      </c>
      <c r="D117" s="40">
        <f>'1.설계입력'!$C$6*COS(B117)-'1.설계입력'!$C$7*COS(B117+C117)-'1.설계입력'!$C$8*COS('1.설계입력'!$C$15*B117)</f>
        <v>73.425891352448048</v>
      </c>
      <c r="E117" s="40">
        <f>-'1.설계입력'!$C$6*SIN(B117)+'1.설계입력'!$C$7*SIN(B117+C117)+'1.설계입력'!$C$8*SIN('1.설계입력'!$C$15*B117)</f>
        <v>-30.126222848162435</v>
      </c>
      <c r="F117" s="40">
        <f>ATAN2(('1.설계입력'!$C$6+'1.설계입력'!$C$33)/('1.설계입력'!$C$8*'1.설계입력'!$C$15)-COS((1-'1.설계입력'!$C$15)*B117),SIN((1-'1.설계입력'!$C$15)*B117))</f>
        <v>-0.2508304463025548</v>
      </c>
      <c r="G117" s="40">
        <f>('1.설계입력'!$C$6+'1.설계입력'!$C$33)*COS(B117)-('1.설계입력'!$C$7+'1.설계입력'!$C$34)*COS(B117+F117)-'1.설계입력'!$C$8*COS('1.설계입력'!$C$15*B117)</f>
        <v>73.414993558079047</v>
      </c>
      <c r="H117" s="40">
        <f>-('1.설계입력'!$C$6+'1.설계입력'!$C$33)*SIN(B117)+('1.설계입력'!$C$7+'1.설계입력'!$C$34)*SIN(B117+F117)+'1.설계입력'!$C$8*SIN('1.설계입력'!$C$15*B117)</f>
        <v>-30.123970697743385</v>
      </c>
      <c r="I117" s="40">
        <f t="shared" si="4"/>
        <v>79.365929869174025</v>
      </c>
      <c r="J117" s="40">
        <f t="shared" si="5"/>
        <v>79.354992846898369</v>
      </c>
      <c r="K117" s="38">
        <f>IF(OR(A117&gt;180,'1.설계입력'!$C$39&gt;=1),"",'1.설계입력'!$C$34*(1-SIN(B117)/SQRT(1+'1.설계입력'!$C$39^2-2*'1.설계입력'!$C$39*COS(B117)))-'1.설계입력'!$C$33*(1-'1.설계입력'!$C$39*COS(B117)-SQRT(MAX(0,1-'1.설계입력'!$C$39^2))*SIN(B117))/SQRT(1+'1.설계입력'!$C$39^2-2*'1.설계입력'!$C$39*COS(B117)))</f>
        <v>1.3695223780045638E-3</v>
      </c>
    </row>
    <row r="118" spans="1:11" x14ac:dyDescent="0.3">
      <c r="A118" s="40">
        <f>A117+'1.설계입력'!$C$12</f>
        <v>22.399999999999952</v>
      </c>
      <c r="B118" s="40">
        <f t="shared" si="3"/>
        <v>0.39095375244672897</v>
      </c>
      <c r="C118" s="40">
        <f>ATAN2('1.설계입력'!$C$6/('1.설계입력'!$C$8*'1.설계입력'!$C$15)-COS((1-'1.설계입력'!$C$15)*B118),SIN((1-'1.설계입력'!$C$15)*B118))</f>
        <v>-0.19406103898015001</v>
      </c>
      <c r="D118" s="40">
        <f>'1.설계입력'!$C$6*COS(B118)-'1.설계입력'!$C$7*COS(B118+C118)-'1.설계입력'!$C$8*COS('1.설계입력'!$C$15*B118)</f>
        <v>73.386404159583776</v>
      </c>
      <c r="E118" s="40">
        <f>-'1.설계입력'!$C$6*SIN(B118)+'1.설계입력'!$C$7*SIN(B118+C118)+'1.설계입력'!$C$8*SIN('1.설계입력'!$C$15*B118)</f>
        <v>-30.360644034433232</v>
      </c>
      <c r="F118" s="40">
        <f>ATAN2(('1.설계입력'!$C$6+'1.설계입력'!$C$33)/('1.설계입력'!$C$8*'1.설계입력'!$C$15)-COS((1-'1.설계입력'!$C$15)*B118),SIN((1-'1.설계입력'!$C$15)*B118))</f>
        <v>-0.19406536047717396</v>
      </c>
      <c r="G118" s="40">
        <f>('1.설계입력'!$C$6+'1.설계입력'!$C$33)*COS(B118)-('1.설계입력'!$C$7+'1.설계입력'!$C$34)*COS(B118+F118)-'1.설계입력'!$C$8*COS('1.설계입력'!$C$15*B118)</f>
        <v>73.375591177270479</v>
      </c>
      <c r="H118" s="40">
        <f>-('1.설계입력'!$C$6+'1.설계입력'!$C$33)*SIN(B118)+('1.설계입력'!$C$7+'1.설계입력'!$C$34)*SIN(B118+F118)+'1.설계입력'!$C$8*SIN('1.설계입력'!$C$15*B118)</f>
        <v>-30.35789515607587</v>
      </c>
      <c r="I118" s="40">
        <f t="shared" si="4"/>
        <v>79.418719592167562</v>
      </c>
      <c r="J118" s="40">
        <f t="shared" si="5"/>
        <v>79.40767707798301</v>
      </c>
      <c r="K118" s="38">
        <f>IF(OR(A118&gt;180,'1.설계입력'!$C$39&gt;=1),"",'1.설계입력'!$C$34*(1-SIN(B118)/SQRT(1+'1.설계입력'!$C$39^2-2*'1.설계입력'!$C$39*COS(B118)))-'1.설계입력'!$C$33*(1-'1.설계입력'!$C$39*COS(B118)-SQRT(MAX(0,1-'1.설계입력'!$C$39^2))*SIN(B118))/SQRT(1+'1.설계입력'!$C$39^2-2*'1.설계입력'!$C$39*COS(B118)))</f>
        <v>1.3351870326389094E-3</v>
      </c>
    </row>
    <row r="119" spans="1:11" x14ac:dyDescent="0.3">
      <c r="A119" s="40">
        <f>A118+'1.설계입력'!$C$12</f>
        <v>22.599999999999952</v>
      </c>
      <c r="B119" s="40">
        <f t="shared" si="3"/>
        <v>0.39444441095071764</v>
      </c>
      <c r="C119" s="40">
        <f>ATAN2('1.설계입력'!$C$6/('1.설계입력'!$C$8*'1.설계입력'!$C$15)-COS((1-'1.설계입력'!$C$15)*B119),SIN((1-'1.설계입력'!$C$15)*B119))</f>
        <v>-0.13695037052043527</v>
      </c>
      <c r="D119" s="40">
        <f>'1.설계입력'!$C$6*COS(B119)-'1.설계입력'!$C$7*COS(B119+C119)-'1.설계입력'!$C$8*COS('1.설계입력'!$C$15*B119)</f>
        <v>73.331459172466154</v>
      </c>
      <c r="E119" s="40">
        <f>-'1.설계입력'!$C$6*SIN(B119)+'1.설계입력'!$C$7*SIN(B119+C119)+'1.설계입력'!$C$8*SIN('1.설계입력'!$C$15*B119)</f>
        <v>-30.598219116712144</v>
      </c>
      <c r="F119" s="40">
        <f>ATAN2(('1.설계입력'!$C$6+'1.설계입력'!$C$33)/('1.설계입력'!$C$8*'1.설계입력'!$C$15)-COS((1-'1.설계입력'!$C$15)*B119),SIN((1-'1.설계입력'!$C$15)*B119))</f>
        <v>-0.1369533897370766</v>
      </c>
      <c r="G119" s="40">
        <f>('1.설계입력'!$C$6+'1.설계입력'!$C$33)*COS(B119)-('1.설계입력'!$C$7+'1.설계입력'!$C$34)*COS(B119+F119)-'1.설계입력'!$C$8*COS('1.설계입력'!$C$15*B119)</f>
        <v>73.320761186582061</v>
      </c>
      <c r="H119" s="40">
        <f>-('1.설계입력'!$C$6+'1.설계입력'!$C$33)*SIN(B119)+('1.설계입력'!$C$7+'1.설계입력'!$C$34)*SIN(B119+F119)+'1.설계입력'!$C$8*SIN('1.설계입력'!$C$15*B119)</f>
        <v>-30.594976773667096</v>
      </c>
      <c r="I119" s="40">
        <f t="shared" si="4"/>
        <v>79.459133631555531</v>
      </c>
      <c r="J119" s="40">
        <f t="shared" si="5"/>
        <v>79.448012088163836</v>
      </c>
      <c r="K119" s="38">
        <f>IF(OR(A119&gt;180,'1.설계입력'!$C$39&gt;=1),"",'1.설계입력'!$C$34*(1-SIN(B119)/SQRT(1+'1.설계입력'!$C$39^2-2*'1.설계입력'!$C$39*COS(B119)))-'1.설계입력'!$C$33*(1-'1.설계입력'!$C$39*COS(B119)-SQRT(MAX(0,1-'1.설계입력'!$C$39^2))*SIN(B119))/SQRT(1+'1.설계입력'!$C$39^2-2*'1.설계입력'!$C$39*COS(B119)))</f>
        <v>1.3014986505174725E-3</v>
      </c>
    </row>
    <row r="120" spans="1:11" x14ac:dyDescent="0.3">
      <c r="A120" s="40">
        <f>A119+'1.설계입력'!$C$12</f>
        <v>22.799999999999951</v>
      </c>
      <c r="B120" s="40">
        <f t="shared" si="3"/>
        <v>0.3979350694547063</v>
      </c>
      <c r="C120" s="40">
        <f>ATAN2('1.설계입력'!$C$6/('1.설계입력'!$C$8*'1.설계입력'!$C$15)-COS((1-'1.설계입력'!$C$15)*B120),SIN((1-'1.설계입력'!$C$15)*B120))</f>
        <v>-7.9603669563841281E-2</v>
      </c>
      <c r="D120" s="40">
        <f>'1.설계입력'!$C$6*COS(B120)-'1.설계입력'!$C$7*COS(B120+C120)-'1.설계입력'!$C$8*COS('1.설계입력'!$C$15*B120)</f>
        <v>73.260963902584038</v>
      </c>
      <c r="E120" s="40">
        <f>-'1.설계입력'!$C$6*SIN(B120)+'1.설계입력'!$C$7*SIN(B120+C120)+'1.설계입력'!$C$8*SIN('1.설계입력'!$C$15*B120)</f>
        <v>-30.836216708831973</v>
      </c>
      <c r="F120" s="40">
        <f>ATAN2(('1.설계입력'!$C$6+'1.설계입력'!$C$33)/('1.설계입력'!$C$8*'1.설계입력'!$C$15)-COS((1-'1.설계입력'!$C$15)*B120),SIN((1-'1.설계입력'!$C$15)*B120))</f>
        <v>-7.9605413145529755E-2</v>
      </c>
      <c r="G120" s="40">
        <f>('1.설계입력'!$C$6+'1.설계입력'!$C$33)*COS(B120)-('1.설계입력'!$C$7+'1.설계입력'!$C$34)*COS(B120+F120)-'1.설계입력'!$C$8*COS('1.설계입력'!$C$15*B120)</f>
        <v>73.250410891803554</v>
      </c>
      <c r="H120" s="40">
        <f>-('1.설계입력'!$C$6+'1.설계입력'!$C$33)*SIN(B120)+('1.설계입력'!$C$7+'1.설계입력'!$C$34)*SIN(B120+F120)+'1.설계입력'!$C$8*SIN('1.설계입력'!$C$15*B120)</f>
        <v>-30.832486891802969</v>
      </c>
      <c r="I120" s="40">
        <f t="shared" si="4"/>
        <v>79.486106288141769</v>
      </c>
      <c r="J120" s="40">
        <f t="shared" si="5"/>
        <v>79.47493280117483</v>
      </c>
      <c r="K120" s="38">
        <f>IF(OR(A120&gt;180,'1.설계입력'!$C$39&gt;=1),"",'1.설계입력'!$C$34*(1-SIN(B120)/SQRT(1+'1.설계입력'!$C$39^2-2*'1.설계입력'!$C$39*COS(B120)))-'1.설계입력'!$C$33*(1-'1.설계입력'!$C$39*COS(B120)-SQRT(MAX(0,1-'1.설계입력'!$C$39^2))*SIN(B120))/SQRT(1+'1.설계입력'!$C$39^2-2*'1.설계입력'!$C$39*COS(B120)))</f>
        <v>1.2684472541855346E-3</v>
      </c>
    </row>
    <row r="121" spans="1:11" x14ac:dyDescent="0.3">
      <c r="A121" s="40">
        <f>A120+'1.설계입력'!$C$12</f>
        <v>22.99999999999995</v>
      </c>
      <c r="B121" s="40">
        <f t="shared" si="3"/>
        <v>0.40142572795869491</v>
      </c>
      <c r="C121" s="40">
        <f>ATAN2('1.설계입력'!$C$6/('1.설계입력'!$C$8*'1.설계입력'!$C$15)-COS((1-'1.설계입력'!$C$15)*B121),SIN((1-'1.설계입력'!$C$15)*B121))</f>
        <v>-2.2122987273428801E-2</v>
      </c>
      <c r="D121" s="40">
        <f>'1.설계입력'!$C$6*COS(B121)-'1.설계입력'!$C$7*COS(B121+C121)-'1.설계입력'!$C$8*COS('1.설계입력'!$C$15*B121)</f>
        <v>73.175244764026274</v>
      </c>
      <c r="E121" s="40">
        <f>-'1.설계입력'!$C$6*SIN(B121)+'1.설계입력'!$C$7*SIN(B121+C121)+'1.설계입력'!$C$8*SIN('1.설계입력'!$C$15*B121)</f>
        <v>-31.071891314177915</v>
      </c>
      <c r="F121" s="40">
        <f>ATAN2(('1.설계입력'!$C$6+'1.설계입력'!$C$33)/('1.설계입력'!$C$8*'1.설계입력'!$C$15)-COS((1-'1.설계입력'!$C$15)*B121),SIN((1-'1.설계입력'!$C$15)*B121))</f>
        <v>-2.2123470372772965E-2</v>
      </c>
      <c r="G121" s="40">
        <f>('1.설계입력'!$C$6+'1.설계입력'!$C$33)*COS(B121)-('1.설계입력'!$C$7+'1.설계입력'!$C$34)*COS(B121+F121)-'1.설계입력'!$C$8*COS('1.설계입력'!$C$15*B121)</f>
        <v>73.164866205413517</v>
      </c>
      <c r="H121" s="40">
        <f>-('1.설계입력'!$C$6+'1.설계입력'!$C$33)*SIN(B121)+('1.설계입력'!$C$7+'1.설계입력'!$C$34)*SIN(B121+F121)+'1.설계입력'!$C$8*SIN('1.설계입력'!$C$15*B121)</f>
        <v>-31.067682636203401</v>
      </c>
      <c r="I121" s="40">
        <f t="shared" si="4"/>
        <v>79.498923741867344</v>
      </c>
      <c r="J121" s="40">
        <f t="shared" si="5"/>
        <v>79.487725789834471</v>
      </c>
      <c r="K121" s="38">
        <f>IF(OR(A121&gt;180,'1.설계입력'!$C$39&gt;=1),"",'1.설계입력'!$C$34*(1-SIN(B121)/SQRT(1+'1.설계입력'!$C$39^2-2*'1.설계입력'!$C$39*COS(B121)))-'1.설계입력'!$C$33*(1-'1.설계입력'!$C$39*COS(B121)-SQRT(MAX(0,1-'1.설계입력'!$C$39^2))*SIN(B121))/SQRT(1+'1.설계입력'!$C$39^2-2*'1.설계입력'!$C$39*COS(B121)))</f>
        <v>1.2360230073559253E-3</v>
      </c>
    </row>
    <row r="122" spans="1:11" x14ac:dyDescent="0.3">
      <c r="A122" s="40">
        <f>A121+'1.설계입력'!$C$12</f>
        <v>23.19999999999995</v>
      </c>
      <c r="B122" s="40">
        <f t="shared" si="3"/>
        <v>0.40491638646268358</v>
      </c>
      <c r="C122" s="40">
        <f>ATAN2('1.설계입력'!$C$6/('1.설계입력'!$C$8*'1.설계입력'!$C$15)-COS((1-'1.설계입력'!$C$15)*B122),SIN((1-'1.설계입력'!$C$15)*B122))</f>
        <v>3.5394520094140423E-2</v>
      </c>
      <c r="D122" s="40">
        <f>'1.설계입력'!$C$6*COS(B122)-'1.설계입력'!$C$7*COS(B122+C122)-'1.설계입력'!$C$8*COS('1.설계입력'!$C$15*B122)</f>
        <v>73.075042439731106</v>
      </c>
      <c r="E122" s="40">
        <f>-'1.설계입력'!$C$6*SIN(B122)+'1.설계입력'!$C$7*SIN(B122+C122)+'1.설계입력'!$C$8*SIN('1.설계입력'!$C$15*B122)</f>
        <v>-31.302560979838354</v>
      </c>
      <c r="F122" s="40">
        <f>ATAN2(('1.설계입력'!$C$6+'1.설계입력'!$C$33)/('1.설계입력'!$C$8*'1.설계입력'!$C$15)-COS((1-'1.설계입력'!$C$15)*B122),SIN((1-'1.설계입력'!$C$15)*B122))</f>
        <v>3.5395293308907887E-2</v>
      </c>
      <c r="G122" s="40">
        <f>('1.설계입력'!$C$6+'1.설계입력'!$C$33)*COS(B122)-('1.설계입력'!$C$7+'1.설계입력'!$C$34)*COS(B122+F122)-'1.설계입력'!$C$8*COS('1.설계입력'!$C$15*B122)</f>
        <v>73.064867025634413</v>
      </c>
      <c r="H122" s="40">
        <f>-('1.설계입력'!$C$6+'1.설계입력'!$C$33)*SIN(B122)+('1.설계입력'!$C$7+'1.설계입력'!$C$34)*SIN(B122+F122)+'1.설계입력'!$C$8*SIN('1.설계입력'!$C$15*B122)</f>
        <v>-31.297884568418425</v>
      </c>
      <c r="I122" s="40">
        <f t="shared" si="4"/>
        <v>79.497246187934095</v>
      </c>
      <c r="J122" s="40">
        <f t="shared" si="5"/>
        <v>79.486051429994205</v>
      </c>
      <c r="K122" s="38">
        <f>IF(OR(A122&gt;180,'1.설계입력'!$C$39&gt;=1),"",'1.설계입력'!$C$34*(1-SIN(B122)/SQRT(1+'1.설계입력'!$C$39^2-2*'1.설계입력'!$C$39*COS(B122)))-'1.설계입력'!$C$33*(1-'1.설계입력'!$C$39*COS(B122)-SQRT(MAX(0,1-'1.설계입력'!$C$39^2))*SIN(B122))/SQRT(1+'1.설계입력'!$C$39^2-2*'1.설계입력'!$C$39*COS(B122)))</f>
        <v>1.2042162150298419E-3</v>
      </c>
    </row>
    <row r="123" spans="1:11" x14ac:dyDescent="0.3">
      <c r="A123" s="40">
        <f>A122+'1.설계입력'!$C$12</f>
        <v>23.399999999999949</v>
      </c>
      <c r="B123" s="40">
        <f t="shared" si="3"/>
        <v>0.40840704496667224</v>
      </c>
      <c r="C123" s="40">
        <f>ATAN2('1.설계입력'!$C$6/('1.설계입력'!$C$8*'1.설계입력'!$C$15)-COS((1-'1.설계입력'!$C$15)*B123),SIN((1-'1.설계입력'!$C$15)*B123))</f>
        <v>9.2853026011136097E-2</v>
      </c>
      <c r="D123" s="40">
        <f>'1.설계입력'!$C$6*COS(B123)-'1.설계입력'!$C$7*COS(B123+C123)-'1.설계입력'!$C$8*COS('1.설계입력'!$C$15*B123)</f>
        <v>72.961493777090567</v>
      </c>
      <c r="E123" s="40">
        <f>-'1.설계입력'!$C$6*SIN(B123)+'1.설계입력'!$C$7*SIN(B123+C123)+'1.설계입력'!$C$8*SIN('1.설계입력'!$C$15*B123)</f>
        <v>-31.52568101442013</v>
      </c>
      <c r="F123" s="40">
        <f>ATAN2(('1.설계입력'!$C$6+'1.설계입력'!$C$33)/('1.설계입력'!$C$8*'1.설계입력'!$C$15)-COS((1-'1.설계입력'!$C$15)*B123),SIN((1-'1.설계입력'!$C$15)*B123))</f>
        <v>9.2855062217664111E-2</v>
      </c>
      <c r="G123" s="40">
        <f>('1.설계입력'!$C$6+'1.설계입력'!$C$33)*COS(B123)-('1.설계입력'!$C$7+'1.설계입력'!$C$34)*COS(B123+F123)-'1.설계입력'!$C$8*COS('1.설계입력'!$C$15*B123)</f>
        <v>72.951549139708348</v>
      </c>
      <c r="H123" s="40">
        <f>-('1.설계입력'!$C$6+'1.설계입력'!$C$33)*SIN(B123)+('1.설계입력'!$C$7+'1.설계입력'!$C$34)*SIN(B123+F123)+'1.설계입력'!$C$8*SIN('1.설계입력'!$C$15*B123)</f>
        <v>-31.520550397778052</v>
      </c>
      <c r="I123" s="40">
        <f t="shared" si="4"/>
        <v>79.481118120012596</v>
      </c>
      <c r="J123" s="40">
        <f t="shared" si="5"/>
        <v>79.469954191896619</v>
      </c>
      <c r="K123" s="38">
        <f>IF(OR(A123&gt;180,'1.설계입력'!$C$39&gt;=1),"",'1.설계입력'!$C$34*(1-SIN(B123)/SQRT(1+'1.설계입력'!$C$39^2-2*'1.설계입력'!$C$39*COS(B123)))-'1.설계입력'!$C$33*(1-'1.설계입력'!$C$39*COS(B123)-SQRT(MAX(0,1-'1.설계입력'!$C$39^2))*SIN(B123))/SQRT(1+'1.설계입력'!$C$39^2-2*'1.설계입력'!$C$39*COS(B123)))</f>
        <v>1.1730173234554141E-3</v>
      </c>
    </row>
    <row r="124" spans="1:11" x14ac:dyDescent="0.3">
      <c r="A124" s="40">
        <f>A123+'1.설계입력'!$C$12</f>
        <v>23.599999999999948</v>
      </c>
      <c r="B124" s="40">
        <f t="shared" si="3"/>
        <v>0.41189770347066085</v>
      </c>
      <c r="C124" s="40">
        <f>ATAN2('1.설계입력'!$C$6/('1.설계입력'!$C$8*'1.설계입력'!$C$15)-COS((1-'1.설계입력'!$C$15)*B124),SIN((1-'1.설계입력'!$C$15)*B124))</f>
        <v>0.15015457019098746</v>
      </c>
      <c r="D124" s="40">
        <f>'1.설계입력'!$C$6*COS(B124)-'1.설계입력'!$C$7*COS(B124+C124)-'1.설계입력'!$C$8*COS('1.설계입력'!$C$15*B124)</f>
        <v>72.836100772252436</v>
      </c>
      <c r="E124" s="40">
        <f>-'1.설계입력'!$C$6*SIN(B124)+'1.설계입력'!$C$7*SIN(B124+C124)+'1.설계입력'!$C$8*SIN('1.설계입력'!$C$15*B124)</f>
        <v>-31.738912715683824</v>
      </c>
      <c r="F124" s="40">
        <f>ATAN2(('1.설계입력'!$C$6+'1.설계입력'!$C$33)/('1.설계입력'!$C$8*'1.설계입력'!$C$15)-COS((1-'1.설계입력'!$C$15)*B124),SIN((1-'1.설계입력'!$C$15)*B124))</f>
        <v>0.15015788713496478</v>
      </c>
      <c r="G124" s="40">
        <f>('1.설계입력'!$C$6+'1.설계입력'!$C$33)*COS(B124)-('1.설계입력'!$C$7+'1.설계입력'!$C$34)*COS(B124+F124)-'1.설계입력'!$C$8*COS('1.설계입력'!$C$15*B124)</f>
        <v>72.826413211018703</v>
      </c>
      <c r="H124" s="40">
        <f>-('1.설계입력'!$C$6+'1.설계입력'!$C$33)*SIN(B124)+('1.설계입력'!$C$7+'1.설계입력'!$C$34)*SIN(B124+F124)+'1.설계입력'!$C$8*SIN('1.설계입력'!$C$15*B124)</f>
        <v>-31.733343700849932</v>
      </c>
      <c r="I124" s="40">
        <f t="shared" si="4"/>
        <v>79.450966992727714</v>
      </c>
      <c r="J124" s="40">
        <f t="shared" si="5"/>
        <v>79.439861301605447</v>
      </c>
      <c r="K124" s="38">
        <f>IF(OR(A124&gt;180,'1.설계입력'!$C$39&gt;=1),"",'1.설계입력'!$C$34*(1-SIN(B124)/SQRT(1+'1.설계입력'!$C$39^2-2*'1.설계입력'!$C$39*COS(B124)))-'1.설계입력'!$C$33*(1-'1.설계입력'!$C$39*COS(B124)-SQRT(MAX(0,1-'1.설계입력'!$C$39^2))*SIN(B124))/SQRT(1+'1.설계입력'!$C$39^2-2*'1.설계입력'!$C$39*COS(B124)))</f>
        <v>1.1424169199351309E-3</v>
      </c>
    </row>
    <row r="125" spans="1:11" x14ac:dyDescent="0.3">
      <c r="A125" s="40">
        <f>A124+'1.설계입력'!$C$12</f>
        <v>23.799999999999947</v>
      </c>
      <c r="B125" s="40">
        <f t="shared" si="3"/>
        <v>0.41538836197464951</v>
      </c>
      <c r="C125" s="40">
        <f>ATAN2('1.설계입력'!$C$6/('1.설계입력'!$C$8*'1.설계입력'!$C$15)-COS((1-'1.설계입력'!$C$15)*B125),SIN((1-'1.설계입력'!$C$15)*B125))</f>
        <v>0.20719543158954776</v>
      </c>
      <c r="D125" s="40">
        <f>'1.설계입력'!$C$6*COS(B125)-'1.설계입력'!$C$7*COS(B125+C125)-'1.설계입력'!$C$8*COS('1.설계입력'!$C$15*B125)</f>
        <v>72.70068710985737</v>
      </c>
      <c r="E125" s="40">
        <f>-'1.설계입력'!$C$6*SIN(B125)+'1.설계입력'!$C$7*SIN(B125+C125)+'1.설계입력'!$C$8*SIN('1.설계입력'!$C$15*B125)</f>
        <v>-31.940185980807122</v>
      </c>
      <c r="F125" s="40">
        <f>ATAN2(('1.설계입력'!$C$6+'1.설계입력'!$C$33)/('1.설계입력'!$C$8*'1.설계입력'!$C$15)-COS((1-'1.설계입력'!$C$15)*B125),SIN((1-'1.설계입력'!$C$15)*B125))</f>
        <v>0.20720005868245145</v>
      </c>
      <c r="G125" s="40">
        <f>('1.설계입력'!$C$6+'1.설계입력'!$C$33)*COS(B125)-('1.설계입력'!$C$7+'1.설계입력'!$C$34)*COS(B125+F125)-'1.설계입력'!$C$8*COS('1.설계입력'!$C$15*B125)</f>
        <v>72.691281316497097</v>
      </c>
      <c r="H125" s="40">
        <f>-('1.설계입력'!$C$6+'1.설계입력'!$C$33)*SIN(B125)+('1.설계입력'!$C$7+'1.설계입력'!$C$34)*SIN(B125+F125)+'1.설계입력'!$C$8*SIN('1.설계입력'!$C$15*B125)</f>
        <v>-31.934196521725326</v>
      </c>
      <c r="I125" s="40">
        <f t="shared" si="4"/>
        <v>79.407590233767507</v>
      </c>
      <c r="J125" s="40">
        <f t="shared" si="5"/>
        <v>79.396569742793631</v>
      </c>
      <c r="K125" s="38">
        <f>IF(OR(A125&gt;180,'1.설계입력'!$C$39&gt;=1),"",'1.설계입력'!$C$34*(1-SIN(B125)/SQRT(1+'1.설계입력'!$C$39^2-2*'1.설계입력'!$C$39*COS(B125)))-'1.설계입력'!$C$33*(1-'1.설계입력'!$C$39*COS(B125)-SQRT(MAX(0,1-'1.설계입력'!$C$39^2))*SIN(B125))/SQRT(1+'1.설계입력'!$C$39^2-2*'1.설계입력'!$C$39*COS(B125)))</f>
        <v>1.1124057324925977E-3</v>
      </c>
    </row>
    <row r="126" spans="1:11" x14ac:dyDescent="0.3">
      <c r="A126" s="40">
        <f>A125+'1.설계입력'!$C$12</f>
        <v>23.999999999999947</v>
      </c>
      <c r="B126" s="40">
        <f t="shared" si="3"/>
        <v>0.41887902047863818</v>
      </c>
      <c r="C126" s="40">
        <f>ATAN2('1.설계입력'!$C$6/('1.설계입력'!$C$8*'1.설계입력'!$C$15)-COS((1-'1.설계입력'!$C$15)*B126),SIN((1-'1.설계입력'!$C$15)*B126))</f>
        <v>0.26386205120309653</v>
      </c>
      <c r="D126" s="40">
        <f>'1.설계입력'!$C$6*COS(B126)-'1.설계입력'!$C$7*COS(B126+C126)-'1.설계입력'!$C$8*COS('1.설계입력'!$C$15*B126)</f>
        <v>72.557342594600996</v>
      </c>
      <c r="E126" s="40">
        <f>-'1.설계입력'!$C$6*SIN(B126)+'1.설계입력'!$C$7*SIN(B126+C126)+'1.설계입력'!$C$8*SIN('1.설계입력'!$C$15*B126)</f>
        <v>-32.127754671089043</v>
      </c>
      <c r="F126" s="40">
        <f>ATAN2(('1.설계입력'!$C$6+'1.설계입력'!$C$33)/('1.설계입력'!$C$8*'1.설계입력'!$C$15)-COS((1-'1.설계입력'!$C$15)*B126),SIN((1-'1.설계입력'!$C$15)*B126))</f>
        <v>0.26386803053630076</v>
      </c>
      <c r="G126" s="40">
        <f>('1.설계입력'!$C$6+'1.설계입력'!$C$33)*COS(B126)-('1.설계입력'!$C$7+'1.설계입력'!$C$34)*COS(B126+F126)-'1.설계입력'!$C$8*COS('1.설계입력'!$C$15*B126)</f>
        <v>72.548241369780058</v>
      </c>
      <c r="H126" s="40">
        <f>-('1.설계입력'!$C$6+'1.설계입력'!$C$33)*SIN(B126)+('1.설계입력'!$C$7+'1.설계입력'!$C$34)*SIN(B126+F126)+'1.설계입력'!$C$8*SIN('1.설계입력'!$C$15*B126)</f>
        <v>-32.121364725254118</v>
      </c>
      <c r="I126" s="40">
        <f t="shared" si="4"/>
        <v>79.352130309122671</v>
      </c>
      <c r="J126" s="40">
        <f t="shared" si="5"/>
        <v>79.341221301796622</v>
      </c>
      <c r="K126" s="38">
        <f>IF(OR(A126&gt;180,'1.설계입력'!$C$39&gt;=1),"",'1.설계입력'!$C$34*(1-SIN(B126)/SQRT(1+'1.설계입력'!$C$39^2-2*'1.설계입력'!$C$39*COS(B126)))-'1.설계입력'!$C$33*(1-'1.설계입력'!$C$39*COS(B126)-SQRT(MAX(0,1-'1.설계입력'!$C$39^2))*SIN(B126))/SQRT(1+'1.설계입력'!$C$39^2-2*'1.설계입력'!$C$39*COS(B126)))</f>
        <v>1.0829746294086365E-3</v>
      </c>
    </row>
    <row r="127" spans="1:11" x14ac:dyDescent="0.3">
      <c r="A127" s="40">
        <f>A126+'1.설계입력'!$C$12</f>
        <v>24.199999999999946</v>
      </c>
      <c r="B127" s="40">
        <f t="shared" si="3"/>
        <v>0.42236967898262678</v>
      </c>
      <c r="C127" s="40">
        <f>ATAN2('1.설계입력'!$C$6/('1.설계입력'!$C$8*'1.설계입력'!$C$15)-COS((1-'1.설계입력'!$C$15)*B127),SIN((1-'1.설계입력'!$C$15)*B127))</f>
        <v>0.32002615733432216</v>
      </c>
      <c r="D127" s="40">
        <f>'1.설계입력'!$C$6*COS(B127)-'1.설계입력'!$C$7*COS(B127+C127)-'1.설계입력'!$C$8*COS('1.설계입력'!$C$15*B127)</f>
        <v>72.408355586678837</v>
      </c>
      <c r="E127" s="40">
        <f>-'1.설계입력'!$C$6*SIN(B127)+'1.설계입력'!$C$7*SIN(B127+C127)+'1.설계입력'!$C$8*SIN('1.설계입력'!$C$15*B127)</f>
        <v>-32.300243658813336</v>
      </c>
      <c r="F127" s="40">
        <f>ATAN2(('1.설계입력'!$C$6+'1.설계입력'!$C$33)/('1.설계입력'!$C$8*'1.설계입력'!$C$15)-COS((1-'1.설계입력'!$C$15)*B127),SIN((1-'1.설계입력'!$C$15)*B127))</f>
        <v>0.32003354518057625</v>
      </c>
      <c r="G127" s="40">
        <f>('1.설계입력'!$C$6+'1.설계입력'!$C$33)*COS(B127)-('1.설계입력'!$C$7+'1.설계입력'!$C$34)*COS(B127+F127)-'1.설계입력'!$C$8*COS('1.설계입력'!$C$15*B127)</f>
        <v>72.399579540468835</v>
      </c>
      <c r="H127" s="40">
        <f>-('1.설계입력'!$C$6+'1.설계입력'!$C$33)*SIN(B127)+('1.설계입력'!$C$7+'1.설계입력'!$C$34)*SIN(B127+F127)+'1.설계입력'!$C$8*SIN('1.설계입력'!$C$15*B127)</f>
        <v>-32.293475031103185</v>
      </c>
      <c r="I127" s="40">
        <f t="shared" si="4"/>
        <v>79.286037227153912</v>
      </c>
      <c r="J127" s="40">
        <f t="shared" si="5"/>
        <v>79.275265040371565</v>
      </c>
      <c r="K127" s="38">
        <f>IF(OR(A127&gt;180,'1.설계입력'!$C$39&gt;=1),"",'1.설계입력'!$C$34*(1-SIN(B127)/SQRT(1+'1.설계입력'!$C$39^2-2*'1.설계입력'!$C$39*COS(B127)))-'1.설계입력'!$C$33*(1-'1.설계입력'!$C$39*COS(B127)-SQRT(MAX(0,1-'1.설계입력'!$C$39^2))*SIN(B127))/SQRT(1+'1.설계입력'!$C$39^2-2*'1.설계입력'!$C$39*COS(B127)))</f>
        <v>1.054114618636204E-3</v>
      </c>
    </row>
    <row r="128" spans="1:11" x14ac:dyDescent="0.3">
      <c r="A128" s="40">
        <f>A127+'1.설계입력'!$C$12</f>
        <v>24.399999999999945</v>
      </c>
      <c r="B128" s="40">
        <f t="shared" si="3"/>
        <v>0.42586033748661545</v>
      </c>
      <c r="C128" s="40">
        <f>ATAN2('1.설계입력'!$C$6/('1.설계입력'!$C$8*'1.설계입력'!$C$15)-COS((1-'1.설계입력'!$C$15)*B128),SIN((1-'1.설계입력'!$C$15)*B128))</f>
        <v>0.37553863366516993</v>
      </c>
      <c r="D128" s="40">
        <f>'1.설계입력'!$C$6*COS(B128)-'1.설계입력'!$C$7*COS(B128+C128)-'1.설계입력'!$C$8*COS('1.설계입력'!$C$15*B128)</f>
        <v>72.256133159792185</v>
      </c>
      <c r="E128" s="40">
        <f>-'1.설계입력'!$C$6*SIN(B128)+'1.설계입력'!$C$7*SIN(B128+C128)+'1.설계입력'!$C$8*SIN('1.설계입력'!$C$15*B128)</f>
        <v>-32.456686590253263</v>
      </c>
      <c r="F128" s="40">
        <f>ATAN2(('1.설계입력'!$C$6+'1.설계입력'!$C$33)/('1.설계입력'!$C$8*'1.설계입력'!$C$15)-COS((1-'1.설계입력'!$C$15)*B128),SIN((1-'1.설계입력'!$C$15)*B128))</f>
        <v>0.37554750257653002</v>
      </c>
      <c r="G128" s="40">
        <f>('1.설계입력'!$C$6+'1.설계입력'!$C$33)*COS(B128)-('1.설계입력'!$C$7+'1.설계입력'!$C$34)*COS(B128+F128)-'1.설계입력'!$C$8*COS('1.설계입력'!$C$15*B128)</f>
        <v>72.247700385393259</v>
      </c>
      <c r="H128" s="40">
        <f>-('1.설계입력'!$C$6+'1.설계입력'!$C$33)*SIN(B128)+('1.설계입력'!$C$7+'1.설계입력'!$C$34)*SIN(B128+F128)+'1.설계입력'!$C$8*SIN('1.설계입력'!$C$15*B128)</f>
        <v>-32.449562762666311</v>
      </c>
      <c r="I128" s="40">
        <f t="shared" si="4"/>
        <v>79.21101743838129</v>
      </c>
      <c r="J128" s="40">
        <f t="shared" si="5"/>
        <v>79.200406150888981</v>
      </c>
      <c r="K128" s="38">
        <f>IF(OR(A128&gt;180,'1.설계입력'!$C$39&gt;=1),"",'1.설계입력'!$C$34*(1-SIN(B128)/SQRT(1+'1.설계입력'!$C$39^2-2*'1.설계입력'!$C$39*COS(B128)))-'1.설계입력'!$C$33*(1-'1.설계입력'!$C$39*COS(B128)-SQRT(MAX(0,1-'1.설계입력'!$C$39^2))*SIN(B128))/SQRT(1+'1.설계입력'!$C$39^2-2*'1.설계입력'!$C$39*COS(B128)))</f>
        <v>1.0258168471031269E-3</v>
      </c>
    </row>
    <row r="129" spans="1:11" x14ac:dyDescent="0.3">
      <c r="A129" s="40">
        <f>A128+'1.설계입력'!$C$12</f>
        <v>24.599999999999945</v>
      </c>
      <c r="B129" s="40">
        <f t="shared" si="3"/>
        <v>0.42935099599060411</v>
      </c>
      <c r="C129" s="40">
        <f>ATAN2('1.설계입력'!$C$6/('1.설계입력'!$C$8*'1.설계입력'!$C$15)-COS((1-'1.설계입력'!$C$15)*B129),SIN((1-'1.설계입력'!$C$15)*B129))</f>
        <v>0.43022148195960253</v>
      </c>
      <c r="D129" s="40">
        <f>'1.설계입력'!$C$6*COS(B129)-'1.설계입력'!$C$7*COS(B129+C129)-'1.설계입력'!$C$8*COS('1.설계입력'!$C$15*B129)</f>
        <v>72.10310802501948</v>
      </c>
      <c r="E129" s="40">
        <f>-'1.설계입력'!$C$6*SIN(B129)+'1.설계입력'!$C$7*SIN(B129+C129)+'1.설계입력'!$C$8*SIN('1.설계입력'!$C$15*B129)</f>
        <v>-32.596553559434639</v>
      </c>
      <c r="F129" s="40">
        <f>ATAN2(('1.설계입력'!$C$6+'1.설계입력'!$C$33)/('1.설계입력'!$C$8*'1.설계입력'!$C$15)-COS((1-'1.설계입력'!$C$15)*B129),SIN((1-'1.설계입력'!$C$15)*B129))</f>
        <v>0.43023192362130941</v>
      </c>
      <c r="G129" s="40">
        <f>('1.설계입력'!$C$6+'1.설계입력'!$C$33)*COS(B129)-('1.설계입력'!$C$7+'1.설계입력'!$C$34)*COS(B129+F129)-'1.설계입력'!$C$8*COS('1.설계입력'!$C$15*B129)</f>
        <v>72.09503373082282</v>
      </c>
      <c r="H129" s="40">
        <f>-('1.설계입력'!$C$6+'1.설계입력'!$C$33)*SIN(B129)+('1.설계입력'!$C$7+'1.설계입력'!$C$34)*SIN(B129+F129)+'1.설계입력'!$C$8*SIN('1.설계입력'!$C$15*B129)</f>
        <v>-32.58909950542612</v>
      </c>
      <c r="I129" s="40">
        <f t="shared" si="4"/>
        <v>79.128967457061634</v>
      </c>
      <c r="J129" s="40">
        <f t="shared" si="5"/>
        <v>79.118539516494138</v>
      </c>
      <c r="K129" s="38">
        <f>IF(OR(A129&gt;180,'1.설계입력'!$C$39&gt;=1),"",'1.설계입력'!$C$34*(1-SIN(B129)/SQRT(1+'1.설계입력'!$C$39^2-2*'1.설계입력'!$C$39*COS(B129)))-'1.설계입력'!$C$33*(1-'1.설계입력'!$C$39*COS(B129)-SQRT(MAX(0,1-'1.설계입력'!$C$39^2))*SIN(B129))/SQRT(1+'1.설계입력'!$C$39^2-2*'1.설계입력'!$C$39*COS(B129)))</f>
        <v>9.9807259991126348E-4</v>
      </c>
    </row>
    <row r="130" spans="1:11" x14ac:dyDescent="0.3">
      <c r="A130" s="40">
        <f>A129+'1.설계입력'!$C$12</f>
        <v>24.799999999999944</v>
      </c>
      <c r="B130" s="40">
        <f t="shared" si="3"/>
        <v>0.43284165449459278</v>
      </c>
      <c r="C130" s="40">
        <f>ATAN2('1.설계입력'!$C$6/('1.설계입력'!$C$8*'1.설계입력'!$C$15)-COS((1-'1.설계입력'!$C$15)*B130),SIN((1-'1.설계입력'!$C$15)*B130))</f>
        <v>0.48385692243192646</v>
      </c>
      <c r="D130" s="40">
        <f>'1.설계입력'!$C$6*COS(B130)-'1.설계입력'!$C$7*COS(B130+C130)-'1.설계입력'!$C$8*COS('1.설계입력'!$C$15*B130)</f>
        <v>71.951630123107478</v>
      </c>
      <c r="E130" s="40">
        <f>-'1.설계입력'!$C$6*SIN(B130)+'1.설계입력'!$C$7*SIN(B130+C130)+'1.설계입력'!$C$8*SIN('1.설계입력'!$C$15*B130)</f>
        <v>-32.719768124146491</v>
      </c>
      <c r="F130" s="40">
        <f>ATAN2(('1.설계입력'!$C$6+'1.설계입력'!$C$33)/('1.설계입력'!$C$8*'1.설계입력'!$C$15)-COS((1-'1.설계입력'!$C$15)*B130),SIN((1-'1.설계입력'!$C$15)*B130))</f>
        <v>0.48386905150056836</v>
      </c>
      <c r="G130" s="40">
        <f>('1.설계입력'!$C$6+'1.설계입력'!$C$33)*COS(B130)-('1.설계입력'!$C$7+'1.설계입력'!$C$34)*COS(B130+F130)-'1.설계입력'!$C$8*COS('1.설계입력'!$C$15*B130)</f>
        <v>71.94392620136145</v>
      </c>
      <c r="H130" s="40">
        <f>-('1.설계입력'!$C$6+'1.설계입력'!$C$33)*SIN(B130)+('1.설계입력'!$C$7+'1.설계입력'!$C$34)*SIN(B130+F130)+'1.설계입력'!$C$8*SIN('1.설계입력'!$C$15*B130)</f>
        <v>-32.712010106261864</v>
      </c>
      <c r="I130" s="40">
        <f t="shared" si="4"/>
        <v>79.041889548962445</v>
      </c>
      <c r="J130" s="40">
        <f t="shared" si="5"/>
        <v>79.031665314980685</v>
      </c>
      <c r="K130" s="38">
        <f>IF(OR(A130&gt;180,'1.설계입력'!$C$39&gt;=1),"",'1.설계입력'!$C$34*(1-SIN(B130)/SQRT(1+'1.설계입력'!$C$39^2-2*'1.설계입력'!$C$39*COS(B130)))-'1.설계입력'!$C$33*(1-'1.설계입력'!$C$39*COS(B130)-SQRT(MAX(0,1-'1.설계입력'!$C$39^2))*SIN(B130))/SQRT(1+'1.설계입력'!$C$39^2-2*'1.설계입력'!$C$39*COS(B130)))</f>
        <v>9.7087329944017895E-4</v>
      </c>
    </row>
    <row r="131" spans="1:11" x14ac:dyDescent="0.3">
      <c r="A131" s="40">
        <f>A130+'1.설계입력'!$C$12</f>
        <v>24.999999999999943</v>
      </c>
      <c r="B131" s="40">
        <f t="shared" si="3"/>
        <v>0.43633231299858138</v>
      </c>
      <c r="C131" s="40">
        <f>ATAN2('1.설계입력'!$C$6/('1.설계입력'!$C$8*'1.설계입력'!$C$15)-COS((1-'1.설계입력'!$C$15)*B131),SIN((1-'1.설계입력'!$C$15)*B131))</f>
        <v>0.53617216719472194</v>
      </c>
      <c r="D131" s="40">
        <f>'1.설계입력'!$C$6*COS(B131)-'1.설계입력'!$C$7*COS(B131+C131)-'1.설계입력'!$C$8*COS('1.설계입력'!$C$15*B131)</f>
        <v>71.803838868537568</v>
      </c>
      <c r="E131" s="40">
        <f>-'1.설계입력'!$C$6*SIN(B131)+'1.설계입력'!$C$7*SIN(B131+C131)+'1.설계입력'!$C$8*SIN('1.설계입력'!$C$15*B131)</f>
        <v>-32.826713466961344</v>
      </c>
      <c r="F131" s="40">
        <f>ATAN2(('1.설계입력'!$C$6+'1.설계입력'!$C$33)/('1.설계입력'!$C$8*'1.설계입력'!$C$15)-COS((1-'1.설계입력'!$C$15)*B131),SIN((1-'1.설계입력'!$C$15)*B131))</f>
        <v>0.53618612644446784</v>
      </c>
      <c r="G131" s="40">
        <f>('1.설계입력'!$C$6+'1.설계입력'!$C$33)*COS(B131)-('1.설계입력'!$C$7+'1.설계입력'!$C$34)*COS(B131+F131)-'1.설계입력'!$C$8*COS('1.설계입력'!$C$15*B131)</f>
        <v>71.796513368109458</v>
      </c>
      <c r="H131" s="40">
        <f>-('1.설계입력'!$C$6+'1.설계입력'!$C$33)*SIN(B131)+('1.설계입력'!$C$7+'1.설계입력'!$C$34)*SIN(B131+F131)+'1.설계입력'!$C$8*SIN('1.설계입력'!$C$15*B131)</f>
        <v>-32.81867881667057</v>
      </c>
      <c r="I131" s="40">
        <f t="shared" si="4"/>
        <v>78.95178524454586</v>
      </c>
      <c r="J131" s="40">
        <f t="shared" si="5"/>
        <v>78.941782416467532</v>
      </c>
      <c r="K131" s="38">
        <f>IF(OR(A131&gt;180,'1.설계입력'!$C$39&gt;=1),"",'1.설계입력'!$C$34*(1-SIN(B131)/SQRT(1+'1.설계입력'!$C$39^2-2*'1.설계입력'!$C$39*COS(B131)))-'1.설계입력'!$C$33*(1-'1.설계입력'!$C$39*COS(B131)-SQRT(MAX(0,1-'1.설계입력'!$C$39^2))*SIN(B131))/SQRT(1+'1.설계입력'!$C$39^2-2*'1.설계입력'!$C$39*COS(B131)))</f>
        <v>9.4421050436293143E-4</v>
      </c>
    </row>
    <row r="132" spans="1:11" x14ac:dyDescent="0.3">
      <c r="A132" s="40">
        <f>A131+'1.설계입력'!$C$12</f>
        <v>25.199999999999942</v>
      </c>
      <c r="B132" s="40">
        <f t="shared" si="3"/>
        <v>0.43982297150257005</v>
      </c>
      <c r="C132" s="40">
        <f>ATAN2('1.설계입력'!$C$6/('1.설계입력'!$C$8*'1.설계입력'!$C$15)-COS((1-'1.설계입력'!$C$15)*B132),SIN((1-'1.설계입력'!$C$15)*B132))</f>
        <v>0.58681755378966871</v>
      </c>
      <c r="D132" s="40">
        <f>'1.설계입력'!$C$6*COS(B132)-'1.설계입력'!$C$7*COS(B132+C132)-'1.설계입력'!$C$8*COS('1.설계입력'!$C$15*B132)</f>
        <v>71.661508775909013</v>
      </c>
      <c r="E132" s="40">
        <f>-'1.설계입력'!$C$6*SIN(B132)+'1.설계입력'!$C$7*SIN(B132+C132)+'1.설계입력'!$C$8*SIN('1.설계입력'!$C$15*B132)</f>
        <v>-32.918228147621392</v>
      </c>
      <c r="F132" s="40">
        <f>ATAN2(('1.설계입력'!$C$6+'1.설계입력'!$C$33)/('1.설계입력'!$C$8*'1.설계입력'!$C$15)-COS((1-'1.설계입력'!$C$15)*B132),SIN((1-'1.설계입력'!$C$15)*B132))</f>
        <v>0.58683352102254727</v>
      </c>
      <c r="G132" s="40">
        <f>('1.설계입력'!$C$6+'1.설계입력'!$C$33)*COS(B132)-('1.설계입력'!$C$7+'1.설계입력'!$C$34)*COS(B132+F132)-'1.설계입력'!$C$8*COS('1.설계입력'!$C$15*B132)</f>
        <v>71.65456522929361</v>
      </c>
      <c r="H132" s="40">
        <f>-('1.설계입력'!$C$6+'1.설계입력'!$C$33)*SIN(B132)+('1.설계입력'!$C$7+'1.설계입력'!$C$34)*SIN(B132+F132)+'1.설계입력'!$C$8*SIN('1.설계입력'!$C$15*B132)</f>
        <v>-32.909945027074059</v>
      </c>
      <c r="I132" s="40">
        <f t="shared" si="4"/>
        <v>78.860519808193871</v>
      </c>
      <c r="J132" s="40">
        <f t="shared" si="5"/>
        <v>78.850752690663199</v>
      </c>
      <c r="K132" s="38">
        <f>IF(OR(A132&gt;180,'1.설계입력'!$C$39&gt;=1),"",'1.설계입력'!$C$34*(1-SIN(B132)/SQRT(1+'1.설계입력'!$C$39^2-2*'1.설계입력'!$C$39*COS(B132)))-'1.설계입력'!$C$33*(1-'1.설계입력'!$C$39*COS(B132)-SQRT(MAX(0,1-'1.설계입력'!$C$39^2))*SIN(B132))/SQRT(1+'1.설계입력'!$C$39^2-2*'1.설계입력'!$C$39*COS(B132)))</f>
        <v>9.1807590858138327E-4</v>
      </c>
    </row>
    <row r="133" spans="1:11" x14ac:dyDescent="0.3">
      <c r="A133" s="40">
        <f>A132+'1.설계입력'!$C$12</f>
        <v>25.399999999999942</v>
      </c>
      <c r="B133" s="40">
        <f t="shared" si="3"/>
        <v>0.44331363000655871</v>
      </c>
      <c r="C133" s="40">
        <f>ATAN2('1.설계입력'!$C$6/('1.설계입력'!$C$8*'1.설계입력'!$C$15)-COS((1-'1.설계입력'!$C$15)*B133),SIN((1-'1.설계입력'!$C$15)*B133))</f>
        <v>0.63533427384681829</v>
      </c>
      <c r="D133" s="40">
        <f>'1.설계입력'!$C$6*COS(B133)-'1.설계입력'!$C$7*COS(B133+C133)-'1.설계입력'!$C$8*COS('1.설계입력'!$C$15*B133)</f>
        <v>71.525855595687702</v>
      </c>
      <c r="E133" s="40">
        <f>-'1.설계입력'!$C$6*SIN(B133)+'1.설계입력'!$C$7*SIN(B133+C133)+'1.설계입력'!$C$8*SIN('1.설계입력'!$C$15*B133)</f>
        <v>-32.995593129976669</v>
      </c>
      <c r="F133" s="40">
        <f>ATAN2(('1.설계입력'!$C$6+'1.설계입력'!$C$33)/('1.설계입력'!$C$8*'1.설계입력'!$C$15)-COS((1-'1.설계입력'!$C$15)*B133),SIN((1-'1.설계입력'!$C$15)*B133))</f>
        <v>0.63535247120153582</v>
      </c>
      <c r="G133" s="40">
        <f>('1.설계입력'!$C$6+'1.설계입력'!$C$33)*COS(B133)-('1.설계입력'!$C$7+'1.설계입력'!$C$34)*COS(B133+F133)-'1.설계입력'!$C$8*COS('1.설계입력'!$C$15*B133)</f>
        <v>71.519292121808576</v>
      </c>
      <c r="H133" s="40">
        <f>-('1.설계입력'!$C$6+'1.설계입력'!$C$33)*SIN(B133)+('1.설계입력'!$C$7+'1.설계입력'!$C$34)*SIN(B133+F133)+'1.설계입력'!$C$8*SIN('1.설계입력'!$C$15*B133)</f>
        <v>-32.987090277783004</v>
      </c>
      <c r="I133" s="40">
        <f t="shared" si="4"/>
        <v>78.769646341050262</v>
      </c>
      <c r="J133" s="40">
        <f t="shared" si="5"/>
        <v>78.760124876736938</v>
      </c>
      <c r="K133" s="38">
        <f>IF(OR(A133&gt;180,'1.설계입력'!$C$39&gt;=1),"",'1.설계입력'!$C$34*(1-SIN(B133)/SQRT(1+'1.설계입력'!$C$39^2-2*'1.설계입력'!$C$39*COS(B133)))-'1.설계입력'!$C$33*(1-'1.설계입력'!$C$39*COS(B133)-SQRT(MAX(0,1-'1.설계입력'!$C$39^2))*SIN(B133))/SQRT(1+'1.설계입력'!$C$39^2-2*'1.설계입력'!$C$39*COS(B133)))</f>
        <v>8.9246134008781315E-4</v>
      </c>
    </row>
    <row r="134" spans="1:11" x14ac:dyDescent="0.3">
      <c r="A134" s="40">
        <f>A133+'1.설계입력'!$C$12</f>
        <v>25.599999999999941</v>
      </c>
      <c r="B134" s="40">
        <f t="shared" ref="B134:B197" si="6">RADIANS(A134)</f>
        <v>0.44680428851054732</v>
      </c>
      <c r="C134" s="40">
        <f>ATAN2('1.설계입력'!$C$6/('1.설계입력'!$C$8*'1.설계입력'!$C$15)-COS((1-'1.설계입력'!$C$15)*B134),SIN((1-'1.설계입력'!$C$15)*B134))</f>
        <v>0.68110537562568718</v>
      </c>
      <c r="D134" s="40">
        <f>'1.설계입력'!$C$6*COS(B134)-'1.설계입력'!$C$7*COS(B134+C134)-'1.설계입력'!$C$8*COS('1.설계입력'!$C$15*B134)</f>
        <v>71.397280211441583</v>
      </c>
      <c r="E134" s="40">
        <f>-'1.설계입력'!$C$6*SIN(B134)+'1.설계입력'!$C$7*SIN(B134+C134)+'1.설계입력'!$C$8*SIN('1.설계입력'!$C$15*B134)</f>
        <v>-33.06051435333687</v>
      </c>
      <c r="F134" s="40">
        <f>ATAN2(('1.설계입력'!$C$6+'1.설계입력'!$C$33)/('1.설계입력'!$C$8*'1.설계입력'!$C$15)-COS((1-'1.설계입력'!$C$15)*B134),SIN((1-'1.설계입력'!$C$15)*B134))</f>
        <v>0.68112608214282189</v>
      </c>
      <c r="G134" s="40">
        <f>('1.설계입력'!$C$6+'1.설계입력'!$C$33)*COS(B134)-('1.설계입력'!$C$7+'1.설계입력'!$C$34)*COS(B134+F134)-'1.설계입력'!$C$8*COS('1.설계입력'!$C$15*B134)</f>
        <v>71.391088267254389</v>
      </c>
      <c r="H134" s="40">
        <f>-('1.설계입력'!$C$6+'1.설계입력'!$C$33)*SIN(B134)+('1.설계입력'!$C$7+'1.설계입력'!$C$34)*SIN(B134+F134)+'1.설계입력'!$C$8*SIN('1.설계입력'!$C$15*B134)</f>
        <v>-33.051820822702794</v>
      </c>
      <c r="I134" s="40">
        <f t="shared" ref="I134:I197" si="7">SQRT(D134^2+E134^2)</f>
        <v>78.680170506286402</v>
      </c>
      <c r="J134" s="40">
        <f t="shared" ref="J134:J197" si="8">SQRT(G134^2+H134^2)</f>
        <v>78.670898963205943</v>
      </c>
      <c r="K134" s="38">
        <f>IF(OR(A134&gt;180,'1.설계입력'!$C$39&gt;=1),"",'1.설계입력'!$C$34*(1-SIN(B134)/SQRT(1+'1.설계입력'!$C$39^2-2*'1.설계입력'!$C$39*COS(B134)))-'1.설계입력'!$C$33*(1-'1.설계입력'!$C$39*COS(B134)-SQRT(MAX(0,1-'1.설계입력'!$C$39^2))*SIN(B134))/SQRT(1+'1.설계입력'!$C$39^2-2*'1.설계입력'!$C$39*COS(B134)))</f>
        <v>8.6735875975933524E-4</v>
      </c>
    </row>
    <row r="135" spans="1:11" x14ac:dyDescent="0.3">
      <c r="A135" s="40">
        <f>A134+'1.설계입력'!$C$12</f>
        <v>25.79999999999994</v>
      </c>
      <c r="B135" s="40">
        <f t="shared" si="6"/>
        <v>0.45029494701453598</v>
      </c>
      <c r="C135" s="40">
        <f>ATAN2('1.설계입력'!$C$6/('1.설계입력'!$C$8*'1.설계입력'!$C$15)-COS((1-'1.설계입력'!$C$15)*B135),SIN((1-'1.설계입력'!$C$15)*B135))</f>
        <v>0.72327907311041983</v>
      </c>
      <c r="D135" s="40">
        <f>'1.설계입력'!$C$6*COS(B135)-'1.설계입력'!$C$7*COS(B135+C135)-'1.설계입력'!$C$8*COS('1.설계입력'!$C$15*B135)</f>
        <v>71.275009672138793</v>
      </c>
      <c r="E135" s="40">
        <f>-'1.설계입력'!$C$6*SIN(B135)+'1.설계입력'!$C$7*SIN(B135+C135)+'1.설계입력'!$C$8*SIN('1.설계입력'!$C$15*B135)</f>
        <v>-33.115110890401979</v>
      </c>
      <c r="F135" s="40">
        <f>ATAN2(('1.설계입력'!$C$6+'1.설계입력'!$C$33)/('1.설계입력'!$C$8*'1.설계입력'!$C$15)-COS((1-'1.설계입력'!$C$15)*B135),SIN((1-'1.설계입력'!$C$15)*B135))</f>
        <v>0.72330264163075575</v>
      </c>
      <c r="G135" s="40">
        <f>('1.설계입력'!$C$6+'1.설계입력'!$C$33)*COS(B135)-('1.설계입력'!$C$7+'1.설계입력'!$C$34)*COS(B135+F135)-'1.설계입력'!$C$8*COS('1.설계입력'!$C$15*B135)</f>
        <v>71.269172241049432</v>
      </c>
      <c r="H135" s="40">
        <f>-('1.설계입력'!$C$6+'1.설계입력'!$C$33)*SIN(B135)+('1.설계입력'!$C$7+'1.설계입력'!$C$34)*SIN(B135+F135)+'1.설계입력'!$C$8*SIN('1.설계입력'!$C$15*B135)</f>
        <v>-33.106255803540144</v>
      </c>
      <c r="I135" s="40">
        <f t="shared" si="7"/>
        <v>78.592223362410977</v>
      </c>
      <c r="J135" s="40">
        <f t="shared" si="8"/>
        <v>78.583198492131928</v>
      </c>
      <c r="K135" s="38">
        <f>IF(OR(A135&gt;180,'1.설계입력'!$C$39&gt;=1),"",'1.설계입력'!$C$34*(1-SIN(B135)/SQRT(1+'1.설계입력'!$C$39^2-2*'1.설계입력'!$C$39*COS(B135)))-'1.설계입력'!$C$33*(1-'1.설계입력'!$C$39*COS(B135)-SQRT(MAX(0,1-'1.설계입력'!$C$39^2))*SIN(B135))/SQRT(1+'1.설계입력'!$C$39^2-2*'1.설계입력'!$C$39*COS(B135)))</f>
        <v>8.4276026009126896E-4</v>
      </c>
    </row>
    <row r="136" spans="1:11" x14ac:dyDescent="0.3">
      <c r="A136" s="40">
        <f>A135+'1.설계입력'!$C$12</f>
        <v>25.99999999999994</v>
      </c>
      <c r="B136" s="40">
        <f t="shared" si="6"/>
        <v>0.45378560551852465</v>
      </c>
      <c r="C136" s="40">
        <f>ATAN2('1.설계입력'!$C$6/('1.설계입력'!$C$8*'1.설계입력'!$C$15)-COS((1-'1.설계입력'!$C$15)*B136),SIN((1-'1.설계입력'!$C$15)*B136))</f>
        <v>0.76064465464238729</v>
      </c>
      <c r="D136" s="40">
        <f>'1.설계입력'!$C$6*COS(B136)-'1.설계입력'!$C$7*COS(B136+C136)-'1.설계입력'!$C$8*COS('1.설계입력'!$C$15*B136)</f>
        <v>71.156561419475324</v>
      </c>
      <c r="E136" s="40">
        <f>-'1.설계입력'!$C$6*SIN(B136)+'1.설계입력'!$C$7*SIN(B136+C136)+'1.설계입력'!$C$8*SIN('1.설계입력'!$C$15*B136)</f>
        <v>-33.161932321322006</v>
      </c>
      <c r="F136" s="40">
        <f>ATAN2(('1.설계입력'!$C$6+'1.설계입력'!$C$33)/('1.설계입력'!$C$8*'1.설계입력'!$C$15)-COS((1-'1.설계입력'!$C$15)*B136),SIN((1-'1.설계입력'!$C$15)*B136))</f>
        <v>0.76067153411263089</v>
      </c>
      <c r="G136" s="40">
        <f>('1.설계입력'!$C$6+'1.설계입력'!$C$33)*COS(B136)-('1.설계입력'!$C$7+'1.설계입력'!$C$34)*COS(B136+F136)-'1.설계입력'!$C$8*COS('1.설계입력'!$C$15*B136)</f>
        <v>71.151050270580299</v>
      </c>
      <c r="H136" s="40">
        <f>-('1.설계입력'!$C$6+'1.설계입력'!$C$33)*SIN(B136)+('1.설계입력'!$C$7+'1.설계입력'!$C$34)*SIN(B136+F136)+'1.설계입력'!$C$8*SIN('1.설계입력'!$C$15*B136)</f>
        <v>-33.152944702965463</v>
      </c>
      <c r="I136" s="40">
        <f t="shared" si="7"/>
        <v>78.504585778969016</v>
      </c>
      <c r="J136" s="40">
        <f t="shared" si="8"/>
        <v>78.495794136275421</v>
      </c>
      <c r="K136" s="38">
        <f>IF(OR(A136&gt;180,'1.설계입력'!$C$39&gt;=1),"",'1.설계입력'!$C$34*(1-SIN(B136)/SQRT(1+'1.설계입력'!$C$39^2-2*'1.설계입력'!$C$39*COS(B136)))-'1.설계입력'!$C$33*(1-'1.설계입력'!$C$39*COS(B136)-SQRT(MAX(0,1-'1.설계입력'!$C$39^2))*SIN(B136))/SQRT(1+'1.설계입력'!$C$39^2-2*'1.설계입력'!$C$39*COS(B136)))</f>
        <v>8.1865806387526802E-4</v>
      </c>
    </row>
    <row r="137" spans="1:11" x14ac:dyDescent="0.3">
      <c r="A137" s="40">
        <f>A136+'1.설계입력'!$C$12</f>
        <v>26.199999999999939</v>
      </c>
      <c r="B137" s="40">
        <f t="shared" si="6"/>
        <v>0.45727626402251326</v>
      </c>
      <c r="C137" s="40">
        <f>ATAN2('1.설계입력'!$C$6/('1.설계입력'!$C$8*'1.설계입력'!$C$15)-COS((1-'1.설계입력'!$C$15)*B137),SIN((1-'1.설계입력'!$C$15)*B137))</f>
        <v>0.79142425069148548</v>
      </c>
      <c r="D137" s="40">
        <f>'1.설계입력'!$C$6*COS(B137)-'1.설계입력'!$C$7*COS(B137+C137)-'1.설계입력'!$C$8*COS('1.설계입력'!$C$15*B137)</f>
        <v>71.036893019615263</v>
      </c>
      <c r="E137" s="40">
        <f>-'1.설계입력'!$C$6*SIN(B137)+'1.설계입력'!$C$7*SIN(B137+C137)+'1.설계입력'!$C$8*SIN('1.설계입력'!$C$15*B137)</f>
        <v>-33.204062579498462</v>
      </c>
      <c r="F137" s="40">
        <f>ATAN2(('1.설계입력'!$C$6+'1.설계입력'!$C$33)/('1.설계입력'!$C$8*'1.설계입력'!$C$15)-COS((1-'1.설계입력'!$C$15)*B137),SIN((1-'1.설계입력'!$C$15)*B137))</f>
        <v>0.79145501394960827</v>
      </c>
      <c r="G137" s="40">
        <f>('1.설계입력'!$C$6+'1.설계입력'!$C$33)*COS(B137)-('1.설계입력'!$C$7+'1.설계입력'!$C$34)*COS(B137+F137)-'1.설계입력'!$C$8*COS('1.설계입력'!$C$15*B137)</f>
        <v>71.031664382724742</v>
      </c>
      <c r="H137" s="40">
        <f>-('1.설계입력'!$C$6+'1.설계입력'!$C$33)*SIN(B137)+('1.설계입력'!$C$7+'1.설계입력'!$C$34)*SIN(B137+F137)+'1.설계입력'!$C$8*SIN('1.설계입력'!$C$15*B137)</f>
        <v>-33.19497143128811</v>
      </c>
      <c r="I137" s="40">
        <f t="shared" si="7"/>
        <v>78.413965220893616</v>
      </c>
      <c r="J137" s="40">
        <f t="shared" si="8"/>
        <v>78.405379109497844</v>
      </c>
      <c r="K137" s="38">
        <f>IF(OR(A137&gt;180,'1.설계입력'!$C$39&gt;=1),"",'1.설계입력'!$C$34*(1-SIN(B137)/SQRT(1+'1.설계입력'!$C$39^2-2*'1.설계입력'!$C$39*COS(B137)))-'1.설계입력'!$C$33*(1-'1.설계입력'!$C$39*COS(B137)-SQRT(MAX(0,1-'1.설계입력'!$C$39^2))*SIN(B137))/SQRT(1+'1.설계입력'!$C$39^2-2*'1.설계입력'!$C$39*COS(B137)))</f>
        <v>7.9504452282763553E-4</v>
      </c>
    </row>
    <row r="138" spans="1:11" x14ac:dyDescent="0.3">
      <c r="A138" s="40">
        <f>A137+'1.설계입력'!$C$12</f>
        <v>26.399999999999938</v>
      </c>
      <c r="B138" s="40">
        <f t="shared" si="6"/>
        <v>0.46076692252650192</v>
      </c>
      <c r="C138" s="40">
        <f>ATAN2('1.설계입력'!$C$6/('1.설계입력'!$C$8*'1.설계입력'!$C$15)-COS((1-'1.설계입력'!$C$15)*B138),SIN((1-'1.설계입력'!$C$15)*B138))</f>
        <v>0.81290940883308371</v>
      </c>
      <c r="D138" s="40">
        <f>'1.설계입력'!$C$6*COS(B138)-'1.설계입력'!$C$7*COS(B138+C138)-'1.설계입력'!$C$8*COS('1.설계입력'!$C$15*B138)</f>
        <v>70.90697570744436</v>
      </c>
      <c r="E138" s="40">
        <f>-'1.설계입력'!$C$6*SIN(B138)+'1.설계입력'!$C$7*SIN(B138+C138)+'1.설계입력'!$C$8*SIN('1.설계입력'!$C$15*B138)</f>
        <v>-33.245455155730227</v>
      </c>
      <c r="F138" s="40">
        <f>ATAN2(('1.설계입력'!$C$6+'1.설계입력'!$C$33)/('1.설계입력'!$C$8*'1.설계입력'!$C$15)-COS((1-'1.설계입력'!$C$15)*B138),SIN((1-'1.설계입력'!$C$15)*B138))</f>
        <v>0.81294478128543701</v>
      </c>
      <c r="G138" s="40">
        <f>('1.설계입력'!$C$6+'1.설계입력'!$C$33)*COS(B138)-('1.설계입력'!$C$7+'1.설계입력'!$C$34)*COS(B138+F138)-'1.설계입력'!$C$8*COS('1.설계입력'!$C$15*B138)</f>
        <v>70.901963148270781</v>
      </c>
      <c r="H138" s="40">
        <f>-('1.설계입력'!$C$6+'1.설계입력'!$C$33)*SIN(B138)+('1.설계입력'!$C$7+'1.설계입력'!$C$34)*SIN(B138+F138)+'1.설계입력'!$C$8*SIN('1.설계입력'!$C$15*B138)</f>
        <v>-33.23629019418933</v>
      </c>
      <c r="I138" s="40">
        <f t="shared" si="7"/>
        <v>78.31385249422847</v>
      </c>
      <c r="J138" s="40">
        <f t="shared" si="8"/>
        <v>78.305423593459437</v>
      </c>
      <c r="K138" s="38">
        <f>IF(OR(A138&gt;180,'1.설계입력'!$C$39&gt;=1),"",'1.설계입력'!$C$34*(1-SIN(B138)/SQRT(1+'1.설계입력'!$C$39^2-2*'1.설계입력'!$C$39*COS(B138)))-'1.설계입력'!$C$33*(1-'1.설계입력'!$C$39*COS(B138)-SQRT(MAX(0,1-'1.설계입력'!$C$39^2))*SIN(B138))/SQRT(1+'1.설계입력'!$C$39^2-2*'1.설계입력'!$C$39*COS(B138)))</f>
        <v>7.7191211617295692E-4</v>
      </c>
    </row>
    <row r="139" spans="1:11" x14ac:dyDescent="0.3">
      <c r="A139" s="40">
        <f>A138+'1.설계입력'!$C$12</f>
        <v>26.599999999999937</v>
      </c>
      <c r="B139" s="40">
        <f t="shared" si="6"/>
        <v>0.46425758103049058</v>
      </c>
      <c r="C139" s="40">
        <f>ATAN2('1.설계입력'!$C$6/('1.설계입력'!$C$8*'1.설계입력'!$C$15)-COS((1-'1.설계입력'!$C$15)*B139),SIN((1-'1.설계입력'!$C$15)*B139))</f>
        <v>0.82080081748156219</v>
      </c>
      <c r="D139" s="40">
        <f>'1.설계입력'!$C$6*COS(B139)-'1.설계입력'!$C$7*COS(B139+C139)-'1.설계입력'!$C$8*COS('1.설계입력'!$C$15*B139)</f>
        <v>70.751292732296761</v>
      </c>
      <c r="E139" s="40">
        <f>-'1.설계입력'!$C$6*SIN(B139)+'1.설계입력'!$C$7*SIN(B139+C139)+'1.설계입력'!$C$8*SIN('1.설계입력'!$C$15*B139)</f>
        <v>-33.291885567085359</v>
      </c>
      <c r="F139" s="40">
        <f>ATAN2(('1.설계입력'!$C$6+'1.설계입력'!$C$33)/('1.설계입력'!$C$8*'1.설계입력'!$C$15)-COS((1-'1.설계입력'!$C$15)*B139),SIN((1-'1.설계입력'!$C$15)*B139))</f>
        <v>0.82084168463713247</v>
      </c>
      <c r="G139" s="40">
        <f>('1.설계입력'!$C$6+'1.설계입력'!$C$33)*COS(B139)-('1.설계입력'!$C$7+'1.설계입력'!$C$34)*COS(B139+F139)-'1.설계입력'!$C$8*COS('1.설계입력'!$C$15*B139)</f>
        <v>70.746394902475302</v>
      </c>
      <c r="H139" s="40">
        <f>-('1.설계입력'!$C$6+'1.설계입력'!$C$33)*SIN(B139)+('1.설계입력'!$C$7+'1.설계입력'!$C$34)*SIN(B139+F139)+'1.설계입력'!$C$8*SIN('1.설계입력'!$C$15*B139)</f>
        <v>-33.282679770918698</v>
      </c>
      <c r="I139" s="40">
        <f t="shared" si="7"/>
        <v>78.192679119614866</v>
      </c>
      <c r="J139" s="40">
        <f t="shared" si="8"/>
        <v>78.184328125465811</v>
      </c>
      <c r="K139" s="38">
        <f>IF(OR(A139&gt;180,'1.설계입력'!$C$39&gt;=1),"",'1.설계입력'!$C$34*(1-SIN(B139)/SQRT(1+'1.설계입력'!$C$39^2-2*'1.설계입력'!$C$39*COS(B139)))-'1.설계입력'!$C$33*(1-'1.설계입력'!$C$39*COS(B139)-SQRT(MAX(0,1-'1.설계입력'!$C$39^2))*SIN(B139))/SQRT(1+'1.설계입력'!$C$39^2-2*'1.설계입력'!$C$39*COS(B139)))</f>
        <v>7.4925344918790624E-4</v>
      </c>
    </row>
    <row r="140" spans="1:11" x14ac:dyDescent="0.3">
      <c r="A140" s="40">
        <f>A139+'1.설계입력'!$C$12</f>
        <v>26.799999999999937</v>
      </c>
      <c r="B140" s="40">
        <f t="shared" si="6"/>
        <v>0.46774823953447919</v>
      </c>
      <c r="C140" s="40">
        <f>ATAN2('1.설계입력'!$C$6/('1.설계입력'!$C$8*'1.설계입력'!$C$15)-COS((1-'1.설계입력'!$C$15)*B140),SIN((1-'1.설계입력'!$C$15)*B140))</f>
        <v>0.80796681774101975</v>
      </c>
      <c r="D140" s="40">
        <f>'1.설계입력'!$C$6*COS(B140)-'1.설계입력'!$C$7*COS(B140+C140)-'1.설계입력'!$C$8*COS('1.설계입력'!$C$15*B140)</f>
        <v>70.543364577907212</v>
      </c>
      <c r="E140" s="40">
        <f>-'1.설계입력'!$C$6*SIN(B140)+'1.설계입력'!$C$7*SIN(B140+C140)+'1.설계입력'!$C$8*SIN('1.설계입력'!$C$15*B140)</f>
        <v>-33.353603944479659</v>
      </c>
      <c r="F140" s="40">
        <f>ATAN2(('1.설계입력'!$C$6+'1.설계입력'!$C$33)/('1.설계입력'!$C$8*'1.설계입력'!$C$15)-COS((1-'1.설계입력'!$C$15)*B140),SIN((1-'1.설계입력'!$C$15)*B140))</f>
        <v>0.8080141272969793</v>
      </c>
      <c r="G140" s="40">
        <f>('1.설계입력'!$C$6+'1.설계입력'!$C$33)*COS(B140)-('1.설계입력'!$C$7+'1.설계입력'!$C$34)*COS(B140+F140)-'1.설계입력'!$C$8*COS('1.설계입력'!$C$15*B140)</f>
        <v>70.538423366260091</v>
      </c>
      <c r="H140" s="40">
        <f>-('1.설계입력'!$C$6+'1.설계입력'!$C$33)*SIN(B140)+('1.설계입력'!$C$7+'1.설계입력'!$C$34)*SIN(B140+F140)+'1.설계입력'!$C$8*SIN('1.설계입력'!$C$15*B140)</f>
        <v>-33.344401177205988</v>
      </c>
      <c r="I140" s="40">
        <f t="shared" si="7"/>
        <v>78.030950154773478</v>
      </c>
      <c r="J140" s="40">
        <f t="shared" si="8"/>
        <v>78.022549694714556</v>
      </c>
      <c r="K140" s="38">
        <f>IF(OR(A140&gt;180,'1.설계입력'!$C$39&gt;=1),"",'1.설계입력'!$C$34*(1-SIN(B140)/SQRT(1+'1.설계입력'!$C$39^2-2*'1.설계입력'!$C$39*COS(B140)))-'1.설계입력'!$C$33*(1-'1.설계입력'!$C$39*COS(B140)-SQRT(MAX(0,1-'1.설계입력'!$C$39^2))*SIN(B140))/SQRT(1+'1.설계입력'!$C$39^2-2*'1.설계입력'!$C$39*COS(B140)))</f>
        <v>7.2706125170974992E-4</v>
      </c>
    </row>
    <row r="141" spans="1:11" x14ac:dyDescent="0.3">
      <c r="A141" s="40">
        <f>A140+'1.설계입력'!$C$12</f>
        <v>26.999999999999936</v>
      </c>
      <c r="B141" s="40">
        <f t="shared" si="6"/>
        <v>0.47123889803846786</v>
      </c>
      <c r="C141" s="40">
        <f>ATAN2('1.설계입력'!$C$6/('1.설계입력'!$C$8*'1.설계입력'!$C$15)-COS((1-'1.설계입력'!$C$15)*B141),SIN((1-'1.설계입력'!$C$15)*B141))</f>
        <v>0.76209293620530438</v>
      </c>
      <c r="D141" s="40">
        <f>'1.설계입력'!$C$6*COS(B141)-'1.설계입력'!$C$7*COS(B141+C141)-'1.설계입력'!$C$8*COS('1.설계입력'!$C$15*B141)</f>
        <v>70.238152338385831</v>
      </c>
      <c r="E141" s="40">
        <f>-'1.설계입력'!$C$6*SIN(B141)+'1.설계입력'!$C$7*SIN(B141+C141)+'1.설계입력'!$C$8*SIN('1.설계입력'!$C$15*B141)</f>
        <v>-33.452832205680643</v>
      </c>
      <c r="F141" s="40">
        <f>ATAN2(('1.설계입력'!$C$6+'1.설계입력'!$C$33)/('1.설계입력'!$C$8*'1.설계입력'!$C$15)-COS((1-'1.설계입력'!$C$15)*B141),SIN((1-'1.설계입력'!$C$15)*B141))</f>
        <v>0.7621471907897468</v>
      </c>
      <c r="G141" s="40">
        <f>('1.설계입력'!$C$6+'1.설계입력'!$C$33)*COS(B141)-('1.설계입력'!$C$7+'1.설계입력'!$C$34)*COS(B141+F141)-'1.설계입력'!$C$8*COS('1.설계입력'!$C$15*B141)</f>
        <v>70.232913537827287</v>
      </c>
      <c r="H141" s="40">
        <f>-('1.설계입력'!$C$6+'1.설계입력'!$C$33)*SIN(B141)+('1.설계입력'!$C$7+'1.설계입력'!$C$34)*SIN(B141+F141)+'1.설계입력'!$C$8*SIN('1.설계입력'!$C$15*B141)</f>
        <v>-33.443709704098495</v>
      </c>
      <c r="I141" s="40">
        <f t="shared" si="7"/>
        <v>77.79775078041601</v>
      </c>
      <c r="J141" s="40">
        <f t="shared" si="8"/>
        <v>77.789098611463132</v>
      </c>
      <c r="K141" s="38">
        <f>IF(OR(A141&gt;180,'1.설계입력'!$C$39&gt;=1),"",'1.설계입력'!$C$34*(1-SIN(B141)/SQRT(1+'1.설계입력'!$C$39^2-2*'1.설계입력'!$C$39*COS(B141)))-'1.설계입력'!$C$33*(1-'1.설계입력'!$C$39*COS(B141)-SQRT(MAX(0,1-'1.설계입력'!$C$39^2))*SIN(B141))/SQRT(1+'1.설계입력'!$C$39^2-2*'1.설계입력'!$C$39*COS(B141)))</f>
        <v>7.0532837661384966E-4</v>
      </c>
    </row>
    <row r="142" spans="1:11" x14ac:dyDescent="0.3">
      <c r="A142" s="40">
        <f>A141+'1.설계입력'!$C$12</f>
        <v>27.199999999999935</v>
      </c>
      <c r="B142" s="40">
        <f t="shared" si="6"/>
        <v>0.47472955654245652</v>
      </c>
      <c r="C142" s="40">
        <f>ATAN2('1.설계입력'!$C$6/('1.설계입력'!$C$8*'1.설계입력'!$C$15)-COS((1-'1.설계입력'!$C$15)*B142),SIN((1-'1.설계입력'!$C$15)*B142))</f>
        <v>0.66166056082625846</v>
      </c>
      <c r="D142" s="40">
        <f>'1.설계입력'!$C$6*COS(B142)-'1.설계입력'!$C$7*COS(B142+C142)-'1.설계입력'!$C$8*COS('1.설계입력'!$C$15*B142)</f>
        <v>69.763253161879945</v>
      </c>
      <c r="E142" s="40">
        <f>-'1.설계입력'!$C$6*SIN(B142)+'1.설계입력'!$C$7*SIN(B142+C142)+'1.설계입력'!$C$8*SIN('1.설계입력'!$C$15*B142)</f>
        <v>-33.64478991963972</v>
      </c>
      <c r="F142" s="40">
        <f>ATAN2(('1.설계입력'!$C$6+'1.설계입력'!$C$33)/('1.설계입력'!$C$8*'1.설계입력'!$C$15)-COS((1-'1.설계입력'!$C$15)*B142),SIN((1-'1.설계입력'!$C$15)*B142))</f>
        <v>0.66171987595200754</v>
      </c>
      <c r="G142" s="40">
        <f>('1.설계입력'!$C$6+'1.설계입력'!$C$33)*COS(B142)-('1.설계입력'!$C$7+'1.설계입력'!$C$34)*COS(B142+F142)-'1.설계입력'!$C$8*COS('1.설계입력'!$C$15*B142)</f>
        <v>69.757302571818869</v>
      </c>
      <c r="H142" s="40">
        <f>-('1.설계입력'!$C$6+'1.설계입력'!$C$33)*SIN(B142)+('1.설계입력'!$C$7+'1.설계입력'!$C$34)*SIN(B142+F142)+'1.설계입력'!$C$8*SIN('1.설계입력'!$C$15*B142)</f>
        <v>-33.635925191082684</v>
      </c>
      <c r="I142" s="40">
        <f t="shared" si="7"/>
        <v>77.452458840667177</v>
      </c>
      <c r="J142" s="40">
        <f t="shared" si="8"/>
        <v>77.44324841815714</v>
      </c>
      <c r="K142" s="38">
        <f>IF(OR(A142&gt;180,'1.설계입력'!$C$39&gt;=1),"",'1.설계입력'!$C$34*(1-SIN(B142)/SQRT(1+'1.설계입력'!$C$39^2-2*'1.설계입력'!$C$39*COS(B142)))-'1.설계입력'!$C$33*(1-'1.설계입력'!$C$39*COS(B142)-SQRT(MAX(0,1-'1.설계입력'!$C$39^2))*SIN(B142))/SQRT(1+'1.설계입력'!$C$39^2-2*'1.설계입력'!$C$39*COS(B142)))</f>
        <v>6.8404779826412214E-4</v>
      </c>
    </row>
    <row r="143" spans="1:11" x14ac:dyDescent="0.3">
      <c r="A143" s="40">
        <f>A142+'1.설계입력'!$C$12</f>
        <v>27.399999999999935</v>
      </c>
      <c r="B143" s="40">
        <f t="shared" si="6"/>
        <v>0.47822021504644513</v>
      </c>
      <c r="C143" s="40">
        <f>ATAN2('1.설계입력'!$C$6/('1.설계입력'!$C$8*'1.설계입력'!$C$15)-COS((1-'1.설계입력'!$C$15)*B143),SIN((1-'1.설계입력'!$C$15)*B143))</f>
        <v>0.47283814224678233</v>
      </c>
      <c r="D143" s="40">
        <f>'1.설계입력'!$C$6*COS(B143)-'1.설계입력'!$C$7*COS(B143+C143)-'1.설계입력'!$C$8*COS('1.설계입력'!$C$15*B143)</f>
        <v>69.035681518816531</v>
      </c>
      <c r="E143" s="40">
        <f>-'1.설계입력'!$C$6*SIN(B143)+'1.설계입력'!$C$7*SIN(B143+C143)+'1.설계입력'!$C$8*SIN('1.설계입력'!$C$15*B143)</f>
        <v>-34.066803607938255</v>
      </c>
      <c r="F143" s="40">
        <f>ATAN2(('1.설계입력'!$C$6+'1.설계입력'!$C$33)/('1.설계입력'!$C$8*'1.설계입력'!$C$15)-COS((1-'1.설계입력'!$C$15)*B143),SIN((1-'1.설계입력'!$C$15)*B143))</f>
        <v>0.47289236204684132</v>
      </c>
      <c r="G143" s="40">
        <f>('1.설계입력'!$C$6+'1.설계입력'!$C$33)*COS(B143)-('1.설계입력'!$C$7+'1.설계입력'!$C$34)*COS(B143+F143)-'1.설계입력'!$C$8*COS('1.설계입력'!$C$15*B143)</f>
        <v>69.02840154114817</v>
      </c>
      <c r="H143" s="40">
        <f>-('1.설계입력'!$C$6+'1.설계입력'!$C$33)*SIN(B143)+('1.설계입력'!$C$7+'1.설계입력'!$C$34)*SIN(B143+F143)+'1.설계입력'!$C$8*SIN('1.설계입력'!$C$15*B143)</f>
        <v>-34.058657121642035</v>
      </c>
      <c r="I143" s="40">
        <f t="shared" si="7"/>
        <v>76.983585463586337</v>
      </c>
      <c r="J143" s="40">
        <f t="shared" si="8"/>
        <v>76.973452204351375</v>
      </c>
      <c r="K143" s="38">
        <f>IF(OR(A143&gt;180,'1.설계입력'!$C$39&gt;=1),"",'1.설계입력'!$C$34*(1-SIN(B143)/SQRT(1+'1.설계입력'!$C$39^2-2*'1.설계입력'!$C$39*COS(B143)))-'1.설계입력'!$C$33*(1-'1.설계입력'!$C$39*COS(B143)-SQRT(MAX(0,1-'1.설계입력'!$C$39^2))*SIN(B143))/SQRT(1+'1.설계입력'!$C$39^2-2*'1.설계입력'!$C$39*COS(B143)))</f>
        <v>6.6321261094026641E-4</v>
      </c>
    </row>
    <row r="144" spans="1:11" x14ac:dyDescent="0.3">
      <c r="A144" s="40">
        <f>A143+'1.설계입력'!$C$12</f>
        <v>27.599999999999934</v>
      </c>
      <c r="B144" s="40">
        <f t="shared" si="6"/>
        <v>0.48171087355043379</v>
      </c>
      <c r="C144" s="40">
        <f>ATAN2('1.설계입력'!$C$6/('1.설계입력'!$C$8*'1.설계입력'!$C$15)-COS((1-'1.설계입력'!$C$15)*B144),SIN((1-'1.설계입력'!$C$15)*B144))</f>
        <v>0.16871107838917573</v>
      </c>
      <c r="D144" s="40">
        <f>'1.설계입력'!$C$6*COS(B144)-'1.설계입력'!$C$7*COS(B144+C144)-'1.설계입력'!$C$8*COS('1.설계입력'!$C$15*B144)</f>
        <v>68.11506183805507</v>
      </c>
      <c r="E144" s="40">
        <f>-'1.설계입력'!$C$6*SIN(B144)+'1.설계입력'!$C$7*SIN(B144+C144)+'1.설계입력'!$C$8*SIN('1.설계입력'!$C$15*B144)</f>
        <v>-34.958080871398032</v>
      </c>
      <c r="F144" s="40">
        <f>ATAN2(('1.설계입력'!$C$6+'1.설계입력'!$C$33)/('1.설계입력'!$C$8*'1.설계입력'!$C$15)-COS((1-'1.설계입력'!$C$15)*B144),SIN((1-'1.설계입력'!$C$15)*B144))</f>
        <v>0.16873428107750219</v>
      </c>
      <c r="G144" s="40">
        <f>('1.설계입력'!$C$6+'1.설계입력'!$C$33)*COS(B144)-('1.설계입력'!$C$7+'1.설계입력'!$C$34)*COS(B144+F144)-'1.설계입력'!$C$8*COS('1.설계입력'!$C$15*B144)</f>
        <v>68.10592471081651</v>
      </c>
      <c r="H144" s="40">
        <f>-('1.설계입력'!$C$6+'1.설계입력'!$C$33)*SIN(B144)+('1.설계입력'!$C$7+'1.설계입력'!$C$34)*SIN(B144+F144)+'1.설계입력'!$C$8*SIN('1.설계입력'!$C$15*B144)</f>
        <v>-34.951665913028997</v>
      </c>
      <c r="I144" s="40">
        <f t="shared" si="7"/>
        <v>76.561929621798797</v>
      </c>
      <c r="J144" s="40">
        <f t="shared" si="8"/>
        <v>76.550871522219779</v>
      </c>
      <c r="K144" s="38">
        <f>IF(OR(A144&gt;180,'1.설계입력'!$C$39&gt;=1),"",'1.설계입력'!$C$34*(1-SIN(B144)/SQRT(1+'1.설계입력'!$C$39^2-2*'1.설계입력'!$C$39*COS(B144)))-'1.설계입력'!$C$33*(1-'1.설계입력'!$C$39*COS(B144)-SQRT(MAX(0,1-'1.설계입력'!$C$39^2))*SIN(B144))/SQRT(1+'1.설계입력'!$C$39^2-2*'1.설계입력'!$C$39*COS(B144)))</f>
        <v>6.4281602724522945E-4</v>
      </c>
    </row>
    <row r="145" spans="1:11" x14ac:dyDescent="0.3">
      <c r="A145" s="40">
        <f>A144+'1.설계입력'!$C$12</f>
        <v>27.799999999999933</v>
      </c>
      <c r="B145" s="40">
        <f t="shared" si="6"/>
        <v>0.48520153205442246</v>
      </c>
      <c r="C145" s="40">
        <f>ATAN2('1.설계입력'!$C$6/('1.설계입력'!$C$8*'1.설계입력'!$C$15)-COS((1-'1.설계입력'!$C$15)*B145),SIN((1-'1.설계입력'!$C$15)*B145))</f>
        <v>-0.19574910028915932</v>
      </c>
      <c r="D145" s="40">
        <f>'1.설계입력'!$C$6*COS(B145)-'1.설계입력'!$C$7*COS(B145+C145)-'1.설계입력'!$C$8*COS('1.설계입력'!$C$15*B145)</f>
        <v>67.429966582584655</v>
      </c>
      <c r="E145" s="40">
        <f>-'1.설계입력'!$C$6*SIN(B145)+'1.설계입력'!$C$7*SIN(B145+C145)+'1.설계입력'!$C$8*SIN('1.설계입력'!$C$15*B145)</f>
        <v>-36.307115698101128</v>
      </c>
      <c r="F145" s="40">
        <f>ATAN2(('1.설계입력'!$C$6+'1.설계입력'!$C$33)/('1.설계입력'!$C$8*'1.설계입력'!$C$15)-COS((1-'1.설계입력'!$C$15)*B145),SIN((1-'1.설계입력'!$C$15)*B145))</f>
        <v>-0.19577579201438364</v>
      </c>
      <c r="G145" s="40">
        <f>('1.설계입력'!$C$6+'1.설계입력'!$C$33)*COS(B145)-('1.설계입력'!$C$7+'1.설계입력'!$C$34)*COS(B145+F145)-'1.설계입력'!$C$8*COS('1.설계입력'!$C$15*B145)</f>
        <v>67.419430804499655</v>
      </c>
      <c r="H145" s="40">
        <f>-('1.설계입력'!$C$6+'1.설계입력'!$C$33)*SIN(B145)+('1.설계입력'!$C$7+'1.설계입력'!$C$34)*SIN(B145+F145)+'1.설계입력'!$C$8*SIN('1.설계입력'!$C$15*B145)</f>
        <v>-36.303460469988856</v>
      </c>
      <c r="I145" s="40">
        <f t="shared" si="7"/>
        <v>76.583333980989522</v>
      </c>
      <c r="J145" s="40">
        <f t="shared" si="8"/>
        <v>76.572324583355567</v>
      </c>
      <c r="K145" s="38">
        <f>IF(OR(A145&gt;180,'1.설계입력'!$C$39&gt;=1),"",'1.설계입력'!$C$34*(1-SIN(B145)/SQRT(1+'1.설계입력'!$C$39^2-2*'1.설계입력'!$C$39*COS(B145)))-'1.설계입력'!$C$33*(1-'1.설계입력'!$C$39*COS(B145)-SQRT(MAX(0,1-'1.설계입력'!$C$39^2))*SIN(B145))/SQRT(1+'1.설계입력'!$C$39^2-2*'1.설계입력'!$C$39*COS(B145)))</f>
        <v>6.2285137649626624E-4</v>
      </c>
    </row>
    <row r="146" spans="1:11" x14ac:dyDescent="0.3">
      <c r="A146" s="40">
        <f>A145+'1.설계입력'!$C$12</f>
        <v>27.999999999999932</v>
      </c>
      <c r="B146" s="40">
        <f t="shared" si="6"/>
        <v>0.48869219055841112</v>
      </c>
      <c r="C146" s="40">
        <f>ATAN2('1.설계입력'!$C$6/('1.설계입력'!$C$8*'1.설계입력'!$C$15)-COS((1-'1.설계입력'!$C$15)*B146),SIN((1-'1.설계입력'!$C$15)*B146))</f>
        <v>-0.49136204073577128</v>
      </c>
      <c r="D146" s="40">
        <f>'1.설계입력'!$C$6*COS(B146)-'1.설계입력'!$C$7*COS(B146+C146)-'1.설계입력'!$C$8*COS('1.설계입력'!$C$15*B146)</f>
        <v>67.252650205945017</v>
      </c>
      <c r="E146" s="40">
        <f>-'1.설계입력'!$C$6*SIN(B146)+'1.설계입력'!$C$7*SIN(B146+C146)+'1.설계입력'!$C$8*SIN('1.설계입력'!$C$15*B146)</f>
        <v>-37.543166121935343</v>
      </c>
      <c r="F146" s="40">
        <f>ATAN2(('1.설계입력'!$C$6+'1.설계입력'!$C$33)/('1.설계입력'!$C$8*'1.설계입력'!$C$15)-COS((1-'1.설계입력'!$C$15)*B146),SIN((1-'1.설계입력'!$C$15)*B146))</f>
        <v>-0.49141736841123979</v>
      </c>
      <c r="G146" s="40">
        <f>('1.설계입력'!$C$6+'1.설계입력'!$C$33)*COS(B146)-('1.설계입력'!$C$7+'1.설계입력'!$C$34)*COS(B146+F146)-'1.설계입력'!$C$8*COS('1.설계입력'!$C$15*B146)</f>
        <v>67.241813695472828</v>
      </c>
      <c r="H146" s="40">
        <f>-('1.설계입력'!$C$6+'1.설계입력'!$C$33)*SIN(B146)+('1.설계입력'!$C$7+'1.설계입력'!$C$34)*SIN(B146+F146)+'1.설계입력'!$C$8*SIN('1.설계입력'!$C$15*B146)</f>
        <v>-37.541954143900647</v>
      </c>
      <c r="I146" s="40">
        <f t="shared" si="7"/>
        <v>77.022128522798113</v>
      </c>
      <c r="J146" s="40">
        <f t="shared" si="8"/>
        <v>77.012075871251625</v>
      </c>
      <c r="K146" s="38">
        <f>IF(OR(A146&gt;180,'1.설계입력'!$C$39&gt;=1),"",'1.설계입력'!$C$34*(1-SIN(B146)/SQRT(1+'1.설계입력'!$C$39^2-2*'1.설계입력'!$C$39*COS(B146)))-'1.설계입력'!$C$33*(1-'1.설계입력'!$C$39*COS(B146)-SQRT(MAX(0,1-'1.설계입력'!$C$39^2))*SIN(B146))/SQRT(1+'1.설계입력'!$C$39^2-2*'1.설계입력'!$C$39*COS(B146)))</f>
        <v>6.0331210310260192E-4</v>
      </c>
    </row>
    <row r="147" spans="1:11" x14ac:dyDescent="0.3">
      <c r="A147" s="40">
        <f>A146+'1.설계입력'!$C$12</f>
        <v>28.199999999999932</v>
      </c>
      <c r="B147" s="40">
        <f t="shared" si="6"/>
        <v>0.49218284906239973</v>
      </c>
      <c r="C147" s="40">
        <f>ATAN2('1.설계입력'!$C$6/('1.설계입력'!$C$8*'1.설계입력'!$C$15)-COS((1-'1.설계입력'!$C$15)*B147),SIN((1-'1.설계입력'!$C$15)*B147))</f>
        <v>-0.67202731166107277</v>
      </c>
      <c r="D147" s="40">
        <f>'1.설계입력'!$C$6*COS(B147)-'1.설계입력'!$C$7*COS(B147+C147)-'1.설계입력'!$C$8*COS('1.설계입력'!$C$15*B147)</f>
        <v>67.327701053062654</v>
      </c>
      <c r="E147" s="40">
        <f>-'1.설계입력'!$C$6*SIN(B147)+'1.설계입력'!$C$7*SIN(B147+C147)+'1.설계입력'!$C$8*SIN('1.설계입력'!$C$15*B147)</f>
        <v>-38.349951668124788</v>
      </c>
      <c r="F147" s="40">
        <f>ATAN2(('1.설계입력'!$C$6+'1.설계입력'!$C$33)/('1.설계입력'!$C$8*'1.설계입력'!$C$15)-COS((1-'1.설계입력'!$C$15)*B147),SIN((1-'1.설계입력'!$C$15)*B147))</f>
        <v>-0.67208643521420197</v>
      </c>
      <c r="G147" s="40">
        <f>('1.설계입력'!$C$6+'1.설계입력'!$C$33)*COS(B147)-('1.설계입력'!$C$7+'1.설계입력'!$C$34)*COS(B147+F147)-'1.설계입력'!$C$8*COS('1.설계입력'!$C$15*B147)</f>
        <v>67.317042048819644</v>
      </c>
      <c r="H147" s="40">
        <f>-('1.설계입력'!$C$6+'1.설계입력'!$C$33)*SIN(B147)+('1.설계입력'!$C$7+'1.설계입력'!$C$34)*SIN(B147+F147)+'1.설계입력'!$C$8*SIN('1.설계입력'!$C$15*B147)</f>
        <v>-38.350168810628062</v>
      </c>
      <c r="I147" s="40">
        <f t="shared" si="7"/>
        <v>77.483792641029652</v>
      </c>
      <c r="J147" s="40">
        <f t="shared" si="8"/>
        <v>77.474638418041181</v>
      </c>
      <c r="K147" s="38">
        <f>IF(OR(A147&gt;180,'1.설계입력'!$C$39&gt;=1),"",'1.설계입력'!$C$34*(1-SIN(B147)/SQRT(1+'1.설계입력'!$C$39^2-2*'1.설계입력'!$C$39*COS(B147)))-'1.설계입력'!$C$33*(1-'1.설계입력'!$C$39*COS(B147)-SQRT(MAX(0,1-'1.설계입력'!$C$39^2))*SIN(B147))/SQRT(1+'1.설계입력'!$C$39^2-2*'1.설계입력'!$C$39*COS(B147)))</f>
        <v>5.8419176493262068E-4</v>
      </c>
    </row>
    <row r="148" spans="1:11" x14ac:dyDescent="0.3">
      <c r="A148" s="40">
        <f>A147+'1.설계입력'!$C$12</f>
        <v>28.399999999999931</v>
      </c>
      <c r="B148" s="40">
        <f t="shared" si="6"/>
        <v>0.49567350756638839</v>
      </c>
      <c r="C148" s="40">
        <f>ATAN2('1.설계입력'!$C$6/('1.설계입력'!$C$8*'1.설계입력'!$C$15)-COS((1-'1.설계입력'!$C$15)*B148),SIN((1-'1.설계입력'!$C$15)*B148))</f>
        <v>-0.76721009095843717</v>
      </c>
      <c r="D148" s="40">
        <f>'1.설계입력'!$C$6*COS(B148)-'1.설계입력'!$C$7*COS(B148+C148)-'1.설계입력'!$C$8*COS('1.설계입력'!$C$15*B148)</f>
        <v>67.438954005226648</v>
      </c>
      <c r="E148" s="40">
        <f>-'1.설계입력'!$C$6*SIN(B148)+'1.설계입력'!$C$7*SIN(B148+C148)+'1.설계입력'!$C$8*SIN('1.설계입력'!$C$15*B148)</f>
        <v>-38.830476927213802</v>
      </c>
      <c r="F148" s="40">
        <f>ATAN2(('1.설계입력'!$C$6+'1.설계입력'!$C$33)/('1.설계입력'!$C$8*'1.설계입력'!$C$15)-COS((1-'1.설계입력'!$C$15)*B148),SIN((1-'1.설계입력'!$C$15)*B148))</f>
        <v>-0.76726382595466203</v>
      </c>
      <c r="G148" s="40">
        <f>('1.설계입력'!$C$6+'1.설계입력'!$C$33)*COS(B148)-('1.설계입력'!$C$7+'1.설계입력'!$C$34)*COS(B148+F148)-'1.설계입력'!$C$8*COS('1.설계입력'!$C$15*B148)</f>
        <v>67.42848165123678</v>
      </c>
      <c r="H148" s="40">
        <f>-('1.설계입력'!$C$6+'1.설계입력'!$C$33)*SIN(B148)+('1.설계입력'!$C$7+'1.설계입력'!$C$34)*SIN(B148+F148)+'1.설계입력'!$C$8*SIN('1.설계입력'!$C$15*B148)</f>
        <v>-38.831382491970558</v>
      </c>
      <c r="I148" s="40">
        <f t="shared" si="7"/>
        <v>77.819139392015629</v>
      </c>
      <c r="J148" s="40">
        <f t="shared" si="8"/>
        <v>77.810516024692276</v>
      </c>
      <c r="K148" s="38">
        <f>IF(OR(A148&gt;180,'1.설계입력'!$C$39&gt;=1),"",'1.설계입력'!$C$34*(1-SIN(B148)/SQRT(1+'1.설계입력'!$C$39^2-2*'1.설계입력'!$C$39*COS(B148)))-'1.설계입력'!$C$33*(1-'1.설계입력'!$C$39*COS(B148)-SQRT(MAX(0,1-'1.설계입력'!$C$39^2))*SIN(B148))/SQRT(1+'1.설계입력'!$C$39^2-2*'1.설계입력'!$C$39*COS(B148)))</f>
        <v>5.6548403167327001E-4</v>
      </c>
    </row>
    <row r="149" spans="1:11" x14ac:dyDescent="0.3">
      <c r="A149" s="40">
        <f>A148+'1.설계입력'!$C$12</f>
        <v>28.59999999999993</v>
      </c>
      <c r="B149" s="40">
        <f t="shared" si="6"/>
        <v>0.49916416607037706</v>
      </c>
      <c r="C149" s="40">
        <f>ATAN2('1.설계입력'!$C$6/('1.설계입력'!$C$8*'1.설계입력'!$C$15)-COS((1-'1.설계입력'!$C$15)*B149),SIN((1-'1.설계입력'!$C$15)*B149))</f>
        <v>-0.80992614898267346</v>
      </c>
      <c r="D149" s="40">
        <f>'1.설계입력'!$C$6*COS(B149)-'1.설계입력'!$C$7*COS(B149+C149)-'1.설계입력'!$C$8*COS('1.설계입력'!$C$15*B149)</f>
        <v>67.528643889034697</v>
      </c>
      <c r="E149" s="40">
        <f>-'1.설계입력'!$C$6*SIN(B149)+'1.설계입력'!$C$7*SIN(B149+C149)+'1.설계입력'!$C$8*SIN('1.설계입력'!$C$15*B149)</f>
        <v>-39.127678120557043</v>
      </c>
      <c r="F149" s="40">
        <f>ATAN2(('1.설계입력'!$C$6+'1.설계입력'!$C$33)/('1.설계입력'!$C$8*'1.설계입력'!$C$15)-COS((1-'1.설계입력'!$C$15)*B149),SIN((1-'1.설계입력'!$C$15)*B149))</f>
        <v>-0.80997293336439402</v>
      </c>
      <c r="G149" s="40">
        <f>('1.설계입력'!$C$6+'1.설계입력'!$C$33)*COS(B149)-('1.설계입력'!$C$7+'1.설계입력'!$C$34)*COS(B149+F149)-'1.설계입력'!$C$8*COS('1.설계입력'!$C$15*B149)</f>
        <v>67.518267468729789</v>
      </c>
      <c r="H149" s="40">
        <f>-('1.설계입력'!$C$6+'1.설계입력'!$C$33)*SIN(B149)+('1.설계입력'!$C$7+'1.설계입력'!$C$34)*SIN(B149+F149)+'1.설계입력'!$C$8*SIN('1.설계입력'!$C$15*B149)</f>
        <v>-39.128849561154013</v>
      </c>
      <c r="I149" s="40">
        <f t="shared" si="7"/>
        <v>78.045454323733566</v>
      </c>
      <c r="J149" s="40">
        <f t="shared" si="8"/>
        <v>78.037063693852275</v>
      </c>
      <c r="K149" s="38">
        <f>IF(OR(A149&gt;180,'1.설계입력'!$C$39&gt;=1),"",'1.설계입력'!$C$34*(1-SIN(B149)/SQRT(1+'1.설계입력'!$C$39^2-2*'1.설계입력'!$C$39*COS(B149)))-'1.설계입력'!$C$33*(1-'1.설계입력'!$C$39*COS(B149)-SQRT(MAX(0,1-'1.설계입력'!$C$39^2))*SIN(B149))/SQRT(1+'1.설계입력'!$C$39^2-2*'1.설계입력'!$C$39*COS(B149)))</f>
        <v>5.4718268318413893E-4</v>
      </c>
    </row>
    <row r="150" spans="1:11" x14ac:dyDescent="0.3">
      <c r="A150" s="40">
        <f>A149+'1.설계입력'!$C$12</f>
        <v>28.79999999999993</v>
      </c>
      <c r="B150" s="40">
        <f t="shared" si="6"/>
        <v>0.50265482457436572</v>
      </c>
      <c r="C150" s="40">
        <f>ATAN2('1.설계입력'!$C$6/('1.설계입력'!$C$8*'1.설계입력'!$C$15)-COS((1-'1.설계입력'!$C$15)*B150),SIN((1-'1.설계입력'!$C$15)*B150))</f>
        <v>-0.82081480079237701</v>
      </c>
      <c r="D150" s="40">
        <f>'1.설계입력'!$C$6*COS(B150)-'1.설계입력'!$C$7*COS(B150+C150)-'1.설계입력'!$C$8*COS('1.설계입력'!$C$15*B150)</f>
        <v>67.594371788828042</v>
      </c>
      <c r="E150" s="40">
        <f>-'1.설계입력'!$C$6*SIN(B150)+'1.설계입력'!$C$7*SIN(B150+C150)+'1.설계입력'!$C$8*SIN('1.설계입력'!$C$15*B150)</f>
        <v>-39.328494155281192</v>
      </c>
      <c r="F150" s="40">
        <f>ATAN2(('1.설계입력'!$C$6+'1.설계입력'!$C$33)/('1.설계입력'!$C$8*'1.설계입력'!$C$15)-COS((1-'1.설계입력'!$C$15)*B150),SIN((1-'1.설계입력'!$C$15)*B150))</f>
        <v>-0.82085521102010162</v>
      </c>
      <c r="G150" s="40">
        <f>('1.설계입력'!$C$6+'1.설계입력'!$C$33)*COS(B150)-('1.설계입력'!$C$7+'1.설계입력'!$C$34)*COS(B150+F150)-'1.설계입력'!$C$8*COS('1.설계입력'!$C$15*B150)</f>
        <v>67.5840124258076</v>
      </c>
      <c r="H150" s="40">
        <f>-('1.설계입력'!$C$6+'1.설계입력'!$C$33)*SIN(B150)+('1.설계입력'!$C$7+'1.설계입력'!$C$34)*SIN(B150+F150)+'1.설계입력'!$C$8*SIN('1.설계입력'!$C$15*B150)</f>
        <v>-39.329688394588388</v>
      </c>
      <c r="I150" s="40">
        <f t="shared" si="7"/>
        <v>78.203130052756194</v>
      </c>
      <c r="J150" s="40">
        <f t="shared" si="8"/>
        <v>78.194776838271849</v>
      </c>
      <c r="K150" s="38">
        <f>IF(OR(A150&gt;180,'1.설계입력'!$C$39&gt;=1),"",'1.설계입력'!$C$34*(1-SIN(B150)/SQRT(1+'1.설계입력'!$C$39^2-2*'1.설계입력'!$C$39*COS(B150)))-'1.설계입력'!$C$33*(1-'1.설계입력'!$C$39*COS(B150)-SQRT(MAX(0,1-'1.설계입력'!$C$39^2))*SIN(B150))/SQRT(1+'1.설계입력'!$C$39^2-2*'1.설계입력'!$C$39*COS(B150)))</f>
        <v>5.292816078485761E-4</v>
      </c>
    </row>
    <row r="151" spans="1:11" x14ac:dyDescent="0.3">
      <c r="A151" s="40">
        <f>A150+'1.설계입력'!$C$12</f>
        <v>28.999999999999929</v>
      </c>
      <c r="B151" s="40">
        <f t="shared" si="6"/>
        <v>0.50614548307835427</v>
      </c>
      <c r="C151" s="40">
        <f>ATAN2('1.설계입력'!$C$6/('1.설계입력'!$C$8*'1.설계입력'!$C$15)-COS((1-'1.설계입력'!$C$15)*B151),SIN((1-'1.설계입력'!$C$15)*B151))</f>
        <v>-0.8116713438087807</v>
      </c>
      <c r="D151" s="40">
        <f>'1.설계입력'!$C$6*COS(B151)-'1.설계입력'!$C$7*COS(B151+C151)-'1.설계입력'!$C$8*COS('1.설계입력'!$C$15*B151)</f>
        <v>67.643588085717496</v>
      </c>
      <c r="E151" s="40">
        <f>-'1.설계입력'!$C$6*SIN(B151)+'1.설계입력'!$C$7*SIN(B151+C151)+'1.설계입력'!$C$8*SIN('1.설계입력'!$C$15*B151)</f>
        <v>-39.480356127966743</v>
      </c>
      <c r="F151" s="40">
        <f>ATAN2(('1.설계입력'!$C$6+'1.설계입력'!$C$33)/('1.설계입력'!$C$8*'1.설계입력'!$C$15)-COS((1-'1.설계입력'!$C$15)*B151),SIN((1-'1.설계입력'!$C$15)*B151))</f>
        <v>-0.8117063321640583</v>
      </c>
      <c r="G151" s="40">
        <f>('1.설계입력'!$C$6+'1.설계입력'!$C$33)*COS(B151)-('1.설계입력'!$C$7+'1.설계입력'!$C$34)*COS(B151+F151)-'1.설계입력'!$C$8*COS('1.설계입력'!$C$15*B151)</f>
        <v>67.633194069305461</v>
      </c>
      <c r="H151" s="40">
        <f>-('1.설계입력'!$C$6+'1.설계입력'!$C$33)*SIN(B151)+('1.설계입력'!$C$7+'1.설계입력'!$C$34)*SIN(B151+F151)+'1.설계입력'!$C$8*SIN('1.설계입력'!$C$15*B151)</f>
        <v>-39.481423396979253</v>
      </c>
      <c r="I151" s="40">
        <f t="shared" si="7"/>
        <v>78.322113921301323</v>
      </c>
      <c r="J151" s="40">
        <f t="shared" si="8"/>
        <v>78.313675264719095</v>
      </c>
      <c r="K151" s="38">
        <f>IF(OR(A151&gt;180,'1.설계입력'!$C$39&gt;=1),"",'1.설계입력'!$C$34*(1-SIN(B151)/SQRT(1+'1.설계입력'!$C$39^2-2*'1.설계입력'!$C$39*COS(B151)))-'1.설계입력'!$C$33*(1-'1.설계입력'!$C$39*COS(B151)-SQRT(MAX(0,1-'1.설계입력'!$C$39^2))*SIN(B151))/SQRT(1+'1.설계입력'!$C$39^2-2*'1.설계입력'!$C$39*COS(B151)))</f>
        <v>5.1177480092400745E-4</v>
      </c>
    </row>
    <row r="152" spans="1:11" x14ac:dyDescent="0.3">
      <c r="A152" s="40">
        <f>A151+'1.설계입력'!$C$12</f>
        <v>29.199999999999928</v>
      </c>
      <c r="B152" s="40">
        <f t="shared" si="6"/>
        <v>0.50963614158234294</v>
      </c>
      <c r="C152" s="40">
        <f>ATAN2('1.설계입력'!$C$6/('1.설계입력'!$C$8*'1.설계입력'!$C$15)-COS((1-'1.설계입력'!$C$15)*B152),SIN((1-'1.설계입력'!$C$15)*B152))</f>
        <v>-0.78934449702346143</v>
      </c>
      <c r="D152" s="40">
        <f>'1.설계입력'!$C$6*COS(B152)-'1.설계입력'!$C$7*COS(B152+C152)-'1.설계입력'!$C$8*COS('1.설계입력'!$C$15*B152)</f>
        <v>67.682717110835341</v>
      </c>
      <c r="E152" s="40">
        <f>-'1.설계입력'!$C$6*SIN(B152)+'1.설계입력'!$C$7*SIN(B152+C152)+'1.설계입력'!$C$8*SIN('1.설계입력'!$C$15*B152)</f>
        <v>-39.609707209750511</v>
      </c>
      <c r="F152" s="40">
        <f>ATAN2(('1.설계입력'!$C$6+'1.설계입력'!$C$33)/('1.설계입력'!$C$8*'1.설계입력'!$C$15)-COS((1-'1.설계입력'!$C$15)*B152),SIN((1-'1.설계입력'!$C$15)*B152))</f>
        <v>-0.78937493786917967</v>
      </c>
      <c r="G152" s="40">
        <f>('1.설계입력'!$C$6+'1.설계입력'!$C$33)*COS(B152)-('1.설계입력'!$C$7+'1.설계입력'!$C$34)*COS(B152+F152)-'1.설계입력'!$C$8*COS('1.설계입력'!$C$15*B152)</f>
        <v>67.672259536561384</v>
      </c>
      <c r="H152" s="40">
        <f>-('1.설계입력'!$C$6+'1.설계입력'!$C$33)*SIN(B152)+('1.설계입력'!$C$7+'1.설계입력'!$C$34)*SIN(B152+F152)+'1.설계입력'!$C$8*SIN('1.설계입력'!$C$15*B152)</f>
        <v>-39.610548322789583</v>
      </c>
      <c r="I152" s="40">
        <f t="shared" si="7"/>
        <v>78.421164877522216</v>
      </c>
      <c r="J152" s="40">
        <f t="shared" si="8"/>
        <v>78.412564358116555</v>
      </c>
      <c r="K152" s="38">
        <f>IF(OR(A152&gt;180,'1.설계입력'!$C$39&gt;=1),"",'1.설계입력'!$C$34*(1-SIN(B152)/SQRT(1+'1.설계입력'!$C$39^2-2*'1.설계입력'!$C$39*COS(B152)))-'1.설계입력'!$C$33*(1-'1.설계입력'!$C$39*COS(B152)-SQRT(MAX(0,1-'1.설계입력'!$C$39^2))*SIN(B152))/SQRT(1+'1.설계입력'!$C$39^2-2*'1.설계입력'!$C$39*COS(B152)))</f>
        <v>4.9465636289342104E-4</v>
      </c>
    </row>
    <row r="153" spans="1:11" x14ac:dyDescent="0.3">
      <c r="A153" s="40">
        <f>A152+'1.설계입력'!$C$12</f>
        <v>29.399999999999928</v>
      </c>
      <c r="B153" s="40">
        <f t="shared" si="6"/>
        <v>0.5131268000863316</v>
      </c>
      <c r="C153" s="40">
        <f>ATAN2('1.설계입력'!$C$6/('1.설계입력'!$C$8*'1.설계입력'!$C$15)-COS((1-'1.설계입력'!$C$15)*B153),SIN((1-'1.설계입력'!$C$15)*B153))</f>
        <v>-0.75797703007953587</v>
      </c>
      <c r="D153" s="40">
        <f>'1.설계입력'!$C$6*COS(B153)-'1.설계입력'!$C$7*COS(B153+C153)-'1.설계입력'!$C$8*COS('1.설계입력'!$C$15*B153)</f>
        <v>67.715630639739743</v>
      </c>
      <c r="E153" s="40">
        <f>-'1.설계입력'!$C$6*SIN(B153)+'1.설계입력'!$C$7*SIN(B153+C153)+'1.설계입력'!$C$8*SIN('1.설계입력'!$C$15*B153)</f>
        <v>-39.7319690517689</v>
      </c>
      <c r="F153" s="40">
        <f>ATAN2(('1.설계입력'!$C$6+'1.설계입력'!$C$33)/('1.설계입력'!$C$8*'1.설계입력'!$C$15)-COS((1-'1.설계입력'!$C$15)*B153),SIN((1-'1.설계입력'!$C$15)*B153))</f>
        <v>-0.75800363628828471</v>
      </c>
      <c r="G153" s="40">
        <f>('1.설계입력'!$C$6+'1.설계입력'!$C$33)*COS(B153)-('1.설계입력'!$C$7+'1.설계입력'!$C$34)*COS(B153+F153)-'1.설계입력'!$C$8*COS('1.설계입력'!$C$15*B153)</f>
        <v>67.705097322598746</v>
      </c>
      <c r="H153" s="40">
        <f>-('1.설계입력'!$C$6+'1.설계입력'!$C$33)*SIN(B153)+('1.설계입력'!$C$7+'1.설계입력'!$C$34)*SIN(B153+F153)+'1.설계입력'!$C$8*SIN('1.설계입력'!$C$15*B153)</f>
        <v>-39.732514238740144</v>
      </c>
      <c r="I153" s="40">
        <f t="shared" si="7"/>
        <v>78.511374957189361</v>
      </c>
      <c r="J153" s="40">
        <f t="shared" si="8"/>
        <v>78.502566144007403</v>
      </c>
      <c r="K153" s="38">
        <f>IF(OR(A153&gt;180,'1.설계입력'!$C$39&gt;=1),"",'1.설계입력'!$C$34*(1-SIN(B153)/SQRT(1+'1.설계입력'!$C$39^2-2*'1.설계입력'!$C$39*COS(B153)))-'1.설계입력'!$C$33*(1-'1.설계입력'!$C$39*COS(B153)-SQRT(MAX(0,1-'1.설계입력'!$C$39^2))*SIN(B153))/SQRT(1+'1.설계입력'!$C$39^2-2*'1.설계입력'!$C$39*COS(B153)))</f>
        <v>4.7792049781994429E-4</v>
      </c>
    </row>
    <row r="154" spans="1:11" x14ac:dyDescent="0.3">
      <c r="A154" s="40">
        <f>A153+'1.설계입력'!$C$12</f>
        <v>29.599999999999927</v>
      </c>
      <c r="B154" s="40">
        <f t="shared" si="6"/>
        <v>0.51661745859032027</v>
      </c>
      <c r="C154" s="40">
        <f>ATAN2('1.설계입력'!$C$6/('1.설계입력'!$C$8*'1.설계입력'!$C$15)-COS((1-'1.설계입력'!$C$15)*B154),SIN((1-'1.설계입력'!$C$15)*B154))</f>
        <v>-0.72018741047256973</v>
      </c>
      <c r="D154" s="40">
        <f>'1.설계입력'!$C$6*COS(B154)-'1.설계입력'!$C$7*COS(B154+C154)-'1.설계입력'!$C$8*COS('1.설계입력'!$C$15*B154)</f>
        <v>67.744062686243282</v>
      </c>
      <c r="E154" s="40">
        <f>-'1.설계입력'!$C$6*SIN(B154)+'1.설계입력'!$C$7*SIN(B154+C154)+'1.설계입력'!$C$8*SIN('1.설계입력'!$C$15*B154)</f>
        <v>-39.856456862143638</v>
      </c>
      <c r="F154" s="40">
        <f>ATAN2(('1.설계입력'!$C$6+'1.설계입력'!$C$33)/('1.설계입력'!$C$8*'1.설계입력'!$C$15)-COS((1-'1.설계입력'!$C$15)*B154),SIN((1-'1.설계입력'!$C$15)*B154))</f>
        <v>-0.72021074428249499</v>
      </c>
      <c r="G154" s="40">
        <f>('1.설계입력'!$C$6+'1.설계입력'!$C$33)*COS(B154)-('1.설계입력'!$C$7+'1.설계입력'!$C$34)*COS(B154+F154)-'1.설계입력'!$C$8*COS('1.설계입력'!$C$15*B154)</f>
        <v>67.733453416669363</v>
      </c>
      <c r="H154" s="40">
        <f>-('1.설계입력'!$C$6+'1.설계입력'!$C$33)*SIN(B154)+('1.설계입력'!$C$7+'1.설계입력'!$C$34)*SIN(B154+F154)+'1.설계입력'!$C$8*SIN('1.설계입력'!$C$15*B154)</f>
        <v>-39.856654786674973</v>
      </c>
      <c r="I154" s="40">
        <f t="shared" si="7"/>
        <v>78.598951537800914</v>
      </c>
      <c r="J154" s="40">
        <f t="shared" si="8"/>
        <v>78.589908019619799</v>
      </c>
      <c r="K154" s="38">
        <f>IF(OR(A154&gt;180,'1.설계입력'!$C$39&gt;=1),"",'1.설계입력'!$C$34*(1-SIN(B154)/SQRT(1+'1.설계입력'!$C$39^2-2*'1.설계입력'!$C$39*COS(B154)))-'1.설계입력'!$C$33*(1-'1.설계입력'!$C$39*COS(B154)-SQRT(MAX(0,1-'1.설계입력'!$C$39^2))*SIN(B154))/SQRT(1+'1.설계입력'!$C$39^2-2*'1.설계입력'!$C$39*COS(B154)))</f>
        <v>4.6156151170617145E-4</v>
      </c>
    </row>
    <row r="155" spans="1:11" x14ac:dyDescent="0.3">
      <c r="A155" s="40">
        <f>A154+'1.설계입력'!$C$12</f>
        <v>29.799999999999926</v>
      </c>
      <c r="B155" s="40">
        <f t="shared" si="6"/>
        <v>0.52010811709430893</v>
      </c>
      <c r="C155" s="40">
        <f>ATAN2('1.설계입력'!$C$6/('1.설계입력'!$C$8*'1.설계입력'!$C$15)-COS((1-'1.설계입력'!$C$15)*B155),SIN((1-'1.설계입력'!$C$15)*B155))</f>
        <v>-0.67769957902052824</v>
      </c>
      <c r="D155" s="40">
        <f>'1.설계입력'!$C$6*COS(B155)-'1.설계입력'!$C$7*COS(B155+C155)-'1.설계입력'!$C$8*COS('1.설계입력'!$C$15*B155)</f>
        <v>67.768244492406865</v>
      </c>
      <c r="E155" s="40">
        <f>-'1.설계입력'!$C$6*SIN(B155)+'1.설계입력'!$C$7*SIN(B155+C155)+'1.설계입력'!$C$8*SIN('1.설계입력'!$C$15*B155)</f>
        <v>-39.988848911637341</v>
      </c>
      <c r="F155" s="40">
        <f>ATAN2(('1.설계입력'!$C$6+'1.설계입력'!$C$33)/('1.설계입력'!$C$8*'1.설계입력'!$C$15)-COS((1-'1.설계입력'!$C$15)*B155),SIN((1-'1.설계입력'!$C$15)*B155))</f>
        <v>-0.67772008106063919</v>
      </c>
      <c r="G155" s="40">
        <f>('1.설계입력'!$C$6+'1.설계입력'!$C$33)*COS(B155)-('1.설계입력'!$C$7+'1.설계입력'!$C$34)*COS(B155+F155)-'1.설계입력'!$C$8*COS('1.설계입력'!$C$15*B155)</f>
        <v>67.757567690791959</v>
      </c>
      <c r="H155" s="40">
        <f>-('1.설계입력'!$C$6+'1.설계입력'!$C$33)*SIN(B155)+('1.설계입력'!$C$7+'1.설계입력'!$C$34)*SIN(B155+F155)+'1.설계입력'!$C$8*SIN('1.설계입력'!$C$15*B155)</f>
        <v>-39.988660661937374</v>
      </c>
      <c r="I155" s="40">
        <f t="shared" si="7"/>
        <v>78.68699383545156</v>
      </c>
      <c r="J155" s="40">
        <f t="shared" si="8"/>
        <v>78.677703073411038</v>
      </c>
      <c r="K155" s="38">
        <f>IF(OR(A155&gt;180,'1.설계입력'!$C$39&gt;=1),"",'1.설계입력'!$C$34*(1-SIN(B155)/SQRT(1+'1.설계입력'!$C$39^2-2*'1.설계입력'!$C$39*COS(B155)))-'1.설계입력'!$C$33*(1-'1.설계입력'!$C$39*COS(B155)-SQRT(MAX(0,1-'1.설계입력'!$C$39^2))*SIN(B155))/SQRT(1+'1.설계입력'!$C$39^2-2*'1.설계입력'!$C$39*COS(B155)))</f>
        <v>4.4557381085989539E-4</v>
      </c>
    </row>
    <row r="156" spans="1:11" x14ac:dyDescent="0.3">
      <c r="A156" s="40">
        <f>A155+'1.설계입력'!$C$12</f>
        <v>29.999999999999925</v>
      </c>
      <c r="B156" s="40">
        <f t="shared" si="6"/>
        <v>0.52359877559829759</v>
      </c>
      <c r="C156" s="40">
        <f>ATAN2('1.설계입력'!$C$6/('1.설계입력'!$C$8*'1.설계입력'!$C$15)-COS((1-'1.설계입력'!$C$15)*B156),SIN((1-'1.설계입력'!$C$15)*B156))</f>
        <v>-0.63169063433898631</v>
      </c>
      <c r="D156" s="40">
        <f>'1.설계입력'!$C$6*COS(B156)-'1.설계입력'!$C$7*COS(B156+C156)-'1.설계입력'!$C$8*COS('1.설계입력'!$C$15*B156)</f>
        <v>67.787428066977014</v>
      </c>
      <c r="E156" s="40">
        <f>-'1.설계입력'!$C$6*SIN(B156)+'1.설계입력'!$C$7*SIN(B156+C156)+'1.설계입력'!$C$8*SIN('1.설계입력'!$C$15*B156)</f>
        <v>-40.13248786830777</v>
      </c>
      <c r="F156" s="40">
        <f>ATAN2(('1.설계입력'!$C$6+'1.설계입력'!$C$33)/('1.설계입력'!$C$8*'1.설계입력'!$C$15)-COS((1-'1.설계입력'!$C$15)*B156),SIN((1-'1.설계입력'!$C$15)*B156))</f>
        <v>-0.63170865105535878</v>
      </c>
      <c r="G156" s="40">
        <f>('1.설계입력'!$C$6+'1.설계입력'!$C$33)*COS(B156)-('1.설계입력'!$C$7+'1.설계입력'!$C$34)*COS(B156+F156)-'1.설계입력'!$C$8*COS('1.설계입력'!$C$15*B156)</f>
        <v>67.776698452834026</v>
      </c>
      <c r="H156" s="40">
        <f>-('1.설계입력'!$C$6+'1.설계입력'!$C$33)*SIN(B156)+('1.설계입력'!$C$7+'1.설계입력'!$C$34)*SIN(B156+F156)+'1.설계입력'!$C$8*SIN('1.설계입력'!$C$15*B156)</f>
        <v>-40.131883499684619</v>
      </c>
      <c r="I156" s="40">
        <f t="shared" si="7"/>
        <v>78.776595422977323</v>
      </c>
      <c r="J156" s="40">
        <f t="shared" si="8"/>
        <v>78.767054828771236</v>
      </c>
      <c r="K156" s="38">
        <f>IF(OR(A156&gt;180,'1.설계입력'!$C$39&gt;=1),"",'1.설계입력'!$C$34*(1-SIN(B156)/SQRT(1+'1.설계입력'!$C$39^2-2*'1.설계입력'!$C$39*COS(B156)))-'1.설계입력'!$C$33*(1-'1.설계입력'!$C$39*COS(B156)-SQRT(MAX(0,1-'1.설계입력'!$C$39^2))*SIN(B156))/SQRT(1+'1.설계입력'!$C$39^2-2*'1.설계입력'!$C$39*COS(B156)))</f>
        <v>4.2995190026763174E-4</v>
      </c>
    </row>
    <row r="157" spans="1:11" x14ac:dyDescent="0.3">
      <c r="A157" s="40">
        <f>A156+'1.설계입력'!$C$12</f>
        <v>30.199999999999925</v>
      </c>
      <c r="B157" s="40">
        <f t="shared" si="6"/>
        <v>0.52708943410228626</v>
      </c>
      <c r="C157" s="40">
        <f>ATAN2('1.설계입력'!$C$6/('1.설계입력'!$C$8*'1.설계입력'!$C$15)-COS((1-'1.설계입력'!$C$15)*B157),SIN((1-'1.설계입력'!$C$15)*B157))</f>
        <v>-0.582990663840117</v>
      </c>
      <c r="D157" s="40">
        <f>'1.설계입력'!$C$6*COS(B157)-'1.설계입력'!$C$7*COS(B157+C157)-'1.설계입력'!$C$8*COS('1.설계입력'!$C$15*B157)</f>
        <v>67.800274240784731</v>
      </c>
      <c r="E157" s="40">
        <f>-'1.설계입력'!$C$6*SIN(B157)+'1.설계입력'!$C$7*SIN(B157+C157)+'1.설계입력'!$C$8*SIN('1.설계입력'!$C$15*B157)</f>
        <v>-40.289107971477193</v>
      </c>
      <c r="F157" s="40">
        <f>ATAN2(('1.설계입력'!$C$6+'1.설계입력'!$C$33)/('1.설계입력'!$C$8*'1.설계입력'!$C$15)-COS((1-'1.설계입력'!$C$15)*B157),SIN((1-'1.설계입력'!$C$15)*B157))</f>
        <v>-0.5830064693586986</v>
      </c>
      <c r="G157" s="40">
        <f>('1.설계입력'!$C$6+'1.설계입력'!$C$33)*COS(B157)-('1.설계입력'!$C$7+'1.설계입력'!$C$34)*COS(B157+F157)-'1.설계입력'!$C$8*COS('1.설계입력'!$C$15*B157)</f>
        <v>67.789511181644698</v>
      </c>
      <c r="H157" s="40">
        <f>-('1.설계입력'!$C$6+'1.설계입력'!$C$33)*SIN(B157)+('1.설계입력'!$C$7+'1.설계입력'!$C$34)*SIN(B157+F157)+'1.설계입력'!$C$8*SIN('1.설계입력'!$C$15*B157)</f>
        <v>-40.288064424924968</v>
      </c>
      <c r="I157" s="40">
        <f t="shared" si="7"/>
        <v>78.867543440016973</v>
      </c>
      <c r="J157" s="40">
        <f t="shared" si="8"/>
        <v>78.857757775333923</v>
      </c>
      <c r="K157" s="38">
        <f>IF(OR(A157&gt;180,'1.설계입력'!$C$39&gt;=1),"",'1.설계입력'!$C$34*(1-SIN(B157)/SQRT(1+'1.설계입력'!$C$39^2-2*'1.설계입력'!$C$39*COS(B157)))-'1.설계입력'!$C$33*(1-'1.설계입력'!$C$39*COS(B157)-SQRT(MAX(0,1-'1.설계입력'!$C$39^2))*SIN(B157))/SQRT(1+'1.설계입력'!$C$39^2-2*'1.설계입력'!$C$39*COS(B157)))</f>
        <v>4.1469038197735307E-4</v>
      </c>
    </row>
    <row r="158" spans="1:11" x14ac:dyDescent="0.3">
      <c r="A158" s="40">
        <f>A157+'1.설계입력'!$C$12</f>
        <v>30.399999999999924</v>
      </c>
      <c r="B158" s="40">
        <f t="shared" si="6"/>
        <v>0.53058009260627481</v>
      </c>
      <c r="C158" s="40">
        <f>ATAN2('1.설계입력'!$C$6/('1.설계입력'!$C$8*'1.설계입력'!$C$15)-COS((1-'1.설계입력'!$C$15)*B158),SIN((1-'1.설계입력'!$C$15)*B158))</f>
        <v>-0.53220217593623176</v>
      </c>
      <c r="D158" s="40">
        <f>'1.설계입력'!$C$6*COS(B158)-'1.설계입력'!$C$7*COS(B158+C158)-'1.설계입력'!$C$8*COS('1.설계입력'!$C$15*B158)</f>
        <v>67.805135837810596</v>
      </c>
      <c r="E158" s="40">
        <f>-'1.설계입력'!$C$6*SIN(B158)+'1.설계입력'!$C$7*SIN(B158+C158)+'1.설계입력'!$C$8*SIN('1.설계입력'!$C$15*B158)</f>
        <v>-40.459269432721307</v>
      </c>
      <c r="F158" s="40">
        <f>ATAN2(('1.설계입력'!$C$6+'1.설계입력'!$C$33)/('1.설계입력'!$C$8*'1.설계입력'!$C$15)-COS((1-'1.설계입력'!$C$15)*B158),SIN((1-'1.설계입력'!$C$15)*B158))</f>
        <v>-0.53221598858673602</v>
      </c>
      <c r="G158" s="40">
        <f>('1.설계입력'!$C$6+'1.설계입력'!$C$33)*COS(B158)-('1.설계입력'!$C$7+'1.설계입력'!$C$34)*COS(B158+F158)-'1.설계입력'!$C$8*COS('1.설계입력'!$C$15*B158)</f>
        <v>67.794362146277095</v>
      </c>
      <c r="H158" s="40">
        <f>-('1.설계입력'!$C$6+'1.설계입력'!$C$33)*SIN(B158)+('1.설계입력'!$C$7+'1.설계입력'!$C$34)*SIN(B158+F158)+'1.설계입력'!$C$8*SIN('1.설계입력'!$C$15*B158)</f>
        <v>-40.457769229332776</v>
      </c>
      <c r="I158" s="40">
        <f t="shared" si="7"/>
        <v>78.95877993620141</v>
      </c>
      <c r="J158" s="40">
        <f t="shared" si="8"/>
        <v>78.948759520555583</v>
      </c>
      <c r="K158" s="38">
        <f>IF(OR(A158&gt;180,'1.설계입력'!$C$39&gt;=1),"",'1.설계입력'!$C$34*(1-SIN(B158)/SQRT(1+'1.설계입력'!$C$39^2-2*'1.설계입력'!$C$39*COS(B158)))-'1.설계입력'!$C$33*(1-'1.설계입력'!$C$39*COS(B158)-SQRT(MAX(0,1-'1.설계입력'!$C$39^2))*SIN(B158))/SQRT(1+'1.설계입력'!$C$39^2-2*'1.설계입력'!$C$39*COS(B158)))</f>
        <v>3.9978395349167344E-4</v>
      </c>
    </row>
    <row r="159" spans="1:11" x14ac:dyDescent="0.3">
      <c r="A159" s="40">
        <f>A158+'1.설계입력'!$C$12</f>
        <v>30.599999999999923</v>
      </c>
      <c r="B159" s="40">
        <f t="shared" si="6"/>
        <v>0.53407075111026348</v>
      </c>
      <c r="C159" s="40">
        <f>ATAN2('1.설계입력'!$C$6/('1.설계입력'!$C$8*'1.설계입력'!$C$15)-COS((1-'1.설계입력'!$C$15)*B159),SIN((1-'1.설계입력'!$C$15)*B159))</f>
        <v>-0.47977410855129865</v>
      </c>
      <c r="D159" s="40">
        <f>'1.설계입력'!$C$6*COS(B159)-'1.설계입력'!$C$7*COS(B159+C159)-'1.설계입력'!$C$8*COS('1.설계입력'!$C$15*B159)</f>
        <v>67.800266508240611</v>
      </c>
      <c r="E159" s="40">
        <f>-'1.설계입력'!$C$6*SIN(B159)+'1.설계입력'!$C$7*SIN(B159+C159)+'1.설계입력'!$C$8*SIN('1.설계입력'!$C$15*B159)</f>
        <v>-40.642638342666743</v>
      </c>
      <c r="F159" s="40">
        <f>ATAN2(('1.설계입력'!$C$6+'1.설계입력'!$C$33)/('1.설계입력'!$C$8*'1.설계입력'!$C$15)-COS((1-'1.설계입력'!$C$15)*B159),SIN((1-'1.설계입력'!$C$15)*B159))</f>
        <v>-0.4797861031460256</v>
      </c>
      <c r="G159" s="40">
        <f>('1.설계입력'!$C$6+'1.설계입력'!$C$33)*COS(B159)-('1.설계입력'!$C$7+'1.설계입력'!$C$34)*COS(B159+F159)-'1.설계입력'!$C$8*COS('1.설계입력'!$C$15*B159)</f>
        <v>67.789507536161835</v>
      </c>
      <c r="H159" s="40">
        <f>-('1.설계입력'!$C$6+'1.설계입력'!$C$33)*SIN(B159)+('1.설계입력'!$C$7+'1.설계입력'!$C$34)*SIN(B159+F159)+'1.설계입력'!$C$8*SIN('1.설계입력'!$C$15*B159)</f>
        <v>-40.640668732242133</v>
      </c>
      <c r="I159" s="40">
        <f t="shared" si="7"/>
        <v>79.0487203567601</v>
      </c>
      <c r="J159" s="40">
        <f t="shared" si="8"/>
        <v>79.03847978674176</v>
      </c>
      <c r="K159" s="38">
        <f>IF(OR(A159&gt;180,'1.설계입력'!$C$39&gt;=1),"",'1.설계입력'!$C$34*(1-SIN(B159)/SQRT(1+'1.설계입력'!$C$39^2-2*'1.설계입력'!$C$39*COS(B159)))-'1.설계입력'!$C$33*(1-'1.설계입력'!$C$39*COS(B159)-SQRT(MAX(0,1-'1.설계입력'!$C$39^2))*SIN(B159))/SQRT(1+'1.설계입력'!$C$39^2-2*'1.설계입력'!$C$39*COS(B159)))</f>
        <v>3.8522740617255233E-4</v>
      </c>
    </row>
    <row r="160" spans="1:11" x14ac:dyDescent="0.3">
      <c r="A160" s="40">
        <f>A159+'1.설계입력'!$C$12</f>
        <v>30.799999999999923</v>
      </c>
      <c r="B160" s="40">
        <f t="shared" si="6"/>
        <v>0.53756140961425214</v>
      </c>
      <c r="C160" s="40">
        <f>ATAN2('1.설계입력'!$C$6/('1.설계입력'!$C$8*'1.설계입력'!$C$15)-COS((1-'1.설계입력'!$C$15)*B160),SIN((1-'1.설계입력'!$C$15)*B160))</f>
        <v>-0.42604922794785244</v>
      </c>
      <c r="D160" s="40">
        <f>'1.설계입력'!$C$6*COS(B160)-'1.설계입력'!$C$7*COS(B160+C160)-'1.설계입력'!$C$8*COS('1.설계입력'!$C$15*B160)</f>
        <v>67.783977110203423</v>
      </c>
      <c r="E160" s="40">
        <f>-'1.설계입력'!$C$6*SIN(B160)+'1.설계입력'!$C$7*SIN(B160+C160)+'1.설계입력'!$C$8*SIN('1.설계입력'!$C$15*B160)</f>
        <v>-40.838182707454877</v>
      </c>
      <c r="F160" s="40">
        <f>ATAN2(('1.설계입력'!$C$6+'1.설계입력'!$C$33)/('1.설계입력'!$C$8*'1.설계입력'!$C$15)-COS((1-'1.설계입력'!$C$15)*B160),SIN((1-'1.설계입력'!$C$15)*B160))</f>
        <v>-0.42605954487859821</v>
      </c>
      <c r="G160" s="40">
        <f>('1.설계입력'!$C$6+'1.설계입력'!$C$33)*COS(B160)-('1.설계입력'!$C$7+'1.설계입력'!$C$34)*COS(B160+F160)-'1.설계입력'!$C$8*COS('1.설계입력'!$C$15*B160)</f>
        <v>67.773260042562541</v>
      </c>
      <c r="H160" s="40">
        <f>-('1.설계입력'!$C$6+'1.설계입력'!$C$33)*SIN(B160)+('1.설계입력'!$C$7+'1.설계입력'!$C$34)*SIN(B160+F160)+'1.설계입력'!$C$8*SIN('1.설계입력'!$C$15*B160)</f>
        <v>-40.835735091195787</v>
      </c>
      <c r="I160" s="40">
        <f t="shared" si="7"/>
        <v>79.135483316424171</v>
      </c>
      <c r="J160" s="40">
        <f t="shared" si="8"/>
        <v>79.125040519642852</v>
      </c>
      <c r="K160" s="38">
        <f>IF(OR(A160&gt;180,'1.설계입력'!$C$39&gt;=1),"",'1.설계입력'!$C$34*(1-SIN(B160)/SQRT(1+'1.설계입력'!$C$39^2-2*'1.설계입력'!$C$39*COS(B160)))-'1.설계입력'!$C$33*(1-'1.설계입력'!$C$39*COS(B160)-SQRT(MAX(0,1-'1.설계입력'!$C$39^2))*SIN(B160))/SQRT(1+'1.설계입력'!$C$39^2-2*'1.설계입력'!$C$39*COS(B160)))</f>
        <v>3.7101562365861578E-4</v>
      </c>
    </row>
    <row r="161" spans="1:11" x14ac:dyDescent="0.3">
      <c r="A161" s="40">
        <f>A160+'1.설계입력'!$C$12</f>
        <v>30.999999999999922</v>
      </c>
      <c r="B161" s="40">
        <f t="shared" si="6"/>
        <v>0.5410520681182408</v>
      </c>
      <c r="C161" s="40">
        <f>ATAN2('1.설계입력'!$C$6/('1.설계입력'!$C$8*'1.설계입력'!$C$15)-COS((1-'1.설계입력'!$C$15)*B161),SIN((1-'1.설계입력'!$C$15)*B161))</f>
        <v>-0.37129541728551874</v>
      </c>
      <c r="D161" s="40">
        <f>'1.설계입력'!$C$6*COS(B161)-'1.설계입력'!$C$7*COS(B161+C161)-'1.설계입력'!$C$8*COS('1.설계입력'!$C$15*B161)</f>
        <v>67.754753956310751</v>
      </c>
      <c r="E161" s="40">
        <f>-'1.설계입력'!$C$6*SIN(B161)+'1.설계입력'!$C$7*SIN(B161+C161)+'1.설계입력'!$C$8*SIN('1.설계입력'!$C$15*B161)</f>
        <v>-41.04432191632511</v>
      </c>
      <c r="F161" s="40">
        <f>ATAN2(('1.설계입력'!$C$6+'1.설계입력'!$C$33)/('1.설계입력'!$C$8*'1.설계입력'!$C$15)-COS((1-'1.설계입력'!$C$15)*B161),SIN((1-'1.설계입력'!$C$15)*B161))</f>
        <v>-0.37130416927821341</v>
      </c>
      <c r="G161" s="40">
        <f>('1.설계입력'!$C$6+'1.설계입력'!$C$33)*COS(B161)-('1.설계입력'!$C$7+'1.설계입력'!$C$34)*COS(B161+F161)-'1.설계입력'!$C$8*COS('1.설계입력'!$C$15*B161)</f>
        <v>67.744107241663443</v>
      </c>
      <c r="H161" s="40">
        <f>-('1.설계입력'!$C$6+'1.설계입력'!$C$33)*SIN(B161)+('1.설계입력'!$C$7+'1.설계입력'!$C$34)*SIN(B161+F161)+'1.설계입력'!$C$8*SIN('1.설계입력'!$C$15*B161)</f>
        <v>-41.041391438681053</v>
      </c>
      <c r="I161" s="40">
        <f t="shared" si="7"/>
        <v>79.217062841607131</v>
      </c>
      <c r="J161" s="40">
        <f t="shared" si="8"/>
        <v>79.206438356948226</v>
      </c>
      <c r="K161" s="38">
        <f>IF(OR(A161&gt;180,'1.설계입력'!$C$39&gt;=1),"",'1.설계입력'!$C$34*(1-SIN(B161)/SQRT(1+'1.설계입력'!$C$39^2-2*'1.설계입력'!$C$39*COS(B161)))-'1.설계입력'!$C$33*(1-'1.설계입력'!$C$39*COS(B161)-SQRT(MAX(0,1-'1.설계입력'!$C$39^2))*SIN(B161))/SQRT(1+'1.설계입력'!$C$39^2-2*'1.설계입력'!$C$39*COS(B161)))</f>
        <v>3.571435802960241E-4</v>
      </c>
    </row>
    <row r="162" spans="1:11" x14ac:dyDescent="0.3">
      <c r="A162" s="40">
        <f>A161+'1.설계입력'!$C$12</f>
        <v>31.199999999999921</v>
      </c>
      <c r="B162" s="40">
        <f t="shared" si="6"/>
        <v>0.54454272662222947</v>
      </c>
      <c r="C162" s="40">
        <f>ATAN2('1.설계입력'!$C$6/('1.설계입력'!$C$8*'1.설계입력'!$C$15)-COS((1-'1.설계입력'!$C$15)*B162),SIN((1-'1.설계입력'!$C$15)*B162))</f>
        <v>-0.31572692224039212</v>
      </c>
      <c r="D162" s="40">
        <f>'1.설계입력'!$C$6*COS(B162)-'1.설계입력'!$C$7*COS(B162+C162)-'1.설계입력'!$C$8*COS('1.설계입력'!$C$15*B162)</f>
        <v>67.711348005337499</v>
      </c>
      <c r="E162" s="40">
        <f>-'1.설계입력'!$C$6*SIN(B162)+'1.설계입력'!$C$7*SIN(B162+C162)+'1.설계입력'!$C$8*SIN('1.설계입력'!$C$15*B162)</f>
        <v>-41.259049822459723</v>
      </c>
      <c r="F162" s="40">
        <f>ATAN2(('1.설계입력'!$C$6+'1.설계입력'!$C$33)/('1.설계입력'!$C$8*'1.설계입력'!$C$15)-COS((1-'1.설계입력'!$C$15)*B162),SIN((1-'1.설계입력'!$C$15)*B162))</f>
        <v>-0.31573419938647279</v>
      </c>
      <c r="G162" s="40">
        <f>('1.설계입력'!$C$6+'1.설계입력'!$C$33)*COS(B162)-('1.설계입력'!$C$7+'1.설계입력'!$C$34)*COS(B162+F162)-'1.설계입력'!$C$8*COS('1.설계입력'!$C$15*B162)</f>
        <v>67.700800881302371</v>
      </c>
      <c r="H162" s="40">
        <f>-('1.설계입력'!$C$6+'1.설계입력'!$C$33)*SIN(B162)+('1.설계입력'!$C$7+'1.설계입력'!$C$34)*SIN(B162+F162)+'1.설계입력'!$C$8*SIN('1.설계입력'!$C$15*B162)</f>
        <v>-41.255635068797126</v>
      </c>
      <c r="I162" s="40">
        <f t="shared" si="7"/>
        <v>79.291461336969547</v>
      </c>
      <c r="J162" s="40">
        <f t="shared" si="8"/>
        <v>79.280677752523758</v>
      </c>
      <c r="K162" s="38">
        <f>IF(OR(A162&gt;180,'1.설계입력'!$C$39&gt;=1),"",'1.설계입력'!$C$34*(1-SIN(B162)/SQRT(1+'1.설계입력'!$C$39^2-2*'1.설계입력'!$C$39*COS(B162)))-'1.설계입력'!$C$33*(1-'1.설계입력'!$C$39*COS(B162)-SQRT(MAX(0,1-'1.설계입력'!$C$39^2))*SIN(B162))/SQRT(1+'1.설계입력'!$C$39^2-2*'1.설계입력'!$C$39*COS(B162)))</f>
        <v>3.4360633958375932E-4</v>
      </c>
    </row>
    <row r="163" spans="1:11" x14ac:dyDescent="0.3">
      <c r="A163" s="40">
        <f>A162+'1.설계입력'!$C$12</f>
        <v>31.39999999999992</v>
      </c>
      <c r="B163" s="40">
        <f t="shared" si="6"/>
        <v>0.54803338512621813</v>
      </c>
      <c r="C163" s="40">
        <f>ATAN2('1.설계입력'!$C$6/('1.설계입력'!$C$8*'1.설계입력'!$C$15)-COS((1-'1.설계입력'!$C$15)*B163),SIN((1-'1.설계입력'!$C$15)*B163))</f>
        <v>-0.25951917623245058</v>
      </c>
      <c r="D163" s="40">
        <f>'1.설계입력'!$C$6*COS(B163)-'1.설계입력'!$C$7*COS(B163+C163)-'1.설계입력'!$C$8*COS('1.설계입력'!$C$15*B163)</f>
        <v>67.652840720239737</v>
      </c>
      <c r="E163" s="40">
        <f>-'1.설계입력'!$C$6*SIN(B163)+'1.설계입력'!$C$7*SIN(B163+C163)+'1.설계입력'!$C$8*SIN('1.설계입력'!$C$15*B163)</f>
        <v>-41.480042461229409</v>
      </c>
      <c r="F163" s="40">
        <f>ATAN2(('1.설계입력'!$C$6+'1.설계입력'!$C$33)/('1.설계입력'!$C$8*'1.설계입력'!$C$15)-COS((1-'1.설계입력'!$C$15)*B163),SIN((1-'1.설계입력'!$C$15)*B163))</f>
        <v>-0.25952504974122798</v>
      </c>
      <c r="G163" s="40">
        <f>('1.설계입력'!$C$6+'1.설계입력'!$C$33)*COS(B163)-('1.설계입력'!$C$7+'1.설계입력'!$C$34)*COS(B163+F163)-'1.설계입력'!$C$8*COS('1.설계입력'!$C$15*B163)</f>
        <v>67.64242280635159</v>
      </c>
      <c r="H163" s="40">
        <f>-('1.설계입력'!$C$6+'1.설계입력'!$C$33)*SIN(B163)+('1.설계입력'!$C$7+'1.설계입력'!$C$34)*SIN(B163+F163)+'1.설계입력'!$C$8*SIN('1.설계입력'!$C$15*B163)</f>
        <v>-41.476145221877459</v>
      </c>
      <c r="I163" s="40">
        <f t="shared" si="7"/>
        <v>79.356794164731241</v>
      </c>
      <c r="J163" s="40">
        <f t="shared" si="8"/>
        <v>79.345875668364144</v>
      </c>
      <c r="K163" s="38">
        <f>IF(OR(A163&gt;180,'1.설계입력'!$C$39&gt;=1),"",'1.설계입력'!$C$34*(1-SIN(B163)/SQRT(1+'1.설계입력'!$C$39^2-2*'1.설계입력'!$C$39*COS(B163)))-'1.설계입력'!$C$33*(1-'1.설계입력'!$C$39*COS(B163)-SQRT(MAX(0,1-'1.설계입력'!$C$39^2))*SIN(B163))/SQRT(1+'1.설계입력'!$C$39^2-2*'1.설계입력'!$C$39*COS(B163)))</f>
        <v>3.3039905263407602E-4</v>
      </c>
    </row>
    <row r="164" spans="1:11" x14ac:dyDescent="0.3">
      <c r="A164" s="40">
        <f>A163+'1.설계입력'!$C$12</f>
        <v>31.59999999999992</v>
      </c>
      <c r="B164" s="40">
        <f t="shared" si="6"/>
        <v>0.55152404363020668</v>
      </c>
      <c r="C164" s="40">
        <f>ATAN2('1.설계입력'!$C$6/('1.설계입력'!$C$8*'1.설계입력'!$C$15)-COS((1-'1.설계입력'!$C$15)*B164),SIN((1-'1.설계입력'!$C$15)*B164))</f>
        <v>-0.20281943596903212</v>
      </c>
      <c r="D164" s="40">
        <f>'1.설계입력'!$C$6*COS(B164)-'1.설계입력'!$C$7*COS(B164+C164)-'1.설계입력'!$C$8*COS('1.설계입력'!$C$15*B164)</f>
        <v>67.578690228067984</v>
      </c>
      <c r="E164" s="40">
        <f>-'1.설계입력'!$C$6*SIN(B164)+'1.설계입력'!$C$7*SIN(B164+C164)+'1.설계입력'!$C$8*SIN('1.설계입력'!$C$15*B164)</f>
        <v>-41.704756344634703</v>
      </c>
      <c r="F164" s="40">
        <f>ATAN2(('1.설계입력'!$C$6+'1.설계입력'!$C$33)/('1.설계입력'!$C$8*'1.설계입력'!$C$15)-COS((1-'1.설계입력'!$C$15)*B164),SIN((1-'1.설계입력'!$C$15)*B164))</f>
        <v>-0.2028239609563294</v>
      </c>
      <c r="G164" s="40">
        <f>('1.설계입력'!$C$6+'1.설계입력'!$C$33)*COS(B164)-('1.설계입력'!$C$7+'1.설계입력'!$C$34)*COS(B164+F164)-'1.설계입력'!$C$8*COS('1.설계입력'!$C$15*B164)</f>
        <v>67.568431167179355</v>
      </c>
      <c r="H164" s="40">
        <f>-('1.설계입력'!$C$6+'1.설계입력'!$C$33)*SIN(B164)+('1.설계입력'!$C$7+'1.설계입력'!$C$34)*SIN(B164+F164)+'1.설계입력'!$C$8*SIN('1.설계입력'!$C$15*B164)</f>
        <v>-41.700381420033153</v>
      </c>
      <c r="I164" s="40">
        <f t="shared" si="7"/>
        <v>79.411372451976419</v>
      </c>
      <c r="J164" s="40">
        <f t="shared" si="8"/>
        <v>79.400344463800039</v>
      </c>
      <c r="K164" s="38">
        <f>IF(OR(A164&gt;180,'1.설계입력'!$C$39&gt;=1),"",'1.설계입력'!$C$34*(1-SIN(B164)/SQRT(1+'1.설계입력'!$C$39^2-2*'1.설계입력'!$C$39*COS(B164)))-'1.설계입력'!$C$33*(1-'1.설계입력'!$C$39*COS(B164)-SQRT(MAX(0,1-'1.설계입력'!$C$39^2))*SIN(B164))/SQRT(1+'1.설계입력'!$C$39^2-2*'1.설계입력'!$C$39*COS(B164)))</f>
        <v>3.1751695664883063E-4</v>
      </c>
    </row>
    <row r="165" spans="1:11" x14ac:dyDescent="0.3">
      <c r="A165" s="40">
        <f>A164+'1.설계입력'!$C$12</f>
        <v>31.799999999999919</v>
      </c>
      <c r="B165" s="40">
        <f t="shared" si="6"/>
        <v>0.55501470213419535</v>
      </c>
      <c r="C165" s="40">
        <f>ATAN2('1.설계입력'!$C$6/('1.설계입력'!$C$8*'1.설계입력'!$C$15)-COS((1-'1.설계입력'!$C$15)*B165),SIN((1-'1.설계입력'!$C$15)*B165))</f>
        <v>-0.14575464309617858</v>
      </c>
      <c r="D165" s="40">
        <f>'1.설계입력'!$C$6*COS(B165)-'1.설계입력'!$C$7*COS(B165+C165)-'1.설계입력'!$C$8*COS('1.설계입력'!$C$15*B165)</f>
        <v>67.488760149656869</v>
      </c>
      <c r="E165" s="40">
        <f>-'1.설계입력'!$C$6*SIN(B165)+'1.설계입력'!$C$7*SIN(B165+C165)+'1.설계입력'!$C$8*SIN('1.설계입력'!$C$15*B165)</f>
        <v>-41.93052035231144</v>
      </c>
      <c r="F165" s="40">
        <f>ATAN2(('1.설계입력'!$C$6+'1.설계입력'!$C$33)/('1.설계입력'!$C$8*'1.설계입력'!$C$15)-COS((1-'1.설계입력'!$C$15)*B165),SIN((1-'1.설계입력'!$C$15)*B165))</f>
        <v>-0.14575786063145654</v>
      </c>
      <c r="G165" s="40">
        <f>('1.설계입력'!$C$6+'1.설계입력'!$C$33)*COS(B165)-('1.설계입력'!$C$7+'1.설계입력'!$C$34)*COS(B165+F165)-'1.설계입력'!$C$8*COS('1.설계입력'!$C$15*B165)</f>
        <v>67.478689284829102</v>
      </c>
      <c r="H165" s="40">
        <f>-('1.설계입력'!$C$6+'1.설계입력'!$C$33)*SIN(B165)+('1.설계입력'!$C$7+'1.설계입력'!$C$34)*SIN(B165+F165)+'1.설계입력'!$C$8*SIN('1.설계입력'!$C$15*B165)</f>
        <v>-41.925675382640911</v>
      </c>
      <c r="I165" s="40">
        <f t="shared" si="7"/>
        <v>79.453768214940666</v>
      </c>
      <c r="J165" s="40">
        <f t="shared" si="8"/>
        <v>79.442657079739547</v>
      </c>
      <c r="K165" s="38">
        <f>IF(OR(A165&gt;180,'1.설계입력'!$C$39&gt;=1),"",'1.설계입력'!$C$34*(1-SIN(B165)/SQRT(1+'1.설계입력'!$C$39^2-2*'1.설계입력'!$C$39*COS(B165)))-'1.설계입력'!$C$33*(1-'1.설계입력'!$C$39*COS(B165)-SQRT(MAX(0,1-'1.설계입력'!$C$39^2))*SIN(B165))/SQRT(1+'1.설계입력'!$C$39^2-2*'1.설계입력'!$C$39*COS(B165)))</f>
        <v>3.0495537341235679E-4</v>
      </c>
    </row>
    <row r="166" spans="1:11" x14ac:dyDescent="0.3">
      <c r="A166" s="40">
        <f>A165+'1.설계입력'!$C$12</f>
        <v>31.999999999999918</v>
      </c>
      <c r="B166" s="40">
        <f t="shared" si="6"/>
        <v>0.55850536063818401</v>
      </c>
      <c r="C166" s="40">
        <f>ATAN2('1.설계입력'!$C$6/('1.설계입력'!$C$8*'1.설계입력'!$C$15)-COS((1-'1.설계입력'!$C$15)*B166),SIN((1-'1.설계입력'!$C$15)*B166))</f>
        <v>-8.8437439401708368E-2</v>
      </c>
      <c r="D166" s="40">
        <f>'1.설계입력'!$C$6*COS(B166)-'1.설계입력'!$C$7*COS(B166+C166)-'1.설계입력'!$C$8*COS('1.설계입력'!$C$15*B166)</f>
        <v>67.383332713836552</v>
      </c>
      <c r="E166" s="40">
        <f>-'1.설계입력'!$C$6*SIN(B166)+'1.설계입력'!$C$7*SIN(B166+C166)+'1.설계입력'!$C$8*SIN('1.설계입력'!$C$15*B166)</f>
        <v>-42.154622519091483</v>
      </c>
      <c r="F166" s="40">
        <f>ATAN2(('1.설계입력'!$C$6+'1.설계입력'!$C$33)/('1.설계입력'!$C$8*'1.설계입력'!$C$15)-COS((1-'1.설계입력'!$C$15)*B166),SIN((1-'1.설계입력'!$C$15)*B166))</f>
        <v>-8.8439377968728833E-2</v>
      </c>
      <c r="G166" s="40">
        <f>('1.설계입력'!$C$6+'1.설계입력'!$C$33)*COS(B166)-('1.설계입력'!$C$7+'1.설계입력'!$C$34)*COS(B166+F166)-'1.설계입력'!$C$8*COS('1.설계입력'!$C$15*B166)</f>
        <v>67.373478791404693</v>
      </c>
      <c r="H166" s="40">
        <f>-('1.설계입력'!$C$6+'1.설계입력'!$C$33)*SIN(B166)+('1.설계입력'!$C$7+'1.설계입력'!$C$34)*SIN(B166+F166)+'1.설계입력'!$C$8*SIN('1.설계입력'!$C$15*B166)</f>
        <v>-42.149317827185904</v>
      </c>
      <c r="I166" s="40">
        <f t="shared" si="7"/>
        <v>79.482864363022856</v>
      </c>
      <c r="J166" s="40">
        <f t="shared" si="8"/>
        <v>79.471697086151309</v>
      </c>
      <c r="K166" s="38">
        <f>IF(OR(A166&gt;180,'1.설계입력'!$C$39&gt;=1),"",'1.설계입력'!$C$34*(1-SIN(B166)/SQRT(1+'1.설계입력'!$C$39^2-2*'1.설계입력'!$C$39*COS(B166)))-'1.설계입력'!$C$33*(1-'1.설계입력'!$C$39*COS(B166)-SQRT(MAX(0,1-'1.설계입력'!$C$39^2))*SIN(B166))/SQRT(1+'1.설계입력'!$C$39^2-2*'1.설계입력'!$C$39*COS(B166)))</f>
        <v>2.9270970780140803E-4</v>
      </c>
    </row>
    <row r="167" spans="1:11" x14ac:dyDescent="0.3">
      <c r="A167" s="40">
        <f>A166+'1.설계입력'!$C$12</f>
        <v>32.199999999999918</v>
      </c>
      <c r="B167" s="40">
        <f t="shared" si="6"/>
        <v>0.56199601914217268</v>
      </c>
      <c r="C167" s="40">
        <f>ATAN2('1.설계입력'!$C$6/('1.설계입력'!$C$8*'1.설계입력'!$C$15)-COS((1-'1.설계입력'!$C$15)*B167),SIN((1-'1.설계입력'!$C$15)*B167))</f>
        <v>-3.0970965698667106E-2</v>
      </c>
      <c r="D167" s="40">
        <f>'1.설계입력'!$C$6*COS(B167)-'1.설계입력'!$C$7*COS(B167+C167)-'1.설계입력'!$C$8*COS('1.설계입력'!$C$15*B167)</f>
        <v>67.263107337257807</v>
      </c>
      <c r="E167" s="40">
        <f>-'1.설계입력'!$C$6*SIN(B167)+'1.설계입력'!$C$7*SIN(B167+C167)+'1.설계입력'!$C$8*SIN('1.설계입력'!$C$15*B167)</f>
        <v>-42.374391986706428</v>
      </c>
      <c r="F167" s="40">
        <f>ATAN2(('1.설계입력'!$C$6+'1.설계입력'!$C$33)/('1.설계입력'!$C$8*'1.설계입력'!$C$15)-COS((1-'1.설계입력'!$C$15)*B167),SIN((1-'1.설계입력'!$C$15)*B167))</f>
        <v>-3.0971642175476311E-2</v>
      </c>
      <c r="G167" s="40">
        <f>('1.설계입력'!$C$6+'1.설계입력'!$C$33)*COS(B167)-('1.설계입력'!$C$7+'1.설계입력'!$C$34)*COS(B167+F167)-'1.설계입력'!$C$8*COS('1.설계입력'!$C$15*B167)</f>
        <v>67.253498229159078</v>
      </c>
      <c r="H167" s="40">
        <f>-('1.설계입력'!$C$6+'1.설계입력'!$C$33)*SIN(B167)+('1.설계입력'!$C$7+'1.설계입력'!$C$34)*SIN(B167+F167)+'1.설계입력'!$C$8*SIN('1.설계입력'!$C$15*B167)</f>
        <v>-42.368640426507994</v>
      </c>
      <c r="I167" s="40">
        <f t="shared" si="7"/>
        <v>79.49789119785828</v>
      </c>
      <c r="J167" s="40">
        <f t="shared" si="8"/>
        <v>79.486695211527262</v>
      </c>
      <c r="K167" s="38">
        <f>IF(OR(A167&gt;180,'1.설계입력'!$C$39&gt;=1),"",'1.설계입력'!$C$34*(1-SIN(B167)/SQRT(1+'1.설계입력'!$C$39^2-2*'1.설계입력'!$C$39*COS(B167)))-'1.설계입력'!$C$33*(1-'1.설계입력'!$C$39*COS(B167)-SQRT(MAX(0,1-'1.설계입력'!$C$39^2))*SIN(B167))/SQRT(1+'1.설계입력'!$C$39^2-2*'1.설계입력'!$C$39*COS(B167)))</f>
        <v>2.8077544631265728E-4</v>
      </c>
    </row>
    <row r="168" spans="1:11" x14ac:dyDescent="0.3">
      <c r="A168" s="40">
        <f>A167+'1.설계입력'!$C$12</f>
        <v>32.39999999999992</v>
      </c>
      <c r="B168" s="40">
        <f t="shared" si="6"/>
        <v>0.56548667764616134</v>
      </c>
      <c r="C168" s="40">
        <f>ATAN2('1.설계입력'!$C$6/('1.설계입력'!$C$8*'1.설계입력'!$C$15)-COS((1-'1.설계입력'!$C$15)*B168),SIN((1-'1.설계입력'!$C$15)*B168))</f>
        <v>2.6547106889292571E-2</v>
      </c>
      <c r="D168" s="40">
        <f>'1.설계입력'!$C$6*COS(B168)-'1.설계입력'!$C$7*COS(B168+C168)-'1.설계입력'!$C$8*COS('1.설계입력'!$C$15*B168)</f>
        <v>67.129185610988543</v>
      </c>
      <c r="E168" s="40">
        <f>-'1.설계입력'!$C$6*SIN(B168)+'1.설계입력'!$C$7*SIN(B168+C168)+'1.설계입력'!$C$8*SIN('1.설계입력'!$C$15*B168)</f>
        <v>-42.587275765040921</v>
      </c>
      <c r="F168" s="40">
        <f>ATAN2(('1.설계입력'!$C$6+'1.설계입력'!$C$33)/('1.설계입력'!$C$8*'1.설계입력'!$C$15)-COS((1-'1.설계입력'!$C$15)*B168),SIN((1-'1.설계입력'!$C$15)*B168))</f>
        <v>2.6547686662605891E-2</v>
      </c>
      <c r="G168" s="40">
        <f>('1.설계입력'!$C$6+'1.설계입력'!$C$33)*COS(B168)-('1.설계입력'!$C$7+'1.설계입력'!$C$34)*COS(B168+F168)-'1.설계입력'!$C$8*COS('1.설계입력'!$C$15*B168)</f>
        <v>67.119848050922556</v>
      </c>
      <c r="H168" s="40">
        <f>-('1.설계입력'!$C$6+'1.설계입력'!$C$33)*SIN(B168)+('1.설계입력'!$C$7+'1.설계입력'!$C$34)*SIN(B168+F168)+'1.설계입력'!$C$8*SIN('1.설계입력'!$C$15*B168)</f>
        <v>-42.581092570093212</v>
      </c>
      <c r="I168" s="40">
        <f t="shared" si="7"/>
        <v>79.498450411830007</v>
      </c>
      <c r="J168" s="40">
        <f t="shared" si="8"/>
        <v>79.487253360785957</v>
      </c>
      <c r="K168" s="38">
        <f>IF(OR(A168&gt;180,'1.설계입력'!$C$39&gt;=1),"",'1.설계입력'!$C$34*(1-SIN(B168)/SQRT(1+'1.설계입력'!$C$39^2-2*'1.설계입력'!$C$39*COS(B168)))-'1.설계입력'!$C$33*(1-'1.설계입력'!$C$39*COS(B168)-SQRT(MAX(0,1-'1.설계입력'!$C$39^2))*SIN(B168))/SQRT(1+'1.설계입력'!$C$39^2-2*'1.설계입력'!$C$39*COS(B168)))</f>
        <v>2.6914815560824984E-4</v>
      </c>
    </row>
    <row r="169" spans="1:11" x14ac:dyDescent="0.3">
      <c r="A169" s="40">
        <f>A168+'1.설계입력'!$C$12</f>
        <v>32.599999999999923</v>
      </c>
      <c r="B169" s="40">
        <f t="shared" si="6"/>
        <v>0.56897733615015011</v>
      </c>
      <c r="C169" s="40">
        <f>ATAN2('1.설계입력'!$C$6/('1.설계입력'!$C$8*'1.설계입력'!$C$15)-COS((1-'1.설계입력'!$C$15)*B169),SIN((1-'1.설계입력'!$C$15)*B169))</f>
        <v>8.4020972191578336E-2</v>
      </c>
      <c r="D169" s="40">
        <f>'1.설계입력'!$C$6*COS(B169)-'1.설계입력'!$C$7*COS(B169+C169)-'1.설계입력'!$C$8*COS('1.설계입력'!$C$15*B169)</f>
        <v>66.983043505159287</v>
      </c>
      <c r="E169" s="40">
        <f>-'1.설계입력'!$C$6*SIN(B169)+'1.설계입력'!$C$7*SIN(B169+C169)+'1.설계입력'!$C$8*SIN('1.설계입력'!$C$15*B169)</f>
        <v>-42.790909579902006</v>
      </c>
      <c r="F169" s="40">
        <f>ATAN2(('1.설계입력'!$C$6+'1.설계입력'!$C$33)/('1.설계입력'!$C$8*'1.설계입력'!$C$15)-COS((1-'1.설계입력'!$C$15)*B169),SIN((1-'1.설계입력'!$C$15)*B169))</f>
        <v>8.4022813218685544E-2</v>
      </c>
      <c r="G169" s="40">
        <f>('1.설계입력'!$C$6+'1.설계입력'!$C$33)*COS(B169)-('1.설계입력'!$C$7+'1.설계입력'!$C$34)*COS(B169+F169)-'1.설계입력'!$C$8*COS('1.설계입력'!$C$15*B169)</f>
        <v>66.974002833941313</v>
      </c>
      <c r="H169" s="40">
        <f>-('1.설계입력'!$C$6+'1.설계입력'!$C$33)*SIN(B169)+('1.설계입력'!$C$7+'1.설계입력'!$C$34)*SIN(B169+F169)+'1.설계입력'!$C$8*SIN('1.설계입력'!$C$15*B169)</f>
        <v>-42.78431220781826</v>
      </c>
      <c r="I169" s="40">
        <f t="shared" si="7"/>
        <v>79.484527172836678</v>
      </c>
      <c r="J169" s="40">
        <f t="shared" si="8"/>
        <v>79.473356709634743</v>
      </c>
      <c r="K169" s="38">
        <f>IF(OR(A169&gt;180,'1.설계입력'!$C$39&gt;=1),"",'1.설계입력'!$C$34*(1-SIN(B169)/SQRT(1+'1.설계입력'!$C$39^2-2*'1.설계입력'!$C$39*COS(B169)))-'1.설계입력'!$C$33*(1-'1.설계입력'!$C$39*COS(B169)-SQRT(MAX(0,1-'1.설계입력'!$C$39^2))*SIN(B169))/SQRT(1+'1.설계입력'!$C$39^2-2*'1.설계입력'!$C$39*COS(B169)))</f>
        <v>2.5782348107973954E-4</v>
      </c>
    </row>
    <row r="170" spans="1:11" x14ac:dyDescent="0.3">
      <c r="A170" s="40">
        <f>A169+'1.설계입력'!$C$12</f>
        <v>32.799999999999926</v>
      </c>
      <c r="B170" s="40">
        <f t="shared" si="6"/>
        <v>0.57246799465413878</v>
      </c>
      <c r="C170" s="40">
        <f>ATAN2('1.설계입력'!$C$6/('1.설계입력'!$C$8*'1.설계입력'!$C$15)-COS((1-'1.설계입력'!$C$15)*B170),SIN((1-'1.설계입력'!$C$15)*B170))</f>
        <v>0.14135322705429829</v>
      </c>
      <c r="D170" s="40">
        <f>'1.설계입력'!$C$6*COS(B170)-'1.설계입력'!$C$7*COS(B170+C170)-'1.설계입력'!$C$8*COS('1.설계입력'!$C$15*B170)</f>
        <v>66.82649152362238</v>
      </c>
      <c r="E170" s="40">
        <f>-'1.설계입력'!$C$6*SIN(B170)+'1.설계입력'!$C$7*SIN(B170+C170)+'1.설계입력'!$C$8*SIN('1.설계입력'!$C$15*B170)</f>
        <v>-42.983181878049436</v>
      </c>
      <c r="F170" s="40">
        <f>ATAN2(('1.설계입력'!$C$6+'1.설계입력'!$C$33)/('1.설계입력'!$C$8*'1.설계입력'!$C$15)-COS((1-'1.설계입력'!$C$15)*B170),SIN((1-'1.설계입력'!$C$15)*B170))</f>
        <v>0.14135634534894392</v>
      </c>
      <c r="G170" s="40">
        <f>('1.설계입력'!$C$6+'1.설계입력'!$C$33)*COS(B170)-('1.설계입력'!$C$7+'1.설계입력'!$C$34)*COS(B170+F170)-'1.설계입력'!$C$8*COS('1.설계입력'!$C$15*B170)</f>
        <v>66.817771439322271</v>
      </c>
      <c r="H170" s="40">
        <f>-('1.설계입력'!$C$6+'1.설계입력'!$C$33)*SIN(B170)+('1.설계입력'!$C$7+'1.설계입력'!$C$34)*SIN(B170+F170)+'1.설계입력'!$C$8*SIN('1.설계입력'!$C$15*B170)</f>
        <v>-42.976189847794132</v>
      </c>
      <c r="I170" s="40">
        <f t="shared" si="7"/>
        <v>79.456490570111711</v>
      </c>
      <c r="J170" s="40">
        <f t="shared" si="8"/>
        <v>79.445374150740548</v>
      </c>
      <c r="K170" s="38">
        <f>IF(OR(A170&gt;180,'1.설계입력'!$C$39&gt;=1),"",'1.설계입력'!$C$34*(1-SIN(B170)/SQRT(1+'1.설계입력'!$C$39^2-2*'1.설계입력'!$C$39*COS(B170)))-'1.설계입력'!$C$33*(1-'1.설계입력'!$C$39*COS(B170)-SQRT(MAX(0,1-'1.설계입력'!$C$39^2))*SIN(B170))/SQRT(1+'1.설계입력'!$C$39^2-2*'1.설계입력'!$C$39*COS(B170)))</f>
        <v>2.4679714543076638E-4</v>
      </c>
    </row>
    <row r="171" spans="1:11" x14ac:dyDescent="0.3">
      <c r="A171" s="40">
        <f>A170+'1.설계입력'!$C$12</f>
        <v>32.999999999999929</v>
      </c>
      <c r="B171" s="40">
        <f t="shared" si="6"/>
        <v>0.57595865315812755</v>
      </c>
      <c r="C171" s="40">
        <f>ATAN2('1.설계입력'!$C$6/('1.설계입력'!$C$8*'1.설계입력'!$C$15)-COS((1-'1.설계입력'!$C$15)*B171),SIN((1-'1.설계입력'!$C$15)*B171))</f>
        <v>0.19844128720576176</v>
      </c>
      <c r="D171" s="40">
        <f>'1.설계입력'!$C$6*COS(B171)-'1.설계입력'!$C$7*COS(B171+C171)-'1.설계입력'!$C$8*COS('1.설계입력'!$C$15*B171)</f>
        <v>66.661623464393131</v>
      </c>
      <c r="E171" s="40">
        <f>-'1.설계입력'!$C$6*SIN(B171)+'1.설계입력'!$C$7*SIN(B171+C171)+'1.설계입력'!$C$8*SIN('1.설계입력'!$C$15*B171)</f>
        <v>-43.162289960218054</v>
      </c>
      <c r="F171" s="40">
        <f>ATAN2(('1.설계입력'!$C$6+'1.설계입력'!$C$33)/('1.설계입력'!$C$8*'1.설계입력'!$C$15)-COS((1-'1.설계입력'!$C$15)*B171),SIN((1-'1.설계입력'!$C$15)*B171))</f>
        <v>0.19844571032975791</v>
      </c>
      <c r="G171" s="40">
        <f>('1.설계입력'!$C$6+'1.설계입력'!$C$33)*COS(B171)-('1.설계입력'!$C$7+'1.설계입력'!$C$34)*COS(B171+F171)-'1.설계입력'!$C$8*COS('1.설계입력'!$C$15*B171)</f>
        <v>66.653245772559089</v>
      </c>
      <c r="H171" s="40">
        <f>-('1.설계입력'!$C$6+'1.설계입력'!$C$33)*SIN(B171)+('1.설계입력'!$C$7+'1.설계입력'!$C$34)*SIN(B171+F171)+'1.설계입력'!$C$8*SIN('1.설계입력'!$C$15*B171)</f>
        <v>-43.154924679549737</v>
      </c>
      <c r="I171" s="40">
        <f t="shared" si="7"/>
        <v>79.415082430974465</v>
      </c>
      <c r="J171" s="40">
        <f t="shared" si="8"/>
        <v>79.404047101610487</v>
      </c>
      <c r="K171" s="38">
        <f>IF(OR(A171&gt;180,'1.설계입력'!$C$39&gt;=1),"",'1.설계입력'!$C$34*(1-SIN(B171)/SQRT(1+'1.설계입력'!$C$39^2-2*'1.설계입력'!$C$39*COS(B171)))-'1.설계입력'!$C$33*(1-'1.설계입력'!$C$39*COS(B171)-SQRT(MAX(0,1-'1.설계입력'!$C$39^2))*SIN(B171))/SQRT(1+'1.설계입력'!$C$39^2-2*'1.설계입력'!$C$39*COS(B171)))</f>
        <v>2.360649472787772E-4</v>
      </c>
    </row>
    <row r="172" spans="1:11" x14ac:dyDescent="0.3">
      <c r="A172" s="40">
        <f>A171+'1.설계입력'!$C$12</f>
        <v>33.199999999999932</v>
      </c>
      <c r="B172" s="40">
        <f t="shared" si="6"/>
        <v>0.57944931166211622</v>
      </c>
      <c r="C172" s="40">
        <f>ATAN2('1.설계입력'!$C$6/('1.설계입력'!$C$8*'1.설계입력'!$C$15)-COS((1-'1.설계입력'!$C$15)*B172),SIN((1-'1.설계입력'!$C$15)*B172))</f>
        <v>0.25517339989361554</v>
      </c>
      <c r="D172" s="40">
        <f>'1.설계입력'!$C$6*COS(B172)-'1.설계입력'!$C$7*COS(B172+C172)-'1.설계입력'!$C$8*COS('1.설계입력'!$C$15*B172)</f>
        <v>66.490754323795102</v>
      </c>
      <c r="E172" s="40">
        <f>-'1.설계입력'!$C$6*SIN(B172)+'1.설계입력'!$C$7*SIN(B172+C172)+'1.설계입력'!$C$8*SIN('1.설계입력'!$C$15*B172)</f>
        <v>-43.326787182682047</v>
      </c>
      <c r="F172" s="40">
        <f>ATAN2(('1.설계입력'!$C$6+'1.설계입력'!$C$33)/('1.설계입력'!$C$8*'1.설계입력'!$C$15)-COS((1-'1.설계입력'!$C$15)*B172),SIN((1-'1.설계입력'!$C$15)*B172))</f>
        <v>0.25517916790310174</v>
      </c>
      <c r="G172" s="40">
        <f>('1.설계입력'!$C$6+'1.설계입력'!$C$33)*COS(B172)-('1.설계입력'!$C$7+'1.설계입력'!$C$34)*COS(B172+F172)-'1.설계입력'!$C$8*COS('1.설계입력'!$C$15*B172)</f>
        <v>66.482738682196199</v>
      </c>
      <c r="H172" s="40">
        <f>-('1.설계입력'!$C$6+'1.설계입력'!$C$33)*SIN(B172)+('1.설계입력'!$C$7+'1.설계입력'!$C$34)*SIN(B172+F172)+'1.설계입력'!$C$8*SIN('1.설계입력'!$C$15*B172)</f>
        <v>-43.319071763304599</v>
      </c>
      <c r="I172" s="40">
        <f t="shared" si="7"/>
        <v>79.361394255145854</v>
      </c>
      <c r="J172" s="40">
        <f t="shared" si="8"/>
        <v>79.350466420302283</v>
      </c>
      <c r="K172" s="38">
        <f>IF(OR(A172&gt;180,'1.설계입력'!$C$39&gt;=1),"",'1.설계입력'!$C$34*(1-SIN(B172)/SQRT(1+'1.설계입력'!$C$39^2-2*'1.설계입력'!$C$39*COS(B172)))-'1.설계입력'!$C$33*(1-'1.설계입력'!$C$39*COS(B172)-SQRT(MAX(0,1-'1.설계입력'!$C$39^2))*SIN(B172))/SQRT(1+'1.설계입력'!$C$39^2-2*'1.설계입력'!$C$39*COS(B172)))</f>
        <v>2.2562275977599589E-4</v>
      </c>
    </row>
    <row r="173" spans="1:11" x14ac:dyDescent="0.3">
      <c r="A173" s="40">
        <f>A172+'1.설계입력'!$C$12</f>
        <v>33.399999999999935</v>
      </c>
      <c r="B173" s="40">
        <f t="shared" si="6"/>
        <v>0.58293997016610488</v>
      </c>
      <c r="C173" s="40">
        <f>ATAN2('1.설계입력'!$C$6/('1.설계입력'!$C$8*'1.설계입력'!$C$15)-COS((1-'1.설계입력'!$C$15)*B173),SIN((1-'1.설계입력'!$C$15)*B173))</f>
        <v>0.31142391823179599</v>
      </c>
      <c r="D173" s="40">
        <f>'1.설계입력'!$C$6*COS(B173)-'1.설계입력'!$C$7*COS(B173+C173)-'1.설계입력'!$C$8*COS('1.설계입력'!$C$15*B173)</f>
        <v>66.316347671591402</v>
      </c>
      <c r="E173" s="40">
        <f>-'1.설계입력'!$C$6*SIN(B173)+'1.설계입력'!$C$7*SIN(B173+C173)+'1.설계입력'!$C$8*SIN('1.설계입력'!$C$15*B173)</f>
        <v>-43.475620182104961</v>
      </c>
      <c r="F173" s="40">
        <f>ATAN2(('1.설계입력'!$C$6+'1.설계입력'!$C$33)/('1.설계입력'!$C$8*'1.설계입력'!$C$15)-COS((1-'1.설계입력'!$C$15)*B173),SIN((1-'1.설계입력'!$C$15)*B173))</f>
        <v>0.31143108509770734</v>
      </c>
      <c r="G173" s="40">
        <f>('1.설계입력'!$C$6+'1.설계입력'!$C$33)*COS(B173)-('1.설계입력'!$C$7+'1.설계입력'!$C$34)*COS(B173+F173)-'1.설계입력'!$C$8*COS('1.설계입력'!$C$15*B173)</f>
        <v>66.30871132233537</v>
      </c>
      <c r="H173" s="40">
        <f>-('1.설계입력'!$C$6+'1.설계입력'!$C$33)*SIN(B173)+('1.설계입력'!$C$7+'1.설계입력'!$C$34)*SIN(B173+F173)+'1.설계입력'!$C$8*SIN('1.설계입력'!$C$15*B173)</f>
        <v>-43.467579239996908</v>
      </c>
      <c r="I173" s="40">
        <f t="shared" si="7"/>
        <v>79.296831706683207</v>
      </c>
      <c r="J173" s="40">
        <f t="shared" si="8"/>
        <v>79.286036867876163</v>
      </c>
      <c r="K173" s="38">
        <f>IF(OR(A173&gt;180,'1.설계입력'!$C$39&gt;=1),"",'1.설계입력'!$C$34*(1-SIN(B173)/SQRT(1+'1.설계입력'!$C$39^2-2*'1.설계입력'!$C$39*COS(B173)))-'1.설계입력'!$C$33*(1-'1.설계입력'!$C$39*COS(B173)-SQRT(MAX(0,1-'1.설계입력'!$C$39^2))*SIN(B173))/SQRT(1+'1.설계입력'!$C$39^2-2*'1.설계입력'!$C$39*COS(B173)))</f>
        <v>2.1546652924984663E-4</v>
      </c>
    </row>
    <row r="174" spans="1:11" x14ac:dyDescent="0.3">
      <c r="A174" s="40">
        <f>A173+'1.설계입력'!$C$12</f>
        <v>33.599999999999937</v>
      </c>
      <c r="B174" s="40">
        <f t="shared" si="6"/>
        <v>0.58643062867009366</v>
      </c>
      <c r="C174" s="40">
        <f>ATAN2('1.설계입력'!$C$6/('1.설계입력'!$C$8*'1.설계입력'!$C$15)-COS((1-'1.설계입력'!$C$15)*B174),SIN((1-'1.설계입력'!$C$15)*B174))</f>
        <v>0.36704739904778194</v>
      </c>
      <c r="D174" s="40">
        <f>'1.설계입력'!$C$6*COS(B174)-'1.설계입력'!$C$7*COS(B174+C174)-'1.설계입력'!$C$8*COS('1.설계입력'!$C$15*B174)</f>
        <v>66.14093245199696</v>
      </c>
      <c r="E174" s="40">
        <f>-'1.설계입력'!$C$6*SIN(B174)+'1.설계입력'!$C$7*SIN(B174+C174)+'1.설계입력'!$C$8*SIN('1.설계입력'!$C$15*B174)</f>
        <v>-43.608155117760717</v>
      </c>
      <c r="F174" s="40">
        <f>ATAN2(('1.설계입력'!$C$6+'1.설계입력'!$C$33)/('1.설계입력'!$C$8*'1.설계입력'!$C$15)-COS((1-'1.설계입력'!$C$15)*B174),SIN((1-'1.설계입력'!$C$15)*B174))</f>
        <v>0.36705603465307751</v>
      </c>
      <c r="G174" s="40">
        <f>('1.설계입력'!$C$6+'1.설계입력'!$C$33)*COS(B174)-('1.설계입력'!$C$7+'1.설계입력'!$C$34)*COS(B174+F174)-'1.설계입력'!$C$8*COS('1.설계입력'!$C$15*B174)</f>
        <v>66.133689931317747</v>
      </c>
      <c r="H174" s="40">
        <f>-('1.설계입력'!$C$6+'1.설계입력'!$C$33)*SIN(B174)+('1.설계입력'!$C$7+'1.설계입력'!$C$34)*SIN(B174+F174)+'1.설계입력'!$C$8*SIN('1.설계입력'!$C$15*B174)</f>
        <v>-43.599814555797082</v>
      </c>
      <c r="I174" s="40">
        <f t="shared" si="7"/>
        <v>79.223065696767279</v>
      </c>
      <c r="J174" s="40">
        <f t="shared" si="8"/>
        <v>79.21242814881748</v>
      </c>
      <c r="K174" s="38">
        <f>IF(OR(A174&gt;180,'1.설계입력'!$C$39&gt;=1),"",'1.설계입력'!$C$34*(1-SIN(B174)/SQRT(1+'1.설계입력'!$C$39^2-2*'1.설계입력'!$C$39*COS(B174)))-'1.설계입력'!$C$33*(1-'1.설계입력'!$C$39*COS(B174)-SQRT(MAX(0,1-'1.설계입력'!$C$39^2))*SIN(B174))/SQRT(1+'1.설계입력'!$C$39^2-2*'1.설계입력'!$C$39*COS(B174)))</f>
        <v>2.0559227386304535E-4</v>
      </c>
    </row>
    <row r="175" spans="1:11" x14ac:dyDescent="0.3">
      <c r="A175" s="40">
        <f>A174+'1.설계입력'!$C$12</f>
        <v>33.79999999999994</v>
      </c>
      <c r="B175" s="40">
        <f t="shared" si="6"/>
        <v>0.58992128717408232</v>
      </c>
      <c r="C175" s="40">
        <f>ATAN2('1.설계입력'!$C$6/('1.설계입력'!$C$8*'1.설계입력'!$C$15)-COS((1-'1.설계입력'!$C$15)*B175),SIN((1-'1.설계입력'!$C$15)*B175))</f>
        <v>0.42187091147922418</v>
      </c>
      <c r="D175" s="40">
        <f>'1.설계입력'!$C$6*COS(B175)-'1.설계입력'!$C$7*COS(B175+C175)-'1.설계입력'!$C$8*COS('1.설계입력'!$C$15*B175)</f>
        <v>65.967008526906852</v>
      </c>
      <c r="E175" s="40">
        <f>-'1.설계입력'!$C$6*SIN(B175)+'1.설계입력'!$C$7*SIN(B175+C175)+'1.설계입력'!$C$8*SIN('1.설계입력'!$C$15*B175)</f>
        <v>-43.72419197485393</v>
      </c>
      <c r="F175" s="40">
        <f>ATAN2(('1.설계입력'!$C$6+'1.설계입력'!$C$33)/('1.설계입력'!$C$8*'1.설계입력'!$C$15)-COS((1-'1.설계입력'!$C$15)*B175),SIN((1-'1.설계입력'!$C$15)*B175))</f>
        <v>0.42188110434358828</v>
      </c>
      <c r="G175" s="40">
        <f>('1.설계입력'!$C$6+'1.설계입력'!$C$33)*COS(B175)-('1.설계입력'!$C$7+'1.설계입력'!$C$34)*COS(B175+F175)-'1.설계입력'!$C$8*COS('1.설계입력'!$C$15*B175)</f>
        <v>65.960171338899031</v>
      </c>
      <c r="H175" s="40">
        <f>-('1.설계입력'!$C$6+'1.설계입력'!$C$33)*SIN(B175)+('1.설계입력'!$C$7+'1.설계입력'!$C$34)*SIN(B175+F175)+'1.설계입력'!$C$8*SIN('1.설계입력'!$C$15*B175)</f>
        <v>-43.715578744170841</v>
      </c>
      <c r="I175" s="40">
        <f t="shared" si="7"/>
        <v>79.141968498659935</v>
      </c>
      <c r="J175" s="40">
        <f t="shared" si="8"/>
        <v>79.131510967469325</v>
      </c>
      <c r="K175" s="38">
        <f>IF(OR(A175&gt;180,'1.설계입력'!$C$39&gt;=1),"",'1.설계입력'!$C$34*(1-SIN(B175)/SQRT(1+'1.설계입력'!$C$39^2-2*'1.설계입력'!$C$39*COS(B175)))-'1.설계입력'!$C$33*(1-'1.설계입력'!$C$39*COS(B175)-SQRT(MAX(0,1-'1.설계입력'!$C$39^2))*SIN(B175))/SQRT(1+'1.설계입력'!$C$39^2-2*'1.설계입력'!$C$39*COS(B175)))</f>
        <v>1.9599608229339913E-4</v>
      </c>
    </row>
    <row r="176" spans="1:11" x14ac:dyDescent="0.3">
      <c r="A176" s="40">
        <f>A175+'1.설계입력'!$C$12</f>
        <v>33.999999999999943</v>
      </c>
      <c r="B176" s="40">
        <f t="shared" si="6"/>
        <v>0.5934119456780711</v>
      </c>
      <c r="C176" s="40">
        <f>ATAN2('1.설계입력'!$C$6/('1.설계입력'!$C$8*'1.설계입력'!$C$15)-COS((1-'1.설계입력'!$C$15)*B176),SIN((1-'1.설계입력'!$C$15)*B176))</f>
        <v>0.47568365729435508</v>
      </c>
      <c r="D176" s="40">
        <f>'1.설계입력'!$C$6*COS(B176)-'1.설계입력'!$C$7*COS(B176+C176)-'1.설계입력'!$C$8*COS('1.설계입력'!$C$15*B176)</f>
        <v>65.79693920263675</v>
      </c>
      <c r="E176" s="40">
        <f>-'1.설계입력'!$C$6*SIN(B176)+'1.설계입력'!$C$7*SIN(B176+C176)+'1.설계입력'!$C$8*SIN('1.설계입력'!$C$15*B176)</f>
        <v>-43.823966023470497</v>
      </c>
      <c r="F176" s="40">
        <f>ATAN2(('1.설계입력'!$C$6+'1.설계입력'!$C$33)/('1.설계입력'!$C$8*'1.설계입력'!$C$15)-COS((1-'1.설계입력'!$C$15)*B176),SIN((1-'1.설계입력'!$C$15)*B176))</f>
        <v>0.47569551824261658</v>
      </c>
      <c r="G176" s="40">
        <f>('1.설계입력'!$C$6+'1.설계입력'!$C$33)*COS(B176)-('1.설계입력'!$C$7+'1.설계입력'!$C$34)*COS(B176+F176)-'1.설계입력'!$C$8*COS('1.설계입력'!$C$15*B176)</f>
        <v>65.790515436934768</v>
      </c>
      <c r="H176" s="40">
        <f>-('1.설계입력'!$C$6+'1.설계입력'!$C$33)*SIN(B176)+('1.설계입력'!$C$7+'1.설계입력'!$C$34)*SIN(B176+F176)+'1.설계입력'!$C$8*SIN('1.설계입력'!$C$15*B176)</f>
        <v>-43.815107858995681</v>
      </c>
      <c r="I176" s="40">
        <f t="shared" si="7"/>
        <v>79.055532421594464</v>
      </c>
      <c r="J176" s="40">
        <f t="shared" si="8"/>
        <v>79.045275621968557</v>
      </c>
      <c r="K176" s="38">
        <f>IF(OR(A176&gt;180,'1.설계입력'!$C$39&gt;=1),"",'1.설계입력'!$C$34*(1-SIN(B176)/SQRT(1+'1.설계입력'!$C$39^2-2*'1.설계입력'!$C$39*COS(B176)))-'1.설계입력'!$C$33*(1-'1.설계입력'!$C$39*COS(B176)-SQRT(MAX(0,1-'1.설계입력'!$C$39^2))*SIN(B176))/SQRT(1+'1.설계입력'!$C$39^2-2*'1.설계입력'!$C$39*COS(B176)))</f>
        <v>1.866741124334521E-4</v>
      </c>
    </row>
    <row r="177" spans="1:11" x14ac:dyDescent="0.3">
      <c r="A177" s="40">
        <f>A176+'1.설계입력'!$C$12</f>
        <v>34.199999999999946</v>
      </c>
      <c r="B177" s="40">
        <f t="shared" si="6"/>
        <v>0.59690260418205976</v>
      </c>
      <c r="C177" s="40">
        <f>ATAN2('1.설계입력'!$C$6/('1.설계입력'!$C$8*'1.설계입력'!$C$15)-COS((1-'1.설계입력'!$C$15)*B177),SIN((1-'1.설계입력'!$C$15)*B177))</f>
        <v>0.52822253405895048</v>
      </c>
      <c r="D177" s="40">
        <f>'1.설계입력'!$C$6*COS(B177)-'1.설계입력'!$C$7*COS(B177+C177)-'1.설계입력'!$C$8*COS('1.설계입력'!$C$15*B177)</f>
        <v>65.632827177978584</v>
      </c>
      <c r="E177" s="40">
        <f>-'1.설계입력'!$C$6*SIN(B177)+'1.설계입력'!$C$7*SIN(B177+C177)+'1.설계입력'!$C$8*SIN('1.설계입력'!$C$15*B177)</f>
        <v>-43.908135583496325</v>
      </c>
      <c r="F177" s="40">
        <f>ATAN2(('1.설계입력'!$C$6+'1.설계입력'!$C$33)/('1.설계입력'!$C$8*'1.설계입력'!$C$15)-COS((1-'1.설계입력'!$C$15)*B177),SIN((1-'1.설계입력'!$C$15)*B177))</f>
        <v>0.52823620114020087</v>
      </c>
      <c r="G177" s="40">
        <f>('1.설계입력'!$C$6+'1.설계입력'!$C$33)*COS(B177)-('1.설계입력'!$C$7+'1.설계입력'!$C$34)*COS(B177+F177)-'1.설계입력'!$C$8*COS('1.설계입력'!$C$15*B177)</f>
        <v>65.626821041454647</v>
      </c>
      <c r="H177" s="40">
        <f>-('1.설계입력'!$C$6+'1.설계입력'!$C$33)*SIN(B177)+('1.설계입력'!$C$7+'1.설계입력'!$C$34)*SIN(B177+F177)+'1.설계입력'!$C$8*SIN('1.설계입력'!$C$15*B177)</f>
        <v>-43.89906070761328</v>
      </c>
      <c r="I177" s="40">
        <f t="shared" si="7"/>
        <v>78.965767100643689</v>
      </c>
      <c r="J177" s="40">
        <f t="shared" si="8"/>
        <v>78.955729184257621</v>
      </c>
      <c r="K177" s="38">
        <f>IF(OR(A177&gt;180,'1.설계입력'!$C$39&gt;=1),"",'1.설계입력'!$C$34*(1-SIN(B177)/SQRT(1+'1.설계입력'!$C$39^2-2*'1.설계입력'!$C$39*COS(B177)))-'1.설계입력'!$C$33*(1-'1.설계입력'!$C$39*COS(B177)-SQRT(MAX(0,1-'1.설계입력'!$C$39^2))*SIN(B177))/SQRT(1+'1.설계입력'!$C$39^2-2*'1.설계입력'!$C$39*COS(B177)))</f>
        <v>1.7762259011004303E-4</v>
      </c>
    </row>
    <row r="178" spans="1:11" x14ac:dyDescent="0.3">
      <c r="A178" s="40">
        <f>A177+'1.설계입력'!$C$12</f>
        <v>34.399999999999949</v>
      </c>
      <c r="B178" s="40">
        <f t="shared" si="6"/>
        <v>0.60039326268604842</v>
      </c>
      <c r="C178" s="40">
        <f>ATAN2('1.설계입력'!$C$6/('1.설계입력'!$C$8*'1.설계입력'!$C$15)-COS((1-'1.설계입력'!$C$15)*B178),SIN((1-'1.설계입력'!$C$15)*B178))</f>
        <v>0.57915148942033223</v>
      </c>
      <c r="D178" s="40">
        <f>'1.설계입력'!$C$6*COS(B178)-'1.설계입력'!$C$7*COS(B178+C178)-'1.설계입력'!$C$8*COS('1.설계입력'!$C$15*B178)</f>
        <v>65.476367299362835</v>
      </c>
      <c r="E178" s="40">
        <f>-'1.설계입력'!$C$6*SIN(B178)+'1.설계입력'!$C$7*SIN(B178+C178)+'1.설계입력'!$C$8*SIN('1.설계입력'!$C$15*B178)</f>
        <v>-43.977755344783638</v>
      </c>
      <c r="F178" s="40">
        <f>ATAN2(('1.설계입력'!$C$6+'1.설계입력'!$C$33)/('1.설계입력'!$C$8*'1.설계입력'!$C$15)-COS((1-'1.설계입력'!$C$15)*B178),SIN((1-'1.설계입력'!$C$15)*B178))</f>
        <v>0.57916713451056057</v>
      </c>
      <c r="G178" s="40">
        <f>('1.설계입력'!$C$6+'1.설계입력'!$C$33)*COS(B178)-('1.설계입력'!$C$7+'1.설계입력'!$C$34)*COS(B178+F178)-'1.설계입력'!$C$8*COS('1.설계입력'!$C$15*B178)</f>
        <v>65.470778515924209</v>
      </c>
      <c r="H178" s="40">
        <f>-('1.설계입력'!$C$6+'1.설계입력'!$C$33)*SIN(B178)+('1.설계입력'!$C$7+'1.설계입력'!$C$34)*SIN(B178+F178)+'1.설계입력'!$C$8*SIN('1.설계입력'!$C$15*B178)</f>
        <v>-43.968492131187048</v>
      </c>
      <c r="I178" s="40">
        <f t="shared" si="7"/>
        <v>78.874569031384993</v>
      </c>
      <c r="J178" s="40">
        <f t="shared" si="8"/>
        <v>78.864764881228552</v>
      </c>
      <c r="K178" s="38">
        <f>IF(OR(A178&gt;180,'1.설계입력'!$C$39&gt;=1),"",'1.설계입력'!$C$34*(1-SIN(B178)/SQRT(1+'1.설계입력'!$C$39^2-2*'1.설계입력'!$C$39*COS(B178)))-'1.설계입력'!$C$33*(1-'1.설계입력'!$C$39*COS(B178)-SQRT(MAX(0,1-'1.설계입력'!$C$39^2))*SIN(B178))/SQRT(1+'1.설계입력'!$C$39^2-2*'1.설계입력'!$C$39*COS(B178)))</f>
        <v>1.6883780782377811E-4</v>
      </c>
    </row>
    <row r="179" spans="1:11" x14ac:dyDescent="0.3">
      <c r="A179" s="40">
        <f>A178+'1.설계입력'!$C$12</f>
        <v>34.599999999999952</v>
      </c>
      <c r="B179" s="40">
        <f t="shared" si="6"/>
        <v>0.6038839211900372</v>
      </c>
      <c r="C179" s="40">
        <f>ATAN2('1.설계입력'!$C$6/('1.설계입력'!$C$8*'1.설계입력'!$C$15)-COS((1-'1.설계입력'!$C$15)*B179),SIN((1-'1.설계입력'!$C$15)*B179))</f>
        <v>0.62803118034673322</v>
      </c>
      <c r="D179" s="40">
        <f>'1.설계입력'!$C$6*COS(B179)-'1.설계입력'!$C$7*COS(B179+C179)-'1.설계입력'!$C$8*COS('1.설계입력'!$C$15*B179)</f>
        <v>65.32866425042792</v>
      </c>
      <c r="E179" s="40">
        <f>-'1.설계입력'!$C$6*SIN(B179)+'1.설계입력'!$C$7*SIN(B179+C179)+'1.설계입력'!$C$8*SIN('1.설계입력'!$C$15*B179)</f>
        <v>-44.034234763653622</v>
      </c>
      <c r="F179" s="40">
        <f>ATAN2(('1.설계입력'!$C$6+'1.설계입력'!$C$33)/('1.설계입력'!$C$8*'1.설계입력'!$C$15)-COS((1-'1.설계입력'!$C$15)*B179),SIN((1-'1.설계입력'!$C$15)*B179))</f>
        <v>0.62804901803878643</v>
      </c>
      <c r="G179" s="40">
        <f>('1.설계입력'!$C$6+'1.설계입력'!$C$33)*COS(B179)-('1.설계입력'!$C$7+'1.설계입력'!$C$34)*COS(B179+F179)-'1.설계입력'!$C$8*COS('1.설계입력'!$C$15*B179)</f>
        <v>65.323487256569976</v>
      </c>
      <c r="H179" s="40">
        <f>-('1.설계입력'!$C$6+'1.설계입력'!$C$33)*SIN(B179)+('1.설계입력'!$C$7+'1.설계입력'!$C$34)*SIN(B179+F179)+'1.설계입력'!$C$8*SIN('1.설계입력'!$C$15*B179)</f>
        <v>-44.024811351227946</v>
      </c>
      <c r="I179" s="40">
        <f t="shared" si="7"/>
        <v>78.783552877270651</v>
      </c>
      <c r="J179" s="40">
        <f t="shared" si="8"/>
        <v>78.773993182207477</v>
      </c>
      <c r="K179" s="38">
        <f>IF(OR(A179&gt;180,'1.설계입력'!$C$39&gt;=1),"",'1.설계입력'!$C$34*(1-SIN(B179)/SQRT(1+'1.설계입력'!$C$39^2-2*'1.설계입력'!$C$39*COS(B179)))-'1.설계입력'!$C$33*(1-'1.설계입력'!$C$39*COS(B179)-SQRT(MAX(0,1-'1.설계입력'!$C$39^2))*SIN(B179))/SQRT(1+'1.설계입력'!$C$39^2-2*'1.설계입력'!$C$39*COS(B179)))</f>
        <v>1.6031612350841883E-4</v>
      </c>
    </row>
    <row r="180" spans="1:11" x14ac:dyDescent="0.3">
      <c r="A180" s="40">
        <f>A179+'1.설계입력'!$C$12</f>
        <v>34.799999999999955</v>
      </c>
      <c r="B180" s="40">
        <f t="shared" si="6"/>
        <v>0.60737457969402586</v>
      </c>
      <c r="C180" s="40">
        <f>ATAN2('1.설계입력'!$C$6/('1.설계입력'!$C$8*'1.설계입력'!$C$15)-COS((1-'1.설계입력'!$C$15)*B180),SIN((1-'1.설계입력'!$C$15)*B180))</f>
        <v>0.67427311258649858</v>
      </c>
      <c r="D180" s="40">
        <f>'1.설계입력'!$C$6*COS(B180)-'1.설계입력'!$C$7*COS(B180+C180)-'1.설계입력'!$C$8*COS('1.설계입력'!$C$15*B180)</f>
        <v>65.18999401619125</v>
      </c>
      <c r="E180" s="40">
        <f>-'1.설계입력'!$C$6*SIN(B180)+'1.설계입력'!$C$7*SIN(B180+C180)+'1.설계입력'!$C$8*SIN('1.설계입력'!$C$15*B180)</f>
        <v>-44.079281876101035</v>
      </c>
      <c r="F180" s="40">
        <f>ATAN2(('1.설계입력'!$C$6+'1.설계입력'!$C$33)/('1.설계입력'!$C$8*'1.설계입력'!$C$15)-COS((1-'1.설계입력'!$C$15)*B180),SIN((1-'1.설계입력'!$C$15)*B180))</f>
        <v>0.67429341218888716</v>
      </c>
      <c r="G180" s="40">
        <f>('1.설계입력'!$C$6+'1.설계입력'!$C$33)*COS(B180)-('1.설계입력'!$C$7+'1.설계입력'!$C$34)*COS(B180+F180)-'1.설계입력'!$C$8*COS('1.설계입력'!$C$15*B180)</f>
        <v>65.185216835020469</v>
      </c>
      <c r="H180" s="40">
        <f>-('1.설계입력'!$C$6+'1.설계입력'!$C$33)*SIN(B180)+('1.설계입력'!$C$7+'1.설계입력'!$C$34)*SIN(B180+F180)+'1.설계입력'!$C$8*SIN('1.설계입력'!$C$15*B180)</f>
        <v>-44.069725720811874</v>
      </c>
      <c r="I180" s="40">
        <f t="shared" si="7"/>
        <v>78.693827016760466</v>
      </c>
      <c r="J180" s="40">
        <f t="shared" si="8"/>
        <v>78.684517021687455</v>
      </c>
      <c r="K180" s="38">
        <f>IF(OR(A180&gt;180,'1.설계입력'!$C$39&gt;=1),"",'1.설계입력'!$C$34*(1-SIN(B180)/SQRT(1+'1.설계입력'!$C$39^2-2*'1.설계입력'!$C$39*COS(B180)))-'1.설계입력'!$C$33*(1-'1.설계입력'!$C$39*COS(B180)-SQRT(MAX(0,1-'1.설계입력'!$C$39^2))*SIN(B180))/SQRT(1+'1.설계입력'!$C$39^2-2*'1.설계입력'!$C$39*COS(B180)))</f>
        <v>1.520539593101998E-4</v>
      </c>
    </row>
    <row r="181" spans="1:11" x14ac:dyDescent="0.3">
      <c r="A181" s="40">
        <f>A180+'1.설계입력'!$C$12</f>
        <v>34.999999999999957</v>
      </c>
      <c r="B181" s="40">
        <f t="shared" si="6"/>
        <v>0.61086523819801464</v>
      </c>
      <c r="C181" s="40">
        <f>ATAN2('1.설계입력'!$C$6/('1.설계입력'!$C$8*'1.설계입력'!$C$15)-COS((1-'1.설계입력'!$C$15)*B181),SIN((1-'1.설계입력'!$C$15)*B181))</f>
        <v>0.71706820680316508</v>
      </c>
      <c r="D181" s="40">
        <f>'1.설계입력'!$C$6*COS(B181)-'1.설계입력'!$C$7*COS(B181+C181)-'1.설계입력'!$C$8*COS('1.설계입력'!$C$15*B181)</f>
        <v>65.05947106975259</v>
      </c>
      <c r="E181" s="40">
        <f>-'1.설계입력'!$C$6*SIN(B181)+'1.설계입력'!$C$7*SIN(B181+C181)+'1.설계입력'!$C$8*SIN('1.설계입력'!$C$15*B181)</f>
        <v>-44.114835272615402</v>
      </c>
      <c r="F181" s="40">
        <f>ATAN2(('1.설계입력'!$C$6+'1.설계입력'!$C$33)/('1.설계입력'!$C$8*'1.설계입력'!$C$15)-COS((1-'1.설계입력'!$C$15)*B181),SIN((1-'1.설계입력'!$C$15)*B181))</f>
        <v>0.71709130849634228</v>
      </c>
      <c r="G181" s="40">
        <f>('1.설계입력'!$C$6+'1.설계입력'!$C$33)*COS(B181)-('1.설계입력'!$C$7+'1.설계입력'!$C$34)*COS(B181+F181)-'1.설계입력'!$C$8*COS('1.설계입력'!$C$15*B181)</f>
        <v>65.05507366721838</v>
      </c>
      <c r="H181" s="40">
        <f>-('1.설계입력'!$C$6+'1.설계입력'!$C$33)*SIN(B181)+('1.설계입력'!$C$7+'1.설계입력'!$C$34)*SIN(B181+F181)+'1.설계입력'!$C$8*SIN('1.설계입력'!$C$15*B181)</f>
        <v>-44.105172626298078</v>
      </c>
      <c r="I181" s="40">
        <f t="shared" si="7"/>
        <v>78.605683426874208</v>
      </c>
      <c r="J181" s="40">
        <f t="shared" si="8"/>
        <v>78.596621188463075</v>
      </c>
      <c r="K181" s="38">
        <f>IF(OR(A181&gt;180,'1.설계입력'!$C$39&gt;=1),"",'1.설계입력'!$C$34*(1-SIN(B181)/SQRT(1+'1.설계입력'!$C$39^2-2*'1.설계입력'!$C$39*COS(B181)))-'1.설계입력'!$C$33*(1-'1.설계입력'!$C$39*COS(B181)-SQRT(MAX(0,1-'1.설계입력'!$C$39^2))*SIN(B181))/SQRT(1+'1.설계입력'!$C$39^2-2*'1.설계입력'!$C$39*COS(B181)))</f>
        <v>1.440478003869837E-4</v>
      </c>
    </row>
    <row r="182" spans="1:11" x14ac:dyDescent="0.3">
      <c r="A182" s="40">
        <f>A181+'1.설계입력'!$C$12</f>
        <v>35.19999999999996</v>
      </c>
      <c r="B182" s="40">
        <f t="shared" si="6"/>
        <v>0.6143558967020033</v>
      </c>
      <c r="C182" s="40">
        <f>ATAN2('1.설계입력'!$C$6/('1.설계입력'!$C$8*'1.설계입력'!$C$15)-COS((1-'1.설계입력'!$C$15)*B182),SIN((1-'1.설계입력'!$C$15)*B182))</f>
        <v>0.75527182600150589</v>
      </c>
      <c r="D182" s="40">
        <f>'1.설계입력'!$C$6*COS(B182)-'1.설계입력'!$C$7*COS(B182+C182)-'1.설계입력'!$C$8*COS('1.설계입력'!$C$15*B182)</f>
        <v>64.934551500477383</v>
      </c>
      <c r="E182" s="40">
        <f>-'1.설계입력'!$C$6*SIN(B182)+'1.설계입력'!$C$7*SIN(B182+C182)+'1.설계입력'!$C$8*SIN('1.설계입력'!$C$15*B182)</f>
        <v>-44.142993850694864</v>
      </c>
      <c r="F182" s="40">
        <f>ATAN2(('1.설계입력'!$C$6+'1.설계입력'!$C$33)/('1.설계입력'!$C$8*'1.설계입력'!$C$15)-COS((1-'1.설계입력'!$C$15)*B182),SIN((1-'1.설계입력'!$C$15)*B182))</f>
        <v>0.75529816226041868</v>
      </c>
      <c r="G182" s="40">
        <f>('1.설계입력'!$C$6+'1.설계입력'!$C$33)*COS(B182)-('1.설계입력'!$C$7+'1.설계입력'!$C$34)*COS(B182+F182)-'1.설계입력'!$C$8*COS('1.설계입력'!$C$15*B182)</f>
        <v>64.93050328372459</v>
      </c>
      <c r="H182" s="40">
        <f>-('1.설계입력'!$C$6+'1.설계입력'!$C$33)*SIN(B182)+('1.설계입력'!$C$7+'1.설계입력'!$C$34)*SIN(B182+F182)+'1.설계입력'!$C$8*SIN('1.설계입력'!$C$15*B182)</f>
        <v>-44.133249166467976</v>
      </c>
      <c r="I182" s="40">
        <f t="shared" si="7"/>
        <v>78.518150033419886</v>
      </c>
      <c r="J182" s="40">
        <f t="shared" si="8"/>
        <v>78.509323896383904</v>
      </c>
      <c r="K182" s="38">
        <f>IF(OR(A182&gt;180,'1.설계입력'!$C$39&gt;=1),"",'1.설계입력'!$C$34*(1-SIN(B182)/SQRT(1+'1.설계입력'!$C$39^2-2*'1.설계입력'!$C$39*COS(B182)))-'1.설계입력'!$C$33*(1-'1.설계입력'!$C$39*COS(B182)-SQRT(MAX(0,1-'1.설계입력'!$C$39^2))*SIN(B182))/SQRT(1+'1.설계입력'!$C$39^2-2*'1.설계입력'!$C$39*COS(B182)))</f>
        <v>1.3629419372720509E-4</v>
      </c>
    </row>
    <row r="183" spans="1:11" x14ac:dyDescent="0.3">
      <c r="A183" s="40">
        <f>A182+'1.설계입력'!$C$12</f>
        <v>35.399999999999963</v>
      </c>
      <c r="B183" s="40">
        <f t="shared" si="6"/>
        <v>0.61784655520599197</v>
      </c>
      <c r="C183" s="40">
        <f>ATAN2('1.설계입력'!$C$6/('1.설계입력'!$C$8*'1.설계입력'!$C$15)-COS((1-'1.설계입력'!$C$15)*B183),SIN((1-'1.설계입력'!$C$15)*B183))</f>
        <v>0.78721196229234114</v>
      </c>
      <c r="D183" s="40">
        <f>'1.설계입력'!$C$6*COS(B183)-'1.설계입력'!$C$7*COS(B183+C183)-'1.설계입력'!$C$8*COS('1.설계입력'!$C$15*B183)</f>
        <v>64.810240763873907</v>
      </c>
      <c r="E183" s="40">
        <f>-'1.설계입력'!$C$6*SIN(B183)+'1.설계입력'!$C$7*SIN(B183+C183)+'1.설계입력'!$C$8*SIN('1.설계입력'!$C$15*B183)</f>
        <v>-44.165973496809528</v>
      </c>
      <c r="F183" s="40">
        <f>ATAN2(('1.설계입력'!$C$6+'1.설계입력'!$C$33)/('1.설계입력'!$C$8*'1.설계입력'!$C$15)-COS((1-'1.설계입력'!$C$15)*B183),SIN((1-'1.설계입력'!$C$15)*B183))</f>
        <v>0.78724208493468051</v>
      </c>
      <c r="G183" s="40">
        <f>('1.설계입력'!$C$6+'1.설계입력'!$C$33)*COS(B183)-('1.설계입력'!$C$7+'1.설계입력'!$C$34)*COS(B183+F183)-'1.설계입력'!$C$8*COS('1.설계입력'!$C$15*B183)</f>
        <v>64.806496609525823</v>
      </c>
      <c r="H183" s="40">
        <f>-('1.설계입력'!$C$6+'1.설계입력'!$C$33)*SIN(B183)+('1.설계입력'!$C$7+'1.설계입력'!$C$34)*SIN(B183+F183)+'1.설계입력'!$C$8*SIN('1.설계입력'!$C$15*B183)</f>
        <v>-44.156168803281766</v>
      </c>
      <c r="I183" s="40">
        <f t="shared" si="7"/>
        <v>78.428314547694981</v>
      </c>
      <c r="J183" s="40">
        <f t="shared" si="8"/>
        <v>78.419699350255073</v>
      </c>
      <c r="K183" s="38">
        <f>IF(OR(A183&gt;180,'1.설계입력'!$C$39&gt;=1),"",'1.설계입력'!$C$34*(1-SIN(B183)/SQRT(1+'1.설계입력'!$C$39^2-2*'1.설계입력'!$C$39*COS(B183)))-'1.설계입력'!$C$33*(1-'1.설계입력'!$C$39*COS(B183)-SQRT(MAX(0,1-'1.설계입력'!$C$39^2))*SIN(B183))/SQRT(1+'1.설계입력'!$C$39^2-2*'1.설계입력'!$C$39*COS(B183)))</f>
        <v>1.2878974698853575E-4</v>
      </c>
    </row>
    <row r="184" spans="1:11" x14ac:dyDescent="0.3">
      <c r="A184" s="40">
        <f>A183+'1.설계입력'!$C$12</f>
        <v>35.599999999999966</v>
      </c>
      <c r="B184" s="40">
        <f t="shared" si="6"/>
        <v>0.62133721370998074</v>
      </c>
      <c r="C184" s="40">
        <f>ATAN2('1.설계입력'!$C$6/('1.설계입력'!$C$8*'1.설계입력'!$C$15)-COS((1-'1.설계입력'!$C$15)*B184),SIN((1-'1.설계입력'!$C$15)*B184))</f>
        <v>0.81035653114521311</v>
      </c>
      <c r="D184" s="40">
        <f>'1.설계입력'!$C$6*COS(B184)-'1.설계입력'!$C$7*COS(B184+C184)-'1.설계입력'!$C$8*COS('1.설계입력'!$C$15*B184)</f>
        <v>64.677752178533794</v>
      </c>
      <c r="E184" s="40">
        <f>-'1.설계입력'!$C$6*SIN(B184)+'1.설계입력'!$C$7*SIN(B184+C184)+'1.설계입력'!$C$8*SIN('1.설계입력'!$C$15*B184)</f>
        <v>-44.186176282753792</v>
      </c>
      <c r="F184" s="40">
        <f>ATAN2(('1.설계입력'!$C$6+'1.설계입력'!$C$33)/('1.설계입력'!$C$8*'1.설계입력'!$C$15)-COS((1-'1.설계입력'!$C$15)*B184),SIN((1-'1.설계입력'!$C$15)*B184))</f>
        <v>0.81039114060412409</v>
      </c>
      <c r="G184" s="40">
        <f>('1.설계입력'!$C$6+'1.설계입력'!$C$33)*COS(B184)-('1.설계입력'!$C$7+'1.설계입력'!$C$34)*COS(B184+F184)-'1.설계입력'!$C$8*COS('1.설계입력'!$C$15*B184)</f>
        <v>64.674245843967725</v>
      </c>
      <c r="H184" s="40">
        <f>-('1.설계입력'!$C$6+'1.설계입력'!$C$33)*SIN(B184)+('1.설계입력'!$C$7+'1.설계입력'!$C$34)*SIN(B184+F184)+'1.설계입력'!$C$8*SIN('1.설계입력'!$C$15*B184)</f>
        <v>-44.176330709345429</v>
      </c>
      <c r="I184" s="40">
        <f t="shared" si="7"/>
        <v>78.330261083175429</v>
      </c>
      <c r="J184" s="40">
        <f t="shared" si="8"/>
        <v>78.321812226399828</v>
      </c>
      <c r="K184" s="38">
        <f>IF(OR(A184&gt;180,'1.설계입력'!$C$39&gt;=1),"",'1.설계입력'!$C$34*(1-SIN(B184)/SQRT(1+'1.설계입력'!$C$39^2-2*'1.설계입력'!$C$39*COS(B184)))-'1.설계입력'!$C$33*(1-'1.설계입력'!$C$39*COS(B184)-SQRT(MAX(0,1-'1.설계입력'!$C$39^2))*SIN(B184))/SQRT(1+'1.설계입력'!$C$39^2-2*'1.설계입력'!$C$39*COS(B184)))</f>
        <v>1.2153112735614478E-4</v>
      </c>
    </row>
    <row r="185" spans="1:11" x14ac:dyDescent="0.3">
      <c r="A185" s="40">
        <f>A184+'1.설계입력'!$C$12</f>
        <v>35.799999999999969</v>
      </c>
      <c r="B185" s="40">
        <f t="shared" si="6"/>
        <v>0.6248278722139694</v>
      </c>
      <c r="C185" s="40">
        <f>ATAN2('1.설계입력'!$C$6/('1.설계입력'!$C$8*'1.설계입력'!$C$15)-COS((1-'1.설계입력'!$C$15)*B185),SIN((1-'1.설계입력'!$C$15)*B185))</f>
        <v>0.82071255773082508</v>
      </c>
      <c r="D185" s="40">
        <f>'1.설계입력'!$C$6*COS(B185)-'1.설계입력'!$C$7*COS(B185+C185)-'1.설계입력'!$C$8*COS('1.설계입력'!$C$15*B185)</f>
        <v>64.522116535779944</v>
      </c>
      <c r="E185" s="40">
        <f>-'1.설계입력'!$C$6*SIN(B185)+'1.설계입력'!$C$7*SIN(B185+C185)+'1.설계입력'!$C$8*SIN('1.설계입력'!$C$15*B185)</f>
        <v>-44.206626076903845</v>
      </c>
      <c r="F185" s="40">
        <f>ATAN2(('1.설계입력'!$C$6+'1.설계입력'!$C$33)/('1.설계입력'!$C$8*'1.설계입력'!$C$15)-COS((1-'1.설계입력'!$C$15)*B185),SIN((1-'1.설계입력'!$C$15)*B185))</f>
        <v>0.82075251683830996</v>
      </c>
      <c r="G185" s="40">
        <f>('1.설계입력'!$C$6+'1.설계입력'!$C$33)*COS(B185)-('1.설계입력'!$C$7+'1.설계입력'!$C$34)*COS(B185+F185)-'1.설계입력'!$C$8*COS('1.설계입력'!$C$15*B185)</f>
        <v>64.518749221802764</v>
      </c>
      <c r="H185" s="40">
        <f>-('1.설계입력'!$C$6+'1.설계입력'!$C$33)*SIN(B185)+('1.설계입력'!$C$7+'1.설계입력'!$C$34)*SIN(B185+F185)+'1.설계입력'!$C$8*SIN('1.설계입력'!$C$15*B185)</f>
        <v>-44.196756160284536</v>
      </c>
      <c r="I185" s="40">
        <f t="shared" si="7"/>
        <v>78.213357627453661</v>
      </c>
      <c r="J185" s="40">
        <f t="shared" si="8"/>
        <v>78.205001478406245</v>
      </c>
      <c r="K185" s="38">
        <f>IF(OR(A185&gt;180,'1.설계입력'!$C$39&gt;=1),"",'1.설계입력'!$C$34*(1-SIN(B185)/SQRT(1+'1.설계입력'!$C$39^2-2*'1.설계입력'!$C$39*COS(B185)))-'1.설계입력'!$C$33*(1-'1.설계입력'!$C$39*COS(B185)-SQRT(MAX(0,1-'1.설계입력'!$C$39^2))*SIN(B185))/SQRT(1+'1.설계입력'!$C$39^2-2*'1.설계입력'!$C$39*COS(B185)))</f>
        <v>1.145150604204111E-4</v>
      </c>
    </row>
    <row r="186" spans="1:11" x14ac:dyDescent="0.3">
      <c r="A186" s="40">
        <f>A185+'1.설계입력'!$C$12</f>
        <v>35.999999999999972</v>
      </c>
      <c r="B186" s="40">
        <f t="shared" si="6"/>
        <v>0.62831853071795818</v>
      </c>
      <c r="C186" s="40">
        <f>ATAN2('1.설계입력'!$C$6/('1.설계입력'!$C$8*'1.설계입력'!$C$15)-COS((1-'1.설계입력'!$C$15)*B186),SIN((1-'1.설계입력'!$C$15)*B186))</f>
        <v>0.81170138601699449</v>
      </c>
      <c r="D186" s="40">
        <f>'1.설계입력'!$C$6*COS(B186)-'1.설계입력'!$C$7*COS(B186+C186)-'1.설계입력'!$C$8*COS('1.설계입력'!$C$15*B186)</f>
        <v>64.317777690349146</v>
      </c>
      <c r="E186" s="40">
        <f>-'1.설계입력'!$C$6*SIN(B186)+'1.설계입력'!$C$7*SIN(B186+C186)+'1.설계입력'!$C$8*SIN('1.설계입력'!$C$15*B186)</f>
        <v>-44.232546905544879</v>
      </c>
      <c r="F186" s="40">
        <f>ATAN2(('1.설계입력'!$C$6+'1.설계입력'!$C$33)/('1.설계입력'!$C$8*'1.설계입력'!$C$15)-COS((1-'1.설계입력'!$C$15)*B186),SIN((1-'1.설계입력'!$C$15)*B186))</f>
        <v>0.81174764934154697</v>
      </c>
      <c r="G186" s="40">
        <f>('1.설계입력'!$C$6+'1.설계입력'!$C$33)*COS(B186)-('1.설계입력'!$C$7+'1.설계입력'!$C$34)*COS(B186+F186)-'1.설계입력'!$C$8*COS('1.설계입력'!$C$15*B186)</f>
        <v>64.314397310783946</v>
      </c>
      <c r="H186" s="40">
        <f>-('1.설계입력'!$C$6+'1.설계입력'!$C$33)*SIN(B186)+('1.설계입력'!$C$7+'1.설계입력'!$C$34)*SIN(B186+F186)+'1.설계입력'!$C$8*SIN('1.설계입력'!$C$15*B186)</f>
        <v>-44.222669761306022</v>
      </c>
      <c r="I186" s="40">
        <f t="shared" si="7"/>
        <v>78.059558881513055</v>
      </c>
      <c r="J186" s="40">
        <f t="shared" si="8"/>
        <v>78.051176943508693</v>
      </c>
      <c r="K186" s="38">
        <f>IF(OR(A186&gt;180,'1.설계입력'!$C$39&gt;=1),"",'1.설계입력'!$C$34*(1-SIN(B186)/SQRT(1+'1.설계입력'!$C$39^2-2*'1.설계입력'!$C$39*COS(B186)))-'1.설계입력'!$C$33*(1-'1.설계입력'!$C$39*COS(B186)-SQRT(MAX(0,1-'1.설계입력'!$C$39^2))*SIN(B186))/SQRT(1+'1.설계입력'!$C$39^2-2*'1.설계입력'!$C$39*COS(B186)))</f>
        <v>1.0773832907400521E-4</v>
      </c>
    </row>
    <row r="187" spans="1:11" x14ac:dyDescent="0.3">
      <c r="A187" s="40">
        <f>A186+'1.설계입력'!$C$12</f>
        <v>36.199999999999974</v>
      </c>
      <c r="B187" s="40">
        <f t="shared" si="6"/>
        <v>0.63180918922194684</v>
      </c>
      <c r="C187" s="40">
        <f>ATAN2('1.설계입력'!$C$6/('1.설계입력'!$C$8*'1.설계입력'!$C$15)-COS((1-'1.설계입력'!$C$15)*B187),SIN((1-'1.설계입력'!$C$15)*B187))</f>
        <v>0.77202359528552367</v>
      </c>
      <c r="D187" s="40">
        <f>'1.설계입력'!$C$6*COS(B187)-'1.설계입력'!$C$7*COS(B187+C187)-'1.설계입력'!$C$8*COS('1.설계입력'!$C$15*B187)</f>
        <v>64.020587943629408</v>
      </c>
      <c r="E187" s="40">
        <f>-'1.설계입력'!$C$6*SIN(B187)+'1.설계입력'!$C$7*SIN(B187+C187)+'1.설계입력'!$C$8*SIN('1.설계입력'!$C$15*B187)</f>
        <v>-44.276529343036401</v>
      </c>
      <c r="F187" s="40">
        <f>ATAN2(('1.설계입력'!$C$6+'1.설계입력'!$C$33)/('1.설계입력'!$C$8*'1.설계입력'!$C$15)-COS((1-'1.설계입력'!$C$15)*B187),SIN((1-'1.설계입력'!$C$15)*B187))</f>
        <v>0.77207680389779043</v>
      </c>
      <c r="G187" s="40">
        <f>('1.설계입력'!$C$6+'1.설계입력'!$C$33)*COS(B187)-('1.설계입력'!$C$7+'1.설계입력'!$C$34)*COS(B187+F187)-'1.설계입력'!$C$8*COS('1.설계입력'!$C$15*B187)</f>
        <v>64.016950537374086</v>
      </c>
      <c r="H187" s="40">
        <f>-('1.설계입력'!$C$6+'1.설계입력'!$C$33)*SIN(B187)+('1.설계입력'!$C$7+'1.설계입력'!$C$34)*SIN(B187+F187)+'1.설계입력'!$C$8*SIN('1.설계입력'!$C$15*B187)</f>
        <v>-44.266675667821232</v>
      </c>
      <c r="I187" s="40">
        <f t="shared" si="7"/>
        <v>77.839878798163284</v>
      </c>
      <c r="J187" s="40">
        <f t="shared" si="8"/>
        <v>77.831282469098994</v>
      </c>
      <c r="K187" s="38">
        <f>IF(OR(A187&gt;180,'1.설계입력'!$C$39&gt;=1),"",'1.설계입력'!$C$34*(1-SIN(B187)/SQRT(1+'1.설계입력'!$C$39^2-2*'1.설계입력'!$C$39*COS(B187)))-'1.설계입력'!$C$33*(1-'1.설계입력'!$C$39*COS(B187)-SQRT(MAX(0,1-'1.설계입력'!$C$39^2))*SIN(B187))/SQRT(1+'1.설계입력'!$C$39^2-2*'1.설계입력'!$C$39*COS(B187)))</f>
        <v>1.0119777242816241E-4</v>
      </c>
    </row>
    <row r="188" spans="1:11" x14ac:dyDescent="0.3">
      <c r="A188" s="40">
        <f>A187+'1.설계입력'!$C$12</f>
        <v>36.399999999999977</v>
      </c>
      <c r="B188" s="40">
        <f t="shared" si="6"/>
        <v>0.63529984772593551</v>
      </c>
      <c r="C188" s="40">
        <f>ATAN2('1.설계입력'!$C$6/('1.설계입력'!$C$8*'1.설계입력'!$C$15)-COS((1-'1.설계입력'!$C$15)*B188),SIN((1-'1.설계입력'!$C$15)*B188))</f>
        <v>0.68189134705600296</v>
      </c>
      <c r="D188" s="40">
        <f>'1.설계입력'!$C$6*COS(B188)-'1.설계입력'!$C$7*COS(B188+C188)-'1.설계입력'!$C$8*COS('1.설계입력'!$C$15*B188)</f>
        <v>63.55581723476854</v>
      </c>
      <c r="E188" s="40">
        <f>-'1.설계입력'!$C$6*SIN(B188)+'1.설계입력'!$C$7*SIN(B188+C188)+'1.설계입력'!$C$8*SIN('1.설계입력'!$C$15*B188)</f>
        <v>-44.3748358547791</v>
      </c>
      <c r="F188" s="40">
        <f>ATAN2(('1.설계입력'!$C$6+'1.설계입력'!$C$33)/('1.설계입력'!$C$8*'1.설계입력'!$C$15)-COS((1-'1.설계입력'!$C$15)*B188),SIN((1-'1.설계입력'!$C$15)*B188))</f>
        <v>0.68195023039136982</v>
      </c>
      <c r="G188" s="40">
        <f>('1.설계입력'!$C$6+'1.설계입력'!$C$33)*COS(B188)-('1.설계입력'!$C$7+'1.설계입력'!$C$34)*COS(B188+F188)-'1.설계입력'!$C$8*COS('1.설계입력'!$C$15*B188)</f>
        <v>63.551518274309942</v>
      </c>
      <c r="H188" s="40">
        <f>-('1.설계입력'!$C$6+'1.설계입력'!$C$33)*SIN(B188)+('1.설계입력'!$C$7+'1.설계입력'!$C$34)*SIN(B188+F188)+'1.설계입력'!$C$8*SIN('1.설계입력'!$C$15*B188)</f>
        <v>-44.365096134012617</v>
      </c>
      <c r="I188" s="40">
        <f t="shared" si="7"/>
        <v>77.514308108360808</v>
      </c>
      <c r="J188" s="40">
        <f t="shared" si="8"/>
        <v>77.50520776018945</v>
      </c>
      <c r="K188" s="38">
        <f>IF(OR(A188&gt;180,'1.설계입력'!$C$39&gt;=1),"",'1.설계입력'!$C$34*(1-SIN(B188)/SQRT(1+'1.설계입력'!$C$39^2-2*'1.설계입력'!$C$39*COS(B188)))-'1.설계입력'!$C$33*(1-'1.설계입력'!$C$39*COS(B188)-SQRT(MAX(0,1-'1.설계입력'!$C$39^2))*SIN(B188))/SQRT(1+'1.설계입력'!$C$39^2-2*'1.설계입력'!$C$39*COS(B188)))</f>
        <v>9.4890284747952127E-5</v>
      </c>
    </row>
    <row r="189" spans="1:11" x14ac:dyDescent="0.3">
      <c r="A189" s="40">
        <f>A188+'1.설계입력'!$C$12</f>
        <v>36.59999999999998</v>
      </c>
      <c r="B189" s="40">
        <f t="shared" si="6"/>
        <v>0.63879050622992428</v>
      </c>
      <c r="C189" s="40">
        <f>ATAN2('1.설계입력'!$C$6/('1.설계입력'!$C$8*'1.설계입력'!$C$15)-COS((1-'1.설계입력'!$C$15)*B189),SIN((1-'1.설계입력'!$C$15)*B189))</f>
        <v>0.50916897797682636</v>
      </c>
      <c r="D189" s="40">
        <f>'1.설계입력'!$C$6*COS(B189)-'1.설계입력'!$C$7*COS(B189+C189)-'1.설계입력'!$C$8*COS('1.설계입력'!$C$15*B189)</f>
        <v>62.819318385539354</v>
      </c>
      <c r="E189" s="40">
        <f>-'1.설계입력'!$C$6*SIN(B189)+'1.설계입력'!$C$7*SIN(B189+C189)+'1.설계입력'!$C$8*SIN('1.설계입력'!$C$15*B189)</f>
        <v>-44.632620720465262</v>
      </c>
      <c r="F189" s="40">
        <f>ATAN2(('1.설계입력'!$C$6+'1.설계입력'!$C$33)/('1.설계입력'!$C$8*'1.설계입력'!$C$15)-COS((1-'1.설계입력'!$C$15)*B189),SIN((1-'1.설계입력'!$C$15)*B189))</f>
        <v>0.50922526079497232</v>
      </c>
      <c r="G189" s="40">
        <f>('1.설계입력'!$C$6+'1.설계입력'!$C$33)*COS(B189)-('1.설계입력'!$C$7+'1.설계입력'!$C$34)*COS(B189+F189)-'1.설계입력'!$C$8*COS('1.설계입력'!$C$15*B189)</f>
        <v>62.813711545641063</v>
      </c>
      <c r="H189" s="40">
        <f>-('1.설계입력'!$C$6+'1.설계입력'!$C$33)*SIN(B189)+('1.설계입력'!$C$7+'1.설계입력'!$C$34)*SIN(B189+F189)+'1.설계입력'!$C$8*SIN('1.설계입력'!$C$15*B189)</f>
        <v>-44.62329323867727</v>
      </c>
      <c r="I189" s="40">
        <f t="shared" si="7"/>
        <v>77.060609878203451</v>
      </c>
      <c r="J189" s="40">
        <f t="shared" si="8"/>
        <v>77.050636970786826</v>
      </c>
      <c r="K189" s="38">
        <f>IF(OR(A189&gt;180,'1.설계입력'!$C$39&gt;=1),"",'1.설계입력'!$C$34*(1-SIN(B189)/SQRT(1+'1.설계입력'!$C$39^2-2*'1.설계입력'!$C$39*COS(B189)))-'1.설계입력'!$C$33*(1-'1.설계입력'!$C$39*COS(B189)-SQRT(MAX(0,1-'1.설계입력'!$C$39^2))*SIN(B189))/SQRT(1+'1.설계입력'!$C$39^2-2*'1.설계입력'!$C$39*COS(B189)))</f>
        <v>8.8812814406437622E-5</v>
      </c>
    </row>
    <row r="190" spans="1:11" x14ac:dyDescent="0.3">
      <c r="A190" s="40">
        <f>A189+'1.설계입력'!$C$12</f>
        <v>36.799999999999983</v>
      </c>
      <c r="B190" s="40">
        <f t="shared" si="6"/>
        <v>0.64228116473391295</v>
      </c>
      <c r="C190" s="40">
        <f>ATAN2('1.설계입력'!$C$6/('1.설계입력'!$C$8*'1.설계입력'!$C$15)-COS((1-'1.설계입력'!$C$15)*B190),SIN((1-'1.설계입력'!$C$15)*B190))</f>
        <v>0.22231376166089589</v>
      </c>
      <c r="D190" s="40">
        <f>'1.설계입력'!$C$6*COS(B190)-'1.설계입력'!$C$7*COS(B190+C190)-'1.설계입력'!$C$8*COS('1.설계입력'!$C$15*B190)</f>
        <v>61.792106825303328</v>
      </c>
      <c r="E190" s="40">
        <f>-'1.설계입력'!$C$6*SIN(B190)+'1.설계입력'!$C$7*SIN(B190+C190)+'1.설계입력'!$C$8*SIN('1.설계입력'!$C$15*B190)</f>
        <v>-45.281726365102614</v>
      </c>
      <c r="F190" s="40">
        <f>ATAN2(('1.설계입력'!$C$6+'1.설계입력'!$C$33)/('1.설계입력'!$C$8*'1.설계입력'!$C$15)-COS((1-'1.설계입력'!$C$15)*B190),SIN((1-'1.설계입력'!$C$15)*B190))</f>
        <v>0.22234378256292112</v>
      </c>
      <c r="G190" s="40">
        <f>('1.설계입력'!$C$6+'1.설계입력'!$C$33)*COS(B190)-('1.설계입력'!$C$7+'1.설계입력'!$C$34)*COS(B190+F190)-'1.설계입력'!$C$8*COS('1.설계입력'!$C$15*B190)</f>
        <v>61.784459626010111</v>
      </c>
      <c r="H190" s="40">
        <f>-('1.설계입력'!$C$6+'1.설계입력'!$C$33)*SIN(B190)+('1.설계입력'!$C$7+'1.설계입력'!$C$34)*SIN(B190+F190)+'1.설계입력'!$C$8*SIN('1.설계입력'!$C$15*B190)</f>
        <v>-45.27362856457723</v>
      </c>
      <c r="I190" s="40">
        <f t="shared" si="7"/>
        <v>76.607435726003303</v>
      </c>
      <c r="J190" s="40">
        <f t="shared" si="8"/>
        <v>76.596480954945818</v>
      </c>
      <c r="K190" s="38">
        <f>IF(OR(A190&gt;180,'1.설계입력'!$C$39&gt;=1),"",'1.설계입력'!$C$34*(1-SIN(B190)/SQRT(1+'1.설계입력'!$C$39^2-2*'1.설계입력'!$C$39*COS(B190)))-'1.설계입력'!$C$33*(1-'1.설계입력'!$C$39*COS(B190)-SQRT(MAX(0,1-'1.설계입력'!$C$39^2))*SIN(B190))/SQRT(1+'1.설계입력'!$C$39^2-2*'1.설계입력'!$C$39*COS(B190)))</f>
        <v>8.2962362857471239E-5</v>
      </c>
    </row>
    <row r="191" spans="1:11" x14ac:dyDescent="0.3">
      <c r="A191" s="40">
        <f>A190+'1.설계입력'!$C$12</f>
        <v>36.999999999999986</v>
      </c>
      <c r="B191" s="40">
        <f t="shared" si="6"/>
        <v>0.64577182323790172</v>
      </c>
      <c r="C191" s="40">
        <f>ATAN2('1.설계입력'!$C$6/('1.설계입력'!$C$8*'1.설계입력'!$C$15)-COS((1-'1.설계입력'!$C$15)*B191),SIN((1-'1.설계입력'!$C$15)*B191))</f>
        <v>-0.14125586133682858</v>
      </c>
      <c r="D191" s="40">
        <f>'1.설계입력'!$C$6*COS(B191)-'1.설계입력'!$C$7*COS(B191+C191)-'1.설계입력'!$C$8*COS('1.설계입력'!$C$15*B191)</f>
        <v>60.837410946690952</v>
      </c>
      <c r="E191" s="40">
        <f>-'1.설계입력'!$C$6*SIN(B191)+'1.설계입력'!$C$7*SIN(B191+C191)+'1.설계입력'!$C$8*SIN('1.설계입력'!$C$15*B191)</f>
        <v>-46.451115420436743</v>
      </c>
      <c r="F191" s="40">
        <f>ATAN2(('1.설계입력'!$C$6+'1.설계입력'!$C$33)/('1.설계입력'!$C$8*'1.설계입력'!$C$15)-COS((1-'1.설계입력'!$C$15)*B191),SIN((1-'1.설계입력'!$C$15)*B191))</f>
        <v>-0.14127543141457971</v>
      </c>
      <c r="G191" s="40">
        <f>('1.설계입력'!$C$6+'1.설계입력'!$C$33)*COS(B191)-('1.설계입력'!$C$7+'1.설계입력'!$C$34)*COS(B191+F191)-'1.설계입력'!$C$8*COS('1.설계입력'!$C$15*B191)</f>
        <v>60.827806451945001</v>
      </c>
      <c r="H191" s="40">
        <f>-('1.설계입력'!$C$6+'1.설계입력'!$C$33)*SIN(B191)+('1.설계입력'!$C$7+'1.설계입력'!$C$34)*SIN(B191+F191)+'1.설계입력'!$C$8*SIN('1.설계입력'!$C$15*B191)</f>
        <v>-46.445403051753871</v>
      </c>
      <c r="I191" s="40">
        <f t="shared" si="7"/>
        <v>76.543430119764608</v>
      </c>
      <c r="J191" s="40">
        <f t="shared" si="8"/>
        <v>76.532329785490973</v>
      </c>
      <c r="K191" s="38">
        <f>IF(OR(A191&gt;180,'1.설계입력'!$C$39&gt;=1),"",'1.설계입력'!$C$34*(1-SIN(B191)/SQRT(1+'1.설계입력'!$C$39^2-2*'1.설계입력'!$C$39*COS(B191)))-'1.설계입력'!$C$33*(1-'1.설계입력'!$C$39*COS(B191)-SQRT(MAX(0,1-'1.설계입력'!$C$39^2))*SIN(B191))/SQRT(1+'1.설계입력'!$C$39^2-2*'1.설계입력'!$C$39*COS(B191)))</f>
        <v>7.7335983627014953E-5</v>
      </c>
    </row>
    <row r="192" spans="1:11" x14ac:dyDescent="0.3">
      <c r="A192" s="40">
        <f>A191+'1.설계입력'!$C$12</f>
        <v>37.199999999999989</v>
      </c>
      <c r="B192" s="40">
        <f t="shared" si="6"/>
        <v>0.64926248174189038</v>
      </c>
      <c r="C192" s="40">
        <f>ATAN2('1.설계입력'!$C$6/('1.설계입력'!$C$8*'1.설계입력'!$C$15)-COS((1-'1.설계입력'!$C$15)*B192),SIN((1-'1.설계입력'!$C$15)*B192))</f>
        <v>-0.45359002221527361</v>
      </c>
      <c r="D192" s="40">
        <f>'1.설계입력'!$C$6*COS(B192)-'1.설계입력'!$C$7*COS(B192+C192)-'1.설계입력'!$C$8*COS('1.설계입력'!$C$15*B192)</f>
        <v>60.38808877808075</v>
      </c>
      <c r="E192" s="40">
        <f>-'1.설계입력'!$C$6*SIN(B192)+'1.설계입력'!$C$7*SIN(B192+C192)+'1.설계입력'!$C$8*SIN('1.설계입력'!$C$15*B192)</f>
        <v>-47.684705356685171</v>
      </c>
      <c r="F192" s="40">
        <f>ATAN2(('1.설계입력'!$C$6+'1.설계입력'!$C$33)/('1.설계입력'!$C$8*'1.설계입력'!$C$15)-COS((1-'1.설계입력'!$C$15)*B192),SIN((1-'1.설계입력'!$C$15)*B192))</f>
        <v>-0.4536429723243412</v>
      </c>
      <c r="G192" s="40">
        <f>('1.설계입력'!$C$6+'1.설계입력'!$C$33)*COS(B192)-('1.설계입력'!$C$7+'1.설계입력'!$C$34)*COS(B192+F192)-'1.설계입력'!$C$8*COS('1.설계입력'!$C$15*B192)</f>
        <v>60.377632849007128</v>
      </c>
      <c r="H192" s="40">
        <f>-('1.설계입력'!$C$6+'1.설계입력'!$C$33)*SIN(B192)+('1.설계입력'!$C$7+'1.설계입력'!$C$34)*SIN(B192+F192)+'1.설계입력'!$C$8*SIN('1.설계입력'!$C$15*B192)</f>
        <v>-47.681464427644357</v>
      </c>
      <c r="I192" s="40">
        <f t="shared" si="7"/>
        <v>76.945125844482462</v>
      </c>
      <c r="J192" s="40">
        <f t="shared" si="8"/>
        <v>76.934911440868106</v>
      </c>
      <c r="K192" s="38">
        <f>IF(OR(A192&gt;180,'1.설계입력'!$C$39&gt;=1),"",'1.설계입력'!$C$34*(1-SIN(B192)/SQRT(1+'1.설계입력'!$C$39^2-2*'1.설계입력'!$C$39*COS(B192)))-'1.설계입력'!$C$33*(1-'1.설계입력'!$C$39*COS(B192)-SQRT(MAX(0,1-'1.설계입력'!$C$39^2))*SIN(B192))/SQRT(1+'1.설계입력'!$C$39^2-2*'1.설계입력'!$C$39*COS(B192)))</f>
        <v>7.1930781322664713E-5</v>
      </c>
    </row>
    <row r="193" spans="1:11" x14ac:dyDescent="0.3">
      <c r="A193" s="40">
        <f>A192+'1.설계입력'!$C$12</f>
        <v>37.399999999999991</v>
      </c>
      <c r="B193" s="40">
        <f t="shared" si="6"/>
        <v>0.65275314024587905</v>
      </c>
      <c r="C193" s="40">
        <f>ATAN2('1.설계입력'!$C$6/('1.설계입력'!$C$8*'1.설계입력'!$C$15)-COS((1-'1.설계입력'!$C$15)*B193),SIN((1-'1.설계입력'!$C$15)*B193))</f>
        <v>-0.65077265334676149</v>
      </c>
      <c r="D193" s="40">
        <f>'1.설계입력'!$C$6*COS(B193)-'1.설계입력'!$C$7*COS(B193+C193)-'1.설계입력'!$C$8*COS('1.설계입력'!$C$15*B193)</f>
        <v>60.303217373352311</v>
      </c>
      <c r="E193" s="40">
        <f>-'1.설계입력'!$C$6*SIN(B193)+'1.설계입력'!$C$7*SIN(B193+C193)+'1.설계입력'!$C$8*SIN('1.설계입력'!$C$15*B193)</f>
        <v>-48.553340556059219</v>
      </c>
      <c r="F193" s="40">
        <f>ATAN2(('1.설계입력'!$C$6+'1.설계입력'!$C$33)/('1.설계입력'!$C$8*'1.설계입력'!$C$15)-COS((1-'1.설계입력'!$C$15)*B193),SIN((1-'1.설계입력'!$C$15)*B193))</f>
        <v>-0.65083210576202521</v>
      </c>
      <c r="G193" s="40">
        <f>('1.설계입력'!$C$6+'1.설계입력'!$C$33)*COS(B193)-('1.설계입력'!$C$7+'1.설계입력'!$C$34)*COS(B193+F193)-'1.설계입력'!$C$8*COS('1.설계입력'!$C$15*B193)</f>
        <v>60.292654239065214</v>
      </c>
      <c r="H193" s="40">
        <f>-('1.설계입력'!$C$6+'1.설계입력'!$C$33)*SIN(B193)+('1.설계입력'!$C$7+'1.설계입력'!$C$34)*SIN(B193+F193)+'1.설계입력'!$C$8*SIN('1.설계입력'!$C$15*B193)</f>
        <v>-48.551679939794859</v>
      </c>
      <c r="I193" s="40">
        <f t="shared" si="7"/>
        <v>77.420313256473236</v>
      </c>
      <c r="J193" s="40">
        <f t="shared" si="8"/>
        <v>77.411044303560118</v>
      </c>
      <c r="K193" s="38">
        <f>IF(OR(A193&gt;180,'1.설계입력'!$C$39&gt;=1),"",'1.설계입력'!$C$34*(1-SIN(B193)/SQRT(1+'1.설계입력'!$C$39^2-2*'1.설계입력'!$C$39*COS(B193)))-'1.설계입력'!$C$33*(1-'1.설계입력'!$C$39*COS(B193)-SQRT(MAX(0,1-'1.설계입력'!$C$39^2))*SIN(B193))/SQRT(1+'1.설계입력'!$C$39^2-2*'1.설계입력'!$C$39*COS(B193)))</f>
        <v>6.6743910661289861E-5</v>
      </c>
    </row>
    <row r="194" spans="1:11" x14ac:dyDescent="0.3">
      <c r="A194" s="40">
        <f>A193+'1.설계입력'!$C$12</f>
        <v>37.599999999999994</v>
      </c>
      <c r="B194" s="40">
        <f t="shared" si="6"/>
        <v>0.65624379874986782</v>
      </c>
      <c r="C194" s="40">
        <f>ATAN2('1.설계입력'!$C$6/('1.설계입력'!$C$8*'1.설계입력'!$C$15)-COS((1-'1.설계입력'!$C$15)*B194),SIN((1-'1.설계입력'!$C$15)*B194))</f>
        <v>-0.75665988680789764</v>
      </c>
      <c r="D194" s="40">
        <f>'1.설계입력'!$C$6*COS(B194)-'1.설계입력'!$C$7*COS(B194+C194)-'1.설계입력'!$C$8*COS('1.설계입력'!$C$15*B194)</f>
        <v>60.330343876323653</v>
      </c>
      <c r="E194" s="40">
        <f>-'1.설계입력'!$C$6*SIN(B194)+'1.설계입력'!$C$7*SIN(B194+C194)+'1.설계입력'!$C$8*SIN('1.설계입력'!$C$15*B194)</f>
        <v>-49.084702039829992</v>
      </c>
      <c r="F194" s="40">
        <f>ATAN2(('1.설계입력'!$C$6+'1.설계입력'!$C$33)/('1.설계입력'!$C$8*'1.설계입력'!$C$15)-COS((1-'1.설계입력'!$C$15)*B194),SIN((1-'1.설계입력'!$C$15)*B194))</f>
        <v>-0.75671465249744818</v>
      </c>
      <c r="G194" s="40">
        <f>('1.설계입력'!$C$6+'1.설계입력'!$C$33)*COS(B194)-('1.설계입력'!$C$7+'1.설계입력'!$C$34)*COS(B194+F194)-'1.설계입력'!$C$8*COS('1.설계입력'!$C$15*B194)</f>
        <v>60.319850592784171</v>
      </c>
      <c r="H194" s="40">
        <f>-('1.설계입력'!$C$6+'1.설계입력'!$C$33)*SIN(B194)+('1.설계입력'!$C$7+'1.설계입력'!$C$34)*SIN(B194+F194)+'1.설계입력'!$C$8*SIN('1.설계입력'!$C$15*B194)</f>
        <v>-49.083840993905419</v>
      </c>
      <c r="I194" s="40">
        <f t="shared" si="7"/>
        <v>77.775692646059767</v>
      </c>
      <c r="J194" s="40">
        <f t="shared" si="8"/>
        <v>77.767009857977669</v>
      </c>
      <c r="K194" s="38">
        <f>IF(OR(A194&gt;180,'1.설계입력'!$C$39&gt;=1),"",'1.설계입력'!$C$34*(1-SIN(B194)/SQRT(1+'1.설계입력'!$C$39^2-2*'1.설계입력'!$C$39*COS(B194)))-'1.설계입력'!$C$33*(1-'1.설계입력'!$C$39*COS(B194)-SQRT(MAX(0,1-'1.설계입력'!$C$39^2))*SIN(B194))/SQRT(1+'1.설계입력'!$C$39^2-2*'1.설계입력'!$C$39*COS(B194)))</f>
        <v>6.1772575514509073E-5</v>
      </c>
    </row>
    <row r="195" spans="1:11" x14ac:dyDescent="0.3">
      <c r="A195" s="40">
        <f>A194+'1.설계입력'!$C$12</f>
        <v>37.799999999999997</v>
      </c>
      <c r="B195" s="40">
        <f t="shared" si="6"/>
        <v>0.65973445725385649</v>
      </c>
      <c r="C195" s="40">
        <f>ATAN2('1.설계입력'!$C$6/('1.설계입력'!$C$8*'1.설계입력'!$C$15)-COS((1-'1.설계입력'!$C$15)*B195),SIN((1-'1.설계입력'!$C$15)*B195))</f>
        <v>-0.80581641004215665</v>
      </c>
      <c r="D195" s="40">
        <f>'1.설계입력'!$C$6*COS(B195)-'1.설계입력'!$C$7*COS(B195+C195)-'1.설계입력'!$C$8*COS('1.설계입력'!$C$15*B195)</f>
        <v>60.37178955225567</v>
      </c>
      <c r="E195" s="40">
        <f>-'1.설계입력'!$C$6*SIN(B195)+'1.설계입력'!$C$7*SIN(B195+C195)+'1.설계입력'!$C$8*SIN('1.설계입력'!$C$15*B195)</f>
        <v>-49.414045399511565</v>
      </c>
      <c r="F195" s="40">
        <f>ATAN2(('1.설계입력'!$C$6+'1.설계입력'!$C$33)/('1.설계입력'!$C$8*'1.설계입력'!$C$15)-COS((1-'1.설계입력'!$C$15)*B195),SIN((1-'1.설계입력'!$C$15)*B195))</f>
        <v>-0.80586424852792271</v>
      </c>
      <c r="G195" s="40">
        <f>('1.설계입력'!$C$6+'1.설계입력'!$C$33)*COS(B195)-('1.설계입력'!$C$7+'1.설계입력'!$C$34)*COS(B195+F195)-'1.설계입력'!$C$8*COS('1.설계입력'!$C$15*B195)</f>
        <v>60.361354259861152</v>
      </c>
      <c r="H195" s="40">
        <f>-('1.설계입력'!$C$6+'1.설계입력'!$C$33)*SIN(B195)+('1.설계입력'!$C$7+'1.설계입력'!$C$34)*SIN(B195+F195)+'1.설계입력'!$C$8*SIN('1.설계입력'!$C$15*B195)</f>
        <v>-49.413514146016141</v>
      </c>
      <c r="I195" s="40">
        <f t="shared" si="7"/>
        <v>78.016029484246616</v>
      </c>
      <c r="J195" s="40">
        <f t="shared" si="8"/>
        <v>78.0076180148003</v>
      </c>
      <c r="K195" s="38">
        <f>IF(OR(A195&gt;180,'1.설계입력'!$C$39&gt;=1),"",'1.설계입력'!$C$34*(1-SIN(B195)/SQRT(1+'1.설계입력'!$C$39^2-2*'1.설계입력'!$C$39*COS(B195)))-'1.설계입력'!$C$33*(1-'1.설계입력'!$C$39*COS(B195)-SQRT(MAX(0,1-'1.설계입력'!$C$39^2))*SIN(B195))/SQRT(1+'1.설계입력'!$C$39^2-2*'1.설계입력'!$C$39*COS(B195)))</f>
        <v>5.7014027971789347E-5</v>
      </c>
    </row>
    <row r="196" spans="1:11" x14ac:dyDescent="0.3">
      <c r="A196" s="40">
        <f>A195+'1.설계입력'!$C$12</f>
        <v>38</v>
      </c>
      <c r="B196" s="40">
        <f t="shared" si="6"/>
        <v>0.66322511575784526</v>
      </c>
      <c r="C196" s="40">
        <f>ATAN2('1.설계입력'!$C$6/('1.설계입력'!$C$8*'1.설계입력'!$C$15)-COS((1-'1.설계입력'!$C$15)*B196),SIN((1-'1.설계입력'!$C$15)*B196))</f>
        <v>-0.82066661728322365</v>
      </c>
      <c r="D196" s="40">
        <f>'1.설계입력'!$C$6*COS(B196)-'1.설계입력'!$C$7*COS(B196+C196)-'1.설계입력'!$C$8*COS('1.설계입력'!$C$15*B196)</f>
        <v>60.40588286057632</v>
      </c>
      <c r="E196" s="40">
        <f>-'1.설계입력'!$C$6*SIN(B196)+'1.설계입력'!$C$7*SIN(B196+C196)+'1.설계입력'!$C$8*SIN('1.설계입력'!$C$15*B196)</f>
        <v>-49.634196820905132</v>
      </c>
      <c r="F196" s="40">
        <f>ATAN2(('1.설계입력'!$C$6+'1.설계입력'!$C$33)/('1.설계입력'!$C$8*'1.설계입력'!$C$15)-COS((1-'1.설계입력'!$C$15)*B196),SIN((1-'1.설계입력'!$C$15)*B196))</f>
        <v>-0.82070794716840068</v>
      </c>
      <c r="G196" s="40">
        <f>('1.설계입력'!$C$6+'1.설계입력'!$C$33)*COS(B196)-('1.설계입력'!$C$7+'1.설계입력'!$C$34)*COS(B196+F196)-'1.설계입력'!$C$8*COS('1.설계입력'!$C$15*B196)</f>
        <v>60.395466187366168</v>
      </c>
      <c r="H196" s="40">
        <f>-('1.설계입력'!$C$6+'1.설계입력'!$C$33)*SIN(B196)+('1.설계입력'!$C$7+'1.설계입력'!$C$34)*SIN(B196+F196)+'1.설계입력'!$C$8*SIN('1.설계입력'!$C$15*B196)</f>
        <v>-49.633721889374222</v>
      </c>
      <c r="I196" s="40">
        <f t="shared" si="7"/>
        <v>78.181993951433711</v>
      </c>
      <c r="J196" s="40">
        <f t="shared" si="8"/>
        <v>78.17364443711854</v>
      </c>
      <c r="K196" s="38">
        <f>IF(OR(A196&gt;180,'1.설계입력'!$C$39&gt;=1),"",'1.설계입력'!$C$34*(1-SIN(B196)/SQRT(1+'1.설계입력'!$C$39^2-2*'1.설계입력'!$C$39*COS(B196)))-'1.설계입력'!$C$33*(1-'1.설계입력'!$C$39*COS(B196)-SQRT(MAX(0,1-'1.설계입력'!$C$39^2))*SIN(B196))/SQRT(1+'1.설계입력'!$C$39^2-2*'1.설계입력'!$C$39*COS(B196)))</f>
        <v>5.2465567420927769E-5</v>
      </c>
    </row>
    <row r="197" spans="1:11" x14ac:dyDescent="0.3">
      <c r="A197" s="40">
        <f>A196+'1.설계입력'!$C$12</f>
        <v>38.200000000000003</v>
      </c>
      <c r="B197" s="40">
        <f t="shared" si="6"/>
        <v>0.66671577426183393</v>
      </c>
      <c r="C197" s="40">
        <f>ATAN2('1.설계입력'!$C$6/('1.설계입력'!$C$8*'1.설계입력'!$C$15)-COS((1-'1.설계입력'!$C$15)*B197),SIN((1-'1.설계입력'!$C$15)*B197))</f>
        <v>-0.81406835660744414</v>
      </c>
      <c r="D197" s="40">
        <f>'1.설계입력'!$C$6*COS(B197)-'1.설계입력'!$C$7*COS(B197+C197)-'1.설계입력'!$C$8*COS('1.설계입력'!$C$15*B197)</f>
        <v>60.431263045062401</v>
      </c>
      <c r="E197" s="40">
        <f>-'1.설계입력'!$C$6*SIN(B197)+'1.설계입력'!$C$7*SIN(B197+C197)+'1.설계입력'!$C$8*SIN('1.설계입력'!$C$15*B197)</f>
        <v>-49.797681866116172</v>
      </c>
      <c r="F197" s="40">
        <f>ATAN2(('1.설계입력'!$C$6+'1.설계입력'!$C$33)/('1.설계입력'!$C$8*'1.설계입력'!$C$15)-COS((1-'1.설계입력'!$C$15)*B197),SIN((1-'1.설계입력'!$C$15)*B197))</f>
        <v>-0.81410411842911745</v>
      </c>
      <c r="G197" s="40">
        <f>('1.설계입력'!$C$6+'1.설계입력'!$C$33)*COS(B197)-('1.설계입력'!$C$7+'1.설계입력'!$C$34)*COS(B197+F197)-'1.설계입력'!$C$8*COS('1.설계입력'!$C$15*B197)</f>
        <v>60.420835713725374</v>
      </c>
      <c r="H197" s="40">
        <f>-('1.설계입력'!$C$6+'1.설계입력'!$C$33)*SIN(B197)+('1.설계입력'!$C$7+'1.설계입력'!$C$34)*SIN(B197+F197)+'1.설계입력'!$C$8*SIN('1.설계입력'!$C$15*B197)</f>
        <v>-49.797095824729965</v>
      </c>
      <c r="I197" s="40">
        <f t="shared" si="7"/>
        <v>78.305470258855095</v>
      </c>
      <c r="J197" s="40">
        <f t="shared" si="8"/>
        <v>78.297050652769357</v>
      </c>
      <c r="K197" s="38">
        <f>IF(OR(A197&gt;180,'1.설계입력'!$C$39&gt;=1),"",'1.설계입력'!$C$34*(1-SIN(B197)/SQRT(1+'1.설계입력'!$C$39^2-2*'1.설계입력'!$C$39*COS(B197)))-'1.설계입력'!$C$33*(1-'1.설계입력'!$C$39*COS(B197)-SQRT(MAX(0,1-'1.설계입력'!$C$39^2))*SIN(B197))/SQRT(1+'1.설계입력'!$C$39^2-2*'1.설계입력'!$C$39*COS(B197)))</f>
        <v>4.8124539645733402E-5</v>
      </c>
    </row>
    <row r="198" spans="1:11" x14ac:dyDescent="0.3">
      <c r="A198" s="40">
        <f>A197+'1.설계입력'!$C$12</f>
        <v>38.400000000000006</v>
      </c>
      <c r="B198" s="40">
        <f t="shared" ref="B198:B261" si="9">RADIANS(A198)</f>
        <v>0.67020643276582259</v>
      </c>
      <c r="C198" s="40">
        <f>ATAN2('1.설계입력'!$C$6/('1.설계입력'!$C$8*'1.설계입력'!$C$15)-COS((1-'1.설계입력'!$C$15)*B198),SIN((1-'1.설계입력'!$C$15)*B198))</f>
        <v>-0.79344975223976555</v>
      </c>
      <c r="D198" s="40">
        <f>'1.설계입력'!$C$6*COS(B198)-'1.설계입력'!$C$7*COS(B198+C198)-'1.설계입력'!$C$8*COS('1.설계입력'!$C$15*B198)</f>
        <v>60.449995596145193</v>
      </c>
      <c r="E198" s="40">
        <f>-'1.설계입력'!$C$6*SIN(B198)+'1.설계입력'!$C$7*SIN(B198+C198)+'1.설계입력'!$C$8*SIN('1.설계입력'!$C$15*B198)</f>
        <v>-49.934061410141737</v>
      </c>
      <c r="F198" s="40">
        <f>ATAN2(('1.설계입력'!$C$6+'1.설계입력'!$C$33)/('1.설계입력'!$C$8*'1.설계입력'!$C$15)-COS((1-'1.설계입력'!$C$15)*B198),SIN((1-'1.설계입력'!$C$15)*B198))</f>
        <v>-0.79348084219470283</v>
      </c>
      <c r="G198" s="40">
        <f>('1.설계입력'!$C$6+'1.설계입력'!$C$33)*COS(B198)-('1.설계입력'!$C$7+'1.설계입력'!$C$34)*COS(B198+F198)-'1.설계입력'!$C$8*COS('1.설계입력'!$C$15*B198)</f>
        <v>60.439542904341209</v>
      </c>
      <c r="H198" s="40">
        <f>-('1.설계입력'!$C$6+'1.설계입력'!$C$33)*SIN(B198)+('1.설계입력'!$C$7+'1.설계입력'!$C$34)*SIN(B198+F198)+'1.설계입력'!$C$8*SIN('1.설계입력'!$C$15*B198)</f>
        <v>-49.93325526396994</v>
      </c>
      <c r="I198" s="40">
        <f t="shared" ref="I198:I261" si="10">SQRT(D198^2+E198^2)</f>
        <v>78.406711807636597</v>
      </c>
      <c r="J198" s="40">
        <f t="shared" ref="J198:J261" si="11">SQRT(G198^2+H198^2)</f>
        <v>78.39813982322849</v>
      </c>
      <c r="K198" s="38">
        <f>IF(OR(A198&gt;180,'1.설계입력'!$C$39&gt;=1),"",'1.설계입력'!$C$34*(1-SIN(B198)/SQRT(1+'1.설계입력'!$C$39^2-2*'1.설계입력'!$C$39*COS(B198)))-'1.설계입력'!$C$33*(1-'1.설계입력'!$C$39*COS(B198)-SQRT(MAX(0,1-'1.설계입력'!$C$39^2))*SIN(B198))/SQRT(1+'1.설계입력'!$C$39^2-2*'1.설계입력'!$C$39*COS(B198)))</f>
        <v>4.3988335940623768E-5</v>
      </c>
    </row>
    <row r="199" spans="1:11" x14ac:dyDescent="0.3">
      <c r="A199" s="40">
        <f>A198+'1.설계입력'!$C$12</f>
        <v>38.600000000000009</v>
      </c>
      <c r="B199" s="40">
        <f t="shared" si="9"/>
        <v>0.67369709126981137</v>
      </c>
      <c r="C199" s="40">
        <f>ATAN2('1.설계입력'!$C$6/('1.설계입력'!$C$8*'1.설계입력'!$C$15)-COS((1-'1.설계입력'!$C$15)*B199),SIN((1-'1.설계입력'!$C$15)*B199))</f>
        <v>-0.76327374705044104</v>
      </c>
      <c r="D199" s="40">
        <f>'1.설계입력'!$C$6*COS(B199)-'1.설계입력'!$C$7*COS(B199+C199)-'1.설계입력'!$C$8*COS('1.설계입력'!$C$15*B199)</f>
        <v>60.46359880843216</v>
      </c>
      <c r="E199" s="40">
        <f>-'1.설계입력'!$C$6*SIN(B199)+'1.설계입력'!$C$7*SIN(B199+C199)+'1.설계입력'!$C$8*SIN('1.설계입력'!$C$15*B199)</f>
        <v>-50.060510982052833</v>
      </c>
      <c r="F199" s="40">
        <f>ATAN2(('1.설계입력'!$C$6+'1.설계입력'!$C$33)/('1.설계입력'!$C$8*'1.설계입력'!$C$15)-COS((1-'1.설계입력'!$C$15)*B199),SIN((1-'1.설계입력'!$C$15)*B199))</f>
        <v>-0.76330090315661503</v>
      </c>
      <c r="G199" s="40">
        <f>('1.설계입력'!$C$6+'1.설계입력'!$C$33)*COS(B199)-('1.설계입력'!$C$7+'1.설계입력'!$C$34)*COS(B199+F199)-'1.설계입력'!$C$8*COS('1.설계입력'!$C$15*B199)</f>
        <v>60.453118308706436</v>
      </c>
      <c r="H199" s="40">
        <f>-('1.설계입력'!$C$6+'1.설계입력'!$C$33)*SIN(B199)+('1.설계입력'!$C$7+'1.설계입력'!$C$34)*SIN(B199+F199)+'1.설계입력'!$C$8*SIN('1.설계입력'!$C$15*B199)</f>
        <v>-50.059409964143057</v>
      </c>
      <c r="I199" s="40">
        <f t="shared" si="10"/>
        <v>78.497780482324927</v>
      </c>
      <c r="J199" s="40">
        <f t="shared" si="11"/>
        <v>78.489005849256387</v>
      </c>
      <c r="K199" s="38">
        <f>IF(OR(A199&gt;180,'1.설계입력'!$C$39&gt;=1),"",'1.설계입력'!$C$34*(1-SIN(B199)/SQRT(1+'1.설계입력'!$C$39^2-2*'1.설계입력'!$C$39*COS(B199)))-'1.설계입력'!$C$33*(1-'1.설계입력'!$C$39*COS(B199)-SQRT(MAX(0,1-'1.설계입력'!$C$39^2))*SIN(B199))/SQRT(1+'1.설계입력'!$C$39^2-2*'1.설계입력'!$C$39*COS(B199)))</f>
        <v>4.0054392241892137E-5</v>
      </c>
    </row>
    <row r="200" spans="1:11" x14ac:dyDescent="0.3">
      <c r="A200" s="40">
        <f>A199+'1.설계입력'!$C$12</f>
        <v>38.800000000000011</v>
      </c>
      <c r="B200" s="40">
        <f t="shared" si="9"/>
        <v>0.67718774977380003</v>
      </c>
      <c r="C200" s="40">
        <f>ATAN2('1.설계입력'!$C$6/('1.설계입력'!$C$8*'1.설계입력'!$C$15)-COS((1-'1.설계입력'!$C$15)*B200),SIN((1-'1.설계입력'!$C$15)*B200))</f>
        <v>-0.72634255391279656</v>
      </c>
      <c r="D200" s="40">
        <f>'1.설계입력'!$C$6*COS(B200)-'1.설계입력'!$C$7*COS(B200+C200)-'1.설계입력'!$C$8*COS('1.설계입력'!$C$15*B200)</f>
        <v>60.472454431123467</v>
      </c>
      <c r="E200" s="40">
        <f>-'1.설계입력'!$C$6*SIN(B200)+'1.설계입력'!$C$7*SIN(B200+C200)+'1.설계입력'!$C$8*SIN('1.설계입력'!$C$15*B200)</f>
        <v>-50.187276797769435</v>
      </c>
      <c r="F200" s="40">
        <f>ATAN2(('1.설계입력'!$C$6+'1.설계입력'!$C$33)/('1.설계입력'!$C$8*'1.설계입력'!$C$15)-COS((1-'1.설계입력'!$C$15)*B200),SIN((1-'1.설계입력'!$C$15)*B200))</f>
        <v>-0.726366359786216</v>
      </c>
      <c r="G200" s="40">
        <f>('1.설계입력'!$C$6+'1.설계입력'!$C$33)*COS(B200)-('1.설계입력'!$C$7+'1.설계입력'!$C$34)*COS(B200+F200)-'1.설계입력'!$C$8*COS('1.설계입력'!$C$15*B200)</f>
        <v>60.461952956467272</v>
      </c>
      <c r="H200" s="40">
        <f>-('1.설계입력'!$C$6+'1.설계입력'!$C$33)*SIN(B200)+('1.설계입력'!$C$7+'1.설계입력'!$C$34)*SIN(B200+F200)+'1.설계입력'!$C$8*SIN('1.설계입력'!$C$15*B200)</f>
        <v>-50.185827620567295</v>
      </c>
      <c r="I200" s="40">
        <f t="shared" si="10"/>
        <v>78.585498008858039</v>
      </c>
      <c r="J200" s="40">
        <f t="shared" si="11"/>
        <v>78.576491708852444</v>
      </c>
      <c r="K200" s="38">
        <f>IF(OR(A200&gt;180,'1.설계입력'!$C$39&gt;=1),"",'1.설계입력'!$C$34*(1-SIN(B200)/SQRT(1+'1.설계입력'!$C$39^2-2*'1.설계입력'!$C$39*COS(B200)))-'1.설계입력'!$C$33*(1-'1.설계입력'!$C$39*COS(B200)-SQRT(MAX(0,1-'1.설계입력'!$C$39^2))*SIN(B200))/SQRT(1+'1.설계입력'!$C$39^2-2*'1.설계입력'!$C$39*COS(B200)))</f>
        <v>3.632018827548127E-5</v>
      </c>
    </row>
    <row r="201" spans="1:11" x14ac:dyDescent="0.3">
      <c r="A201" s="40">
        <f>A200+'1.설계입력'!$C$12</f>
        <v>39.000000000000014</v>
      </c>
      <c r="B201" s="40">
        <f t="shared" si="9"/>
        <v>0.6806784082777888</v>
      </c>
      <c r="C201" s="40">
        <f>ATAN2('1.설계입력'!$C$6/('1.설계입력'!$C$8*'1.설계입력'!$C$15)-COS((1-'1.설계입력'!$C$15)*B201),SIN((1-'1.설계입력'!$C$15)*B201))</f>
        <v>-0.68449005658902085</v>
      </c>
      <c r="D201" s="40">
        <f>'1.설계입력'!$C$6*COS(B201)-'1.설계입력'!$C$7*COS(B201+C201)-'1.설계입력'!$C$8*COS('1.설계입력'!$C$15*B201)</f>
        <v>60.475997896762131</v>
      </c>
      <c r="E201" s="40">
        <f>-'1.설계입력'!$C$6*SIN(B201)+'1.설계입력'!$C$7*SIN(B201+C201)+'1.설계입력'!$C$8*SIN('1.설계입력'!$C$15*B201)</f>
        <v>-50.320480516736218</v>
      </c>
      <c r="F201" s="40">
        <f>ATAN2(('1.설계입력'!$C$6+'1.설계입력'!$C$33)/('1.설계입력'!$C$8*'1.설계입력'!$C$15)-COS((1-'1.설계입력'!$C$15)*B201),SIN((1-'1.설계입력'!$C$15)*B201))</f>
        <v>-0.68451096966009484</v>
      </c>
      <c r="G201" s="40">
        <f>('1.설계입력'!$C$6+'1.설계입력'!$C$33)*COS(B201)-('1.설계입력'!$C$7+'1.설계입력'!$C$34)*COS(B201+F201)-'1.설계입력'!$C$8*COS('1.설계입력'!$C$15*B201)</f>
        <v>60.465489123497086</v>
      </c>
      <c r="H201" s="40">
        <f>-('1.설계입력'!$C$6+'1.설계입력'!$C$33)*SIN(B201)+('1.설계입력'!$C$7+'1.설계입력'!$C$34)*SIN(B201+F201)+'1.설계입력'!$C$8*SIN('1.설계입력'!$C$15*B201)</f>
        <v>-50.318644318868436</v>
      </c>
      <c r="I201" s="40">
        <f t="shared" si="10"/>
        <v>78.673356869046884</v>
      </c>
      <c r="J201" s="40">
        <f t="shared" si="11"/>
        <v>78.664104526985724</v>
      </c>
      <c r="K201" s="38">
        <f>IF(OR(A201&gt;180,'1.설계입력'!$C$39&gt;=1),"",'1.설계입력'!$C$34*(1-SIN(B201)/SQRT(1+'1.설계입력'!$C$39^2-2*'1.설계입력'!$C$39*COS(B201)))-'1.설계입력'!$C$33*(1-'1.설계입력'!$C$39*COS(B201)-SQRT(MAX(0,1-'1.설계입력'!$C$39^2))*SIN(B201))/SQRT(1+'1.설계입력'!$C$39^2-2*'1.설계입력'!$C$39*COS(B201)))</f>
        <v>3.2783246720920008E-5</v>
      </c>
    </row>
    <row r="202" spans="1:11" x14ac:dyDescent="0.3">
      <c r="A202" s="40">
        <f>A201+'1.설계입력'!$C$12</f>
        <v>39.200000000000017</v>
      </c>
      <c r="B202" s="40">
        <f t="shared" si="9"/>
        <v>0.68416906678177747</v>
      </c>
      <c r="C202" s="40">
        <f>ATAN2('1.설계입력'!$C$6/('1.설계입력'!$C$8*'1.설계입력'!$C$15)-COS((1-'1.설계입력'!$C$15)*B202),SIN((1-'1.설계입력'!$C$15)*B202))</f>
        <v>-0.63896177927367759</v>
      </c>
      <c r="D202" s="40">
        <f>'1.설계입력'!$C$6*COS(B202)-'1.설계입력'!$C$7*COS(B202+C202)-'1.설계입력'!$C$8*COS('1.설계입력'!$C$15*B202)</f>
        <v>60.473026988348813</v>
      </c>
      <c r="E202" s="40">
        <f>-'1.설계입력'!$C$6*SIN(B202)+'1.설계입력'!$C$7*SIN(B202+C202)+'1.설계입력'!$C$8*SIN('1.설계입력'!$C$15*B202)</f>
        <v>-50.463619125169181</v>
      </c>
      <c r="F202" s="40">
        <f>ATAN2(('1.설계입력'!$C$6+'1.설계입력'!$C$33)/('1.설계입력'!$C$8*'1.설계입력'!$C$15)-COS((1-'1.설계입력'!$C$15)*B202),SIN((1-'1.설계입력'!$C$15)*B202))</f>
        <v>-0.63898015890966242</v>
      </c>
      <c r="G202" s="40">
        <f>('1.설계입력'!$C$6+'1.설계입력'!$C$33)*COS(B202)-('1.설계입력'!$C$7+'1.설계입력'!$C$34)*COS(B202+F202)-'1.설계입력'!$C$8*COS('1.설계입력'!$C$15*B202)</f>
        <v>60.462529607510959</v>
      </c>
      <c r="H202" s="40">
        <f>-('1.설계입력'!$C$6+'1.설계입력'!$C$33)*SIN(B202)+('1.설계입력'!$C$7+'1.설계입력'!$C$34)*SIN(B202+F202)+'1.설계입력'!$C$8*SIN('1.설계입력'!$C$15*B202)</f>
        <v>-50.461367372201359</v>
      </c>
      <c r="I202" s="40">
        <f t="shared" si="10"/>
        <v>78.762705948587779</v>
      </c>
      <c r="J202" s="40">
        <f t="shared" si="11"/>
        <v>78.753203640305372</v>
      </c>
      <c r="K202" s="38">
        <f>IF(OR(A202&gt;180,'1.설계입력'!$C$39&gt;=1),"",'1.설계입력'!$C$34*(1-SIN(B202)/SQRT(1+'1.설계입력'!$C$39^2-2*'1.설계입력'!$C$39*COS(B202)))-'1.설계입력'!$C$33*(1-'1.설계입력'!$C$39*COS(B202)-SQRT(MAX(0,1-'1.설계입력'!$C$39^2))*SIN(B202))/SQRT(1+'1.설계입력'!$C$39^2-2*'1.설계입력'!$C$39*COS(B202)))</f>
        <v>2.9441132391248258E-5</v>
      </c>
    </row>
    <row r="203" spans="1:11" x14ac:dyDescent="0.3">
      <c r="A203" s="40">
        <f>A202+'1.설계입력'!$C$12</f>
        <v>39.40000000000002</v>
      </c>
      <c r="B203" s="40">
        <f t="shared" si="9"/>
        <v>0.68765972528576624</v>
      </c>
      <c r="C203" s="40">
        <f>ATAN2('1.설계입력'!$C$6/('1.설계입력'!$C$8*'1.설계입력'!$C$15)-COS((1-'1.설계입력'!$C$15)*B203),SIN((1-'1.설계입력'!$C$15)*B203))</f>
        <v>-0.59063192387512964</v>
      </c>
      <c r="D203" s="40">
        <f>'1.설계입력'!$C$6*COS(B203)-'1.설계입력'!$C$7*COS(B203+C203)-'1.설계입력'!$C$8*COS('1.설계입력'!$C$15*B203)</f>
        <v>60.461976748615555</v>
      </c>
      <c r="E203" s="40">
        <f>-'1.설계입력'!$C$6*SIN(B203)+'1.설계입력'!$C$7*SIN(B203+C203)+'1.설계입력'!$C$8*SIN('1.설계입력'!$C$15*B203)</f>
        <v>-50.618412006647645</v>
      </c>
      <c r="F203" s="40">
        <f>ATAN2(('1.설계입력'!$C$6+'1.설계입력'!$C$33)/('1.설계입력'!$C$8*'1.설계입력'!$C$15)-COS((1-'1.설계입력'!$C$15)*B203),SIN((1-'1.설계입력'!$C$15)*B203))</f>
        <v>-0.59064805413064791</v>
      </c>
      <c r="G203" s="40">
        <f>('1.설계입력'!$C$6+'1.설계입력'!$C$33)*COS(B203)-('1.설계입력'!$C$7+'1.설계입력'!$C$34)*COS(B203+F203)-'1.설계입력'!$C$8*COS('1.설계입력'!$C$15*B203)</f>
        <v>60.451513110277901</v>
      </c>
      <c r="H203" s="40">
        <f>-('1.설계입력'!$C$6+'1.설계입력'!$C$33)*SIN(B203)+('1.설계입력'!$C$7+'1.설계입력'!$C$34)*SIN(B203+F203)+'1.설계입력'!$C$8*SIN('1.설계입력'!$C$15*B203)</f>
        <v>-50.615723997091358</v>
      </c>
      <c r="I203" s="40">
        <f t="shared" si="10"/>
        <v>78.853498758297704</v>
      </c>
      <c r="J203" s="40">
        <f t="shared" si="11"/>
        <v>78.843750247383781</v>
      </c>
      <c r="K203" s="38">
        <f>IF(OR(A203&gt;180,'1.설계입력'!$C$39&gt;=1),"",'1.설계입력'!$C$34*(1-SIN(B203)/SQRT(1+'1.설계입력'!$C$39^2-2*'1.설계입력'!$C$39*COS(B203)))-'1.설계입력'!$C$33*(1-'1.설계입력'!$C$39*COS(B203)-SQRT(MAX(0,1-'1.설계입력'!$C$39^2))*SIN(B203))/SQRT(1+'1.설계입력'!$C$39^2-2*'1.설계입력'!$C$39*COS(B203)))</f>
        <v>2.6291451428658248E-5</v>
      </c>
    </row>
    <row r="204" spans="1:11" x14ac:dyDescent="0.3">
      <c r="A204" s="40">
        <f>A203+'1.설계입력'!$C$12</f>
        <v>39.600000000000023</v>
      </c>
      <c r="B204" s="40">
        <f t="shared" si="9"/>
        <v>0.69115038378975491</v>
      </c>
      <c r="C204" s="40">
        <f>ATAN2('1.설계입력'!$C$6/('1.설계입력'!$C$8*'1.설계입력'!$C$15)-COS((1-'1.설계입력'!$C$15)*B204),SIN((1-'1.설계입력'!$C$15)*B204))</f>
        <v>-0.54013233009049633</v>
      </c>
      <c r="D204" s="40">
        <f>'1.설계입력'!$C$6*COS(B204)-'1.설계입력'!$C$7*COS(B204+C204)-'1.설계입력'!$C$8*COS('1.설계입력'!$C$15*B204)</f>
        <v>60.441137681092577</v>
      </c>
      <c r="E204" s="40">
        <f>-'1.설계입력'!$C$6*SIN(B204)+'1.설계입력'!$C$7*SIN(B204+C204)+'1.설계입력'!$C$8*SIN('1.설계입력'!$C$15*B204)</f>
        <v>-50.785310573305871</v>
      </c>
      <c r="F204" s="40">
        <f>ATAN2(('1.설계입력'!$C$6+'1.설계입력'!$C$33)/('1.설계입력'!$C$8*'1.설계입력'!$C$15)-COS((1-'1.설계입력'!$C$15)*B204),SIN((1-'1.설계입력'!$C$15)*B204))</f>
        <v>-0.54014643698705966</v>
      </c>
      <c r="G204" s="40">
        <f>('1.설계입력'!$C$6+'1.설계입력'!$C$33)*COS(B204)-('1.설계입력'!$C$7+'1.설계입력'!$C$34)*COS(B204+F204)-'1.설계입력'!$C$8*COS('1.설계입력'!$C$15*B204)</f>
        <v>60.430732774734452</v>
      </c>
      <c r="H204" s="40">
        <f>-('1.설계입력'!$C$6+'1.설계입력'!$C$33)*SIN(B204)+('1.설계입력'!$C$7+'1.설계입력'!$C$34)*SIN(B204+F204)+'1.설계입력'!$C$8*SIN('1.설계입력'!$C$15*B204)</f>
        <v>-50.782171855431699</v>
      </c>
      <c r="I204" s="40">
        <f t="shared" si="10"/>
        <v>78.944783831561168</v>
      </c>
      <c r="J204" s="40">
        <f t="shared" si="11"/>
        <v>78.934798676160341</v>
      </c>
      <c r="K204" s="38">
        <f>IF(OR(A204&gt;180,'1.설계입력'!$C$39&gt;=1),"",'1.설계입력'!$C$34*(1-SIN(B204)/SQRT(1+'1.설계입력'!$C$39^2-2*'1.설계입력'!$C$39*COS(B204)))-'1.설계입력'!$C$33*(1-'1.설계입력'!$C$39*COS(B204)-SQRT(MAX(0,1-'1.설계입력'!$C$39^2))*SIN(B204))/SQRT(1+'1.설계입력'!$C$39^2-2*'1.설계입력'!$C$39*COS(B204)))</f>
        <v>2.3331850515611851E-5</v>
      </c>
    </row>
    <row r="205" spans="1:11" x14ac:dyDescent="0.3">
      <c r="A205" s="40">
        <f>A204+'1.설계입력'!$C$12</f>
        <v>39.800000000000026</v>
      </c>
      <c r="B205" s="40">
        <f t="shared" si="9"/>
        <v>0.69464104229374357</v>
      </c>
      <c r="C205" s="40">
        <f>ATAN2('1.설계입력'!$C$6/('1.설계입력'!$C$8*'1.설계입력'!$C$15)-COS((1-'1.설계입력'!$C$15)*B205),SIN((1-'1.설계입력'!$C$15)*B205))</f>
        <v>-0.4879319615320572</v>
      </c>
      <c r="D205" s="40">
        <f>'1.설계입력'!$C$6*COS(B205)-'1.설계입력'!$C$7*COS(B205+C205)-'1.설계입력'!$C$8*COS('1.설계입력'!$C$15*B205)</f>
        <v>60.408823755657387</v>
      </c>
      <c r="E205" s="40">
        <f>-'1.설계입력'!$C$6*SIN(B205)+'1.설계입력'!$C$7*SIN(B205+C205)+'1.설계입력'!$C$8*SIN('1.설계입력'!$C$15*B205)</f>
        <v>-50.963827389275785</v>
      </c>
      <c r="F205" s="40">
        <f>ATAN2(('1.설계입력'!$C$6+'1.설계입력'!$C$33)/('1.설계입력'!$C$8*'1.설계입력'!$C$15)-COS((1-'1.설계입력'!$C$15)*B205),SIN((1-'1.설계입력'!$C$15)*B205))</f>
        <v>-0.48794422591608522</v>
      </c>
      <c r="G205" s="40">
        <f>('1.설계입력'!$C$6+'1.설계입력'!$C$33)*COS(B205)-('1.설계입력'!$C$7+'1.설계입력'!$C$34)*COS(B205+F205)-'1.설계입력'!$C$8*COS('1.설계입력'!$C$15*B205)</f>
        <v>60.398504423763221</v>
      </c>
      <c r="H205" s="40">
        <f>-('1.설계입력'!$C$6+'1.설계입력'!$C$33)*SIN(B205)+('1.설계입력'!$C$7+'1.설계입력'!$C$34)*SIN(B205+F205)+'1.설계입력'!$C$8*SIN('1.설계입력'!$C$15*B205)</f>
        <v>-50.960228714413432</v>
      </c>
      <c r="I205" s="40">
        <f t="shared" si="10"/>
        <v>79.035040897730752</v>
      </c>
      <c r="J205" s="40">
        <f t="shared" si="11"/>
        <v>79.024833104870737</v>
      </c>
      <c r="K205" s="38">
        <f>IF(OR(A205&gt;180,'1.설계입력'!$C$39&gt;=1),"",'1.설계입력'!$C$34*(1-SIN(B205)/SQRT(1+'1.설계입력'!$C$39^2-2*'1.설계입력'!$C$39*COS(B205)))-'1.설계입력'!$C$33*(1-'1.설계입력'!$C$39*COS(B205)-SQRT(MAX(0,1-'1.설계입력'!$C$39^2))*SIN(B205))/SQRT(1+'1.설계입력'!$C$39^2-2*'1.설계입력'!$C$39*COS(B205)))</f>
        <v>2.0560016101167328E-5</v>
      </c>
    </row>
    <row r="206" spans="1:11" x14ac:dyDescent="0.3">
      <c r="A206" s="40">
        <f>A205+'1.설계입력'!$C$12</f>
        <v>40.000000000000028</v>
      </c>
      <c r="B206" s="40">
        <f t="shared" si="9"/>
        <v>0.69813170079773235</v>
      </c>
      <c r="C206" s="40">
        <f>ATAN2('1.설계입력'!$C$6/('1.설계입력'!$C$8*'1.설계입력'!$C$15)-COS((1-'1.설계입력'!$C$15)*B206),SIN((1-'1.설계입력'!$C$15)*B206))</f>
        <v>-0.4343875648368245</v>
      </c>
      <c r="D206" s="40">
        <f>'1.설계입력'!$C$6*COS(B206)-'1.설계입력'!$C$7*COS(B206+C206)-'1.설계입력'!$C$8*COS('1.설계입력'!$C$15*B206)</f>
        <v>60.363500618306816</v>
      </c>
      <c r="E206" s="40">
        <f>-'1.설계입력'!$C$6*SIN(B206)+'1.설계입력'!$C$7*SIN(B206+C206)+'1.설계입력'!$C$8*SIN('1.설계입력'!$C$15*B206)</f>
        <v>-51.1527656314639</v>
      </c>
      <c r="F206" s="40">
        <f>ATAN2(('1.설계입력'!$C$6+'1.설계입력'!$C$33)/('1.설계입력'!$C$8*'1.설계입력'!$C$15)-COS((1-'1.설계입력'!$C$15)*B206),SIN((1-'1.설계입력'!$C$15)*B206))</f>
        <v>-0.43439813190544063</v>
      </c>
      <c r="G206" s="40">
        <f>('1.설계입력'!$C$6+'1.설계입력'!$C$33)*COS(B206)-('1.설계입력'!$C$7+'1.설계입력'!$C$34)*COS(B206+F206)-'1.설계입력'!$C$8*COS('1.설계입력'!$C$15*B206)</f>
        <v>60.353294931857889</v>
      </c>
      <c r="H206" s="40">
        <f>-('1.설계입력'!$C$6+'1.설계입력'!$C$33)*SIN(B206)+('1.설계입력'!$C$7+'1.설계입력'!$C$34)*SIN(B206+F206)+'1.설계입력'!$C$8*SIN('1.설계입력'!$C$15*B206)</f>
        <v>-51.148702233231845</v>
      </c>
      <c r="I206" s="40">
        <f t="shared" si="10"/>
        <v>79.122421845162208</v>
      </c>
      <c r="J206" s="40">
        <f t="shared" si="11"/>
        <v>79.112008881557543</v>
      </c>
      <c r="K206" s="38">
        <f>IF(OR(A206&gt;180,'1.설계입력'!$C$39&gt;=1),"",'1.설계입력'!$C$34*(1-SIN(B206)/SQRT(1+'1.설계입력'!$C$39^2-2*'1.설계입력'!$C$39*COS(B206)))-'1.설계입력'!$C$33*(1-'1.설계입력'!$C$39*COS(B206)-SQRT(MAX(0,1-'1.설계입력'!$C$39^2))*SIN(B206))/SQRT(1+'1.설계입력'!$C$39^2-2*'1.설계입력'!$C$39*COS(B206)))</f>
        <v>1.7973673642314344E-5</v>
      </c>
    </row>
    <row r="207" spans="1:11" x14ac:dyDescent="0.3">
      <c r="A207" s="40">
        <f>A206+'1.설계입력'!$C$12</f>
        <v>40.200000000000031</v>
      </c>
      <c r="B207" s="40">
        <f t="shared" si="9"/>
        <v>0.70162235930172101</v>
      </c>
      <c r="C207" s="40">
        <f>ATAN2('1.설계입력'!$C$6/('1.설계입력'!$C$8*'1.설계입력'!$C$15)-COS((1-'1.설계입력'!$C$15)*B207),SIN((1-'1.설계입력'!$C$15)*B207))</f>
        <v>-0.37977696022937013</v>
      </c>
      <c r="D207" s="40">
        <f>'1.설계입력'!$C$6*COS(B207)-'1.설계입력'!$C$7*COS(B207+C207)-'1.설계입력'!$C$8*COS('1.설계입력'!$C$15*B207)</f>
        <v>60.303882544086562</v>
      </c>
      <c r="E207" s="40">
        <f>-'1.설계입력'!$C$6*SIN(B207)+'1.설계입력'!$C$7*SIN(B207+C207)+'1.설계입력'!$C$8*SIN('1.설계입력'!$C$15*B207)</f>
        <v>-51.350391888520804</v>
      </c>
      <c r="F207" s="40">
        <f>ATAN2(('1.설계입력'!$C$6+'1.설계입력'!$C$33)/('1.설계입력'!$C$8*'1.설계입력'!$C$15)-COS((1-'1.설계입력'!$C$15)*B207),SIN((1-'1.설계입력'!$C$15)*B207))</f>
        <v>-0.37978594660005122</v>
      </c>
      <c r="G207" s="40">
        <f>('1.설계입력'!$C$6+'1.설계입력'!$C$33)*COS(B207)-('1.설계입력'!$C$7+'1.설계입력'!$C$34)*COS(B207+F207)-'1.설계입력'!$C$8*COS('1.설계입력'!$C$15*B207)</f>
        <v>60.293819291592513</v>
      </c>
      <c r="H207" s="40">
        <f>-('1.설계입력'!$C$6+'1.설계입력'!$C$33)*SIN(B207)+('1.설계입력'!$C$7+'1.설계입력'!$C$34)*SIN(B207+F207)+'1.설계입력'!$C$8*SIN('1.설계입력'!$C$15*B207)</f>
        <v>-51.345862964881555</v>
      </c>
      <c r="I207" s="40">
        <f t="shared" si="10"/>
        <v>79.204930383124832</v>
      </c>
      <c r="J207" s="40">
        <f t="shared" si="11"/>
        <v>79.194332425847293</v>
      </c>
      <c r="K207" s="38">
        <f>IF(OR(A207&gt;180,'1.설계입력'!$C$39&gt;=1),"",'1.설계입력'!$C$34*(1-SIN(B207)/SQRT(1+'1.설계입력'!$C$39^2-2*'1.설계입력'!$C$39*COS(B207)))-'1.설계입력'!$C$33*(1-'1.설계입력'!$C$39*COS(B207)-SQRT(MAX(0,1-'1.설계입력'!$C$39^2))*SIN(B207))/SQRT(1+'1.설계입력'!$C$39^2-2*'1.설계입력'!$C$39*COS(B207)))</f>
        <v>1.5570586860012278E-5</v>
      </c>
    </row>
    <row r="208" spans="1:11" x14ac:dyDescent="0.3">
      <c r="A208" s="40">
        <f>A207+'1.설계입력'!$C$12</f>
        <v>40.400000000000034</v>
      </c>
      <c r="B208" s="40">
        <f t="shared" si="9"/>
        <v>0.70511301780570979</v>
      </c>
      <c r="C208" s="40">
        <f>ATAN2('1.설계입력'!$C$6/('1.설계입력'!$C$8*'1.설계입력'!$C$15)-COS((1-'1.설계입력'!$C$15)*B208),SIN((1-'1.설계입력'!$C$15)*B208))</f>
        <v>-0.32432155060624335</v>
      </c>
      <c r="D208" s="40">
        <f>'1.설계입력'!$C$6*COS(B208)-'1.설계입력'!$C$7*COS(B208+C208)-'1.설계입력'!$C$8*COS('1.설계입력'!$C$15*B208)</f>
        <v>60.229004199982832</v>
      </c>
      <c r="E208" s="40">
        <f>-'1.설계입력'!$C$6*SIN(B208)+'1.설계입력'!$C$7*SIN(B208+C208)+'1.설계입력'!$C$8*SIN('1.설계입력'!$C$15*B208)</f>
        <v>-51.554575733526399</v>
      </c>
      <c r="F208" s="40">
        <f>ATAN2(('1.설계입력'!$C$6+'1.설계입력'!$C$33)/('1.설계입력'!$C$8*'1.설계입력'!$C$15)-COS((1-'1.설계입력'!$C$15)*B208),SIN((1-'1.설계입력'!$C$15)*B208))</f>
        <v>-0.32432904958058872</v>
      </c>
      <c r="G208" s="40">
        <f>('1.설계입력'!$C$6+'1.설계입력'!$C$33)*COS(B208)-('1.설계입력'!$C$7+'1.설계입력'!$C$34)*COS(B208+F208)-'1.설계입력'!$C$8*COS('1.설계입력'!$C$15*B208)</f>
        <v>60.219112457358882</v>
      </c>
      <c r="H208" s="40">
        <f>-('1.설계입력'!$C$6+'1.설계입력'!$C$33)*SIN(B208)+('1.설계입력'!$C$7+'1.설계입력'!$C$34)*SIN(B208+F208)+'1.설계입력'!$C$8*SIN('1.설계입력'!$C$15*B208)</f>
        <v>-51.549584057158107</v>
      </c>
      <c r="I208" s="40">
        <f t="shared" si="10"/>
        <v>79.280560202268106</v>
      </c>
      <c r="J208" s="40">
        <f t="shared" si="11"/>
        <v>79.269799555808419</v>
      </c>
      <c r="K208" s="38">
        <f>IF(OR(A208&gt;180,'1.설계입력'!$C$39&gt;=1),"",'1.설계입력'!$C$34*(1-SIN(B208)/SQRT(1+'1.설계입력'!$C$39^2-2*'1.설계입력'!$C$39*COS(B208)))-'1.설계입력'!$C$33*(1-'1.설계입력'!$C$39*COS(B208)-SQRT(MAX(0,1-'1.설계입력'!$C$39^2))*SIN(B208))/SQRT(1+'1.설계입력'!$C$39^2-2*'1.설계입력'!$C$39*COS(B208)))</f>
        <v>1.3348557009741067E-5</v>
      </c>
    </row>
    <row r="209" spans="1:11" x14ac:dyDescent="0.3">
      <c r="A209" s="40">
        <f>A208+'1.설계입력'!$C$12</f>
        <v>40.600000000000037</v>
      </c>
      <c r="B209" s="40">
        <f t="shared" si="9"/>
        <v>0.70860367630969845</v>
      </c>
      <c r="C209" s="40">
        <f>ATAN2('1.설계입력'!$C$6/('1.설계입력'!$C$8*'1.설계입력'!$C$15)-COS((1-'1.설계입력'!$C$15)*B209),SIN((1-'1.설계입력'!$C$15)*B209))</f>
        <v>-0.26820196281757314</v>
      </c>
      <c r="D209" s="40">
        <f>'1.설계입력'!$C$6*COS(B209)-'1.설계입력'!$C$7*COS(B209+C209)-'1.설계입력'!$C$8*COS('1.설계입력'!$C$15*B209)</f>
        <v>60.138271338477736</v>
      </c>
      <c r="E209" s="40">
        <f>-'1.설계입력'!$C$6*SIN(B209)+'1.설계입력'!$C$7*SIN(B209+C209)+'1.설계입력'!$C$8*SIN('1.설계입력'!$C$15*B209)</f>
        <v>-51.762908999861466</v>
      </c>
      <c r="F209" s="40">
        <f>ATAN2(('1.설계입력'!$C$6+'1.설계입력'!$C$33)/('1.설계입력'!$C$8*'1.설계입력'!$C$15)-COS((1-'1.설계입력'!$C$15)*B209),SIN((1-'1.설계입력'!$C$15)*B209))</f>
        <v>-0.26820804830716094</v>
      </c>
      <c r="G209" s="40">
        <f>('1.설계입력'!$C$6+'1.설계입력'!$C$33)*COS(B209)-('1.설계입력'!$C$7+'1.설계입력'!$C$34)*COS(B209+F209)-'1.설계입력'!$C$8*COS('1.설계입력'!$C$15*B209)</f>
        <v>60.128580097506415</v>
      </c>
      <c r="H209" s="40">
        <f>-('1.설계입력'!$C$6+'1.설계입력'!$C$33)*SIN(B209)+('1.설계입력'!$C$7+'1.설계입력'!$C$34)*SIN(B209+F209)+'1.설계입력'!$C$8*SIN('1.설계입력'!$C$15*B209)</f>
        <v>-51.75746061032779</v>
      </c>
      <c r="I209" s="40">
        <f t="shared" si="10"/>
        <v>79.347403408733626</v>
      </c>
      <c r="J209" s="40">
        <f t="shared" si="11"/>
        <v>79.336504040522712</v>
      </c>
      <c r="K209" s="38">
        <f>IF(OR(A209&gt;180,'1.설계입력'!$C$39&gt;=1),"",'1.설계입력'!$C$34*(1-SIN(B209)/SQRT(1+'1.설계입력'!$C$39^2-2*'1.설계입력'!$C$39*COS(B209)))-'1.설계입력'!$C$33*(1-'1.설계입력'!$C$39*COS(B209)-SQRT(MAX(0,1-'1.설계입력'!$C$39^2))*SIN(B209))/SQRT(1+'1.설계입력'!$C$39^2-2*'1.설계입력'!$C$39*COS(B209)))</f>
        <v>1.1305422166274155E-5</v>
      </c>
    </row>
    <row r="210" spans="1:11" x14ac:dyDescent="0.3">
      <c r="A210" s="40">
        <f>A209+'1.설계입력'!$C$12</f>
        <v>40.80000000000004</v>
      </c>
      <c r="B210" s="40">
        <f t="shared" si="9"/>
        <v>0.71209433481368711</v>
      </c>
      <c r="C210" s="40">
        <f>ATAN2('1.설계입력'!$C$6/('1.설계입력'!$C$8*'1.설계입력'!$C$15)-COS((1-'1.설계입력'!$C$15)*B210),SIN((1-'1.설계입력'!$C$15)*B210))</f>
        <v>-0.2115692198933786</v>
      </c>
      <c r="D210" s="40">
        <f>'1.설계입력'!$C$6*COS(B210)-'1.설계입력'!$C$7*COS(B210+C210)-'1.설계입력'!$C$8*COS('1.설계입력'!$C$15*B210)</f>
        <v>60.031493214930101</v>
      </c>
      <c r="E210" s="40">
        <f>-'1.설계입력'!$C$6*SIN(B210)+'1.설계입력'!$C$7*SIN(B210+C210)+'1.설계입력'!$C$8*SIN('1.설계입력'!$C$15*B210)</f>
        <v>-51.9728118466941</v>
      </c>
      <c r="F210" s="40">
        <f>ATAN2(('1.설계입력'!$C$6+'1.설계입력'!$C$33)/('1.설계입력'!$C$8*'1.설계입력'!$C$15)-COS((1-'1.설계입력'!$C$15)*B210),SIN((1-'1.설계입력'!$C$15)*B210))</f>
        <v>-0.21157394934022111</v>
      </c>
      <c r="G210" s="40">
        <f>('1.설계입력'!$C$6+'1.설계입력'!$C$33)*COS(B210)-('1.설계입력'!$C$7+'1.설계입력'!$C$34)*COS(B210+F210)-'1.설계입력'!$C$8*COS('1.설계입력'!$C$15*B210)</f>
        <v>60.022031054958134</v>
      </c>
      <c r="H210" s="40">
        <f>-('1.설계입력'!$C$6+'1.설계입력'!$C$33)*SIN(B210)+('1.설계입력'!$C$7+'1.설계입력'!$C$34)*SIN(B210+F210)+'1.설계입력'!$C$8*SIN('1.설계입력'!$C$15*B210)</f>
        <v>-51.966915794544015</v>
      </c>
      <c r="I210" s="40">
        <f t="shared" si="10"/>
        <v>79.403736365904507</v>
      </c>
      <c r="J210" s="40">
        <f t="shared" si="11"/>
        <v>79.392723527786771</v>
      </c>
      <c r="K210" s="38">
        <f>IF(OR(A210&gt;180,'1.설계입력'!$C$39&gt;=1),"",'1.설계입력'!$C$34*(1-SIN(B210)/SQRT(1+'1.설계입력'!$C$39^2-2*'1.설계입력'!$C$39*COS(B210)))-'1.설계입력'!$C$33*(1-'1.설계입력'!$C$39*COS(B210)-SQRT(MAX(0,1-'1.설계입력'!$C$39^2))*SIN(B210))/SQRT(1+'1.설계입력'!$C$39^2-2*'1.설계입력'!$C$39*COS(B210)))</f>
        <v>9.4390565224517282E-6</v>
      </c>
    </row>
    <row r="211" spans="1:11" x14ac:dyDescent="0.3">
      <c r="A211" s="40">
        <f>A210+'1.설계입력'!$C$12</f>
        <v>41.000000000000043</v>
      </c>
      <c r="B211" s="40">
        <f t="shared" si="9"/>
        <v>0.71558499331767589</v>
      </c>
      <c r="C211" s="40">
        <f>ATAN2('1.설계입력'!$C$6/('1.설계입력'!$C$8*'1.설계입력'!$C$15)-COS((1-'1.설계입력'!$C$15)*B211),SIN((1-'1.설계입력'!$C$15)*B211))</f>
        <v>-0.15455295955562237</v>
      </c>
      <c r="D211" s="40">
        <f>'1.설계입력'!$C$6*COS(B211)-'1.설계입력'!$C$7*COS(B211+C211)-'1.설계입력'!$C$8*COS('1.설계입력'!$C$15*B211)</f>
        <v>59.908898678175923</v>
      </c>
      <c r="E211" s="40">
        <f>-'1.설계입력'!$C$6*SIN(B211)+'1.설계입력'!$C$7*SIN(B211+C211)+'1.설계입력'!$C$8*SIN('1.설계입력'!$C$15*B211)</f>
        <v>-52.18162934915501</v>
      </c>
      <c r="F211" s="40">
        <f>ATAN2(('1.설계입력'!$C$6+'1.설계입력'!$C$33)/('1.설계입력'!$C$8*'1.설계입력'!$C$15)-COS((1-'1.설계입력'!$C$15)*B211),SIN((1-'1.설계입력'!$C$15)*B211))</f>
        <v>-0.15455637608183886</v>
      </c>
      <c r="G211" s="40">
        <f>('1.설계입력'!$C$6+'1.설계입력'!$C$33)*COS(B211)-('1.설계입력'!$C$7+'1.설계입력'!$C$34)*COS(B211+F211)-'1.설계입력'!$C$8*COS('1.설계입력'!$C$15*B211)</f>
        <v>59.899693470272553</v>
      </c>
      <c r="H211" s="40">
        <f>-('1.설계입력'!$C$6+'1.설계입력'!$C$33)*SIN(B211)+('1.설계입력'!$C$7+'1.설계입력'!$C$34)*SIN(B211+F211)+'1.설계입력'!$C$8*SIN('1.설계입력'!$C$15*B211)</f>
        <v>-52.175297472271282</v>
      </c>
      <c r="I211" s="40">
        <f t="shared" si="10"/>
        <v>79.448087342393237</v>
      </c>
      <c r="J211" s="40">
        <f t="shared" si="11"/>
        <v>79.436987255009925</v>
      </c>
      <c r="K211" s="38">
        <f>IF(OR(A211&gt;180,'1.설계입력'!$C$39&gt;=1),"",'1.설계입력'!$C$34*(1-SIN(B211)/SQRT(1+'1.설계입력'!$C$39^2-2*'1.설계입력'!$C$39*COS(B211)))-'1.설계입력'!$C$33*(1-'1.설계입력'!$C$39*COS(B211)-SQRT(MAX(0,1-'1.설계입력'!$C$39^2))*SIN(B211))/SQRT(1+'1.설계입력'!$C$39^2-2*'1.설계입력'!$C$39*COS(B211)))</f>
        <v>7.7473697017161255E-6</v>
      </c>
    </row>
    <row r="212" spans="1:11" x14ac:dyDescent="0.3">
      <c r="A212" s="40">
        <f>A211+'1.설계입력'!$C$12</f>
        <v>41.200000000000045</v>
      </c>
      <c r="B212" s="40">
        <f t="shared" si="9"/>
        <v>0.71907565182166455</v>
      </c>
      <c r="C212" s="40">
        <f>ATAN2('1.설계입력'!$C$6/('1.설계입력'!$C$8*'1.설계입력'!$C$15)-COS((1-'1.설계입력'!$C$15)*B212),SIN((1-'1.설계입력'!$C$15)*B212))</f>
        <v>-9.7267686647962009E-2</v>
      </c>
      <c r="D212" s="40">
        <f>'1.설계입력'!$C$6*COS(B212)-'1.설계입력'!$C$7*COS(B212+C212)-'1.설계입력'!$C$8*COS('1.설계입력'!$C$15*B212)</f>
        <v>59.771137375847729</v>
      </c>
      <c r="E212" s="40">
        <f>-'1.설계입력'!$C$6*SIN(B212)+'1.설계입력'!$C$7*SIN(B212+C212)+'1.설계입력'!$C$8*SIN('1.설계입력'!$C$15*B212)</f>
        <v>-52.386720377849429</v>
      </c>
      <c r="F212" s="40">
        <f>ATAN2(('1.설계입력'!$C$6+'1.설계입력'!$C$33)/('1.설계입력'!$C$8*'1.설계입력'!$C$15)-COS((1-'1.설계입력'!$C$15)*B212),SIN((1-'1.설계입력'!$C$15)*B212))</f>
        <v>-9.7269820598711254E-2</v>
      </c>
      <c r="G212" s="40">
        <f>('1.설계입력'!$C$6+'1.설계입력'!$C$33)*COS(B212)-('1.설계입력'!$C$7+'1.설계입력'!$C$34)*COS(B212+F212)-'1.설계입력'!$C$8*COS('1.설계입력'!$C$15*B212)</f>
        <v>59.762216011665927</v>
      </c>
      <c r="H212" s="40">
        <f>-('1.설계입력'!$C$6+'1.설계입력'!$C$33)*SIN(B212)+('1.설계입력'!$C$7+'1.설계입력'!$C$34)*SIN(B212+F212)+'1.설계입력'!$C$8*SIN('1.설계입력'!$C$15*B212)</f>
        <v>-52.379967096746583</v>
      </c>
      <c r="I212" s="40">
        <f t="shared" si="10"/>
        <v>79.479288718190261</v>
      </c>
      <c r="J212" s="40">
        <f t="shared" si="11"/>
        <v>79.468128301107441</v>
      </c>
      <c r="K212" s="38">
        <f>IF(OR(A212&gt;180,'1.설계입력'!$C$39&gt;=1),"",'1.설계입력'!$C$34*(1-SIN(B212)/SQRT(1+'1.설계입력'!$C$39^2-2*'1.설계입력'!$C$39*COS(B212)))-'1.설계입력'!$C$33*(1-'1.설계입력'!$C$39*COS(B212)-SQRT(MAX(0,1-'1.설계입력'!$C$39^2))*SIN(B212))/SQRT(1+'1.설계입력'!$C$39^2-2*'1.설계입력'!$C$39*COS(B212)))</f>
        <v>6.2283060841606082E-6</v>
      </c>
    </row>
    <row r="213" spans="1:11" x14ac:dyDescent="0.3">
      <c r="A213" s="40">
        <f>A212+'1.설계입력'!$C$12</f>
        <v>41.400000000000048</v>
      </c>
      <c r="B213" s="40">
        <f t="shared" si="9"/>
        <v>0.72256631032565333</v>
      </c>
      <c r="C213" s="40">
        <f>ATAN2('1.설계입력'!$C$6/('1.설계입력'!$C$8*'1.설계입력'!$C$15)-COS((1-'1.설계입력'!$C$15)*B213),SIN((1-'1.설계입력'!$C$15)*B213))</f>
        <v>-3.9817726404113706E-2</v>
      </c>
      <c r="D213" s="40">
        <f>'1.설계입력'!$C$6*COS(B213)-'1.설계입력'!$C$7*COS(B213+C213)-'1.설계입력'!$C$8*COS('1.설계입력'!$C$15*B213)</f>
        <v>59.619267227805949</v>
      </c>
      <c r="E213" s="40">
        <f>-'1.설계입력'!$C$6*SIN(B213)+'1.설계입력'!$C$7*SIN(B213+C213)+'1.설계입력'!$C$8*SIN('1.설계입력'!$C$15*B213)</f>
        <v>-52.585539354874513</v>
      </c>
      <c r="F213" s="40">
        <f>ATAN2(('1.설계입력'!$C$6+'1.설계입력'!$C$33)/('1.설계입력'!$C$8*'1.설계입력'!$C$15)-COS((1-'1.설계입력'!$C$15)*B213),SIN((1-'1.설계입력'!$C$15)*B213))</f>
        <v>-3.9818596396244202E-2</v>
      </c>
      <c r="G213" s="40">
        <f>('1.설계입력'!$C$6+'1.설계입력'!$C$33)*COS(B213)-('1.설계입력'!$C$7+'1.설계입력'!$C$34)*COS(B213+F213)-'1.설계입력'!$C$8*COS('1.설계입력'!$C$15*B213)</f>
        <v>59.610655367339788</v>
      </c>
      <c r="H213" s="40">
        <f>-('1.설계입력'!$C$6+'1.설계입력'!$C$33)*SIN(B213)+('1.설계입력'!$C$7+'1.설계입력'!$C$34)*SIN(B213+F213)+'1.설계입력'!$C$8*SIN('1.설계입력'!$C$15*B213)</f>
        <v>-52.578381477717038</v>
      </c>
      <c r="I213" s="40">
        <f t="shared" si="10"/>
        <v>79.496515483532946</v>
      </c>
      <c r="J213" s="40">
        <f t="shared" si="11"/>
        <v>79.485322117609201</v>
      </c>
      <c r="K213" s="38">
        <f>IF(OR(A213&gt;180,'1.설계입력'!$C$39&gt;=1),"",'1.설계입력'!$C$34*(1-SIN(B213)/SQRT(1+'1.설계입력'!$C$39^2-2*'1.설계입력'!$C$39*COS(B213)))-'1.설계입력'!$C$33*(1-'1.설계입력'!$C$39*COS(B213)-SQRT(MAX(0,1-'1.설계입력'!$C$39^2))*SIN(B213))/SQRT(1+'1.설계입력'!$C$39^2-2*'1.설계입력'!$C$39*COS(B213)))</f>
        <v>4.8798441458317141E-6</v>
      </c>
    </row>
    <row r="214" spans="1:11" x14ac:dyDescent="0.3">
      <c r="A214" s="40">
        <f>A213+'1.설계입력'!$C$12</f>
        <v>41.600000000000051</v>
      </c>
      <c r="B214" s="40">
        <f t="shared" si="9"/>
        <v>0.72605696882964199</v>
      </c>
      <c r="C214" s="40">
        <f>ATAN2('1.설계입력'!$C$6/('1.설계입력'!$C$8*'1.설계입력'!$C$15)-COS((1-'1.설계입력'!$C$15)*B214),SIN((1-'1.설계입력'!$C$15)*B214))</f>
        <v>1.7698650402965106E-2</v>
      </c>
      <c r="D214" s="40">
        <f>'1.설계입력'!$C$6*COS(B214)-'1.설계입력'!$C$7*COS(B214+C214)-'1.설계입력'!$C$8*COS('1.설계입력'!$C$15*B214)</f>
        <v>59.454729168948674</v>
      </c>
      <c r="E214" s="40">
        <f>-'1.설계입력'!$C$6*SIN(B214)+'1.설계입력'!$C$7*SIN(B214+C214)+'1.설계입력'!$C$8*SIN('1.설계입력'!$C$15*B214)</f>
        <v>-52.775710767053553</v>
      </c>
      <c r="F214" s="40">
        <f>ATAN2(('1.설계입력'!$C$6+'1.설계입력'!$C$33)/('1.설계입력'!$C$8*'1.설계입력'!$C$15)-COS((1-'1.설계입력'!$C$15)*B214),SIN((1-'1.설계입력'!$C$15)*B214))</f>
        <v>1.7699036852936917E-2</v>
      </c>
      <c r="G214" s="40">
        <f>('1.설계입력'!$C$6+'1.설계입력'!$C$33)*COS(B214)-('1.설계입력'!$C$7+'1.설계입력'!$C$34)*COS(B214+F214)-'1.설계입력'!$C$8*COS('1.설계입력'!$C$15*B214)</f>
        <v>59.446451002577959</v>
      </c>
      <c r="H214" s="40">
        <f>-('1.설계입력'!$C$6+'1.설계입력'!$C$33)*SIN(B214)+('1.설계입력'!$C$7+'1.설계입력'!$C$34)*SIN(B214+F214)+'1.설계입력'!$C$8*SIN('1.설계입력'!$C$15*B214)</f>
        <v>-52.768167297780963</v>
      </c>
      <c r="I214" s="40">
        <f t="shared" si="10"/>
        <v>79.499311113497882</v>
      </c>
      <c r="J214" s="40">
        <f t="shared" si="11"/>
        <v>79.488112424239276</v>
      </c>
      <c r="K214" s="38">
        <f>IF(OR(A214&gt;180,'1.설계입력'!$C$39&gt;=1),"",'1.설계입력'!$C$34*(1-SIN(B214)/SQRT(1+'1.설계입력'!$C$39^2-2*'1.설계입력'!$C$39*COS(B214)))-'1.설계입력'!$C$33*(1-'1.설계입력'!$C$39*COS(B214)-SQRT(MAX(0,1-'1.설계입력'!$C$39^2))*SIN(B214))/SQRT(1+'1.설계입력'!$C$39^2-2*'1.설계입력'!$C$39*COS(B214)))</f>
        <v>3.6999958110898375E-6</v>
      </c>
    </row>
    <row r="215" spans="1:11" x14ac:dyDescent="0.3">
      <c r="A215" s="40">
        <f>A214+'1.설계입력'!$C$12</f>
        <v>41.800000000000054</v>
      </c>
      <c r="B215" s="40">
        <f t="shared" si="9"/>
        <v>0.72954762733363065</v>
      </c>
      <c r="C215" s="40">
        <f>ATAN2('1.설계입력'!$C$6/('1.설계입력'!$C$8*'1.설계입력'!$C$15)-COS((1-'1.설계입력'!$C$15)*B215),SIN((1-'1.설계입력'!$C$15)*B215))</f>
        <v>7.5185576522191655E-2</v>
      </c>
      <c r="D215" s="40">
        <f>'1.설계입력'!$C$6*COS(B215)-'1.설계입력'!$C$7*COS(B215+C215)-'1.설계입력'!$C$8*COS('1.설계입력'!$C$15*B215)</f>
        <v>59.279310086231789</v>
      </c>
      <c r="E215" s="40">
        <f>-'1.설계입력'!$C$6*SIN(B215)+'1.설계입력'!$C$7*SIN(B215+C215)+'1.설계입력'!$C$8*SIN('1.설계입력'!$C$15*B215)</f>
        <v>-52.955095899097778</v>
      </c>
      <c r="F215" s="40">
        <f>ATAN2(('1.설계입력'!$C$6+'1.설계입력'!$C$33)/('1.설계입력'!$C$8*'1.설계입력'!$C$15)-COS((1-'1.설계입력'!$C$15)*B215),SIN((1-'1.설계입력'!$C$15)*B215))</f>
        <v>7.518722274787476E-2</v>
      </c>
      <c r="G215" s="40">
        <f>('1.설계입력'!$C$6+'1.설계입력'!$C$33)*COS(B215)-('1.설계입력'!$C$7+'1.설계입력'!$C$34)*COS(B215+F215)-'1.설계입력'!$C$8*COS('1.설계입력'!$C$15*B215)</f>
        <v>59.27138810707374</v>
      </c>
      <c r="H215" s="40">
        <f>-('1.설계입력'!$C$6+'1.설계입력'!$C$33)*SIN(B215)+('1.설계입력'!$C$7+'1.설계입력'!$C$34)*SIN(B215+F215)+'1.설계입력'!$C$8*SIN('1.설계입력'!$C$15*B215)</f>
        <v>-52.947187843709507</v>
      </c>
      <c r="I215" s="40">
        <f t="shared" si="10"/>
        <v>79.487601460745211</v>
      </c>
      <c r="J215" s="40">
        <f t="shared" si="11"/>
        <v>79.476425112711382</v>
      </c>
      <c r="K215" s="38">
        <f>IF(OR(A215&gt;180,'1.설계입력'!$C$39&gt;=1),"",'1.설계입력'!$C$34*(1-SIN(B215)/SQRT(1+'1.설계입력'!$C$39^2-2*'1.설계입력'!$C$39*COS(B215)))-'1.설계입력'!$C$33*(1-'1.설계입력'!$C$39*COS(B215)-SQRT(MAX(0,1-'1.설계입력'!$C$39^2))*SIN(B215))/SQRT(1+'1.설계입력'!$C$39^2-2*'1.설계입력'!$C$39*COS(B215)))</f>
        <v>2.6868058177668868E-6</v>
      </c>
    </row>
    <row r="216" spans="1:11" x14ac:dyDescent="0.3">
      <c r="A216" s="40">
        <f>A215+'1.설계입력'!$C$12</f>
        <v>42.000000000000057</v>
      </c>
      <c r="B216" s="40">
        <f t="shared" si="9"/>
        <v>0.73303828583761943</v>
      </c>
      <c r="C216" s="40">
        <f>ATAN2('1.설계입력'!$C$6/('1.설계입력'!$C$8*'1.설계입력'!$C$15)-COS((1-'1.설계입력'!$C$15)*B216),SIN((1-'1.설계입력'!$C$15)*B216))</f>
        <v>0.13254612163256768</v>
      </c>
      <c r="D216" s="40">
        <f>'1.설계입력'!$C$6*COS(B216)-'1.설계입력'!$C$7*COS(B216+C216)-'1.설계입력'!$C$8*COS('1.설계입력'!$C$15*B216)</f>
        <v>59.095094828391808</v>
      </c>
      <c r="E216" s="40">
        <f>-'1.설계입력'!$C$6*SIN(B216)+'1.설계입력'!$C$7*SIN(B216+C216)+'1.설계입력'!$C$8*SIN('1.설계입력'!$C$15*B216)</f>
        <v>-53.121851012024592</v>
      </c>
      <c r="F216" s="40">
        <f>ATAN2(('1.설계입력'!$C$6+'1.설계입력'!$C$33)/('1.설계입력'!$C$8*'1.설계입력'!$C$15)-COS((1-'1.설계입력'!$C$15)*B216),SIN((1-'1.설계입력'!$C$15)*B216))</f>
        <v>0.13254904192842656</v>
      </c>
      <c r="G216" s="40">
        <f>('1.설계입력'!$C$6+'1.설계입력'!$C$33)*COS(B216)-('1.설계입력'!$C$7+'1.설계입력'!$C$34)*COS(B216+F216)-'1.설계입력'!$C$8*COS('1.설계입력'!$C$15*B216)</f>
        <v>59.087549611132935</v>
      </c>
      <c r="H216" s="40">
        <f>-('1.설계입력'!$C$6+'1.설계입력'!$C$33)*SIN(B216)+('1.설계입력'!$C$7+'1.설계입력'!$C$34)*SIN(B216+F216)+'1.설계입력'!$C$8*SIN('1.설계입력'!$C$15*B216)</f>
        <v>-53.113601179087475</v>
      </c>
      <c r="I216" s="40">
        <f t="shared" si="10"/>
        <v>79.461696984901849</v>
      </c>
      <c r="J216" s="40">
        <f t="shared" si="11"/>
        <v>79.450570477871707</v>
      </c>
      <c r="K216" s="38">
        <f>IF(OR(A216&gt;180,'1.설계입력'!$C$39&gt;=1),"",'1.설계입력'!$C$34*(1-SIN(B216)/SQRT(1+'1.설계입력'!$C$39^2-2*'1.설계입력'!$C$39*COS(B216)))-'1.설계입력'!$C$33*(1-'1.설계입력'!$C$39*COS(B216)-SQRT(MAX(0,1-'1.설계입력'!$C$39^2))*SIN(B216))/SQRT(1+'1.설계입력'!$C$39^2-2*'1.설계입력'!$C$39*COS(B216)))</f>
        <v>1.8383510948655168E-6</v>
      </c>
    </row>
    <row r="217" spans="1:11" x14ac:dyDescent="0.3">
      <c r="A217" s="40">
        <f>A216+'1.설계입력'!$C$12</f>
        <v>42.20000000000006</v>
      </c>
      <c r="B217" s="40">
        <f t="shared" si="9"/>
        <v>0.73652894434160809</v>
      </c>
      <c r="C217" s="40">
        <f>ATAN2('1.설계입력'!$C$6/('1.설계입력'!$C$8*'1.설계입력'!$C$15)-COS((1-'1.설계입력'!$C$15)*B217),SIN((1-'1.설계입력'!$C$15)*B217))</f>
        <v>0.18967874449252653</v>
      </c>
      <c r="D217" s="40">
        <f>'1.설계입력'!$C$6*COS(B217)-'1.설계입력'!$C$7*COS(B217+C217)-'1.설계입력'!$C$8*COS('1.설계입력'!$C$15*B217)</f>
        <v>58.904408112250806</v>
      </c>
      <c r="E217" s="40">
        <f>-'1.설계입력'!$C$6*SIN(B217)+'1.설계입력'!$C$7*SIN(B217+C217)+'1.설계입력'!$C$8*SIN('1.설계입력'!$C$15*B217)</f>
        <v>-53.274476068174224</v>
      </c>
      <c r="F217" s="40">
        <f>ATAN2(('1.설계입력'!$C$6+'1.설계입력'!$C$33)/('1.설계입력'!$C$8*'1.설계입력'!$C$15)-COS((1-'1.설계입력'!$C$15)*B217),SIN((1-'1.설계입력'!$C$15)*B217))</f>
        <v>0.18968296459297979</v>
      </c>
      <c r="G217" s="40">
        <f>('1.설계입력'!$C$6+'1.설계입력'!$C$33)*COS(B217)-('1.설계입력'!$C$7+'1.설계입력'!$C$34)*COS(B217+F217)-'1.설계입력'!$C$8*COS('1.설계입력'!$C$15*B217)</f>
        <v>58.897258094332791</v>
      </c>
      <c r="H217" s="40">
        <f>-('1.설계입력'!$C$6+'1.설계입력'!$C$33)*SIN(B217)+('1.설계입력'!$C$7+'1.설계입력'!$C$34)*SIN(B217+F217)+'1.설계입력'!$C$8*SIN('1.설계입력'!$C$15*B217)</f>
        <v>-53.265908860137721</v>
      </c>
      <c r="I217" s="40">
        <f t="shared" si="10"/>
        <v>79.42228336803889</v>
      </c>
      <c r="J217" s="40">
        <f t="shared" si="11"/>
        <v>79.41123382574375</v>
      </c>
      <c r="K217" s="38">
        <f>IF(OR(A217&gt;180,'1.설계입력'!$C$39&gt;=1),"",'1.설계입력'!$C$34*(1-SIN(B217)/SQRT(1+'1.설계입력'!$C$39^2-2*'1.설계입력'!$C$39*COS(B217)))-'1.설계입력'!$C$33*(1-'1.설계입력'!$C$39*COS(B217)-SQRT(MAX(0,1-'1.설계입력'!$C$39^2))*SIN(B217))/SQRT(1+'1.설계입력'!$C$39^2-2*'1.설계입력'!$C$39*COS(B217)))</f>
        <v>1.1527401526277547E-6</v>
      </c>
    </row>
    <row r="218" spans="1:11" x14ac:dyDescent="0.3">
      <c r="A218" s="40">
        <f>A217+'1.설계입력'!$C$12</f>
        <v>42.400000000000063</v>
      </c>
      <c r="B218" s="40">
        <f t="shared" si="9"/>
        <v>0.74001960284559687</v>
      </c>
      <c r="C218" s="40">
        <f>ATAN2('1.설계입력'!$C$6/('1.설계입력'!$C$8*'1.설계입력'!$C$15)-COS((1-'1.설계입력'!$C$15)*B218),SIN((1-'1.설계입력'!$C$15)*B218))</f>
        <v>0.24647338757764234</v>
      </c>
      <c r="D218" s="40">
        <f>'1.설계입력'!$C$6*COS(B218)-'1.설계입력'!$C$7*COS(B218+C218)-'1.설계입력'!$C$8*COS('1.설계입력'!$C$15*B218)</f>
        <v>58.70974704876911</v>
      </c>
      <c r="E218" s="40">
        <f>-'1.설계입력'!$C$6*SIN(B218)+'1.설계입력'!$C$7*SIN(B218+C218)+'1.설계입력'!$C$8*SIN('1.설계입력'!$C$15*B218)</f>
        <v>-53.411853048222625</v>
      </c>
      <c r="F218" s="40">
        <f>ATAN2(('1.설계입력'!$C$6+'1.설계입력'!$C$33)/('1.설계입력'!$C$8*'1.설계입력'!$C$15)-COS((1-'1.설계입력'!$C$15)*B218),SIN((1-'1.설계입력'!$C$15)*B218))</f>
        <v>0.24647894553702082</v>
      </c>
      <c r="G218" s="40">
        <f>('1.설계입력'!$C$6+'1.설계입력'!$C$33)*COS(B218)-('1.설계입력'!$C$7+'1.설계입력'!$C$34)*COS(B218+F218)-'1.설계입력'!$C$8*COS('1.설계입력'!$C$15*B218)</f>
        <v>58.703008309002492</v>
      </c>
      <c r="H218" s="40">
        <f>-('1.설계입력'!$C$6+'1.설계입력'!$C$33)*SIN(B218)+('1.설계입력'!$C$7+'1.설계입력'!$C$34)*SIN(B218+F218)+'1.설계입력'!$C$8*SIN('1.설계입력'!$C$15*B218)</f>
        <v>-53.402994240243665</v>
      </c>
      <c r="I218" s="40">
        <f t="shared" si="10"/>
        <v>79.370400304996465</v>
      </c>
      <c r="J218" s="40">
        <f t="shared" si="11"/>
        <v>79.359454246802329</v>
      </c>
      <c r="K218" s="38">
        <f>IF(OR(A218&gt;180,'1.설계입력'!$C$39&gt;=1),"",'1.설계입력'!$C$34*(1-SIN(B218)/SQRT(1+'1.설계입력'!$C$39^2-2*'1.설계입력'!$C$39*COS(B218)))-'1.설계입력'!$C$33*(1-'1.설계입력'!$C$39*COS(B218)-SQRT(MAX(0,1-'1.설계입력'!$C$39^2))*SIN(B218))/SQRT(1+'1.설계입력'!$C$39^2-2*'1.설계입력'!$C$39*COS(B218)))</f>
        <v>6.2811248468521581E-7</v>
      </c>
    </row>
    <row r="219" spans="1:11" x14ac:dyDescent="0.3">
      <c r="A219" s="40">
        <f>A218+'1.설계입력'!$C$12</f>
        <v>42.600000000000065</v>
      </c>
      <c r="B219" s="40">
        <f t="shared" si="9"/>
        <v>0.74351026134958553</v>
      </c>
      <c r="C219" s="40">
        <f>ATAN2('1.설계입력'!$C$6/('1.설계입력'!$C$8*'1.설계입력'!$C$15)-COS((1-'1.설계입력'!$C$15)*B219),SIN((1-'1.설계입력'!$C$15)*B219))</f>
        <v>0.3028068902698372</v>
      </c>
      <c r="D219" s="40">
        <f>'1.설계입력'!$C$6*COS(B219)-'1.설계입력'!$C$7*COS(B219+C219)-'1.설계입력'!$C$8*COS('1.설계입력'!$C$15*B219)</f>
        <v>58.513704820619651</v>
      </c>
      <c r="E219" s="40">
        <f>-'1.설계입력'!$C$6*SIN(B219)+'1.설계입력'!$C$7*SIN(B219+C219)+'1.설계입력'!$C$8*SIN('1.설계입력'!$C$15*B219)</f>
        <v>-53.533272883338213</v>
      </c>
      <c r="F219" s="40">
        <f>ATAN2(('1.설계입력'!$C$6+'1.설계입력'!$C$33)/('1.설계입력'!$C$8*'1.설계입력'!$C$15)-COS((1-'1.설계입력'!$C$15)*B219),SIN((1-'1.설계입력'!$C$15)*B219))</f>
        <v>0.30281383780424759</v>
      </c>
      <c r="G219" s="40">
        <f>('1.설계입력'!$C$6+'1.설계입력'!$C$33)*COS(B219)-('1.설계입력'!$C$7+'1.설계입력'!$C$34)*COS(B219+F219)-'1.설계입력'!$C$8*COS('1.설계입력'!$C$15*B219)</f>
        <v>58.507390848869818</v>
      </c>
      <c r="H219" s="40">
        <f>-('1.설계입력'!$C$6+'1.설계입력'!$C$33)*SIN(B219)+('1.설계입력'!$C$7+'1.설계입력'!$C$34)*SIN(B219+F219)+'1.설계입력'!$C$8*SIN('1.설계입력'!$C$15*B219)</f>
        <v>-53.524149386049309</v>
      </c>
      <c r="I219" s="40">
        <f t="shared" si="10"/>
        <v>79.307407960647424</v>
      </c>
      <c r="J219" s="40">
        <f t="shared" si="11"/>
        <v>79.296591045533219</v>
      </c>
      <c r="K219" s="38">
        <f>IF(OR(A219&gt;180,'1.설계입력'!$C$39&gt;=1),"",'1.설계입력'!$C$34*(1-SIN(B219)/SQRT(1+'1.설계입력'!$C$39^2-2*'1.설계입력'!$C$39*COS(B219)))-'1.설계입력'!$C$33*(1-'1.설계입력'!$C$39*COS(B219)-SQRT(MAX(0,1-'1.설계입력'!$C$39^2))*SIN(B219))/SQRT(1+'1.설계입력'!$C$39^2-2*'1.설계입력'!$C$39*COS(B219)))</f>
        <v>2.6263798210251196E-7</v>
      </c>
    </row>
    <row r="220" spans="1:11" x14ac:dyDescent="0.3">
      <c r="A220" s="40">
        <f>A219+'1.설계입력'!$C$12</f>
        <v>42.800000000000068</v>
      </c>
      <c r="B220" s="40">
        <f t="shared" si="9"/>
        <v>0.7470009198535742</v>
      </c>
      <c r="C220" s="40">
        <f>ATAN2('1.설계입력'!$C$6/('1.설계입력'!$C$8*'1.설계입력'!$C$15)-COS((1-'1.설계입력'!$C$15)*B220),SIN((1-'1.설계입력'!$C$15)*B220))</f>
        <v>0.3585373021836582</v>
      </c>
      <c r="D220" s="40">
        <f>'1.설계입력'!$C$6*COS(B220)-'1.설계입력'!$C$7*COS(B220+C220)-'1.설계입력'!$C$8*COS('1.설계입력'!$C$15*B220)</f>
        <v>58.318885699761459</v>
      </c>
      <c r="E220" s="40">
        <f>-'1.설계입력'!$C$6*SIN(B220)+'1.설계입력'!$C$7*SIN(B220+C220)+'1.설계입력'!$C$8*SIN('1.설계입력'!$C$15*B220)</f>
        <v>-53.63845000686436</v>
      </c>
      <c r="F220" s="40">
        <f>ATAN2(('1.설계입력'!$C$6+'1.설계입력'!$C$33)/('1.설계입력'!$C$8*'1.설계입력'!$C$15)-COS((1-'1.설계입력'!$C$15)*B220),SIN((1-'1.설계입력'!$C$15)*B220))</f>
        <v>0.3585457065710424</v>
      </c>
      <c r="G220" s="40">
        <f>('1.설계입력'!$C$6+'1.설계입력'!$C$33)*COS(B220)-('1.설계입력'!$C$7+'1.설계입력'!$C$34)*COS(B220+F220)-'1.설계입력'!$C$8*COS('1.설계입력'!$C$15*B220)</f>
        <v>58.313007149045916</v>
      </c>
      <c r="H220" s="40">
        <f>-('1.설계입력'!$C$6+'1.설계입력'!$C$33)*SIN(B220)+('1.설계입력'!$C$7+'1.설계입력'!$C$34)*SIN(B220+F220)+'1.설계입력'!$C$8*SIN('1.설계입력'!$C$15*B220)</f>
        <v>-53.629089608828743</v>
      </c>
      <c r="I220" s="40">
        <f t="shared" si="10"/>
        <v>79.234940199388859</v>
      </c>
      <c r="J220" s="40">
        <f t="shared" si="11"/>
        <v>79.224276929716837</v>
      </c>
      <c r="K220" s="38">
        <f>IF(OR(A220&gt;180,'1.설계입력'!$C$39&gt;=1),"",'1.설계입력'!$C$34*(1-SIN(B220)/SQRT(1+'1.설계입력'!$C$39^2-2*'1.설계입력'!$C$39*COS(B220)))-'1.설계입력'!$C$33*(1-'1.설계입력'!$C$39*COS(B220)-SQRT(MAX(0,1-'1.설계입력'!$C$39^2))*SIN(B220))/SQRT(1+'1.설계입력'!$C$39^2-2*'1.설계입력'!$C$39*COS(B220)))</f>
        <v>5.4516359081450333E-8</v>
      </c>
    </row>
    <row r="221" spans="1:11" x14ac:dyDescent="0.3">
      <c r="A221" s="40">
        <f>A220+'1.설계입력'!$C$12</f>
        <v>43.000000000000071</v>
      </c>
      <c r="B221" s="40">
        <f t="shared" si="9"/>
        <v>0.75049157835756297</v>
      </c>
      <c r="C221" s="40">
        <f>ATAN2('1.설계입력'!$C$6/('1.설계입력'!$C$8*'1.설계입력'!$C$15)-COS((1-'1.설계입력'!$C$15)*B221),SIN((1-'1.설계입력'!$C$15)*B221))</f>
        <v>0.41349651671784593</v>
      </c>
      <c r="D221" s="40">
        <f>'1.설계입력'!$C$6*COS(B221)-'1.설계입력'!$C$7*COS(B221+C221)-'1.설계입력'!$C$8*COS('1.설계입력'!$C$15*B221)</f>
        <v>58.127811004626111</v>
      </c>
      <c r="E221" s="40">
        <f>-'1.설계입력'!$C$6*SIN(B221)+'1.설계입력'!$C$7*SIN(B221+C221)+'1.설계입력'!$C$8*SIN('1.설계입력'!$C$15*B221)</f>
        <v>-53.727523483689559</v>
      </c>
      <c r="F221" s="40">
        <f>ATAN2(('1.설계입력'!$C$6+'1.설계입력'!$C$33)/('1.설계입력'!$C$8*'1.설계입력'!$C$15)-COS((1-'1.설계입력'!$C$15)*B221),SIN((1-'1.설계입력'!$C$15)*B221))</f>
        <v>0.41350646339857605</v>
      </c>
      <c r="G221" s="40">
        <f>('1.설계입력'!$C$6+'1.설계입력'!$C$33)*COS(B221)-('1.설계입력'!$C$7+'1.설계입력'!$C$34)*COS(B221+F221)-'1.설계입력'!$C$8*COS('1.설계입력'!$C$15*B221)</f>
        <v>58.122375413358043</v>
      </c>
      <c r="H221" s="40">
        <f>-('1.설계입력'!$C$6+'1.설계입력'!$C$33)*SIN(B221)+('1.설계입력'!$C$7+'1.설계입력'!$C$34)*SIN(B221+F221)+'1.설계입력'!$C$8*SIN('1.설계입력'!$C$15*B221)</f>
        <v>-53.717954568079449</v>
      </c>
      <c r="I221" s="40">
        <f t="shared" si="10"/>
        <v>79.154843135969557</v>
      </c>
      <c r="J221" s="40">
        <f t="shared" si="11"/>
        <v>79.144356505499331</v>
      </c>
      <c r="K221" s="38">
        <f>IF(OR(A221&gt;180,'1.설계입력'!$C$39&gt;=1),"",'1.설계입력'!$C$34*(1-SIN(B221)/SQRT(1+'1.설계입력'!$C$39^2-2*'1.설계입력'!$C$39*COS(B221)))-'1.설계입력'!$C$33*(1-'1.설계입력'!$C$39*COS(B221)-SQRT(MAX(0,1-'1.설계입력'!$C$39^2))*SIN(B221))/SQRT(1+'1.설계입력'!$C$39^2-2*'1.설계입력'!$C$39*COS(B221)))</f>
        <v>1.9765900745649358E-9</v>
      </c>
    </row>
    <row r="222" spans="1:11" x14ac:dyDescent="0.3">
      <c r="A222" s="40">
        <f>A221+'1.설계입력'!$C$12</f>
        <v>43.200000000000074</v>
      </c>
      <c r="B222" s="40">
        <f t="shared" si="9"/>
        <v>0.75398223686155164</v>
      </c>
      <c r="C222" s="40">
        <f>ATAN2('1.설계입력'!$C$6/('1.설계입력'!$C$8*'1.설계입력'!$C$15)-COS((1-'1.설계입력'!$C$15)*B222),SIN((1-'1.설계입력'!$C$15)*B222))</f>
        <v>0.4674803795051713</v>
      </c>
      <c r="D222" s="40">
        <f>'1.설계입력'!$C$6*COS(B222)-'1.설계입력'!$C$7*COS(B222+C222)-'1.설계입력'!$C$8*COS('1.설계입력'!$C$15*B222)</f>
        <v>57.942814608409975</v>
      </c>
      <c r="E222" s="40">
        <f>-'1.설계입력'!$C$6*SIN(B222)+'1.설계입력'!$C$7*SIN(B222+C222)+'1.설계입력'!$C$8*SIN('1.설계입력'!$C$15*B222)</f>
        <v>-53.801043566393709</v>
      </c>
      <c r="F222" s="40">
        <f>ATAN2(('1.설계입력'!$C$6+'1.설계입력'!$C$33)/('1.설계입력'!$C$8*'1.설계입력'!$C$15)-COS((1-'1.설계입력'!$C$15)*B222),SIN((1-'1.설계입력'!$C$15)*B222))</f>
        <v>0.46749197558792382</v>
      </c>
      <c r="G222" s="40">
        <f>('1.설계입력'!$C$6+'1.설계입력'!$C$33)*COS(B222)-('1.설계입력'!$C$7+'1.설계입력'!$C$34)*COS(B222+F222)-'1.설계입력'!$C$8*COS('1.설계입력'!$C$15*B222)</f>
        <v>57.937826074893991</v>
      </c>
      <c r="H222" s="40">
        <f>-('1.설계입력'!$C$6+'1.설계입력'!$C$33)*SIN(B222)+('1.설계입력'!$C$7+'1.설계입력'!$C$34)*SIN(B222+F222)+'1.설계입력'!$C$8*SIN('1.설계입력'!$C$15*B222)</f>
        <v>-53.791294794533584</v>
      </c>
      <c r="I222" s="40">
        <f t="shared" si="10"/>
        <v>79.069096703943458</v>
      </c>
      <c r="J222" s="40">
        <f t="shared" si="11"/>
        <v>79.05880776964122</v>
      </c>
      <c r="K222" s="38">
        <f>IF(OR(A222&gt;180,'1.설계입력'!$C$39&gt;=1),"",'1.설계입력'!$C$34*(1-SIN(B222)/SQRT(1+'1.설계입력'!$C$39^2-2*'1.설계입력'!$C$39*COS(B222)))-'1.설계입력'!$C$33*(1-'1.설계입력'!$C$39*COS(B222)-SQRT(MAX(0,1-'1.설계입력'!$C$39^2))*SIN(B222))/SQRT(1+'1.설계입력'!$C$39^2-2*'1.설계입력'!$C$39*COS(B222)))</f>
        <v>1.0327635816277729E-7</v>
      </c>
    </row>
    <row r="223" spans="1:11" x14ac:dyDescent="0.3">
      <c r="A223" s="40">
        <f>A222+'1.설계입력'!$C$12</f>
        <v>43.400000000000077</v>
      </c>
      <c r="B223" s="40">
        <f t="shared" si="9"/>
        <v>0.75747289536554041</v>
      </c>
      <c r="C223" s="40">
        <f>ATAN2('1.설계입력'!$C$6/('1.설계입력'!$C$8*'1.설계입력'!$C$15)-COS((1-'1.설계입력'!$C$15)*B223),SIN((1-'1.설계입력'!$C$15)*B223))</f>
        <v>0.520234991381746</v>
      </c>
      <c r="D223" s="40">
        <f>'1.설계입력'!$C$6*COS(B223)-'1.설계입력'!$C$7*COS(B223+C223)-'1.설계입력'!$C$8*COS('1.설계입력'!$C$15*B223)</f>
        <v>57.765924957878596</v>
      </c>
      <c r="E223" s="40">
        <f>-'1.설계입력'!$C$6*SIN(B223)+'1.설계입력'!$C$7*SIN(B223+C223)+'1.설계입력'!$C$8*SIN('1.설계입력'!$C$15*B223)</f>
        <v>-53.859942313290581</v>
      </c>
      <c r="F223" s="40">
        <f>ATAN2(('1.설계입력'!$C$6+'1.설계입력'!$C$33)/('1.설계입력'!$C$8*'1.설계입력'!$C$15)-COS((1-'1.설계입력'!$C$15)*B223),SIN((1-'1.설계입력'!$C$15)*B223))</f>
        <v>0.52024837034566063</v>
      </c>
      <c r="G223" s="40">
        <f>('1.설계입력'!$C$6+'1.설계입력'!$C$33)*COS(B223)-('1.설계입력'!$C$7+'1.설계입력'!$C$34)*COS(B223+F223)-'1.설계입력'!$C$8*COS('1.설계입력'!$C$15*B223)</f>
        <v>57.761383740267981</v>
      </c>
      <c r="H223" s="40">
        <f>-('1.설계입력'!$C$6+'1.설계입력'!$C$33)*SIN(B223)+('1.설계입력'!$C$7+'1.설계입력'!$C$34)*SIN(B223+F223)+'1.설계입력'!$C$8*SIN('1.설계입력'!$C$15*B223)</f>
        <v>-53.850042264857301</v>
      </c>
      <c r="I223" s="40">
        <f t="shared" si="10"/>
        <v>78.979715574508447</v>
      </c>
      <c r="J223" s="40">
        <f t="shared" si="11"/>
        <v>78.969642923831259</v>
      </c>
      <c r="K223" s="38">
        <f>IF(OR(A223&gt;180,'1.설계입력'!$C$39&gt;=1),"",'1.설계입력'!$C$34*(1-SIN(B223)/SQRT(1+'1.설계입력'!$C$39^2-2*'1.설계입력'!$C$39*COS(B223)))-'1.설계입력'!$C$33*(1-'1.설계입력'!$C$39*COS(B223)-SQRT(MAX(0,1-'1.설계입력'!$C$39^2))*SIN(B223))/SQRT(1+'1.설계입력'!$C$39^2-2*'1.설계입력'!$C$39*COS(B223)))</f>
        <v>3.5670151438598232E-7</v>
      </c>
    </row>
    <row r="224" spans="1:11" x14ac:dyDescent="0.3">
      <c r="A224" s="40">
        <f>A223+'1.설계입력'!$C$12</f>
        <v>43.60000000000008</v>
      </c>
      <c r="B224" s="40">
        <f t="shared" si="9"/>
        <v>0.76096355386952907</v>
      </c>
      <c r="C224" s="40">
        <f>ATAN2('1.설계입력'!$C$6/('1.설계입력'!$C$8*'1.설계입력'!$C$15)-COS((1-'1.설계입력'!$C$15)*B224),SIN((1-'1.설계입력'!$C$15)*B224))</f>
        <v>0.57143720274369469</v>
      </c>
      <c r="D224" s="40">
        <f>'1.설계입력'!$C$6*COS(B224)-'1.설계입력'!$C$7*COS(B224+C224)-'1.설계입력'!$C$8*COS('1.설계입력'!$C$15*B224)</f>
        <v>57.598727772510728</v>
      </c>
      <c r="E224" s="40">
        <f>-'1.설계입력'!$C$6*SIN(B224)+'1.설계입력'!$C$7*SIN(B224+C224)+'1.설계입력'!$C$8*SIN('1.설계입력'!$C$15*B224)</f>
        <v>-53.905486538502679</v>
      </c>
      <c r="F224" s="40">
        <f>ATAN2(('1.설계입력'!$C$6+'1.설계입력'!$C$33)/('1.설계입력'!$C$8*'1.설계입력'!$C$15)-COS((1-'1.설계입력'!$C$15)*B224),SIN((1-'1.설계입력'!$C$15)*B224))</f>
        <v>0.5714525307475592</v>
      </c>
      <c r="G224" s="40">
        <f>('1.설계입력'!$C$6+'1.설계입력'!$C$33)*COS(B224)-('1.설계입력'!$C$7+'1.설계입력'!$C$34)*COS(B224+F224)-'1.설계입력'!$C$8*COS('1.설계입력'!$C$15*B224)</f>
        <v>57.594629773084101</v>
      </c>
      <c r="H224" s="40">
        <f>-('1.설계입력'!$C$6+'1.설계입력'!$C$33)*SIN(B224)+('1.설계입력'!$C$7+'1.설계입력'!$C$34)*SIN(B224+F224)+'1.설계입력'!$C$8*SIN('1.설계입력'!$C$15*B224)</f>
        <v>-53.895463293975205</v>
      </c>
      <c r="I224" s="40">
        <f t="shared" si="10"/>
        <v>78.888623514195572</v>
      </c>
      <c r="J224" s="40">
        <f t="shared" si="11"/>
        <v>78.878782586769518</v>
      </c>
      <c r="K224" s="38">
        <f>IF(OR(A224&gt;180,'1.설계입력'!$C$39&gt;=1),"",'1.설계입력'!$C$34*(1-SIN(B224)/SQRT(1+'1.설계입력'!$C$39^2-2*'1.설계입력'!$C$39*COS(B224)))-'1.설계입력'!$C$33*(1-'1.설계입력'!$C$39*COS(B224)-SQRT(MAX(0,1-'1.설계입력'!$C$39^2))*SIN(B224))/SQRT(1+'1.설계입력'!$C$39^2-2*'1.설계입력'!$C$39*COS(B224)))</f>
        <v>7.6056554790409992E-7</v>
      </c>
    </row>
    <row r="225" spans="1:11" x14ac:dyDescent="0.3">
      <c r="A225" s="40">
        <f>A224+'1.설계입력'!$C$12</f>
        <v>43.800000000000082</v>
      </c>
      <c r="B225" s="40">
        <f t="shared" si="9"/>
        <v>0.76445421237351774</v>
      </c>
      <c r="C225" s="40">
        <f>ATAN2('1.설계입력'!$C$6/('1.설계입력'!$C$8*'1.설계입력'!$C$15)-COS((1-'1.설계입력'!$C$15)*B225),SIN((1-'1.설계입력'!$C$15)*B225))</f>
        <v>0.62066606893244436</v>
      </c>
      <c r="D225" s="40">
        <f>'1.설계입력'!$C$6*COS(B225)-'1.설계입력'!$C$7*COS(B225+C225)-'1.설계입력'!$C$8*COS('1.설계입력'!$C$15*B225)</f>
        <v>57.442198790285907</v>
      </c>
      <c r="E225" s="40">
        <f>-'1.설계입력'!$C$6*SIN(B225)+'1.설계입력'!$C$7*SIN(B225+C225)+'1.설계입력'!$C$8*SIN('1.설계입력'!$C$15*B225)</f>
        <v>-53.939210816404874</v>
      </c>
      <c r="F225" s="40">
        <f>ATAN2(('1.설계입력'!$C$6+'1.설계입력'!$C$33)/('1.설계입력'!$C$8*'1.설계입력'!$C$15)-COS((1-'1.설계입력'!$C$15)*B225),SIN((1-'1.설계입력'!$C$15)*B225))</f>
        <v>0.62068355330519476</v>
      </c>
      <c r="G225" s="40">
        <f>('1.설계입력'!$C$6+'1.설계입력'!$C$33)*COS(B225)-('1.설계입력'!$C$7+'1.설계입력'!$C$34)*COS(B225+F225)-'1.설계입력'!$C$8*COS('1.설계입력'!$C$15*B225)</f>
        <v>57.438534859154771</v>
      </c>
      <c r="H225" s="40">
        <f>-('1.설계입력'!$C$6+'1.설계입력'!$C$33)*SIN(B225)+('1.설계입력'!$C$7+'1.설계입력'!$C$34)*SIN(B225+F225)+'1.설계입력'!$C$8*SIN('1.설계입력'!$C$15*B225)</f>
        <v>-53.92909146126717</v>
      </c>
      <c r="I225" s="40">
        <f t="shared" si="10"/>
        <v>78.79749149153983</v>
      </c>
      <c r="J225" s="40">
        <f t="shared" si="11"/>
        <v>78.78789369315605</v>
      </c>
      <c r="K225" s="38">
        <f>IF(OR(A225&gt;180,'1.설계입력'!$C$39&gt;=1),"",'1.설계입력'!$C$34*(1-SIN(B225)/SQRT(1+'1.설계입력'!$C$39^2-2*'1.설계입력'!$C$39*COS(B225)))-'1.설계입력'!$C$33*(1-'1.설계입력'!$C$39*COS(B225)-SQRT(MAX(0,1-'1.설계입력'!$C$39^2))*SIN(B225))/SQRT(1+'1.설계입력'!$C$39^2-2*'1.설계입력'!$C$39*COS(B225)))</f>
        <v>1.3132090667304482E-6</v>
      </c>
    </row>
    <row r="226" spans="1:11" x14ac:dyDescent="0.3">
      <c r="A226" s="40">
        <f>A225+'1.설계입력'!$C$12</f>
        <v>44.000000000000085</v>
      </c>
      <c r="B226" s="40">
        <f t="shared" si="9"/>
        <v>0.76794487087750651</v>
      </c>
      <c r="C226" s="40">
        <f>ATAN2('1.설계입력'!$C$6/('1.설계입력'!$C$8*'1.설계입력'!$C$15)-COS((1-'1.설계입력'!$C$15)*B226),SIN((1-'1.설계입력'!$C$15)*B226))</f>
        <v>0.66735989529991746</v>
      </c>
      <c r="D226" s="40">
        <f>'1.설계입력'!$C$6*COS(B226)-'1.설계입력'!$C$7*COS(B226+C226)-'1.설계입력'!$C$8*COS('1.설계입력'!$C$15*B226)</f>
        <v>57.296487431901568</v>
      </c>
      <c r="E226" s="40">
        <f>-'1.설계입력'!$C$6*SIN(B226)+'1.설계입력'!$C$7*SIN(B226+C226)+'1.설계입력'!$C$8*SIN('1.설계입력'!$C$15*B226)</f>
        <v>-53.962827583390911</v>
      </c>
      <c r="F226" s="40">
        <f>ATAN2(('1.설계입력'!$C$6+'1.설계입력'!$C$33)/('1.설계입력'!$C$8*'1.설계입력'!$C$15)-COS((1-'1.설계입력'!$C$15)*B226),SIN((1-'1.설계입력'!$C$15)*B226))</f>
        <v>0.66737979599810071</v>
      </c>
      <c r="G226" s="40">
        <f>('1.설계입력'!$C$6+'1.설계입력'!$C$33)*COS(B226)-('1.설계입력'!$C$7+'1.설계입력'!$C$34)*COS(B226+F226)-'1.설계입력'!$C$8*COS('1.설계입력'!$C$15*B226)</f>
        <v>57.293242384782658</v>
      </c>
      <c r="H226" s="40">
        <f>-('1.설계입력'!$C$6+'1.설계입력'!$C$33)*SIN(B226)+('1.설계입력'!$C$7+'1.설계입력'!$C$34)*SIN(B226+F226)+'1.설계입력'!$C$8*SIN('1.설계입력'!$C$15*B226)</f>
        <v>-53.952637604995324</v>
      </c>
      <c r="I226" s="40">
        <f t="shared" si="10"/>
        <v>78.707523355958983</v>
      </c>
      <c r="J226" s="40">
        <f t="shared" si="11"/>
        <v>78.698174867638528</v>
      </c>
      <c r="K226" s="38">
        <f>IF(OR(A226&gt;180,'1.설계입력'!$C$39&gt;=1),"",'1.설계입력'!$C$34*(1-SIN(B226)/SQRT(1+'1.설계입력'!$C$39^2-2*'1.설계입력'!$C$39*COS(B226)))-'1.설계입력'!$C$33*(1-'1.설계입력'!$C$39*COS(B226)-SQRT(MAX(0,1-'1.설계입력'!$C$39^2))*SIN(B226))/SQRT(1+'1.설계입력'!$C$39^2-2*'1.설계입력'!$C$39*COS(B226)))</f>
        <v>2.0129992888320455E-6</v>
      </c>
    </row>
    <row r="227" spans="1:11" x14ac:dyDescent="0.3">
      <c r="A227" s="40">
        <f>A226+'1.설계입력'!$C$12</f>
        <v>44.200000000000088</v>
      </c>
      <c r="B227" s="40">
        <f t="shared" si="9"/>
        <v>0.77143552938149518</v>
      </c>
      <c r="C227" s="40">
        <f>ATAN2('1.설계입력'!$C$6/('1.설계입력'!$C$8*'1.설계입력'!$C$15)-COS((1-'1.설계입력'!$C$15)*B227),SIN((1-'1.설계입력'!$C$15)*B227))</f>
        <v>0.71074964848034805</v>
      </c>
      <c r="D227" s="40">
        <f>'1.설계입력'!$C$6*COS(B227)-'1.설계입력'!$C$7*COS(B227+C227)-'1.설계입력'!$C$8*COS('1.설계입력'!$C$15*B227)</f>
        <v>57.160616751332228</v>
      </c>
      <c r="E227" s="40">
        <f>-'1.설계입력'!$C$6*SIN(B227)+'1.설계입력'!$C$7*SIN(B227+C227)+'1.설계입력'!$C$8*SIN('1.설계입력'!$C$15*B227)</f>
        <v>-53.978110929061216</v>
      </c>
      <c r="F227" s="40">
        <f>ATAN2(('1.설계입력'!$C$6+'1.설계입력'!$C$33)/('1.설계입력'!$C$8*'1.설계입력'!$C$15)-COS((1-'1.설계입력'!$C$15)*B227),SIN((1-'1.설계입력'!$C$15)*B227))</f>
        <v>0.71077229352983529</v>
      </c>
      <c r="G227" s="40">
        <f>('1.설계입력'!$C$6+'1.설계입력'!$C$33)*COS(B227)-('1.설계입력'!$C$7+'1.설계입력'!$C$34)*COS(B227+F227)-'1.설계입력'!$C$8*COS('1.설계입력'!$C$15*B227)</f>
        <v>57.157767924673486</v>
      </c>
      <c r="H227" s="40">
        <f>-('1.설계입력'!$C$6+'1.설계입력'!$C$33)*SIN(B227)+('1.설계입력'!$C$7+'1.설계입력'!$C$34)*SIN(B227+F227)+'1.설계입력'!$C$8*SIN('1.설계입력'!$C$15*B227)</f>
        <v>-53.967873465655295</v>
      </c>
      <c r="I227" s="40">
        <f t="shared" si="10"/>
        <v>78.619161575679001</v>
      </c>
      <c r="J227" s="40">
        <f t="shared" si="11"/>
        <v>78.610061700368959</v>
      </c>
      <c r="K227" s="38">
        <f>IF(OR(A227&gt;180,'1.설계입력'!$C$39&gt;=1),"",'1.설계입력'!$C$34*(1-SIN(B227)/SQRT(1+'1.설계입력'!$C$39^2-2*'1.설계입력'!$C$39*COS(B227)))-'1.설계입력'!$C$33*(1-'1.설계입력'!$C$39*COS(B227)-SQRT(MAX(0,1-'1.설계입력'!$C$39^2))*SIN(B227))/SQRT(1+'1.설계입력'!$C$39^2-2*'1.설계입력'!$C$39*COS(B227)))</f>
        <v>2.8583295434056449E-6</v>
      </c>
    </row>
    <row r="228" spans="1:11" x14ac:dyDescent="0.3">
      <c r="A228" s="40">
        <f>A227+'1.설계입력'!$C$12</f>
        <v>44.400000000000091</v>
      </c>
      <c r="B228" s="40">
        <f t="shared" si="9"/>
        <v>0.77492618788548395</v>
      </c>
      <c r="C228" s="40">
        <f>ATAN2('1.설계입력'!$C$6/('1.설계입력'!$C$8*'1.설계입력'!$C$15)-COS((1-'1.설계입력'!$C$15)*B228),SIN((1-'1.설계입력'!$C$15)*B228))</f>
        <v>0.74975234193847495</v>
      </c>
      <c r="D228" s="40">
        <f>'1.설계입력'!$C$6*COS(B228)-'1.설계입력'!$C$7*COS(B228+C228)-'1.설계입력'!$C$8*COS('1.설계입력'!$C$15*B228)</f>
        <v>57.032035739049796</v>
      </c>
      <c r="E228" s="40">
        <f>-'1.설계입력'!$C$6*SIN(B228)+'1.설계입력'!$C$7*SIN(B228+C228)+'1.설계입력'!$C$8*SIN('1.설계입력'!$C$15*B228)</f>
        <v>-53.986751835242018</v>
      </c>
      <c r="F228" s="40">
        <f>ATAN2(('1.설계입력'!$C$6+'1.설계입력'!$C$33)/('1.설계입력'!$C$8*'1.설계입력'!$C$15)-COS((1-'1.설계입력'!$C$15)*B228),SIN((1-'1.설계입력'!$C$15)*B228))</f>
        <v>0.74977814798708631</v>
      </c>
      <c r="G228" s="40">
        <f>('1.설계입력'!$C$6+'1.설계입력'!$C$33)*COS(B228)-('1.설계입력'!$C$7+'1.설계입력'!$C$34)*COS(B228+F228)-'1.설계입력'!$C$8*COS('1.설계입력'!$C$15*B228)</f>
        <v>57.029550775299988</v>
      </c>
      <c r="H228" s="40">
        <f>-('1.설계입력'!$C$6+'1.설계입력'!$C$33)*SIN(B228)+('1.설계입력'!$C$7+'1.설계입력'!$C$34)*SIN(B228+F228)+'1.설계입력'!$C$8*SIN('1.설계입력'!$C$15*B228)</f>
        <v>-53.976486724018692</v>
      </c>
      <c r="I228" s="40">
        <f t="shared" si="10"/>
        <v>78.531665423956596</v>
      </c>
      <c r="J228" s="40">
        <f t="shared" si="11"/>
        <v>78.522804208081396</v>
      </c>
      <c r="K228" s="38">
        <f>IF(OR(A228&gt;180,'1.설계입력'!$C$39&gt;=1),"",'1.설계입력'!$C$34*(1-SIN(B228)/SQRT(1+'1.설계입력'!$C$39^2-2*'1.설계입력'!$C$39*COS(B228)))-'1.설계입력'!$C$33*(1-'1.설계입력'!$C$39*COS(B228)-SQRT(MAX(0,1-'1.설계입력'!$C$39^2))*SIN(B228))/SQRT(1+'1.설계입력'!$C$39^2-2*'1.설계입력'!$C$39*COS(B228)))</f>
        <v>3.8476187821410564E-6</v>
      </c>
    </row>
    <row r="229" spans="1:11" x14ac:dyDescent="0.3">
      <c r="A229" s="40">
        <f>A228+'1.설계입력'!$C$12</f>
        <v>44.600000000000094</v>
      </c>
      <c r="B229" s="40">
        <f t="shared" si="9"/>
        <v>0.77841684638947262</v>
      </c>
      <c r="C229" s="40">
        <f>ATAN2('1.설계입력'!$C$6/('1.설계입력'!$C$8*'1.설계입력'!$C$15)-COS((1-'1.설계입력'!$C$15)*B229),SIN((1-'1.설계입력'!$C$15)*B229))</f>
        <v>0.78279418385592459</v>
      </c>
      <c r="D229" s="40">
        <f>'1.설계입력'!$C$6*COS(B229)-'1.설계입력'!$C$7*COS(B229+C229)-'1.설계입력'!$C$8*COS('1.설계입력'!$C$15*B229)</f>
        <v>56.905902628271427</v>
      </c>
      <c r="E229" s="40">
        <f>-'1.설계입력'!$C$6*SIN(B229)+'1.설계입력'!$C$7*SIN(B229+C229)+'1.설계입력'!$C$8*SIN('1.설계입력'!$C$15*B229)</f>
        <v>-53.990190133741784</v>
      </c>
      <c r="F229" s="40">
        <f>ATAN2(('1.설계입력'!$C$6+'1.설계입력'!$C$33)/('1.설계입력'!$C$8*'1.설계입력'!$C$15)-COS((1-'1.설계입력'!$C$15)*B229),SIN((1-'1.설계입력'!$C$15)*B229))</f>
        <v>0.78282368242068445</v>
      </c>
      <c r="G229" s="40">
        <f>('1.설계입력'!$C$6+'1.설계입력'!$C$33)*COS(B229)-('1.설계입력'!$C$7+'1.설계입력'!$C$34)*COS(B229+F229)-'1.설계입력'!$C$8*COS('1.설계입력'!$C$15*B229)</f>
        <v>56.903735935598355</v>
      </c>
      <c r="H229" s="40">
        <f>-('1.설계입력'!$C$6+'1.설계입력'!$C$33)*SIN(B229)+('1.설계입력'!$C$7+'1.설계입력'!$C$34)*SIN(B229+F229)+'1.설계입력'!$C$8*SIN('1.설계입력'!$C$15*B229)</f>
        <v>-53.979912699841051</v>
      </c>
      <c r="I229" s="40">
        <f t="shared" si="10"/>
        <v>78.44247819017383</v>
      </c>
      <c r="J229" s="40">
        <f t="shared" si="11"/>
        <v>78.43383286892697</v>
      </c>
      <c r="K229" s="38">
        <f>IF(OR(A229&gt;180,'1.설계입력'!$C$39&gt;=1),"",'1.설계입력'!$C$34*(1-SIN(B229)/SQRT(1+'1.설계입력'!$C$39^2-2*'1.설계입력'!$C$39*COS(B229)))-'1.설계입력'!$C$33*(1-'1.설계입력'!$C$39*COS(B229)-SQRT(MAX(0,1-'1.설계입력'!$C$39^2))*SIN(B229))/SQRT(1+'1.설계입력'!$C$39^2-2*'1.설계입력'!$C$39*COS(B229)))</f>
        <v>4.979311100247176E-6</v>
      </c>
    </row>
    <row r="230" spans="1:11" x14ac:dyDescent="0.3">
      <c r="A230" s="40">
        <f>A229+'1.설계입력'!$C$12</f>
        <v>44.800000000000097</v>
      </c>
      <c r="B230" s="40">
        <f t="shared" si="9"/>
        <v>0.78190750489346128</v>
      </c>
      <c r="C230" s="40">
        <f>ATAN2('1.설계입력'!$C$6/('1.설계입력'!$C$8*'1.설계입력'!$C$15)-COS((1-'1.설계입력'!$C$15)*B230),SIN((1-'1.설계입력'!$C$15)*B230))</f>
        <v>0.80750570064695726</v>
      </c>
      <c r="D230" s="40">
        <f>'1.설계입력'!$C$6*COS(B230)-'1.설계입력'!$C$7*COS(B230+C230)-'1.설계입력'!$C$8*COS('1.설계입력'!$C$15*B230)</f>
        <v>56.77386150634554</v>
      </c>
      <c r="E230" s="40">
        <f>-'1.설계입력'!$C$6*SIN(B230)+'1.설계입력'!$C$7*SIN(B230+C230)+'1.설계입력'!$C$8*SIN('1.설계입력'!$C$15*B230)</f>
        <v>-53.989458024782984</v>
      </c>
      <c r="F230" s="40">
        <f>ATAN2(('1.설계입력'!$C$6+'1.설계입력'!$C$33)/('1.설계입력'!$C$8*'1.설계입력'!$C$15)-COS((1-'1.설계입력'!$C$15)*B230),SIN((1-'1.설계입력'!$C$15)*B230))</f>
        <v>0.80753956762091472</v>
      </c>
      <c r="G230" s="40">
        <f>('1.설계입력'!$C$6+'1.설계입력'!$C$33)*COS(B230)-('1.설계입력'!$C$7+'1.설계입력'!$C$34)*COS(B230+F230)-'1.설계입력'!$C$8*COS('1.설계입력'!$C$15*B230)</f>
        <v>56.771948343722393</v>
      </c>
      <c r="H230" s="40">
        <f>-('1.설계입력'!$C$6+'1.설계입력'!$C$33)*SIN(B230)+('1.설계입력'!$C$7+'1.설계입력'!$C$34)*SIN(B230+F230)+'1.설계입력'!$C$8*SIN('1.설계입력'!$C$15*B230)</f>
        <v>-53.979177591622296</v>
      </c>
      <c r="I230" s="40">
        <f t="shared" si="10"/>
        <v>78.346237485609407</v>
      </c>
      <c r="J230" s="40">
        <f t="shared" si="11"/>
        <v>78.337766959559048</v>
      </c>
      <c r="K230" s="38">
        <f>IF(OR(A230&gt;180,'1.설계입력'!$C$39&gt;=1),"",'1.설계입력'!$C$34*(1-SIN(B230)/SQRT(1+'1.설계입력'!$C$39^2-2*'1.설계입력'!$C$39*COS(B230)))-'1.설계입력'!$C$33*(1-'1.설계입력'!$C$39*COS(B230)-SQRT(MAX(0,1-'1.설계입력'!$C$39^2))*SIN(B230))/SQRT(1+'1.설계입력'!$C$39^2-2*'1.설계입력'!$C$39*COS(B230)))</f>
        <v>6.2518752670707692E-6</v>
      </c>
    </row>
    <row r="231" spans="1:11" x14ac:dyDescent="0.3">
      <c r="A231" s="40">
        <f>A230+'1.설계입력'!$C$12</f>
        <v>45.000000000000099</v>
      </c>
      <c r="B231" s="40">
        <f t="shared" si="9"/>
        <v>0.78539816339745006</v>
      </c>
      <c r="C231" s="40">
        <f>ATAN2('1.설계입력'!$C$6/('1.설계입력'!$C$8*'1.설계입력'!$C$15)-COS((1-'1.설계입력'!$C$15)*B231),SIN((1-'1.설계입력'!$C$15)*B231))</f>
        <v>0.82017454861962713</v>
      </c>
      <c r="D231" s="40">
        <f>'1.설계입력'!$C$6*COS(B231)-'1.설계입력'!$C$7*COS(B231+C231)-'1.설계입력'!$C$8*COS('1.설계입력'!$C$15*B231)</f>
        <v>56.62183356091105</v>
      </c>
      <c r="E231" s="40">
        <f>-'1.설계입력'!$C$6*SIN(B231)+'1.설계입력'!$C$7*SIN(B231+C231)+'1.설계입력'!$C$8*SIN('1.설계입력'!$C$15*B231)</f>
        <v>-53.985174607471464</v>
      </c>
      <c r="F231" s="40">
        <f>ATAN2(('1.설계입력'!$C$6+'1.설계입력'!$C$33)/('1.설계입력'!$C$8*'1.설계입력'!$C$15)-COS((1-'1.설계입력'!$C$15)*B231),SIN((1-'1.설계입력'!$C$15)*B231))</f>
        <v>0.82021362287631028</v>
      </c>
      <c r="G231" s="40">
        <f>('1.설계입력'!$C$6+'1.설계입력'!$C$33)*COS(B231)-('1.설계입력'!$C$7+'1.설계입력'!$C$34)*COS(B231+F231)-'1.설계입력'!$C$8*COS('1.설계입력'!$C$15*B231)</f>
        <v>56.62007968056156</v>
      </c>
      <c r="H231" s="40">
        <f>-('1.설계입력'!$C$6+'1.설계입력'!$C$33)*SIN(B231)+('1.설계입력'!$C$7+'1.설계입력'!$C$34)*SIN(B231+F231)+'1.설계입력'!$C$8*SIN('1.설계입력'!$C$15*B231)</f>
        <v>-53.974892922426442</v>
      </c>
      <c r="I231" s="40">
        <f t="shared" si="10"/>
        <v>78.233184219988729</v>
      </c>
      <c r="J231" s="40">
        <f t="shared" si="11"/>
        <v>78.224820159720025</v>
      </c>
      <c r="K231" s="38">
        <f>IF(OR(A231&gt;180,'1.설계입력'!$C$39&gt;=1),"",'1.설계입력'!$C$34*(1-SIN(B231)/SQRT(1+'1.설계입력'!$C$39^2-2*'1.설계입력'!$C$39*COS(B231)))-'1.설계입력'!$C$33*(1-'1.설계입력'!$C$39*COS(B231)-SQRT(MAX(0,1-'1.설계입력'!$C$39^2))*SIN(B231))/SQRT(1+'1.설계입력'!$C$39^2-2*'1.설계입력'!$C$39*COS(B231)))</f>
        <v>7.6638042661010318E-6</v>
      </c>
    </row>
    <row r="232" spans="1:11" x14ac:dyDescent="0.3">
      <c r="A232" s="40">
        <f>A231+'1.설계입력'!$C$12</f>
        <v>45.200000000000102</v>
      </c>
      <c r="B232" s="40">
        <f t="shared" si="9"/>
        <v>0.78888882190143872</v>
      </c>
      <c r="C232" s="40">
        <f>ATAN2('1.설계입력'!$C$6/('1.설계입력'!$C$8*'1.설계입력'!$C$15)-COS((1-'1.설계입력'!$C$15)*B232),SIN((1-'1.설계입력'!$C$15)*B232))</f>
        <v>0.81472602006460693</v>
      </c>
      <c r="D232" s="40">
        <f>'1.설계입력'!$C$6*COS(B232)-'1.설계입력'!$C$7*COS(B232+C232)-'1.설계입력'!$C$8*COS('1.설계입력'!$C$15*B232)</f>
        <v>56.425853610960026</v>
      </c>
      <c r="E232" s="40">
        <f>-'1.설계입력'!$C$6*SIN(B232)+'1.설계입력'!$C$7*SIN(B232+C232)+'1.설계입력'!$C$8*SIN('1.설계입력'!$C$15*B232)</f>
        <v>-53.97819466109641</v>
      </c>
      <c r="F232" s="40">
        <f>ATAN2(('1.설계입력'!$C$6+'1.설계입력'!$C$33)/('1.설계입력'!$C$8*'1.설계입력'!$C$15)-COS((1-'1.설계입력'!$C$15)*B232),SIN((1-'1.설계입력'!$C$15)*B232))</f>
        <v>0.81477125483763424</v>
      </c>
      <c r="G232" s="40">
        <f>('1.설계입력'!$C$6+'1.설계입력'!$C$33)*COS(B232)-('1.설계입력'!$C$7+'1.설계입력'!$C$34)*COS(B232+F232)-'1.설계입력'!$C$8*COS('1.설계입력'!$C$15*B232)</f>
        <v>56.424116234895614</v>
      </c>
      <c r="H232" s="40">
        <f>-('1.설계입력'!$C$6+'1.설계입력'!$C$33)*SIN(B232)+('1.설계입력'!$C$7+'1.설계입력'!$C$34)*SIN(B232+F232)+'1.설계입력'!$C$8*SIN('1.설계입력'!$C$15*B232)</f>
        <v>-53.967905306701638</v>
      </c>
      <c r="I232" s="40">
        <f t="shared" si="10"/>
        <v>78.086634289081175</v>
      </c>
      <c r="J232" s="40">
        <f t="shared" si="11"/>
        <v>78.078266477183817</v>
      </c>
      <c r="K232" s="38">
        <f>IF(OR(A232&gt;180,'1.설계입력'!$C$39&gt;=1),"",'1.설계입력'!$C$34*(1-SIN(B232)/SQRT(1+'1.설계입력'!$C$39^2-2*'1.설계입력'!$C$39*COS(B232)))-'1.설계입력'!$C$33*(1-'1.설계입력'!$C$39*COS(B232)-SQRT(MAX(0,1-'1.설계입력'!$C$39^2))*SIN(B232))/SQRT(1+'1.설계입력'!$C$39^2-2*'1.설계입력'!$C$39*COS(B232)))</f>
        <v>9.2136148441829856E-6</v>
      </c>
    </row>
    <row r="233" spans="1:11" x14ac:dyDescent="0.3">
      <c r="A233" s="40">
        <f>A232+'1.설계입력'!$C$12</f>
        <v>45.400000000000105</v>
      </c>
      <c r="B233" s="40">
        <f t="shared" si="9"/>
        <v>0.79237948040542749</v>
      </c>
      <c r="C233" s="40">
        <f>ATAN2('1.설계입력'!$C$6/('1.설계입력'!$C$8*'1.설계입력'!$C$15)-COS((1-'1.설계입력'!$C$15)*B233),SIN((1-'1.설계입력'!$C$15)*B233))</f>
        <v>0.78078617049832089</v>
      </c>
      <c r="D233" s="40">
        <f>'1.설계입력'!$C$6*COS(B233)-'1.설계입력'!$C$7*COS(B233+C233)-'1.설계입력'!$C$8*COS('1.설계입력'!$C$15*B233)</f>
        <v>56.144135089264054</v>
      </c>
      <c r="E233" s="40">
        <f>-'1.설계입력'!$C$6*SIN(B233)+'1.설계입력'!$C$7*SIN(B233+C233)+'1.설계입력'!$C$8*SIN('1.설계입력'!$C$15*B233)</f>
        <v>-53.972690964924432</v>
      </c>
      <c r="F233" s="40">
        <f>ATAN2(('1.설계입력'!$C$6+'1.설계입력'!$C$33)/('1.설계입력'!$C$8*'1.설계입력'!$C$15)-COS((1-'1.설계입력'!$C$15)*B233),SIN((1-'1.설계입력'!$C$15)*B233))</f>
        <v>0.78083831187456654</v>
      </c>
      <c r="G233" s="40">
        <f>('1.설계입력'!$C$6+'1.설계입력'!$C$33)*COS(B233)-('1.설계입력'!$C$7+'1.설계입력'!$C$34)*COS(B233+F233)-'1.설계입력'!$C$8*COS('1.설계입력'!$C$15*B233)</f>
        <v>56.142186593557625</v>
      </c>
      <c r="H233" s="40">
        <f>-('1.설계입력'!$C$6+'1.설계입력'!$C$33)*SIN(B233)+('1.설계입력'!$C$7+'1.설계입력'!$C$34)*SIN(B233+F233)+'1.설계입력'!$C$8*SIN('1.설계입력'!$C$15*B233)</f>
        <v>-53.962384207525247</v>
      </c>
      <c r="I233" s="40">
        <f t="shared" si="10"/>
        <v>77.879492004742602</v>
      </c>
      <c r="J233" s="40">
        <f t="shared" si="11"/>
        <v>77.870944676858841</v>
      </c>
      <c r="K233" s="38">
        <f>IF(OR(A233&gt;180,'1.설계입력'!$C$39&gt;=1),"",'1.설계입력'!$C$34*(1-SIN(B233)/SQRT(1+'1.설계입력'!$C$39^2-2*'1.설계입력'!$C$39*COS(B233)))-'1.설계입력'!$C$33*(1-'1.설계입력'!$C$39*COS(B233)-SQRT(MAX(0,1-'1.설계입력'!$C$39^2))*SIN(B233))/SQRT(1+'1.설계입력'!$C$39^2-2*'1.설계입력'!$C$39*COS(B233)))</f>
        <v>1.089984706974786E-5</v>
      </c>
    </row>
    <row r="234" spans="1:11" x14ac:dyDescent="0.3">
      <c r="A234" s="40">
        <f>A233+'1.설계입력'!$C$12</f>
        <v>45.600000000000108</v>
      </c>
      <c r="B234" s="40">
        <f t="shared" si="9"/>
        <v>0.79587013890941616</v>
      </c>
      <c r="C234" s="40">
        <f>ATAN2('1.설계입력'!$C$6/('1.설계입력'!$C$8*'1.설계입력'!$C$15)-COS((1-'1.설계입력'!$C$15)*B234),SIN((1-'1.설계입력'!$C$15)*B234))</f>
        <v>0.70018345076858746</v>
      </c>
      <c r="D234" s="40">
        <f>'1.설계입력'!$C$6*COS(B234)-'1.설계입력'!$C$7*COS(B234+C234)-'1.설계입력'!$C$8*COS('1.설계입력'!$C$15*B234)</f>
        <v>55.70338307512943</v>
      </c>
      <c r="E234" s="40">
        <f>-'1.설계입력'!$C$6*SIN(B234)+'1.설계입력'!$C$7*SIN(B234+C234)+'1.설계입력'!$C$8*SIN('1.설계입력'!$C$15*B234)</f>
        <v>-53.987822518294379</v>
      </c>
      <c r="F234" s="40">
        <f>ATAN2(('1.설계입력'!$C$6+'1.설계입력'!$C$33)/('1.설계입력'!$C$8*'1.설계입력'!$C$15)-COS((1-'1.설계입력'!$C$15)*B234),SIN((1-'1.설계입력'!$C$15)*B234))</f>
        <v>0.70024172816316888</v>
      </c>
      <c r="G234" s="40">
        <f>('1.설계입력'!$C$6+'1.설계입력'!$C$33)*COS(B234)-('1.설계입력'!$C$7+'1.설계입력'!$C$34)*COS(B234+F234)-'1.설계입력'!$C$8*COS('1.설계입력'!$C$15*B234)</f>
        <v>55.700842196124185</v>
      </c>
      <c r="H234" s="40">
        <f>-('1.설계입력'!$C$6+'1.설계입력'!$C$33)*SIN(B234)+('1.설계입력'!$C$7+'1.설계입력'!$C$34)*SIN(B234+F234)+'1.설계입력'!$C$8*SIN('1.설계입력'!$C$15*B234)</f>
        <v>-53.97751283219538</v>
      </c>
      <c r="I234" s="40">
        <f t="shared" si="10"/>
        <v>77.572880997688031</v>
      </c>
      <c r="J234" s="40">
        <f t="shared" si="11"/>
        <v>77.563881497172034</v>
      </c>
      <c r="K234" s="38">
        <f>IF(OR(A234&gt;180,'1.설계입력'!$C$39&gt;=1),"",'1.설계입력'!$C$34*(1-SIN(B234)/SQRT(1+'1.설계입력'!$C$39^2-2*'1.설계입력'!$C$39*COS(B234)))-'1.설계입력'!$C$33*(1-'1.설계입력'!$C$39*COS(B234)-SQRT(MAX(0,1-'1.설계입력'!$C$39^2))*SIN(B234))/SQRT(1+'1.설계입력'!$C$39^2-2*'1.설계입력'!$C$39*COS(B234)))</f>
        <v>1.2721063899902179E-5</v>
      </c>
    </row>
    <row r="235" spans="1:11" x14ac:dyDescent="0.3">
      <c r="A235" s="40">
        <f>A234+'1.설계입력'!$C$12</f>
        <v>45.800000000000111</v>
      </c>
      <c r="B235" s="40">
        <f t="shared" si="9"/>
        <v>0.79936079741340482</v>
      </c>
      <c r="C235" s="40">
        <f>ATAN2('1.설계입력'!$C$6/('1.설계입력'!$C$8*'1.설계입력'!$C$15)-COS((1-'1.설계입력'!$C$15)*B235),SIN((1-'1.설계입력'!$C$15)*B235))</f>
        <v>0.54267331614610859</v>
      </c>
      <c r="D235" s="40">
        <f>'1.설계입력'!$C$6*COS(B235)-'1.설계입력'!$C$7*COS(B235+C235)-'1.설계입력'!$C$8*COS('1.설계입력'!$C$15*B235)</f>
        <v>54.988377658551386</v>
      </c>
      <c r="E235" s="40">
        <f>-'1.설계입력'!$C$6*SIN(B235)+'1.설계입력'!$C$7*SIN(B235+C235)+'1.설계입력'!$C$8*SIN('1.설계입력'!$C$15*B235)</f>
        <v>-54.095999584550967</v>
      </c>
      <c r="F235" s="40">
        <f>ATAN2(('1.설계입력'!$C$6+'1.설계입력'!$C$33)/('1.설계입력'!$C$8*'1.설계입력'!$C$15)-COS((1-'1.설계입력'!$C$15)*B235),SIN((1-'1.설계입력'!$C$15)*B235))</f>
        <v>0.54273108859188457</v>
      </c>
      <c r="G235" s="40">
        <f>('1.설계입력'!$C$6+'1.설계입력'!$C$33)*COS(B235)-('1.설계입력'!$C$7+'1.설계입력'!$C$34)*COS(B235+F235)-'1.설계입력'!$C$8*COS('1.설계입력'!$C$15*B235)</f>
        <v>54.984605118930737</v>
      </c>
      <c r="H235" s="40">
        <f>-('1.설계입력'!$C$6+'1.설계입력'!$C$33)*SIN(B235)+('1.설계입력'!$C$7+'1.설계입력'!$C$34)*SIN(B235+F235)+'1.설계입력'!$C$8*SIN('1.설계입력'!$C$15*B235)</f>
        <v>-54.085835679856963</v>
      </c>
      <c r="I235" s="40">
        <f t="shared" si="10"/>
        <v>77.136883840165666</v>
      </c>
      <c r="J235" s="40">
        <f t="shared" si="11"/>
        <v>77.127066722864754</v>
      </c>
      <c r="K235" s="38">
        <f>IF(OR(A235&gt;180,'1.설계입력'!$C$39&gt;=1),"",'1.설계입력'!$C$34*(1-SIN(B235)/SQRT(1+'1.설계입력'!$C$39^2-2*'1.설계입력'!$C$39*COS(B235)))-'1.설계입력'!$C$33*(1-'1.설계입력'!$C$39*COS(B235)-SQRT(MAX(0,1-'1.설계입력'!$C$39^2))*SIN(B235))/SQRT(1+'1.설계입력'!$C$39^2-2*'1.설계입력'!$C$39*COS(B235)))</f>
        <v>1.4675850756146749E-5</v>
      </c>
    </row>
    <row r="236" spans="1:11" x14ac:dyDescent="0.3">
      <c r="A236" s="40">
        <f>A235+'1.설계입력'!$C$12</f>
        <v>46.000000000000114</v>
      </c>
      <c r="B236" s="40">
        <f t="shared" si="9"/>
        <v>0.8028514559173936</v>
      </c>
      <c r="C236" s="40">
        <f>ATAN2('1.설계입력'!$C$6/('1.설계입력'!$C$8*'1.설계입력'!$C$15)-COS((1-'1.설계입력'!$C$15)*B236),SIN((1-'1.설계입력'!$C$15)*B236))</f>
        <v>0.27382563587825881</v>
      </c>
      <c r="D236" s="40">
        <f>'1.설계입력'!$C$6*COS(B236)-'1.설계입력'!$C$7*COS(B236+C236)-'1.설계입력'!$C$8*COS('1.설계입력'!$C$15*B236)</f>
        <v>53.915894027048864</v>
      </c>
      <c r="E236" s="40">
        <f>-'1.설계입력'!$C$6*SIN(B236)+'1.설계입력'!$C$7*SIN(B236+C236)+'1.설계입력'!$C$8*SIN('1.설계입력'!$C$15*B236)</f>
        <v>-54.50013517436647</v>
      </c>
      <c r="F236" s="40">
        <f>ATAN2(('1.설계입력'!$C$6+'1.설계입력'!$C$33)/('1.설계입력'!$C$8*'1.설계입력'!$C$15)-COS((1-'1.설계입력'!$C$15)*B236),SIN((1-'1.설계입력'!$C$15)*B236))</f>
        <v>0.27386178503591246</v>
      </c>
      <c r="G236" s="40">
        <f>('1.설계입력'!$C$6+'1.설계입력'!$C$33)*COS(B236)-('1.설계입력'!$C$7+'1.설계입력'!$C$34)*COS(B236+F236)-'1.설계입력'!$C$8*COS('1.설계입력'!$C$15*B236)</f>
        <v>53.910026669071968</v>
      </c>
      <c r="H236" s="40">
        <f>-('1.설계입력'!$C$6+'1.설계입력'!$C$33)*SIN(B236)+('1.설계입력'!$C$7+'1.설계입력'!$C$34)*SIN(B236+F236)+'1.설계입력'!$C$8*SIN('1.설계입력'!$C$15*B236)</f>
        <v>-54.490705375790533</v>
      </c>
      <c r="I236" s="40">
        <f t="shared" si="10"/>
        <v>76.662822559309546</v>
      </c>
      <c r="J236" s="40">
        <f t="shared" si="11"/>
        <v>76.651992458195494</v>
      </c>
      <c r="K236" s="38">
        <f>IF(OR(A236&gt;180,'1.설계입력'!$C$39&gt;=1),"",'1.설계입력'!$C$34*(1-SIN(B236)/SQRT(1+'1.설계입력'!$C$39^2-2*'1.설계입력'!$C$39*COS(B236)))-'1.설계입력'!$C$33*(1-'1.설계입력'!$C$39*COS(B236)-SQRT(MAX(0,1-'1.설계입력'!$C$39^2))*SIN(B236))/SQRT(1+'1.설계입력'!$C$39^2-2*'1.설계입력'!$C$39*COS(B236)))</f>
        <v>1.6762815108607563E-5</v>
      </c>
    </row>
    <row r="237" spans="1:11" x14ac:dyDescent="0.3">
      <c r="A237" s="40">
        <f>A236+'1.설계입력'!$C$12</f>
        <v>46.200000000000117</v>
      </c>
      <c r="B237" s="40">
        <f t="shared" si="9"/>
        <v>0.80634211442138226</v>
      </c>
      <c r="C237" s="40">
        <f>ATAN2('1.설계입력'!$C$6/('1.설계입력'!$C$8*'1.설계입력'!$C$15)-COS((1-'1.설계입력'!$C$15)*B237),SIN((1-'1.설계입력'!$C$15)*B237))</f>
        <v>-8.5342777046289259E-2</v>
      </c>
      <c r="D237" s="40">
        <f>'1.설계입력'!$C$6*COS(B237)-'1.설계입력'!$C$7*COS(B237+C237)-'1.설계입력'!$C$8*COS('1.설계입력'!$C$15*B237)</f>
        <v>52.747458723441142</v>
      </c>
      <c r="E237" s="40">
        <f>-'1.설계입력'!$C$6*SIN(B237)+'1.설계입력'!$C$7*SIN(B237+C237)+'1.설계입력'!$C$8*SIN('1.설계입력'!$C$15*B237)</f>
        <v>-55.429078865230316</v>
      </c>
      <c r="F237" s="40">
        <f>ATAN2(('1.설계입력'!$C$6+'1.설계입력'!$C$33)/('1.설계입력'!$C$8*'1.설계입력'!$C$15)-COS((1-'1.설계입력'!$C$15)*B237),SIN((1-'1.설계입력'!$C$15)*B237))</f>
        <v>-8.5354729899668941E-2</v>
      </c>
      <c r="G237" s="40">
        <f>('1.설계입력'!$C$6+'1.설계입력'!$C$33)*COS(B237)-('1.설계입력'!$C$7+'1.설계입력'!$C$34)*COS(B237+F237)-'1.설계입력'!$C$8*COS('1.설계입력'!$C$15*B237)</f>
        <v>52.739197167996174</v>
      </c>
      <c r="H237" s="40">
        <f>-('1.설계입력'!$C$6+'1.설계입력'!$C$33)*SIN(B237)+('1.설계입력'!$C$7+'1.설계입력'!$C$34)*SIN(B237+F237)+'1.설계입력'!$C$8*SIN('1.설계입력'!$C$15*B237)</f>
        <v>-55.421530296041979</v>
      </c>
      <c r="I237" s="40">
        <f t="shared" si="10"/>
        <v>76.515862313830382</v>
      </c>
      <c r="J237" s="40">
        <f t="shared" si="11"/>
        <v>76.504698798700431</v>
      </c>
      <c r="K237" s="38">
        <f>IF(OR(A237&gt;180,'1.설계입력'!$C$39&gt;=1),"",'1.설계입력'!$C$34*(1-SIN(B237)/SQRT(1+'1.설계입력'!$C$39^2-2*'1.설계입력'!$C$39*COS(B237)))-'1.설계입력'!$C$33*(1-'1.설계입력'!$C$39*COS(B237)-SQRT(MAX(0,1-'1.설계입력'!$C$39^2))*SIN(B237))/SQRT(1+'1.설계입력'!$C$39^2-2*'1.설계입력'!$C$39*COS(B237)))</f>
        <v>1.8980586068572766E-5</v>
      </c>
    </row>
    <row r="238" spans="1:11" x14ac:dyDescent="0.3">
      <c r="A238" s="40">
        <f>A237+'1.설계입력'!$C$12</f>
        <v>46.400000000000119</v>
      </c>
      <c r="B238" s="40">
        <f t="shared" si="9"/>
        <v>0.80983277292537104</v>
      </c>
      <c r="C238" s="40">
        <f>ATAN2('1.설계입력'!$C$6/('1.설계입력'!$C$8*'1.설계입력'!$C$15)-COS((1-'1.설계입력'!$C$15)*B238),SIN((1-'1.설계입력'!$C$15)*B238))</f>
        <v>-0.41290720168273182</v>
      </c>
      <c r="D238" s="40">
        <f>'1.설계입력'!$C$6*COS(B238)-'1.설계입력'!$C$7*COS(B238+C238)-'1.설계입력'!$C$8*COS('1.설계입력'!$C$15*B238)</f>
        <v>52.020997718780556</v>
      </c>
      <c r="E238" s="40">
        <f>-'1.설계입력'!$C$6*SIN(B238)+'1.설계입력'!$C$7*SIN(B238+C238)+'1.설계입력'!$C$8*SIN('1.설계입력'!$C$15*B238)</f>
        <v>-56.592197199236196</v>
      </c>
      <c r="F238" s="40">
        <f>ATAN2(('1.설계입력'!$C$6+'1.설계입력'!$C$33)/('1.설계입력'!$C$8*'1.설계입력'!$C$15)-COS((1-'1.설계입력'!$C$15)*B238),SIN((1-'1.설계입력'!$C$15)*B238))</f>
        <v>-0.41295709323878166</v>
      </c>
      <c r="G238" s="40">
        <f>('1.설계입력'!$C$6+'1.설계입력'!$C$33)*COS(B238)-('1.설계입력'!$C$7+'1.설계입력'!$C$34)*COS(B238+F238)-'1.설계입력'!$C$8*COS('1.설계입력'!$C$15*B238)</f>
        <v>52.011312340892978</v>
      </c>
      <c r="H238" s="40">
        <f>-('1.설계입력'!$C$6+'1.설계입력'!$C$33)*SIN(B238)+('1.설계입력'!$C$7+'1.설계입력'!$C$34)*SIN(B238+F238)+'1.설계입력'!$C$8*SIN('1.설계입력'!$C$15*B238)</f>
        <v>-56.587005355184424</v>
      </c>
      <c r="I238" s="40">
        <f t="shared" si="10"/>
        <v>76.869115953642975</v>
      </c>
      <c r="J238" s="40">
        <f t="shared" si="11"/>
        <v>76.858739167967087</v>
      </c>
      <c r="K238" s="38">
        <f>IF(OR(A238&gt;180,'1.설계입력'!$C$39&gt;=1),"",'1.설계입력'!$C$34*(1-SIN(B238)/SQRT(1+'1.설계입력'!$C$39^2-2*'1.설계입력'!$C$39*COS(B238)))-'1.설계입력'!$C$33*(1-'1.설계입력'!$C$39*COS(B238)-SQRT(MAX(0,1-'1.설계입력'!$C$39^2))*SIN(B238))/SQRT(1+'1.설계입력'!$C$39^2-2*'1.설계입력'!$C$39*COS(B238)))</f>
        <v>2.132781398918479E-5</v>
      </c>
    </row>
    <row r="239" spans="1:11" x14ac:dyDescent="0.3">
      <c r="A239" s="40">
        <f>A238+'1.설계입력'!$C$12</f>
        <v>46.600000000000122</v>
      </c>
      <c r="B239" s="40">
        <f t="shared" si="9"/>
        <v>0.8133234314293597</v>
      </c>
      <c r="C239" s="40">
        <f>ATAN2('1.설계입력'!$C$6/('1.설계입력'!$C$8*'1.설계입력'!$C$15)-COS((1-'1.설계입력'!$C$15)*B239),SIN((1-'1.설계입력'!$C$15)*B239))</f>
        <v>-0.62735856662396583</v>
      </c>
      <c r="D239" s="40">
        <f>'1.설계입력'!$C$6*COS(B239)-'1.설계입력'!$C$7*COS(B239+C239)-'1.설계입력'!$C$8*COS('1.설계입력'!$C$15*B239)</f>
        <v>51.752585927449644</v>
      </c>
      <c r="E239" s="40">
        <f>-'1.설계입력'!$C$6*SIN(B239)+'1.설계입력'!$C$7*SIN(B239+C239)+'1.설계입력'!$C$8*SIN('1.설계입력'!$C$15*B239)</f>
        <v>-57.491352556766287</v>
      </c>
      <c r="F239" s="40">
        <f>ATAN2(('1.설계입력'!$C$6+'1.설계입력'!$C$33)/('1.설계입력'!$C$8*'1.설계입력'!$C$15)-COS((1-'1.설계입력'!$C$15)*B239),SIN((1-'1.설계입력'!$C$15)*B239))</f>
        <v>-0.62741810599371195</v>
      </c>
      <c r="G239" s="40">
        <f>('1.설계입력'!$C$6+'1.설계입력'!$C$33)*COS(B239)-('1.설계입력'!$C$7+'1.설계입력'!$C$34)*COS(B239+F239)-'1.설계입력'!$C$8*COS('1.설계입력'!$C$15*B239)</f>
        <v>51.742451497580305</v>
      </c>
      <c r="H239" s="40">
        <f>-('1.설계입력'!$C$6+'1.설계입력'!$C$33)*SIN(B239)+('1.설계입력'!$C$7+'1.설계입력'!$C$34)*SIN(B239+F239)+'1.설계입력'!$C$8*SIN('1.설계입력'!$C$15*B239)</f>
        <v>-57.487837053523251</v>
      </c>
      <c r="I239" s="40">
        <f t="shared" si="10"/>
        <v>77.353640954931507</v>
      </c>
      <c r="J239" s="40">
        <f t="shared" si="11"/>
        <v>77.344247983104026</v>
      </c>
      <c r="K239" s="38">
        <f>IF(OR(A239&gt;180,'1.설계입력'!$C$39&gt;=1),"",'1.설계입력'!$C$34*(1-SIN(B239)/SQRT(1+'1.설계입력'!$C$39^2-2*'1.설계입력'!$C$39*COS(B239)))-'1.설계입력'!$C$33*(1-'1.설계입력'!$C$39*COS(B239)-SQRT(MAX(0,1-'1.설계입력'!$C$39^2))*SIN(B239))/SQRT(1+'1.설계입력'!$C$39^2-2*'1.설계입력'!$C$39*COS(B239)))</f>
        <v>2.3803170074085842E-5</v>
      </c>
    </row>
    <row r="240" spans="1:11" x14ac:dyDescent="0.3">
      <c r="A240" s="40">
        <f>A239+'1.설계입력'!$C$12</f>
        <v>46.800000000000125</v>
      </c>
      <c r="B240" s="40">
        <f t="shared" si="9"/>
        <v>0.81681408993334836</v>
      </c>
      <c r="C240" s="40">
        <f>ATAN2('1.설계입력'!$C$6/('1.설계입력'!$C$8*'1.설계입력'!$C$15)-COS((1-'1.설계입력'!$C$15)*B240),SIN((1-'1.설계입력'!$C$15)*B240))</f>
        <v>-0.74479458536852483</v>
      </c>
      <c r="D240" s="40">
        <f>'1.설계입력'!$C$6*COS(B240)-'1.설계입력'!$C$7*COS(B240+C240)-'1.설계입력'!$C$8*COS('1.설계입력'!$C$15*B240)</f>
        <v>51.679706329609395</v>
      </c>
      <c r="E240" s="40">
        <f>-'1.설계입력'!$C$6*SIN(B240)+'1.설계입력'!$C$7*SIN(B240+C240)+'1.설계입력'!$C$8*SIN('1.설계입력'!$C$15*B240)</f>
        <v>-58.061013625555233</v>
      </c>
      <c r="F240" s="40">
        <f>ATAN2(('1.설계입력'!$C$6+'1.설계입력'!$C$33)/('1.설계입력'!$C$8*'1.설계입력'!$C$15)-COS((1-'1.설계입력'!$C$15)*B240),SIN((1-'1.설계입력'!$C$15)*B240))</f>
        <v>-0.74485034012884666</v>
      </c>
      <c r="G240" s="40">
        <f>('1.설계입력'!$C$6+'1.설계입력'!$C$33)*COS(B240)-('1.설계입력'!$C$7+'1.설계입력'!$C$34)*COS(B240+F240)-'1.설계입력'!$C$8*COS('1.설계입력'!$C$15*B240)</f>
        <v>51.669489156956566</v>
      </c>
      <c r="H240" s="40">
        <f>-('1.설계입력'!$C$6+'1.설계입력'!$C$33)*SIN(B240)+('1.설계입력'!$C$7+'1.설계입력'!$C$34)*SIN(B240+F240)+'1.설계입력'!$C$8*SIN('1.설계입력'!$C$15*B240)</f>
        <v>-58.058393860790552</v>
      </c>
      <c r="I240" s="40">
        <f t="shared" si="10"/>
        <v>77.72948828817529</v>
      </c>
      <c r="J240" s="40">
        <f t="shared" si="11"/>
        <v>77.720738592962007</v>
      </c>
      <c r="K240" s="38">
        <f>IF(OR(A240&gt;180,'1.설계입력'!$C$39&gt;=1),"",'1.설계입력'!$C$34*(1-SIN(B240)/SQRT(1+'1.설계입력'!$C$39^2-2*'1.설계입력'!$C$39*COS(B240)))-'1.설계입력'!$C$33*(1-'1.설계입력'!$C$39*COS(B240)-SQRT(MAX(0,1-'1.설계입력'!$C$39^2))*SIN(B240))/SQRT(1+'1.설계입력'!$C$39^2-2*'1.설계입력'!$C$39*COS(B240)))</f>
        <v>2.6405345993925007E-5</v>
      </c>
    </row>
    <row r="241" spans="1:11" x14ac:dyDescent="0.3">
      <c r="A241" s="40">
        <f>A240+'1.설계입력'!$C$12</f>
        <v>47.000000000000128</v>
      </c>
      <c r="B241" s="40">
        <f t="shared" si="9"/>
        <v>0.82030474843733714</v>
      </c>
      <c r="C241" s="40">
        <f>ATAN2('1.설계입력'!$C$6/('1.설계입력'!$C$8*'1.설계입력'!$C$15)-COS((1-'1.설계입력'!$C$15)*B241),SIN((1-'1.설계입력'!$C$15)*B241))</f>
        <v>-0.80091285278223834</v>
      </c>
      <c r="D241" s="40">
        <f>'1.설계입력'!$C$6*COS(B241)-'1.설계입력'!$C$7*COS(B241+C241)-'1.설계입력'!$C$8*COS('1.설계입력'!$C$15*B241)</f>
        <v>51.66414532629058</v>
      </c>
      <c r="E241" s="40">
        <f>-'1.설계입력'!$C$6*SIN(B241)+'1.설계입력'!$C$7*SIN(B241+C241)+'1.설계입력'!$C$8*SIN('1.설계입력'!$C$15*B241)</f>
        <v>-58.41622918203354</v>
      </c>
      <c r="F241" s="40">
        <f>ATAN2(('1.설계입력'!$C$6+'1.설계입력'!$C$33)/('1.설계입력'!$C$8*'1.설계입력'!$C$15)-COS((1-'1.설계입력'!$C$15)*B241),SIN((1-'1.설계입력'!$C$15)*B241))</f>
        <v>-0.80096175867780051</v>
      </c>
      <c r="G241" s="40">
        <f>('1.설계입력'!$C$6+'1.설계입력'!$C$33)*COS(B241)-('1.설계입력'!$C$7+'1.설계입력'!$C$34)*COS(B241+F241)-'1.설계입력'!$C$8*COS('1.설계입력'!$C$15*B241)</f>
        <v>51.653928858148042</v>
      </c>
      <c r="H241" s="40">
        <f>-('1.설계입력'!$C$6+'1.설계입력'!$C$33)*SIN(B241)+('1.설계입력'!$C$7+'1.설계입력'!$C$34)*SIN(B241+F241)+'1.설계입력'!$C$8*SIN('1.설계입력'!$C$15*B241)</f>
        <v>-58.414000904005903</v>
      </c>
      <c r="I241" s="40">
        <f t="shared" si="10"/>
        <v>77.984868687098142</v>
      </c>
      <c r="J241" s="40">
        <f t="shared" si="11"/>
        <v>77.97643149116162</v>
      </c>
      <c r="K241" s="38">
        <f>IF(OR(A241&gt;180,'1.설계입력'!$C$39&gt;=1),"",'1.설계입력'!$C$34*(1-SIN(B241)/SQRT(1+'1.설계입력'!$C$39^2-2*'1.설계입력'!$C$39*COS(B241)))-'1.설계입력'!$C$33*(1-'1.설계입력'!$C$39*COS(B241)-SQRT(MAX(0,1-'1.설계입력'!$C$39^2))*SIN(B241))/SQRT(1+'1.설계입력'!$C$39^2-2*'1.설계입력'!$C$39*COS(B241)))</f>
        <v>2.9133053510488718E-5</v>
      </c>
    </row>
    <row r="242" spans="1:11" x14ac:dyDescent="0.3">
      <c r="A242" s="40">
        <f>A241+'1.설계입력'!$C$12</f>
        <v>47.200000000000131</v>
      </c>
      <c r="B242" s="40">
        <f t="shared" si="9"/>
        <v>0.8237954069413258</v>
      </c>
      <c r="C242" s="40">
        <f>ATAN2('1.설계입력'!$C$6/('1.설계입력'!$C$8*'1.설계입력'!$C$15)-COS((1-'1.설계입력'!$C$15)*B242),SIN((1-'1.설계입력'!$C$15)*B242))</f>
        <v>-0.8200207428763604</v>
      </c>
      <c r="D242" s="40">
        <f>'1.설계입력'!$C$6*COS(B242)-'1.설계입력'!$C$7*COS(B242+C242)-'1.설계입력'!$C$8*COS('1.설계입력'!$C$15*B242)</f>
        <v>51.661866200534369</v>
      </c>
      <c r="E242" s="40">
        <f>-'1.설계입력'!$C$6*SIN(B242)+'1.설계입력'!$C$7*SIN(B242+C242)+'1.설계입력'!$C$8*SIN('1.설계입력'!$C$15*B242)</f>
        <v>-58.651664028301951</v>
      </c>
      <c r="F242" s="40">
        <f>ATAN2(('1.설계입력'!$C$6+'1.설계입력'!$C$33)/('1.설계입력'!$C$8*'1.설계입력'!$C$15)-COS((1-'1.설계입력'!$C$15)*B242),SIN((1-'1.설계입력'!$C$15)*B242))</f>
        <v>-0.82006301553603311</v>
      </c>
      <c r="G242" s="40">
        <f>('1.설계입력'!$C$6+'1.설계입력'!$C$33)*COS(B242)-('1.설계입력'!$C$7+'1.설계입력'!$C$34)*COS(B242+F242)-'1.설계입력'!$C$8*COS('1.설계입력'!$C$15*B242)</f>
        <v>51.6516593542257</v>
      </c>
      <c r="H242" s="40">
        <f>-('1.설계입력'!$C$6+'1.설계입력'!$C$33)*SIN(B242)+('1.설계입력'!$C$7+'1.설계입력'!$C$34)*SIN(B242+F242)+'1.설계입력'!$C$8*SIN('1.설계입력'!$C$15*B242)</f>
        <v>-58.649528322869322</v>
      </c>
      <c r="I242" s="40">
        <f t="shared" si="10"/>
        <v>78.159875336458441</v>
      </c>
      <c r="J242" s="40">
        <f t="shared" si="11"/>
        <v>78.151526450479665</v>
      </c>
      <c r="K242" s="38">
        <f>IF(OR(A242&gt;180,'1.설계입력'!$C$39&gt;=1),"",'1.설계입력'!$C$34*(1-SIN(B242)/SQRT(1+'1.설계입력'!$C$39^2-2*'1.설계입력'!$C$39*COS(B242)))-'1.설계입력'!$C$33*(1-'1.설계입력'!$C$39*COS(B242)-SQRT(MAX(0,1-'1.설계입력'!$C$39^2))*SIN(B242))/SQRT(1+'1.설계입력'!$C$39^2-2*'1.설계입력'!$C$39*COS(B242)))</f>
        <v>3.1985024108328574E-5</v>
      </c>
    </row>
    <row r="243" spans="1:11" x14ac:dyDescent="0.3">
      <c r="A243" s="40">
        <f>A242+'1.설계입력'!$C$12</f>
        <v>47.400000000000134</v>
      </c>
      <c r="B243" s="40">
        <f t="shared" si="9"/>
        <v>0.82728606544531458</v>
      </c>
      <c r="C243" s="40">
        <f>ATAN2('1.설계입력'!$C$6/('1.설계입력'!$C$8*'1.설계입력'!$C$15)-COS((1-'1.설계입력'!$C$15)*B243),SIN((1-'1.설계입력'!$C$15)*B243))</f>
        <v>-0.81613895239499223</v>
      </c>
      <c r="D243" s="40">
        <f>'1.설계입력'!$C$6*COS(B243)-'1.설계입력'!$C$7*COS(B243+C243)-'1.설계입력'!$C$8*COS('1.설계입력'!$C$15*B243)</f>
        <v>51.660870722565029</v>
      </c>
      <c r="E243" s="40">
        <f>-'1.설계입력'!$C$6*SIN(B243)+'1.설계입력'!$C$7*SIN(B243+C243)+'1.설계입력'!$C$8*SIN('1.설계입력'!$C$15*B243)</f>
        <v>-58.823590771971858</v>
      </c>
      <c r="F243" s="40">
        <f>ATAN2(('1.설계입력'!$C$6+'1.설계입력'!$C$33)/('1.설계입력'!$C$8*'1.설계입력'!$C$15)-COS((1-'1.설계입력'!$C$15)*B243),SIN((1-'1.설계입력'!$C$15)*B243))</f>
        <v>-0.8161755090473416</v>
      </c>
      <c r="G243" s="40">
        <f>('1.설계입력'!$C$6+'1.설계입력'!$C$33)*COS(B243)-('1.설계입력'!$C$7+'1.설계입력'!$C$34)*COS(B243+F243)-'1.설계입력'!$C$8*COS('1.설계입력'!$C$15*B243)</f>
        <v>51.650671279705769</v>
      </c>
      <c r="H243" s="40">
        <f>-('1.설계입력'!$C$6+'1.설계입력'!$C$33)*SIN(B243)+('1.설계입력'!$C$7+'1.설계입력'!$C$34)*SIN(B243+F243)+'1.설계입력'!$C$8*SIN('1.설계입력'!$C$15*B243)</f>
        <v>-58.821365094900855</v>
      </c>
      <c r="I243" s="40">
        <f t="shared" si="10"/>
        <v>78.288315827599646</v>
      </c>
      <c r="J243" s="40">
        <f t="shared" si="11"/>
        <v>78.279913357590289</v>
      </c>
      <c r="K243" s="38">
        <f>IF(OR(A243&gt;180,'1.설계입력'!$C$39&gt;=1),"",'1.설계입력'!$C$34*(1-SIN(B243)/SQRT(1+'1.설계입력'!$C$39^2-2*'1.설계입력'!$C$39*COS(B243)))-'1.설계입력'!$C$33*(1-'1.설계입력'!$C$39*COS(B243)-SQRT(MAX(0,1-'1.설계입력'!$C$39^2))*SIN(B243))/SQRT(1+'1.설계입력'!$C$39^2-2*'1.설계입력'!$C$39*COS(B243)))</f>
        <v>3.4960008633781492E-5</v>
      </c>
    </row>
    <row r="244" spans="1:11" x14ac:dyDescent="0.3">
      <c r="A244" s="40">
        <f>A243+'1.설계입력'!$C$12</f>
        <v>47.600000000000136</v>
      </c>
      <c r="B244" s="40">
        <f t="shared" si="9"/>
        <v>0.83077672394930324</v>
      </c>
      <c r="C244" s="40">
        <f>ATAN2('1.설계입력'!$C$6/('1.설계입력'!$C$8*'1.설계입력'!$C$15)-COS((1-'1.설계입력'!$C$15)*B244),SIN((1-'1.설계입력'!$C$15)*B244))</f>
        <v>-0.79733184953434166</v>
      </c>
      <c r="D244" s="40">
        <f>'1.설계입력'!$C$6*COS(B244)-'1.설계입력'!$C$7*COS(B244+C244)-'1.설계입력'!$C$8*COS('1.설계입력'!$C$15*B244)</f>
        <v>51.657915535992572</v>
      </c>
      <c r="E244" s="40">
        <f>-'1.설계입력'!$C$6*SIN(B244)+'1.설계입력'!$C$7*SIN(B244+C244)+'1.설계입력'!$C$8*SIN('1.설계입력'!$C$15*B244)</f>
        <v>-58.964139782911431</v>
      </c>
      <c r="F244" s="40">
        <f>ATAN2(('1.설계입력'!$C$6+'1.설계입력'!$C$33)/('1.설계입력'!$C$8*'1.설계입력'!$C$15)-COS((1-'1.설계입력'!$C$15)*B244),SIN((1-'1.설계입력'!$C$15)*B244))</f>
        <v>-0.79736360604074497</v>
      </c>
      <c r="G244" s="40">
        <f>('1.설계입력'!$C$6+'1.설계입력'!$C$33)*COS(B244)-('1.설계입력'!$C$7+'1.설계입력'!$C$34)*COS(B244+F244)-'1.설계입력'!$C$8*COS('1.설계입력'!$C$15*B244)</f>
        <v>51.64772547417634</v>
      </c>
      <c r="H244" s="40">
        <f>-('1.설계입력'!$C$6+'1.설계입력'!$C$33)*SIN(B244)+('1.설계입력'!$C$7+'1.설계입력'!$C$34)*SIN(B244+F244)+'1.설계입력'!$C$8*SIN('1.설계입력'!$C$15*B244)</f>
        <v>-58.961706930514076</v>
      </c>
      <c r="I244" s="40">
        <f t="shared" si="10"/>
        <v>78.39202776980872</v>
      </c>
      <c r="J244" s="40">
        <f t="shared" si="11"/>
        <v>78.383483150570157</v>
      </c>
      <c r="K244" s="38">
        <f>IF(OR(A244&gt;180,'1.설계입력'!$C$39&gt;=1),"",'1.설계입력'!$C$34*(1-SIN(B244)/SQRT(1+'1.설계입력'!$C$39^2-2*'1.설계입력'!$C$39*COS(B244)))-'1.설계입력'!$C$33*(1-'1.설계입력'!$C$39*COS(B244)-SQRT(MAX(0,1-'1.설계입력'!$C$39^2))*SIN(B244))/SQRT(1+'1.설계입력'!$C$39^2-2*'1.설계입력'!$C$39*COS(B244)))</f>
        <v>3.8056776941121739E-5</v>
      </c>
    </row>
    <row r="245" spans="1:11" x14ac:dyDescent="0.3">
      <c r="A245" s="40">
        <f>A244+'1.설계입력'!$C$12</f>
        <v>47.800000000000139</v>
      </c>
      <c r="B245" s="40">
        <f t="shared" si="9"/>
        <v>0.83426738245329191</v>
      </c>
      <c r="C245" s="40">
        <f>ATAN2('1.설계입력'!$C$6/('1.설계입력'!$C$8*'1.설계입력'!$C$15)-COS((1-'1.설계입력'!$C$15)*B245),SIN((1-'1.설계입력'!$C$15)*B245))</f>
        <v>-0.76841236863220974</v>
      </c>
      <c r="D245" s="40">
        <f>'1.설계입력'!$C$6*COS(B245)-'1.설계입력'!$C$7*COS(B245+C245)-'1.설계입력'!$C$8*COS('1.설계입력'!$C$15*B245)</f>
        <v>51.651668845994145</v>
      </c>
      <c r="E245" s="40">
        <f>-'1.설계입력'!$C$6*SIN(B245)+'1.설계입력'!$C$7*SIN(B245+C245)+'1.설계입력'!$C$8*SIN('1.설계입력'!$C$15*B245)</f>
        <v>-59.091971420748678</v>
      </c>
      <c r="F245" s="40">
        <f>ATAN2(('1.설계입력'!$C$6+'1.설계입력'!$C$33)/('1.설계입력'!$C$8*'1.설계입력'!$C$15)-COS((1-'1.설계입력'!$C$15)*B245),SIN((1-'1.설계입력'!$C$15)*B245))</f>
        <v>-0.76844008839014</v>
      </c>
      <c r="G245" s="40">
        <f>('1.설계입력'!$C$6+'1.설계입력'!$C$33)*COS(B245)-('1.설계입력'!$C$7+'1.설계입력'!$C$34)*COS(B245+F245)-'1.설계입력'!$C$8*COS('1.설계입력'!$C$15*B245)</f>
        <v>51.641496760293229</v>
      </c>
      <c r="H245" s="40">
        <f>-('1.설계입력'!$C$6+'1.설계입력'!$C$33)*SIN(B245)+('1.설계입력'!$C$7+'1.설계입력'!$C$34)*SIN(B245+F245)+'1.설계입력'!$C$8*SIN('1.설계입력'!$C$15*B245)</f>
        <v>-59.089252749200611</v>
      </c>
      <c r="I245" s="40">
        <f t="shared" si="10"/>
        <v>78.484112920812322</v>
      </c>
      <c r="J245" s="40">
        <f t="shared" si="11"/>
        <v>78.475371793335825</v>
      </c>
      <c r="K245" s="38">
        <f>IF(OR(A245&gt;180,'1.설계입력'!$C$39&gt;=1),"",'1.설계입력'!$C$34*(1-SIN(B245)/SQRT(1+'1.설계입력'!$C$39^2-2*'1.설계입력'!$C$39*COS(B245)))-'1.설계입력'!$C$33*(1-'1.설계입력'!$C$39*COS(B245)-SQRT(MAX(0,1-'1.설계입력'!$C$39^2))*SIN(B245))/SQRT(1+'1.설계입력'!$C$39^2-2*'1.설계입력'!$C$39*COS(B245)))</f>
        <v>4.1274117545821768E-5</v>
      </c>
    </row>
    <row r="246" spans="1:11" x14ac:dyDescent="0.3">
      <c r="A246" s="40">
        <f>A245+'1.설계입력'!$C$12</f>
        <v>48.000000000000142</v>
      </c>
      <c r="B246" s="40">
        <f t="shared" si="9"/>
        <v>0.83775804095728068</v>
      </c>
      <c r="C246" s="40">
        <f>ATAN2('1.설계입력'!$C$6/('1.설계입력'!$C$8*'1.설계입력'!$C$15)-COS((1-'1.설계입력'!$C$15)*B246),SIN((1-'1.설계입력'!$C$15)*B246))</f>
        <v>-0.73238231098208117</v>
      </c>
      <c r="D246" s="40">
        <f>'1.설계입력'!$C$6*COS(B246)-'1.설계입력'!$C$7*COS(B246+C246)-'1.설계입력'!$C$8*COS('1.설계입력'!$C$15*B246)</f>
        <v>51.640897267999463</v>
      </c>
      <c r="E246" s="40">
        <f>-'1.설계입력'!$C$6*SIN(B246)+'1.설계입력'!$C$7*SIN(B246+C246)+'1.설계입력'!$C$8*SIN('1.설계입력'!$C$15*B246)</f>
        <v>-59.218114295117658</v>
      </c>
      <c r="F246" s="40">
        <f>ATAN2(('1.설계입력'!$C$6+'1.설계입력'!$C$33)/('1.설계입력'!$C$8*'1.설계입력'!$C$15)-COS((1-'1.설계입력'!$C$15)*B246),SIN((1-'1.설계입력'!$C$15)*B246))</f>
        <v>-0.73240659969068744</v>
      </c>
      <c r="G246" s="40">
        <f>('1.설계입력'!$C$6+'1.설계입력'!$C$33)*COS(B246)-('1.설계입력'!$C$7+'1.설계입력'!$C$34)*COS(B246+F246)-'1.설계입력'!$C$8*COS('1.설계입력'!$C$15*B246)</f>
        <v>51.630757654558799</v>
      </c>
      <c r="H246" s="40">
        <f>-('1.설계입력'!$C$6+'1.설계입력'!$C$33)*SIN(B246)+('1.설계입력'!$C$7+'1.설계입력'!$C$34)*SIN(B246+F246)+'1.설계입력'!$C$8*SIN('1.설계입력'!$C$15*B246)</f>
        <v>-59.215055393198931</v>
      </c>
      <c r="I246" s="40">
        <f t="shared" si="10"/>
        <v>78.572051846147502</v>
      </c>
      <c r="J246" s="40">
        <f t="shared" si="11"/>
        <v>78.563082431911994</v>
      </c>
      <c r="K246" s="38">
        <f>IF(OR(A246&gt;180,'1.설계입력'!$C$39&gt;=1),"",'1.설계입력'!$C$34*(1-SIN(B246)/SQRT(1+'1.설계입력'!$C$39^2-2*'1.설계입력'!$C$39*COS(B246)))-'1.설계입력'!$C$33*(1-'1.설계입력'!$C$39*COS(B246)-SQRT(MAX(0,1-'1.설계입력'!$C$39^2))*SIN(B246))/SQRT(1+'1.설계입력'!$C$39^2-2*'1.설계입력'!$C$39*COS(B246)))</f>
        <v>4.4610837284674856E-5</v>
      </c>
    </row>
    <row r="247" spans="1:11" x14ac:dyDescent="0.3">
      <c r="A247" s="40">
        <f>A246+'1.설계입력'!$C$12</f>
        <v>48.200000000000145</v>
      </c>
      <c r="B247" s="40">
        <f t="shared" si="9"/>
        <v>0.84124869946126934</v>
      </c>
      <c r="C247" s="40">
        <f>ATAN2('1.설계입력'!$C$6/('1.설계입력'!$C$8*'1.설계입력'!$C$15)-COS((1-'1.설계입력'!$C$15)*B247),SIN((1-'1.설계입력'!$C$15)*B247))</f>
        <v>-0.691194227372945</v>
      </c>
      <c r="D247" s="40">
        <f>'1.설계입력'!$C$6*COS(B247)-'1.설계입력'!$C$7*COS(B247+C247)-'1.설계입력'!$C$8*COS('1.설계입력'!$C$15*B247)</f>
        <v>51.624103028395751</v>
      </c>
      <c r="E247" s="40">
        <f>-'1.설계입력'!$C$6*SIN(B247)+'1.설계입력'!$C$7*SIN(B247+C247)+'1.설계입력'!$C$8*SIN('1.설계입력'!$C$15*B247)</f>
        <v>-59.349047872875424</v>
      </c>
      <c r="F247" s="40">
        <f>ATAN2(('1.설계입력'!$C$6+'1.설계입력'!$C$33)/('1.설계입력'!$C$8*'1.설계입력'!$C$15)-COS((1-'1.설계입력'!$C$15)*B247),SIN((1-'1.설계입력'!$C$15)*B247))</f>
        <v>-0.69121555993700601</v>
      </c>
      <c r="G247" s="40">
        <f>('1.설계입력'!$C$6+'1.설계입력'!$C$33)*COS(B247)-('1.설계입력'!$C$7+'1.설계입력'!$C$34)*COS(B247+F247)-'1.설계입력'!$C$8*COS('1.설계입력'!$C$15*B247)</f>
        <v>51.614015016834685</v>
      </c>
      <c r="H247" s="40">
        <f>-('1.설계입력'!$C$6+'1.설계입력'!$C$33)*SIN(B247)+('1.설계입력'!$C$7+'1.설계입력'!$C$34)*SIN(B247+F247)+'1.설계입력'!$C$8*SIN('1.설계입력'!$C$15*B247)</f>
        <v>-59.345610554518835</v>
      </c>
      <c r="I247" s="40">
        <f t="shared" si="10"/>
        <v>78.659757798402083</v>
      </c>
      <c r="J247" s="40">
        <f t="shared" si="11"/>
        <v>78.650543788626493</v>
      </c>
      <c r="K247" s="38">
        <f>IF(OR(A247&gt;180,'1.설계입력'!$C$39&gt;=1),"",'1.설계입력'!$C$34*(1-SIN(B247)/SQRT(1+'1.설계입력'!$C$39^2-2*'1.설계입력'!$C$39*COS(B247)))-'1.설계입력'!$C$33*(1-'1.설계입력'!$C$39*COS(B247)-SQRT(MAX(0,1-'1.설계입력'!$C$39^2))*SIN(B247))/SQRT(1+'1.설계입력'!$C$39^2-2*'1.설계입력'!$C$39*COS(B247)))</f>
        <v>4.8065760982697837E-5</v>
      </c>
    </row>
    <row r="248" spans="1:11" x14ac:dyDescent="0.3">
      <c r="A248" s="40">
        <f>A247+'1.설계입력'!$C$12</f>
        <v>48.400000000000148</v>
      </c>
      <c r="B248" s="40">
        <f t="shared" si="9"/>
        <v>0.84473935796525812</v>
      </c>
      <c r="C248" s="40">
        <f>ATAN2('1.설계입력'!$C$6/('1.설계입력'!$C$8*'1.설계입력'!$C$15)-COS((1-'1.설계입력'!$C$15)*B248),SIN((1-'1.설계입력'!$C$15)*B248))</f>
        <v>-0.64616706943043745</v>
      </c>
      <c r="D248" s="40">
        <f>'1.설계입력'!$C$6*COS(B248)-'1.설계입력'!$C$7*COS(B248+C248)-'1.설계입력'!$C$8*COS('1.설계입력'!$C$15*B248)</f>
        <v>51.599562252543187</v>
      </c>
      <c r="E248" s="40">
        <f>-'1.설계입력'!$C$6*SIN(B248)+'1.설계입력'!$C$7*SIN(B248+C248)+'1.설계입력'!$C$8*SIN('1.설계입력'!$C$15*B248)</f>
        <v>-59.488376359188081</v>
      </c>
      <c r="F248" s="40">
        <f>ATAN2(('1.설계입력'!$C$6+'1.설계입력'!$C$33)/('1.설계입력'!$C$8*'1.설계입력'!$C$15)-COS((1-'1.설계입력'!$C$15)*B248),SIN((1-'1.설계입력'!$C$15)*B248))</f>
        <v>-0.64618581867624758</v>
      </c>
      <c r="G248" s="40">
        <f>('1.설계입력'!$C$6+'1.설계입력'!$C$33)*COS(B248)-('1.설계입력'!$C$7+'1.설계입력'!$C$34)*COS(B248+F248)-'1.설계입력'!$C$8*COS('1.설계입력'!$C$15*B248)</f>
        <v>51.5895484286768</v>
      </c>
      <c r="H248" s="40">
        <f>-('1.설계입력'!$C$6+'1.설계입력'!$C$33)*SIN(B248)+('1.설계입력'!$C$7+'1.설계입력'!$C$34)*SIN(B248+F248)+'1.설계입력'!$C$8*SIN('1.설계입력'!$C$15*B248)</f>
        <v>-59.484533971365515</v>
      </c>
      <c r="I248" s="40">
        <f t="shared" si="10"/>
        <v>78.748852350408811</v>
      </c>
      <c r="J248" s="40">
        <f t="shared" si="11"/>
        <v>78.739388420696585</v>
      </c>
      <c r="K248" s="38">
        <f>IF(OR(A248&gt;180,'1.설계입력'!$C$39&gt;=1),"",'1.설계입력'!$C$34*(1-SIN(B248)/SQRT(1+'1.설계입력'!$C$39^2-2*'1.설계입력'!$C$39*COS(B248)))-'1.설계입력'!$C$33*(1-'1.설계입력'!$C$39*COS(B248)-SQRT(MAX(0,1-'1.설계입력'!$C$39^2))*SIN(B248))/SQRT(1+'1.설계입력'!$C$39^2-2*'1.설계입력'!$C$39*COS(B248)))</f>
        <v>5.1637731126645954E-5</v>
      </c>
    </row>
    <row r="249" spans="1:11" x14ac:dyDescent="0.3">
      <c r="A249" s="40">
        <f>A248+'1.설계입력'!$C$12</f>
        <v>48.600000000000151</v>
      </c>
      <c r="B249" s="40">
        <f t="shared" si="9"/>
        <v>0.84823001646924678</v>
      </c>
      <c r="C249" s="40">
        <f>ATAN2('1.설계입력'!$C$6/('1.설계입력'!$C$8*'1.설계입력'!$C$15)-COS((1-'1.설계입력'!$C$15)*B249),SIN((1-'1.설계입력'!$C$15)*B249))</f>
        <v>-0.59822213579551953</v>
      </c>
      <c r="D249" s="40">
        <f>'1.설계입력'!$C$6*COS(B249)-'1.설계입력'!$C$7*COS(B249+C249)-'1.설계입력'!$C$8*COS('1.설계입력'!$C$15*B249)</f>
        <v>51.565456560219111</v>
      </c>
      <c r="E249" s="40">
        <f>-'1.설계입력'!$C$6*SIN(B249)+'1.설계입력'!$C$7*SIN(B249+C249)+'1.설계입력'!$C$8*SIN('1.설계입력'!$C$15*B249)</f>
        <v>-59.637783451541218</v>
      </c>
      <c r="F249" s="40">
        <f>ATAN2(('1.설계입력'!$C$6+'1.설계입력'!$C$33)/('1.설계입력'!$C$8*'1.설계입력'!$C$15)-COS((1-'1.설계입력'!$C$15)*B249),SIN((1-'1.설계입력'!$C$15)*B249))</f>
        <v>-0.59823859611312047</v>
      </c>
      <c r="G249" s="40">
        <f>('1.설계입력'!$C$6+'1.설계입력'!$C$33)*COS(B249)-('1.설계입력'!$C$7+'1.설계입력'!$C$34)*COS(B249+F249)-'1.설계입력'!$C$8*COS('1.설계입력'!$C$15*B249)</f>
        <v>51.555541996258981</v>
      </c>
      <c r="H249" s="40">
        <f>-('1.설계입력'!$C$6+'1.설계입력'!$C$33)*SIN(B249)+('1.설계입력'!$C$7+'1.설계입력'!$C$34)*SIN(B249+F249)+'1.설계입력'!$C$8*SIN('1.설계입력'!$C$15*B249)</f>
        <v>-59.633517996920602</v>
      </c>
      <c r="I249" s="40">
        <f t="shared" si="10"/>
        <v>78.839466799800007</v>
      </c>
      <c r="J249" s="40">
        <f t="shared" si="11"/>
        <v>78.829755671428259</v>
      </c>
      <c r="K249" s="38">
        <f>IF(OR(A249&gt;180,'1.설계입력'!$C$39&gt;=1),"",'1.설계입력'!$C$34*(1-SIN(B249)/SQRT(1+'1.설계입력'!$C$39^2-2*'1.설계입력'!$C$39*COS(B249)))-'1.설계입력'!$C$33*(1-'1.설계입력'!$C$39*COS(B249)-SQRT(MAX(0,1-'1.설계입력'!$C$39^2))*SIN(B249))/SQRT(1+'1.설계입력'!$C$39^2-2*'1.설계입력'!$C$39*COS(B249)))</f>
        <v>5.5325607545023109E-5</v>
      </c>
    </row>
    <row r="250" spans="1:11" x14ac:dyDescent="0.3">
      <c r="A250" s="40">
        <f>A249+'1.설계입력'!$C$12</f>
        <v>48.800000000000153</v>
      </c>
      <c r="B250" s="40">
        <f t="shared" si="9"/>
        <v>0.85172067497323545</v>
      </c>
      <c r="C250" s="40">
        <f>ATAN2('1.설계입력'!$C$6/('1.설계입력'!$C$8*'1.설계입력'!$C$15)-COS((1-'1.설계입력'!$C$15)*B250),SIN((1-'1.설계입력'!$C$15)*B250))</f>
        <v>-0.54802244106934273</v>
      </c>
      <c r="D250" s="40">
        <f>'1.설계입력'!$C$6*COS(B250)-'1.설계입력'!$C$7*COS(B250+C250)-'1.설계입력'!$C$8*COS('1.설계입력'!$C$15*B250)</f>
        <v>51.520008896061341</v>
      </c>
      <c r="E250" s="40">
        <f>-'1.설계입력'!$C$6*SIN(B250)+'1.설계입력'!$C$7*SIN(B250+C250)+'1.설계입력'!$C$8*SIN('1.설계입력'!$C$15*B250)</f>
        <v>-59.797610243276409</v>
      </c>
      <c r="F250" s="40">
        <f>ATAN2(('1.설계입력'!$C$6+'1.설계입력'!$C$33)/('1.설계입력'!$C$8*'1.설계입력'!$C$15)-COS((1-'1.설계입력'!$C$15)*B250),SIN((1-'1.설계입력'!$C$15)*B250))</f>
        <v>-0.54803684647423323</v>
      </c>
      <c r="G250" s="40">
        <f>('1.설계입력'!$C$6+'1.설계입력'!$C$33)*COS(B250)-('1.설계입력'!$C$7+'1.설계입력'!$C$34)*COS(B250+F250)-'1.설계입력'!$C$8*COS('1.설계입력'!$C$15*B250)</f>
        <v>51.510220372269366</v>
      </c>
      <c r="H250" s="40">
        <f>-('1.설계입력'!$C$6+'1.설계입력'!$C$33)*SIN(B250)+('1.설계입력'!$C$7+'1.설계입력'!$C$34)*SIN(B250+F250)+'1.설계입력'!$C$8*SIN('1.설계입력'!$C$15*B250)</f>
        <v>-59.792910538204232</v>
      </c>
      <c r="I250" s="40">
        <f t="shared" si="10"/>
        <v>78.93076401161359</v>
      </c>
      <c r="J250" s="40">
        <f t="shared" si="11"/>
        <v>78.920814449861382</v>
      </c>
      <c r="K250" s="38">
        <f>IF(OR(A250&gt;180,'1.설계입력'!$C$39&gt;=1),"",'1.설계입력'!$C$34*(1-SIN(B250)/SQRT(1+'1.설계입력'!$C$39^2-2*'1.설계입력'!$C$39*COS(B250)))-'1.설계입력'!$C$33*(1-'1.설계입력'!$C$39*COS(B250)-SQRT(MAX(0,1-'1.설계입력'!$C$39^2))*SIN(B250))/SQRT(1+'1.설계입력'!$C$39^2-2*'1.설계입력'!$C$39*COS(B250)))</f>
        <v>5.9128267094424113E-5</v>
      </c>
    </row>
    <row r="251" spans="1:11" x14ac:dyDescent="0.3">
      <c r="A251" s="40">
        <f>A250+'1.설계입력'!$C$12</f>
        <v>49.000000000000156</v>
      </c>
      <c r="B251" s="40">
        <f t="shared" si="9"/>
        <v>0.85521133347722422</v>
      </c>
      <c r="C251" s="40">
        <f>ATAN2('1.설계입력'!$C$6/('1.설계입력'!$C$8*'1.설계입력'!$C$15)-COS((1-'1.설계입력'!$C$15)*B251),SIN((1-'1.설계입력'!$C$15)*B251))</f>
        <v>-0.49605815253541768</v>
      </c>
      <c r="D251" s="40">
        <f>'1.설계입력'!$C$6*COS(B251)-'1.설계입력'!$C$7*COS(B251+C251)-'1.설계입력'!$C$8*COS('1.설계입력'!$C$15*B251)</f>
        <v>51.461600105961296</v>
      </c>
      <c r="E251" s="40">
        <f>-'1.설계입력'!$C$6*SIN(B251)+'1.설계입력'!$C$7*SIN(B251+C251)+'1.설계입력'!$C$8*SIN('1.설계입력'!$C$15*B251)</f>
        <v>-59.96722907610048</v>
      </c>
      <c r="F251" s="40">
        <f>ATAN2(('1.설계입력'!$C$6+'1.설계입력'!$C$33)/('1.설계입력'!$C$8*'1.설계입력'!$C$15)-COS((1-'1.설계입력'!$C$15)*B251),SIN((1-'1.설계입력'!$C$15)*B251))</f>
        <v>-0.49607069013191502</v>
      </c>
      <c r="G251" s="40">
        <f>('1.설계입력'!$C$6+'1.설계입력'!$C$33)*COS(B251)-('1.설계입력'!$C$7+'1.설계입력'!$C$34)*COS(B251+F251)-'1.설계입력'!$C$8*COS('1.설계입력'!$C$15*B251)</f>
        <v>51.45196548275036</v>
      </c>
      <c r="H251" s="40">
        <f>-('1.설계입력'!$C$6+'1.설계입력'!$C$33)*SIN(B251)+('1.설계입력'!$C$7+'1.설계입력'!$C$34)*SIN(B251+F251)+'1.설계입력'!$C$8*SIN('1.설계입력'!$C$15*B251)</f>
        <v>-59.96208952138641</v>
      </c>
      <c r="I251" s="40">
        <f t="shared" si="10"/>
        <v>79.021293639951168</v>
      </c>
      <c r="J251" s="40">
        <f t="shared" si="11"/>
        <v>79.011119039087731</v>
      </c>
      <c r="K251" s="38">
        <f>IF(OR(A251&gt;180,'1.설계입력'!$C$39&gt;=1),"",'1.설계입력'!$C$34*(1-SIN(B251)/SQRT(1+'1.설계입력'!$C$39^2-2*'1.설계입력'!$C$39*COS(B251)))-'1.설계입력'!$C$33*(1-'1.설계입력'!$C$39*COS(B251)-SQRT(MAX(0,1-'1.설계입력'!$C$39^2))*SIN(B251))/SQRT(1+'1.설계입력'!$C$39^2-2*'1.설계입력'!$C$39*COS(B251)))</f>
        <v>6.3044603352118892E-5</v>
      </c>
    </row>
    <row r="252" spans="1:11" x14ac:dyDescent="0.3">
      <c r="A252" s="40">
        <f>A251+'1.설계입력'!$C$12</f>
        <v>49.200000000000159</v>
      </c>
      <c r="B252" s="40">
        <f t="shared" si="9"/>
        <v>0.85870199198121289</v>
      </c>
      <c r="C252" s="40">
        <f>ATAN2('1.설계입력'!$C$6/('1.설계입력'!$C$8*'1.설계입력'!$C$15)-COS((1-'1.설계입력'!$C$15)*B252),SIN((1-'1.설계입력'!$C$15)*B252))</f>
        <v>-0.44270077298410215</v>
      </c>
      <c r="D252" s="40">
        <f>'1.설계입력'!$C$6*COS(B252)-'1.설계입력'!$C$7*COS(B252+C252)-'1.설계입력'!$C$8*COS('1.설계입력'!$C$15*B252)</f>
        <v>51.3888622064092</v>
      </c>
      <c r="E252" s="40">
        <f>-'1.설계입력'!$C$6*SIN(B252)+'1.설계입력'!$C$7*SIN(B252+C252)+'1.설계입력'!$C$8*SIN('1.설계입력'!$C$15*B252)</f>
        <v>-60.145303187255855</v>
      </c>
      <c r="F252" s="40">
        <f>ATAN2(('1.설계입력'!$C$6+'1.설계입력'!$C$33)/('1.설계입력'!$C$8*'1.설계입력'!$C$15)-COS((1-'1.설계입력'!$C$15)*B252),SIN((1-'1.설계입력'!$C$15)*B252))</f>
        <v>-0.44271159294074663</v>
      </c>
      <c r="G252" s="40">
        <f>('1.설계입력'!$C$6+'1.설계입력'!$C$33)*COS(B252)-('1.설계입력'!$C$7+'1.설계입력'!$C$34)*COS(B252+F252)-'1.설계입력'!$C$8*COS('1.설계입력'!$C$15*B252)</f>
        <v>51.379409909037257</v>
      </c>
      <c r="H252" s="40">
        <f>-('1.설계입력'!$C$6+'1.설계입력'!$C$33)*SIN(B252)+('1.설계입력'!$C$7+'1.설계입력'!$C$34)*SIN(B252+F252)+'1.설계입력'!$C$8*SIN('1.설계입력'!$C$15*B252)</f>
        <v>-60.139722913153648</v>
      </c>
      <c r="I252" s="40">
        <f t="shared" si="10"/>
        <v>79.109245062484575</v>
      </c>
      <c r="J252" s="40">
        <f t="shared" si="11"/>
        <v>79.09886241073113</v>
      </c>
      <c r="K252" s="38">
        <f>IF(OR(A252&gt;180,'1.설계입력'!$C$39&gt;=1),"",'1.설계입력'!$C$34*(1-SIN(B252)/SQRT(1+'1.설계입력'!$C$39^2-2*'1.설계입력'!$C$39*COS(B252)))-'1.설계입력'!$C$33*(1-'1.설계입력'!$C$39*COS(B252)-SQRT(MAX(0,1-'1.설계입력'!$C$39^2))*SIN(B252))/SQRT(1+'1.설계입력'!$C$39^2-2*'1.설계입력'!$C$39*COS(B252)))</f>
        <v>6.7073526314697065E-5</v>
      </c>
    </row>
    <row r="253" spans="1:11" x14ac:dyDescent="0.3">
      <c r="A253" s="40">
        <f>A252+'1.설계입력'!$C$12</f>
        <v>49.400000000000162</v>
      </c>
      <c r="B253" s="40">
        <f t="shared" si="9"/>
        <v>0.86219265048520166</v>
      </c>
      <c r="C253" s="40">
        <f>ATAN2('1.설계입력'!$C$6/('1.설계입력'!$C$8*'1.설계입력'!$C$15)-COS((1-'1.설계입력'!$C$15)*B253),SIN((1-'1.설계입력'!$C$15)*B253))</f>
        <v>-0.38823858520438281</v>
      </c>
      <c r="D253" s="40">
        <f>'1.설계입력'!$C$6*COS(B253)-'1.설계입력'!$C$7*COS(B253+C253)-'1.설계입력'!$C$8*COS('1.설계입력'!$C$15*B253)</f>
        <v>51.300749566139984</v>
      </c>
      <c r="E253" s="40">
        <f>-'1.설계입력'!$C$6*SIN(B253)+'1.설계입력'!$C$7*SIN(B253+C253)+'1.설계입력'!$C$8*SIN('1.설계입력'!$C$15*B253)</f>
        <v>-60.329980270620034</v>
      </c>
      <c r="F253" s="40">
        <f>ATAN2(('1.설계입력'!$C$6+'1.설계입력'!$C$33)/('1.설계입력'!$C$8*'1.설계입력'!$C$15)-COS((1-'1.설계입력'!$C$15)*B253),SIN((1-'1.설계입력'!$C$15)*B253))</f>
        <v>-0.38824780815389542</v>
      </c>
      <c r="G253" s="40">
        <f>('1.설계입력'!$C$6+'1.설계입력'!$C$33)*COS(B253)-('1.설계입력'!$C$7+'1.설계입력'!$C$34)*COS(B253+F253)-'1.설계입력'!$C$8*COS('1.설계입력'!$C$15*B253)</f>
        <v>51.291508152699748</v>
      </c>
      <c r="H253" s="40">
        <f>-('1.설계입력'!$C$6+'1.설계입력'!$C$33)*SIN(B253)+('1.설계입력'!$C$7+'1.설계입력'!$C$34)*SIN(B253+F253)+'1.설계입력'!$C$8*SIN('1.설계입력'!$C$15*B253)</f>
        <v>-60.323962516106839</v>
      </c>
      <c r="I253" s="40">
        <f t="shared" si="10"/>
        <v>79.192634919550528</v>
      </c>
      <c r="J253" s="40">
        <f t="shared" si="11"/>
        <v>79.182064018457666</v>
      </c>
      <c r="K253" s="38">
        <f>IF(OR(A253&gt;180,'1.설계입력'!$C$39&gt;=1),"",'1.설계입력'!$C$34*(1-SIN(B253)/SQRT(1+'1.설계입력'!$C$39^2-2*'1.설계입력'!$C$39*COS(B253)))-'1.설계입력'!$C$33*(1-'1.설계입력'!$C$39*COS(B253)-SQRT(MAX(0,1-'1.설계입력'!$C$39^2))*SIN(B253))/SQRT(1+'1.설계입력'!$C$39^2-2*'1.설계입력'!$C$39*COS(B253)))</f>
        <v>7.1213962102702978E-5</v>
      </c>
    </row>
    <row r="254" spans="1:11" x14ac:dyDescent="0.3">
      <c r="A254" s="40">
        <f>A253+'1.설계입력'!$C$12</f>
        <v>49.600000000000165</v>
      </c>
      <c r="B254" s="40">
        <f t="shared" si="9"/>
        <v>0.86568330898919033</v>
      </c>
      <c r="C254" s="40">
        <f>ATAN2('1.설계입력'!$C$6/('1.설계입력'!$C$8*'1.설계입력'!$C$15)-COS((1-'1.설계입력'!$C$15)*B254),SIN((1-'1.설계입력'!$C$15)*B254))</f>
        <v>-0.33290051505366369</v>
      </c>
      <c r="D254" s="40">
        <f>'1.설계입력'!$C$6*COS(B254)-'1.설계입력'!$C$7*COS(B254+C254)-'1.설계입력'!$C$8*COS('1.설계입력'!$C$15*B254)</f>
        <v>51.196590216756263</v>
      </c>
      <c r="E254" s="40">
        <f>-'1.설계입력'!$C$6*SIN(B254)+'1.설계입력'!$C$7*SIN(B254+C254)+'1.설계입력'!$C$8*SIN('1.설계입력'!$C$15*B254)</f>
        <v>-60.519046348708414</v>
      </c>
      <c r="F254" s="40">
        <f>ATAN2(('1.설계입력'!$C$6+'1.설계입력'!$C$33)/('1.설계입력'!$C$8*'1.설계입력'!$C$15)-COS((1-'1.설계입력'!$C$15)*B254),SIN((1-'1.설계입력'!$C$15)*B254))</f>
        <v>-0.33290823760009519</v>
      </c>
      <c r="G254" s="40">
        <f>('1.설계입력'!$C$6+'1.설계입력'!$C$33)*COS(B254)-('1.설계입력'!$C$7+'1.설계입력'!$C$34)*COS(B254+F254)-'1.설계입력'!$C$8*COS('1.설계입력'!$C$15*B254)</f>
        <v>51.187588008082137</v>
      </c>
      <c r="H254" s="40">
        <f>-('1.설계입력'!$C$6+'1.설계입력'!$C$33)*SIN(B254)+('1.설계입력'!$C$7+'1.설계입력'!$C$34)*SIN(B254+F254)+'1.설계입력'!$C$8*SIN('1.설계입력'!$C$15*B254)</f>
        <v>-60.512597990210409</v>
      </c>
      <c r="I254" s="40">
        <f t="shared" si="10"/>
        <v>79.269450740998451</v>
      </c>
      <c r="J254" s="40">
        <f t="shared" si="11"/>
        <v>79.25871360052453</v>
      </c>
      <c r="K254" s="38">
        <f>IF(OR(A254&gt;180,'1.설계입력'!$C$39&gt;=1),"",'1.설계입력'!$C$34*(1-SIN(B254)/SQRT(1+'1.설계입력'!$C$39^2-2*'1.설계입력'!$C$39*COS(B254)))-'1.설계입력'!$C$33*(1-'1.설계입력'!$C$39*COS(B254)-SQRT(MAX(0,1-'1.설계입력'!$C$39^2))*SIN(B254))/SQRT(1+'1.설계입력'!$C$39^2-2*'1.설계입력'!$C$39*COS(B254)))</f>
        <v>7.5464852671098341E-5</v>
      </c>
    </row>
    <row r="255" spans="1:11" x14ac:dyDescent="0.3">
      <c r="A255" s="40">
        <f>A254+'1.설계입력'!$C$12</f>
        <v>49.800000000000168</v>
      </c>
      <c r="B255" s="40">
        <f t="shared" si="9"/>
        <v>0.86917396749317899</v>
      </c>
      <c r="C255" s="40">
        <f>ATAN2('1.설계입력'!$C$6/('1.설계입력'!$C$8*'1.설계입력'!$C$15)-COS((1-'1.설계입력'!$C$15)*B255),SIN((1-'1.설계입력'!$C$15)*B255))</f>
        <v>-0.2768726444114975</v>
      </c>
      <c r="D255" s="40">
        <f>'1.설계입력'!$C$6*COS(B255)-'1.설계입력'!$C$7*COS(B255+C255)-'1.설계입력'!$C$8*COS('1.설계입력'!$C$15*B255)</f>
        <v>51.076119340864182</v>
      </c>
      <c r="E255" s="40">
        <f>-'1.설계입력'!$C$6*SIN(B255)+'1.설계입력'!$C$7*SIN(B255+C255)+'1.설계입력'!$C$8*SIN('1.설계입력'!$C$15*B255)</f>
        <v>-60.710054640582072</v>
      </c>
      <c r="F255" s="40">
        <f>ATAN2(('1.설계입력'!$C$6+'1.설계입력'!$C$33)/('1.설계입력'!$C$8*'1.설계입력'!$C$15)-COS((1-'1.설계입력'!$C$15)*B255),SIN((1-'1.설계입력'!$C$15)*B255))</f>
        <v>-0.27687894323737133</v>
      </c>
      <c r="G255" s="40">
        <f>('1.설계입력'!$C$6+'1.설계입력'!$C$33)*COS(B255)-('1.설계입력'!$C$7+'1.설계입력'!$C$34)*COS(B255+F255)-'1.설계입력'!$C$8*COS('1.설계입력'!$C$15*B255)</f>
        <v>51.067384097068654</v>
      </c>
      <c r="H255" s="40">
        <f>-('1.설계입력'!$C$6+'1.설계입력'!$C$33)*SIN(B255)+('1.설계입력'!$C$7+'1.설계입력'!$C$34)*SIN(B255+F255)+'1.설계입력'!$C$8*SIN('1.설계입력'!$C$15*B255)</f>
        <v>-60.703185817086748</v>
      </c>
      <c r="I255" s="40">
        <f t="shared" si="10"/>
        <v>79.337763400442924</v>
      </c>
      <c r="J255" s="40">
        <f t="shared" si="11"/>
        <v>79.326883758668487</v>
      </c>
      <c r="K255" s="38">
        <f>IF(OR(A255&gt;180,'1.설계입력'!$C$39&gt;=1),"",'1.설계입력'!$C$34*(1-SIN(B255)/SQRT(1+'1.설계입력'!$C$39^2-2*'1.설계입력'!$C$39*COS(B255)))-'1.설계입력'!$C$33*(1-'1.설계입력'!$C$39*COS(B255)-SQRT(MAX(0,1-'1.설계입력'!$C$39^2))*SIN(B255))/SQRT(1+'1.설계입력'!$C$39^2-2*'1.설계입력'!$C$39*COS(B255)))</f>
        <v>7.9825155525430969E-5</v>
      </c>
    </row>
    <row r="256" spans="1:11" x14ac:dyDescent="0.3">
      <c r="A256" s="40">
        <f>A255+'1.설계입력'!$C$12</f>
        <v>50.000000000000171</v>
      </c>
      <c r="B256" s="40">
        <f t="shared" si="9"/>
        <v>0.87266462599716776</v>
      </c>
      <c r="C256" s="40">
        <f>ATAN2('1.설계입력'!$C$6/('1.설계입력'!$C$8*'1.설계입력'!$C$15)-COS((1-'1.설계입력'!$C$15)*B256),SIN((1-'1.설계입력'!$C$15)*B256))</f>
        <v>-0.22030995530001837</v>
      </c>
      <c r="D256" s="40">
        <f>'1.설계입력'!$C$6*COS(B256)-'1.설계입력'!$C$7*COS(B256+C256)-'1.설계입력'!$C$8*COS('1.설계입력'!$C$15*B256)</f>
        <v>50.939496612522824</v>
      </c>
      <c r="E256" s="40">
        <f>-'1.설계입력'!$C$6*SIN(B256)+'1.설계입력'!$C$7*SIN(B256+C256)+'1.설계입력'!$C$8*SIN('1.설계입력'!$C$15*B256)</f>
        <v>-60.900437584835579</v>
      </c>
      <c r="F256" s="40">
        <f>ATAN2(('1.설계입력'!$C$6+'1.설계입력'!$C$33)/('1.설계입력'!$C$8*'1.설계입력'!$C$15)-COS((1-'1.설계입력'!$C$15)*B256),SIN((1-'1.설계입력'!$C$15)*B256))</f>
        <v>-0.220314890224105</v>
      </c>
      <c r="G256" s="40">
        <f>('1.설계입력'!$C$6+'1.설계입력'!$C$33)*COS(B256)-('1.설계입력'!$C$7+'1.설계입력'!$C$34)*COS(B256+F256)-'1.설계입력'!$C$8*COS('1.설계입력'!$C$15*B256)</f>
        <v>50.93105524525685</v>
      </c>
      <c r="H256" s="40">
        <f>-('1.설계입력'!$C$6+'1.설계입력'!$C$33)*SIN(B256)+('1.설계입력'!$C$7+'1.설계입력'!$C$34)*SIN(B256+F256)+'1.설계입력'!$C$8*SIN('1.설계입력'!$C$15*B256)</f>
        <v>-60.893161385279839</v>
      </c>
      <c r="I256" s="40">
        <f t="shared" si="10"/>
        <v>79.395816093555453</v>
      </c>
      <c r="J256" s="40">
        <f t="shared" si="11"/>
        <v>79.384819026619581</v>
      </c>
      <c r="K256" s="38">
        <f>IF(OR(A256&gt;180,'1.설계입력'!$C$39&gt;=1),"",'1.설계입력'!$C$34*(1-SIN(B256)/SQRT(1+'1.설계입력'!$C$39^2-2*'1.설계입력'!$C$39*COS(B256)))-'1.설계입력'!$C$33*(1-'1.설계입력'!$C$39*COS(B256)-SQRT(MAX(0,1-'1.설계입력'!$C$39^2))*SIN(B256))/SQRT(1+'1.설계입력'!$C$39^2-2*'1.설계입력'!$C$39*COS(B256)))</f>
        <v>8.4293843443627672E-5</v>
      </c>
    </row>
    <row r="257" spans="1:11" x14ac:dyDescent="0.3">
      <c r="A257" s="40">
        <f>A256+'1.설계입력'!$C$12</f>
        <v>50.200000000000173</v>
      </c>
      <c r="B257" s="40">
        <f t="shared" si="9"/>
        <v>0.87615528450115643</v>
      </c>
      <c r="C257" s="40">
        <f>ATAN2('1.설계입력'!$C$6/('1.설계입력'!$C$8*'1.설계입력'!$C$15)-COS((1-'1.설계입력'!$C$15)*B257),SIN((1-'1.설계입력'!$C$15)*B257))</f>
        <v>-0.16334492824979871</v>
      </c>
      <c r="D257" s="40">
        <f>'1.설계입력'!$C$6*COS(B257)-'1.설계입력'!$C$7*COS(B257+C257)-'1.설계입력'!$C$8*COS('1.설계입력'!$C$15*B257)</f>
        <v>50.787308753131185</v>
      </c>
      <c r="E257" s="40">
        <f>-'1.설계입력'!$C$6*SIN(B257)+'1.설계입력'!$C$7*SIN(B257+C257)+'1.설계입력'!$C$8*SIN('1.설계입력'!$C$15*B257)</f>
        <v>-61.087606434320747</v>
      </c>
      <c r="F257" s="40">
        <f>ATAN2(('1.설계입력'!$C$6+'1.설계입력'!$C$33)/('1.설계입력'!$C$8*'1.설계입력'!$C$15)-COS((1-'1.설계입력'!$C$15)*B257),SIN((1-'1.설계입력'!$C$15)*B257))</f>
        <v>-0.16334854448318142</v>
      </c>
      <c r="G257" s="40">
        <f>('1.설계입력'!$C$6+'1.설계입력'!$C$33)*COS(B257)-('1.설계입력'!$C$7+'1.설계입력'!$C$34)*COS(B257+F257)-'1.설계입력'!$C$8*COS('1.설계입력'!$C$15*B257)</f>
        <v>50.779187065715846</v>
      </c>
      <c r="H257" s="40">
        <f>-('1.설계입력'!$C$6+'1.설계입력'!$C$33)*SIN(B257)+('1.설계입력'!$C$7+'1.설계입력'!$C$34)*SIN(B257+F257)+'1.설계입력'!$C$8*SIN('1.설계입력'!$C$15*B257)</f>
        <v>-61.079938624752124</v>
      </c>
      <c r="I257" s="40">
        <f t="shared" si="10"/>
        <v>79.44209457372294</v>
      </c>
      <c r="J257" s="40">
        <f t="shared" si="11"/>
        <v>79.431006171761737</v>
      </c>
      <c r="K257" s="38">
        <f>IF(OR(A257&gt;180,'1.설계입력'!$C$39&gt;=1),"",'1.설계입력'!$C$34*(1-SIN(B257)/SQRT(1+'1.설계입력'!$C$39^2-2*'1.설계입력'!$C$39*COS(B257)))-'1.설계입력'!$C$33*(1-'1.설계입력'!$C$39*COS(B257)-SQRT(MAX(0,1-'1.설계입력'!$C$39^2))*SIN(B257))/SQRT(1+'1.설계입력'!$C$39^2-2*'1.설계입력'!$C$39*COS(B257)))</f>
        <v>8.8869904203245608E-5</v>
      </c>
    </row>
    <row r="258" spans="1:11" x14ac:dyDescent="0.3">
      <c r="A258" s="40">
        <f>A257+'1.설계입력'!$C$12</f>
        <v>50.400000000000176</v>
      </c>
      <c r="B258" s="40">
        <f t="shared" si="9"/>
        <v>0.8796459430051452</v>
      </c>
      <c r="C258" s="40">
        <f>ATAN2('1.설계입력'!$C$6/('1.설계입력'!$C$8*'1.설계입력'!$C$15)-COS((1-'1.설계입력'!$C$15)*B258),SIN((1-'1.설계입력'!$C$15)*B258))</f>
        <v>-0.10609404750968217</v>
      </c>
      <c r="D258" s="40">
        <f>'1.설계입력'!$C$6*COS(B258)-'1.설계입력'!$C$7*COS(B258+C258)-'1.설계입력'!$C$8*COS('1.설계입력'!$C$15*B258)</f>
        <v>50.620558464435867</v>
      </c>
      <c r="E258" s="40">
        <f>-'1.설계입력'!$C$6*SIN(B258)+'1.설계입력'!$C$7*SIN(B258+C258)+'1.설계입력'!$C$8*SIN('1.설계입력'!$C$15*B258)</f>
        <v>-61.26904064310925</v>
      </c>
      <c r="F258" s="40">
        <f>ATAN2(('1.설계입력'!$C$6+'1.설계입력'!$C$33)/('1.설계입력'!$C$8*'1.설계입력'!$C$15)-COS((1-'1.설계입력'!$C$15)*B258),SIN((1-'1.설계입력'!$C$15)*B258))</f>
        <v>-0.10609637728359712</v>
      </c>
      <c r="G258" s="40">
        <f>('1.설계입력'!$C$6+'1.설계입력'!$C$33)*COS(B258)-('1.설계입력'!$C$7+'1.설계입력'!$C$34)*COS(B258+F258)-'1.설계입력'!$C$8*COS('1.설계입력'!$C$15*B258)</f>
        <v>50.612780914089726</v>
      </c>
      <c r="H258" s="40">
        <f>-('1.설계입력'!$C$6+'1.설계입력'!$C$33)*SIN(B258)+('1.설계입력'!$C$7+'1.설계입력'!$C$34)*SIN(B258+F258)+'1.설계입력'!$C$8*SIN('1.설계입력'!$C$15*B258)</f>
        <v>-61.260999418394505</v>
      </c>
      <c r="I258" s="40">
        <f t="shared" si="10"/>
        <v>79.475381600709184</v>
      </c>
      <c r="J258" s="40">
        <f t="shared" si="11"/>
        <v>79.464228691897446</v>
      </c>
      <c r="K258" s="38">
        <f>IF(OR(A258&gt;180,'1.설계입력'!$C$39&gt;=1),"",'1.설계입력'!$C$34*(1-SIN(B258)/SQRT(1+'1.설계입력'!$C$39^2-2*'1.설계입력'!$C$39*COS(B258)))-'1.설계입력'!$C$33*(1-'1.설계입력'!$C$39*COS(B258)-SQRT(MAX(0,1-'1.설계입력'!$C$39^2))*SIN(B258))/SQRT(1+'1.설계입력'!$C$39^2-2*'1.설계입력'!$C$39*COS(B258)))</f>
        <v>9.3552340314110498E-5</v>
      </c>
    </row>
    <row r="259" spans="1:11" x14ac:dyDescent="0.3">
      <c r="A259" s="40">
        <f>A258+'1.설계입력'!$C$12</f>
        <v>50.600000000000179</v>
      </c>
      <c r="B259" s="40">
        <f t="shared" si="9"/>
        <v>0.88313660150913387</v>
      </c>
      <c r="C259" s="40">
        <f>ATAN2('1.설계입력'!$C$6/('1.설계입력'!$C$8*'1.설계입력'!$C$15)-COS((1-'1.설계입력'!$C$15)*B259),SIN((1-'1.설계입력'!$C$15)*B259))</f>
        <v>-4.8662919702274356E-2</v>
      </c>
      <c r="D259" s="40">
        <f>'1.설계입력'!$C$6*COS(B259)-'1.설계입력'!$C$7*COS(B259+C259)-'1.설계입력'!$C$8*COS('1.설계입력'!$C$15*B259)</f>
        <v>50.440640793010722</v>
      </c>
      <c r="E259" s="40">
        <f>-'1.설계입력'!$C$6*SIN(B259)+'1.설계입력'!$C$7*SIN(B259+C259)+'1.설계입력'!$C$8*SIN('1.설계입력'!$C$15*B259)</f>
        <v>-61.442367958291506</v>
      </c>
      <c r="F259" s="40">
        <f>ATAN2(('1.설계입력'!$C$6+'1.설계입력'!$C$33)/('1.설계입력'!$C$8*'1.설계입력'!$C$15)-COS((1-'1.설계입력'!$C$15)*B259),SIN((1-'1.설계입력'!$C$15)*B259))</f>
        <v>-4.8663983387154275E-2</v>
      </c>
      <c r="G259" s="40">
        <f>('1.설계입력'!$C$6+'1.설계입력'!$C$33)*COS(B259)-('1.설계입력'!$C$7+'1.설계입력'!$C$34)*COS(B259+F259)-'1.설계입력'!$C$8*COS('1.설계입력'!$C$15*B259)</f>
        <v>50.433230270762422</v>
      </c>
      <c r="H259" s="40">
        <f>-('1.설계입력'!$C$6+'1.설계입력'!$C$33)*SIN(B259)+('1.설계입력'!$C$7+'1.설계입력'!$C$34)*SIN(B259+F259)+'1.설계입력'!$C$8*SIN('1.설계입력'!$C$15*B259)</f>
        <v>-61.433973707783338</v>
      </c>
      <c r="I259" s="40">
        <f t="shared" si="10"/>
        <v>79.494797464561316</v>
      </c>
      <c r="J259" s="40">
        <f t="shared" si="11"/>
        <v>79.48360737329655</v>
      </c>
      <c r="K259" s="38">
        <f>IF(OR(A259&gt;180,'1.설계입력'!$C$39&gt;=1),"",'1.설계입력'!$C$34*(1-SIN(B259)/SQRT(1+'1.설계입력'!$C$39^2-2*'1.설계입력'!$C$39*COS(B259)))-'1.설계입력'!$C$33*(1-'1.설계입력'!$C$39*COS(B259)-SQRT(MAX(0,1-'1.설계입력'!$C$39^2))*SIN(B259))/SQRT(1+'1.설계입력'!$C$39^2-2*'1.설계입력'!$C$39*COS(B259)))</f>
        <v>9.8340168756197856E-5</v>
      </c>
    </row>
    <row r="260" spans="1:11" x14ac:dyDescent="0.3">
      <c r="A260" s="40">
        <f>A259+'1.설계입력'!$C$12</f>
        <v>50.800000000000182</v>
      </c>
      <c r="B260" s="40">
        <f t="shared" si="9"/>
        <v>0.88662726001312253</v>
      </c>
      <c r="C260" s="40">
        <f>ATAN2('1.설계입력'!$C$6/('1.설계입력'!$C$8*'1.설계입력'!$C$15)-COS((1-'1.설계입력'!$C$15)*B260),SIN((1-'1.설계입력'!$C$15)*B260))</f>
        <v>8.8494988857711291E-3</v>
      </c>
      <c r="D260" s="40">
        <f>'1.설계입력'!$C$6*COS(B260)-'1.설계입력'!$C$7*COS(B260+C260)-'1.설계입력'!$C$8*COS('1.설계입력'!$C$15*B260)</f>
        <v>50.249307936734603</v>
      </c>
      <c r="E260" s="40">
        <f>-'1.설계입력'!$C$6*SIN(B260)+'1.설계입력'!$C$7*SIN(B260+C260)+'1.설계입력'!$C$8*SIN('1.설계입력'!$C$15*B260)</f>
        <v>-61.605435347549864</v>
      </c>
      <c r="F260" s="40">
        <f>ATAN2(('1.설계입력'!$C$6+'1.설계입력'!$C$33)/('1.설계입력'!$C$8*'1.설계입력'!$C$15)-COS((1-'1.설계입력'!$C$15)*B260),SIN((1-'1.설계입력'!$C$15)*B260))</f>
        <v>8.8496920910920429E-3</v>
      </c>
      <c r="G260" s="40">
        <f>('1.설계입력'!$C$6+'1.설계입력'!$C$33)*COS(B260)-('1.설계입력'!$C$7+'1.설계입력'!$C$34)*COS(B260+F260)-'1.설계입력'!$C$8*COS('1.설계입력'!$C$15*B260)</f>
        <v>50.242285561443531</v>
      </c>
      <c r="H260" s="40">
        <f>-('1.설계입력'!$C$6+'1.설계입력'!$C$33)*SIN(B260)+('1.설계입력'!$C$7+'1.설계입력'!$C$34)*SIN(B260+F260)+'1.설계입력'!$C$8*SIN('1.설계입력'!$C$15*B260)</f>
        <v>-61.596710427095253</v>
      </c>
      <c r="I260" s="40">
        <f t="shared" si="10"/>
        <v>79.499827751272051</v>
      </c>
      <c r="J260" s="40">
        <f t="shared" si="11"/>
        <v>79.488628078971544</v>
      </c>
      <c r="K260" s="38">
        <f>IF(OR(A260&gt;180,'1.설계입력'!$C$39&gt;=1),"",'1.설계입력'!$C$34*(1-SIN(B260)/SQRT(1+'1.설계입력'!$C$39^2-2*'1.설계입력'!$C$39*COS(B260)))-'1.설계입력'!$C$33*(1-'1.설계입력'!$C$39*COS(B260)-SQRT(MAX(0,1-'1.설계입력'!$C$39^2))*SIN(B260))/SQRT(1+'1.설계입력'!$C$39^2-2*'1.설계입력'!$C$39*COS(B260)))</f>
        <v>1.0323242072266889E-4</v>
      </c>
    </row>
    <row r="261" spans="1:11" x14ac:dyDescent="0.3">
      <c r="A261" s="40">
        <f>A260+'1.설계입력'!$C$12</f>
        <v>51.000000000000185</v>
      </c>
      <c r="B261" s="40">
        <f t="shared" si="9"/>
        <v>0.89011791851711131</v>
      </c>
      <c r="C261" s="40">
        <f>ATAN2('1.설계입력'!$C$6/('1.설계입력'!$C$8*'1.설계입력'!$C$15)-COS((1-'1.설계입력'!$C$15)*B261),SIN((1-'1.설계입력'!$C$15)*B261))</f>
        <v>6.6347198376219746E-2</v>
      </c>
      <c r="D261" s="40">
        <f>'1.설계입력'!$C$6*COS(B261)-'1.설계입력'!$C$7*COS(B261+C261)-'1.설계입력'!$C$8*COS('1.설계입력'!$C$15*B261)</f>
        <v>50.048623492881852</v>
      </c>
      <c r="E261" s="40">
        <f>-'1.설계입력'!$C$6*SIN(B261)+'1.설계입력'!$C$7*SIN(B261+C261)+'1.설계입력'!$C$8*SIN('1.설계입력'!$C$15*B261)</f>
        <v>-61.756370431725799</v>
      </c>
      <c r="F261" s="40">
        <f>ATAN2(('1.설계입력'!$C$6+'1.설계입력'!$C$33)/('1.설계입력'!$C$8*'1.설계입력'!$C$15)-COS((1-'1.설계입력'!$C$15)*B261),SIN((1-'1.설계입력'!$C$15)*B261))</f>
        <v>6.6348650137894816E-2</v>
      </c>
      <c r="G261" s="40">
        <f>('1.설계입력'!$C$6+'1.설계입력'!$C$33)*COS(B261)-('1.설계입력'!$C$7+'1.설계입력'!$C$34)*COS(B261+F261)-'1.설계입력'!$C$8*COS('1.설계입력'!$C$15*B261)</f>
        <v>50.04200841620171</v>
      </c>
      <c r="H261" s="40">
        <f>-('1.설계입력'!$C$6+'1.설계입력'!$C$33)*SIN(B261)+('1.설계입력'!$C$7+'1.설계입력'!$C$34)*SIN(B261+F261)+'1.설계입력'!$C$8*SIN('1.설계입력'!$C$15*B261)</f>
        <v>-61.747338936278631</v>
      </c>
      <c r="I261" s="40">
        <f t="shared" si="10"/>
        <v>79.490339050936129</v>
      </c>
      <c r="J261" s="40">
        <f t="shared" si="11"/>
        <v>79.479157469357176</v>
      </c>
      <c r="K261" s="38">
        <f>IF(OR(A261&gt;180,'1.설계입력'!$C$39&gt;=1),"",'1.설계입력'!$C$34*(1-SIN(B261)/SQRT(1+'1.설계입력'!$C$39^2-2*'1.설계입력'!$C$39*COS(B261)))-'1.설계입력'!$C$33*(1-'1.설계입력'!$C$39*COS(B261)-SQRT(MAX(0,1-'1.설계입력'!$C$39^2))*SIN(B261))/SQRT(1+'1.설계입력'!$C$39^2-2*'1.설계입력'!$C$39*COS(B261)))</f>
        <v>1.0822814136794455E-4</v>
      </c>
    </row>
    <row r="262" spans="1:11" x14ac:dyDescent="0.3">
      <c r="A262" s="40">
        <f>A261+'1.설계입력'!$C$12</f>
        <v>51.200000000000188</v>
      </c>
      <c r="B262" s="40">
        <f t="shared" ref="B262:B325" si="12">RADIANS(A262)</f>
        <v>0.89360857702109997</v>
      </c>
      <c r="C262" s="40">
        <f>ATAN2('1.설계입력'!$C$6/('1.설계입력'!$C$8*'1.설계입력'!$C$15)-COS((1-'1.설계입력'!$C$15)*B262),SIN((1-'1.설계입력'!$C$15)*B262))</f>
        <v>0.1237336378309816</v>
      </c>
      <c r="D262" s="40">
        <f>'1.설계입력'!$C$6*COS(B262)-'1.설계입력'!$C$7*COS(B262+C262)-'1.설계입력'!$C$8*COS('1.설계입력'!$C$15*B262)</f>
        <v>49.84090714141044</v>
      </c>
      <c r="E262" s="40">
        <f>-'1.설계입력'!$C$6*SIN(B262)+'1.설계입력'!$C$7*SIN(B262+C262)+'1.설계입력'!$C$8*SIN('1.설계입력'!$C$15*B262)</f>
        <v>-61.893632827163522</v>
      </c>
      <c r="F262" s="40">
        <f>ATAN2(('1.설계입력'!$C$6+'1.설계입력'!$C$33)/('1.설계입력'!$C$8*'1.설계입력'!$C$15)-COS((1-'1.설계입력'!$C$15)*B262),SIN((1-'1.설계입력'!$C$15)*B262))</f>
        <v>0.12373636073547316</v>
      </c>
      <c r="G262" s="40">
        <f>('1.설계입력'!$C$6+'1.설계입력'!$C$33)*COS(B262)-('1.설계입력'!$C$7+'1.설계입력'!$C$34)*COS(B262+F262)-'1.설계입력'!$C$8*COS('1.설계입력'!$C$15*B262)</f>
        <v>49.834716360574852</v>
      </c>
      <c r="H262" s="40">
        <f>-('1.설계입력'!$C$6+'1.설계입력'!$C$33)*SIN(B262)+('1.설계입력'!$C$7+'1.설계입력'!$C$34)*SIN(B262+F262)+'1.설계입력'!$C$8*SIN('1.설계입력'!$C$15*B262)</f>
        <v>-61.88432035938343</v>
      </c>
      <c r="I262" s="40">
        <f t="shared" ref="I262:I325" si="13">SQRT(D262^2+E262^2)</f>
        <v>79.466582971853228</v>
      </c>
      <c r="J262" s="40">
        <f t="shared" ref="J262:J325" si="14">SQRT(G262^2+H262^2)</f>
        <v>79.455447019582905</v>
      </c>
      <c r="K262" s="38">
        <f>IF(OR(A262&gt;180,'1.설계입력'!$C$39&gt;=1),"",'1.설계입력'!$C$34*(1-SIN(B262)/SQRT(1+'1.설계입력'!$C$39^2-2*'1.설계입력'!$C$39*COS(B262)))-'1.설계입력'!$C$33*(1-'1.설계입력'!$C$39*COS(B262)-SQRT(MAX(0,1-'1.설계입력'!$C$39^2))*SIN(B262))/SQRT(1+'1.설계입력'!$C$39^2-2*'1.설계입력'!$C$39*COS(B262)))</f>
        <v>1.1332638956072175E-4</v>
      </c>
    </row>
    <row r="263" spans="1:11" x14ac:dyDescent="0.3">
      <c r="A263" s="40">
        <f>A262+'1.설계입력'!$C$12</f>
        <v>51.40000000000019</v>
      </c>
      <c r="B263" s="40">
        <f t="shared" si="12"/>
        <v>0.89709923552508875</v>
      </c>
      <c r="C263" s="40">
        <f>ATAN2('1.설계입력'!$C$6/('1.설계입력'!$C$8*'1.설계입력'!$C$15)-COS((1-'1.설계입력'!$C$15)*B263),SIN((1-'1.설계입력'!$C$15)*B263))</f>
        <v>0.18090822721628436</v>
      </c>
      <c r="D263" s="40">
        <f>'1.설계입력'!$C$6*COS(B263)-'1.설계입력'!$C$7*COS(B263+C263)-'1.설계입력'!$C$8*COS('1.설계입력'!$C$15*B263)</f>
        <v>49.628670728901049</v>
      </c>
      <c r="E263" s="40">
        <f>-'1.설계입력'!$C$6*SIN(B263)+'1.설계입력'!$C$7*SIN(B263+C263)+'1.설계입력'!$C$8*SIN('1.설계입력'!$C$15*B263)</f>
        <v>-62.016054658142302</v>
      </c>
      <c r="F263" s="40">
        <f>ATAN2(('1.설계입력'!$C$6+'1.설계입력'!$C$33)/('1.설계입력'!$C$8*'1.설계입력'!$C$15)-COS((1-'1.설계입력'!$C$15)*B263),SIN((1-'1.설계입력'!$C$15)*B263))</f>
        <v>0.18091224519132906</v>
      </c>
      <c r="G263" s="40">
        <f>('1.설계입력'!$C$6+'1.설계입력'!$C$33)*COS(B263)-('1.설계입력'!$C$7+'1.설계입력'!$C$34)*COS(B263+F263)-'1.설계입력'!$C$8*COS('1.설계입력'!$C$15*B263)</f>
        <v>49.62291890389028</v>
      </c>
      <c r="H263" s="40">
        <f>-('1.설계입력'!$C$6+'1.설계입력'!$C$33)*SIN(B263)+('1.설계입력'!$C$7+'1.설계입력'!$C$34)*SIN(B263+F263)+'1.설계입력'!$C$8*SIN('1.설계입력'!$C$15*B263)</f>
        <v>-62.006488088907439</v>
      </c>
      <c r="I263" s="40">
        <f t="shared" si="13"/>
        <v>79.42918854979807</v>
      </c>
      <c r="J263" s="40">
        <f t="shared" si="14"/>
        <v>79.418125422738925</v>
      </c>
      <c r="K263" s="38">
        <f>IF(OR(A263&gt;180,'1.설계입력'!$C$39&gt;=1),"",'1.설계입력'!$C$34*(1-SIN(B263)/SQRT(1+'1.설계입력'!$C$39^2-2*'1.설계입력'!$C$39*COS(B263)))-'1.설계입력'!$C$33*(1-'1.설계입력'!$C$39*COS(B263)-SQRT(MAX(0,1-'1.설계입력'!$C$39^2))*SIN(B263))/SQRT(1+'1.설계입력'!$C$39^2-2*'1.설계입력'!$C$39*COS(B263)))</f>
        <v>1.185262376417988E-4</v>
      </c>
    </row>
    <row r="264" spans="1:11" x14ac:dyDescent="0.3">
      <c r="A264" s="40">
        <f>A263+'1.설계입력'!$C$12</f>
        <v>51.600000000000193</v>
      </c>
      <c r="B264" s="40">
        <f t="shared" si="12"/>
        <v>0.90058989402907741</v>
      </c>
      <c r="C264" s="40">
        <f>ATAN2('1.설계입력'!$C$6/('1.설계입력'!$C$8*'1.설계입력'!$C$15)-COS((1-'1.설계입력'!$C$15)*B264),SIN((1-'1.설계입력'!$C$15)*B264))</f>
        <v>0.2377624964613278</v>
      </c>
      <c r="D264" s="40">
        <f>'1.설계입력'!$C$6*COS(B264)-'1.설계입력'!$C$7*COS(B264+C264)-'1.설계입력'!$C$8*COS('1.설계입력'!$C$15*B264)</f>
        <v>49.414546639060504</v>
      </c>
      <c r="E264" s="40">
        <f>-'1.설계입력'!$C$6*SIN(B264)+'1.설계입력'!$C$7*SIN(B264+C264)+'1.설계입력'!$C$8*SIN('1.설계입력'!$C$15*B264)</f>
        <v>-62.122869421949204</v>
      </c>
      <c r="F264" s="40">
        <f>ATAN2(('1.설계입력'!$C$6+'1.설계입력'!$C$33)/('1.설계입력'!$C$8*'1.설계입력'!$C$15)-COS((1-'1.설계입력'!$C$15)*B264),SIN((1-'1.설계입력'!$C$15)*B264))</f>
        <v>0.23776784559102512</v>
      </c>
      <c r="G264" s="40">
        <f>('1.설계입력'!$C$6+'1.설계입력'!$C$33)*COS(B264)-('1.설계입력'!$C$7+'1.설계입력'!$C$34)*COS(B264+F264)-'1.설계입력'!$C$8*COS('1.설계입력'!$C$15*B264)</f>
        <v>49.409245909972533</v>
      </c>
      <c r="H264" s="40">
        <f>-('1.설계입력'!$C$6+'1.설계입력'!$C$33)*SIN(B264)+('1.설계입력'!$C$7+'1.설계입력'!$C$34)*SIN(B264+F264)+'1.설계입력'!$C$8*SIN('1.설계입력'!$C$15*B264)</f>
        <v>-62.11307663876984</v>
      </c>
      <c r="I264" s="40">
        <f t="shared" si="13"/>
        <v>79.379142882500545</v>
      </c>
      <c r="J264" s="40">
        <f t="shared" si="14"/>
        <v>79.368179208835542</v>
      </c>
      <c r="K264" s="38">
        <f>IF(OR(A264&gt;180,'1.설계입력'!$C$39&gt;=1),"",'1.설계입력'!$C$34*(1-SIN(B264)/SQRT(1+'1.설계입력'!$C$39^2-2*'1.설계입력'!$C$39*COS(B264)))-'1.설계입력'!$C$33*(1-'1.설계입력'!$C$39*COS(B264)-SQRT(MAX(0,1-'1.설계입력'!$C$39^2))*SIN(B264))/SQRT(1+'1.설계입력'!$C$39^2-2*'1.설계입력'!$C$39*COS(B264)))</f>
        <v>1.2382677118666862E-4</v>
      </c>
    </row>
    <row r="265" spans="1:11" x14ac:dyDescent="0.3">
      <c r="A265" s="40">
        <f>A264+'1.설계입력'!$C$12</f>
        <v>51.800000000000196</v>
      </c>
      <c r="B265" s="40">
        <f t="shared" si="12"/>
        <v>0.90408055253306607</v>
      </c>
      <c r="C265" s="40">
        <f>ATAN2('1.설계입력'!$C$6/('1.설계입력'!$C$8*'1.설계입력'!$C$15)-COS((1-'1.설계입력'!$C$15)*B265),SIN((1-'1.설계입력'!$C$15)*B265))</f>
        <v>0.29417563771151889</v>
      </c>
      <c r="D265" s="40">
        <f>'1.설계입력'!$C$6*COS(B265)-'1.설계입력'!$C$7*COS(B265+C265)-'1.설계입력'!$C$8*COS('1.설계입력'!$C$15*B265)</f>
        <v>49.201209168018188</v>
      </c>
      <c r="E265" s="40">
        <f>-'1.설계입력'!$C$6*SIN(B265)+'1.설계입력'!$C$7*SIN(B265+C265)+'1.설계입력'!$C$8*SIN('1.설계입력'!$C$15*B265)</f>
        <v>-62.213728336133244</v>
      </c>
      <c r="F265" s="40">
        <f>ATAN2(('1.설계입력'!$C$6+'1.설계입력'!$C$33)/('1.설계입력'!$C$8*'1.설계입력'!$C$15)-COS((1-'1.설계입력'!$C$15)*B265),SIN((1-'1.설계입력'!$C$15)*B265))</f>
        <v>0.2941823675018489</v>
      </c>
      <c r="G265" s="40">
        <f>('1.설계입력'!$C$6+'1.설계입력'!$C$33)*COS(B265)-('1.설계입력'!$C$7+'1.설계입력'!$C$34)*COS(B265+F265)-'1.설계입력'!$C$8*COS('1.설계입력'!$C$15*B265)</f>
        <v>49.196368967197721</v>
      </c>
      <c r="H265" s="40">
        <f>-('1.설계입력'!$C$6+'1.설계입력'!$C$33)*SIN(B265)+('1.설계입력'!$C$7+'1.설계입력'!$C$34)*SIN(B265+F265)+'1.설계입력'!$C$8*SIN('1.설계입력'!$C$15*B265)</f>
        <v>-62.203737975035921</v>
      </c>
      <c r="I265" s="40">
        <f t="shared" si="13"/>
        <v>79.317759531376481</v>
      </c>
      <c r="J265" s="40">
        <f t="shared" si="14"/>
        <v>79.306921120565391</v>
      </c>
      <c r="K265" s="38">
        <f>IF(OR(A265&gt;180,'1.설계입력'!$C$39&gt;=1),"",'1.설계입력'!$C$34*(1-SIN(B265)/SQRT(1+'1.설계입력'!$C$39^2-2*'1.설계입력'!$C$39*COS(B265)))-'1.설계입력'!$C$33*(1-'1.설계입력'!$C$39*COS(B265)-SQRT(MAX(0,1-'1.설계입력'!$C$39^2))*SIN(B265))/SQRT(1+'1.설계입력'!$C$39^2-2*'1.설계입력'!$C$39*COS(B265)))</f>
        <v>1.292270887727182E-4</v>
      </c>
    </row>
    <row r="266" spans="1:11" x14ac:dyDescent="0.3">
      <c r="A266" s="40">
        <f>A265+'1.설계입력'!$C$12</f>
        <v>52.000000000000199</v>
      </c>
      <c r="B266" s="40">
        <f t="shared" si="12"/>
        <v>0.90757121103705485</v>
      </c>
      <c r="C266" s="40">
        <f>ATAN2('1.설계입력'!$C$6/('1.설계입력'!$C$8*'1.설계입력'!$C$15)-COS((1-'1.설계입력'!$C$15)*B266),SIN((1-'1.설계입력'!$C$15)*B266))</f>
        <v>0.35000902060120204</v>
      </c>
      <c r="D266" s="40">
        <f>'1.설계입력'!$C$6*COS(B266)-'1.설계입력'!$C$7*COS(B266+C266)-'1.설계입력'!$C$8*COS('1.설계입력'!$C$15*B266)</f>
        <v>48.991289314623501</v>
      </c>
      <c r="E266" s="40">
        <f>-'1.설계입력'!$C$6*SIN(B266)+'1.설계입력'!$C$7*SIN(B266+C266)+'1.설계입력'!$C$8*SIN('1.설계입력'!$C$15*B266)</f>
        <v>-62.288703229840067</v>
      </c>
      <c r="F266" s="40">
        <f>ATAN2(('1.설계입력'!$C$6+'1.설계입력'!$C$33)/('1.설계입력'!$C$8*'1.설계입력'!$C$15)-COS((1-'1.설계입력'!$C$15)*B266),SIN((1-'1.설계입력'!$C$15)*B266))</f>
        <v>0.35001719578625384</v>
      </c>
      <c r="G266" s="40">
        <f>('1.설계입력'!$C$6+'1.설계입력'!$C$33)*COS(B266)-('1.설계입력'!$C$7+'1.설계입력'!$C$34)*COS(B266+F266)-'1.설계입력'!$C$8*COS('1.설계입력'!$C$15*B266)</f>
        <v>48.986916166081535</v>
      </c>
      <c r="H266" s="40">
        <f>-('1.설계입력'!$C$6+'1.설계입력'!$C$33)*SIN(B266)+('1.설계입력'!$C$7+'1.설계입력'!$C$34)*SIN(B266+F266)+'1.설계입력'!$C$8*SIN('1.설계입력'!$C$15*B266)</f>
        <v>-62.278544385335032</v>
      </c>
      <c r="I266" s="40">
        <f t="shared" si="13"/>
        <v>79.246633863932857</v>
      </c>
      <c r="J266" s="40">
        <f t="shared" si="14"/>
        <v>79.235945417587132</v>
      </c>
      <c r="K266" s="38">
        <f>IF(OR(A266&gt;180,'1.설계입력'!$C$39&gt;=1),"",'1.설계입력'!$C$34*(1-SIN(B266)/SQRT(1+'1.설계입력'!$C$39^2-2*'1.설계입력'!$C$39*COS(B266)))-'1.설계입력'!$C$33*(1-'1.설계입력'!$C$39*COS(B266)-SQRT(MAX(0,1-'1.설계입력'!$C$39^2))*SIN(B266))/SQRT(1+'1.설계입력'!$C$39^2-2*'1.설계입력'!$C$39*COS(B266)))</f>
        <v>1.3472630175097197E-4</v>
      </c>
    </row>
    <row r="267" spans="1:11" x14ac:dyDescent="0.3">
      <c r="A267" s="40">
        <f>A266+'1.설계입력'!$C$12</f>
        <v>52.200000000000202</v>
      </c>
      <c r="B267" s="40">
        <f t="shared" si="12"/>
        <v>0.91106186954104351</v>
      </c>
      <c r="C267" s="40">
        <f>ATAN2('1.설계입력'!$C$6/('1.설계입력'!$C$8*'1.설계입력'!$C$15)-COS((1-'1.설계입력'!$C$15)*B267),SIN((1-'1.설계입력'!$C$15)*B267))</f>
        <v>0.40509913106659723</v>
      </c>
      <c r="D267" s="40">
        <f>'1.설계입력'!$C$6*COS(B267)-'1.설계입력'!$C$7*COS(B267+C267)-'1.설계입력'!$C$8*COS('1.설계입력'!$C$15*B267)</f>
        <v>48.787282866357103</v>
      </c>
      <c r="E267" s="40">
        <f>-'1.설계입력'!$C$6*SIN(B267)+'1.설계입력'!$C$7*SIN(B267+C267)+'1.설계입력'!$C$8*SIN('1.설계입력'!$C$15*B267)</f>
        <v>-62.348274914696901</v>
      </c>
      <c r="F267" s="40">
        <f>ATAN2(('1.설계입력'!$C$6+'1.설계입력'!$C$33)/('1.설계입력'!$C$8*'1.설계입력'!$C$15)-COS((1-'1.설계입력'!$C$15)*B267),SIN((1-'1.설계입력'!$C$15)*B267))</f>
        <v>0.40510883408985787</v>
      </c>
      <c r="G267" s="40">
        <f>('1.설계입력'!$C$6+'1.설계입력'!$C$33)*COS(B267)-('1.설계입력'!$C$7+'1.설계입력'!$C$34)*COS(B267+F267)-'1.설계입력'!$C$8*COS('1.설계입력'!$C$15*B267)</f>
        <v>48.783380161869829</v>
      </c>
      <c r="H267" s="40">
        <f>-('1.설계입력'!$C$6+'1.설계입력'!$C$33)*SIN(B267)+('1.설계입력'!$C$7+'1.설계입력'!$C$34)*SIN(B267+F267)+'1.설계입력'!$C$8*SIN('1.설계입력'!$C$15*B267)</f>
        <v>-62.337976820797259</v>
      </c>
      <c r="I267" s="40">
        <f t="shared" si="13"/>
        <v>79.167583986885461</v>
      </c>
      <c r="J267" s="40">
        <f t="shared" si="14"/>
        <v>79.157068756541065</v>
      </c>
      <c r="K267" s="38">
        <f>IF(OR(A267&gt;180,'1.설계입력'!$C$39&gt;=1),"",'1.설계입력'!$C$34*(1-SIN(B267)/SQRT(1+'1.설계입력'!$C$39^2-2*'1.설계입력'!$C$39*COS(B267)))-'1.설계입력'!$C$33*(1-'1.설계입력'!$C$39*COS(B267)-SQRT(MAX(0,1-'1.설계입력'!$C$39^2))*SIN(B267))/SQRT(1+'1.설계입력'!$C$39^2-2*'1.설계입력'!$C$39*COS(B267)))</f>
        <v>1.4032353402227419E-4</v>
      </c>
    </row>
    <row r="268" spans="1:11" x14ac:dyDescent="0.3">
      <c r="A268" s="40">
        <f>A267+'1.설계입력'!$C$12</f>
        <v>52.400000000000205</v>
      </c>
      <c r="B268" s="40">
        <f t="shared" si="12"/>
        <v>0.91455252804503229</v>
      </c>
      <c r="C268" s="40">
        <f>ATAN2('1.설계입력'!$C$6/('1.설계입력'!$C$8*'1.설계입력'!$C$15)-COS((1-'1.설계입력'!$C$15)*B268),SIN((1-'1.설계입력'!$C$15)*B268))</f>
        <v>0.45924813815084542</v>
      </c>
      <c r="D268" s="40">
        <f>'1.설계입력'!$C$6*COS(B268)-'1.설계입력'!$C$7*COS(B268+C268)-'1.설계입력'!$C$8*COS('1.설계입력'!$C$15*B268)</f>
        <v>48.591450775761388</v>
      </c>
      <c r="E268" s="40">
        <f>-'1.설계입력'!$C$6*SIN(B268)+'1.설계입력'!$C$7*SIN(B268+C268)+'1.설계입력'!$C$8*SIN('1.설계입력'!$C$15*B268)</f>
        <v>-62.393305728664821</v>
      </c>
      <c r="F268" s="40">
        <f>ATAN2(('1.설계입력'!$C$6+'1.설계입력'!$C$33)/('1.설계입력'!$C$8*'1.설계입력'!$C$15)-COS((1-'1.설계입력'!$C$15)*B268),SIN((1-'1.설계입력'!$C$15)*B268))</f>
        <v>0.45925947251535343</v>
      </c>
      <c r="G268" s="40">
        <f>('1.설계입력'!$C$6+'1.설계입력'!$C$33)*COS(B268)-('1.설계입력'!$C$7+'1.설계입력'!$C$34)*COS(B268+F268)-'1.설계입력'!$C$8*COS('1.설계입력'!$C$15*B268)</f>
        <v>48.588018512137197</v>
      </c>
      <c r="H268" s="40">
        <f>-('1.설계입력'!$C$6+'1.설계입력'!$C$33)*SIN(B268)+('1.설계입력'!$C$7+'1.설계입력'!$C$34)*SIN(B268+F268)+'1.설계입력'!$C$8*SIN('1.설계입력'!$C$15*B268)</f>
        <v>-62.382897401331576</v>
      </c>
      <c r="I268" s="40">
        <f t="shared" si="13"/>
        <v>79.082575124004904</v>
      </c>
      <c r="J268" s="40">
        <f t="shared" si="14"/>
        <v>79.072254496257088</v>
      </c>
      <c r="K268" s="38">
        <f>IF(OR(A268&gt;180,'1.설계입력'!$C$39&gt;=1),"",'1.설계입력'!$C$34*(1-SIN(B268)/SQRT(1+'1.설계입력'!$C$39^2-2*'1.설계입력'!$C$39*COS(B268)))-'1.설계입력'!$C$33*(1-'1.설계입력'!$C$39*COS(B268)-SQRT(MAX(0,1-'1.설계입력'!$C$39^2))*SIN(B268))/SQRT(1+'1.설계입력'!$C$39^2-2*'1.설계입력'!$C$39*COS(B268)))</f>
        <v>1.4601792181784061E-4</v>
      </c>
    </row>
    <row r="269" spans="1:11" x14ac:dyDescent="0.3">
      <c r="A269" s="40">
        <f>A268+'1.설계입력'!$C$12</f>
        <v>52.600000000000207</v>
      </c>
      <c r="B269" s="40">
        <f t="shared" si="12"/>
        <v>0.91804318654902095</v>
      </c>
      <c r="C269" s="40">
        <f>ATAN2('1.설계입력'!$C$6/('1.설계입력'!$C$8*'1.설계입력'!$C$15)-COS((1-'1.설계입력'!$C$15)*B269),SIN((1-'1.설계입력'!$C$15)*B269))</f>
        <v>0.51221089029026656</v>
      </c>
      <c r="D269" s="40">
        <f>'1.설계입력'!$C$6*COS(B269)-'1.설계입력'!$C$7*COS(B269+C269)-'1.설계입력'!$C$8*COS('1.설계입력'!$C$15*B269)</f>
        <v>48.405709347372436</v>
      </c>
      <c r="E269" s="40">
        <f>-'1.설계입력'!$C$6*SIN(B269)+'1.설계입력'!$C$7*SIN(B269+C269)+'1.설계입력'!$C$8*SIN('1.설계입력'!$C$15*B269)</f>
        <v>-62.424994509178745</v>
      </c>
      <c r="F269" s="40">
        <f>ATAN2(('1.설계입력'!$C$6+'1.설계입력'!$C$33)/('1.설계입력'!$C$8*'1.설계입력'!$C$15)-COS((1-'1.설계입력'!$C$15)*B269),SIN((1-'1.설계입력'!$C$15)*B269))</f>
        <v>0.51222398505344668</v>
      </c>
      <c r="G269" s="40">
        <f>('1.설계입력'!$C$6+'1.설계입력'!$C$33)*COS(B269)-('1.설계입력'!$C$7+'1.설계입력'!$C$34)*COS(B269+F269)-'1.설계입력'!$C$8*COS('1.설계입력'!$C$15*B269)</f>
        <v>48.402743801630749</v>
      </c>
      <c r="H269" s="40">
        <f>-('1.설계입력'!$C$6+'1.설계입력'!$C$33)*SIN(B269)+('1.설계입력'!$C$7+'1.설계입력'!$C$34)*SIN(B269+F269)+'1.설계입력'!$C$8*SIN('1.설계입력'!$C$15*B269)</f>
        <v>-62.414504336592195</v>
      </c>
      <c r="I269" s="40">
        <f t="shared" si="13"/>
        <v>78.993624026837097</v>
      </c>
      <c r="J269" s="40">
        <f t="shared" si="14"/>
        <v>78.983517008986055</v>
      </c>
      <c r="K269" s="38">
        <f>IF(OR(A269&gt;180,'1.설계입력'!$C$39&gt;=1),"",'1.설계입력'!$C$34*(1-SIN(B269)/SQRT(1+'1.설계입력'!$C$39^2-2*'1.설계입력'!$C$39*COS(B269)))-'1.설계입력'!$C$33*(1-'1.설계입력'!$C$39*COS(B269)-SQRT(MAX(0,1-'1.설계입력'!$C$39^2))*SIN(B269))/SQRT(1+'1.설계입력'!$C$39^2-2*'1.설계입력'!$C$39*COS(B269)))</f>
        <v>1.518086134840418E-4</v>
      </c>
    </row>
    <row r="270" spans="1:11" x14ac:dyDescent="0.3">
      <c r="A270" s="40">
        <f>A269+'1.설계입력'!$C$12</f>
        <v>52.80000000000021</v>
      </c>
      <c r="B270" s="40">
        <f t="shared" si="12"/>
        <v>0.92153384505300973</v>
      </c>
      <c r="C270" s="40">
        <f>ATAN2('1.설계입력'!$C$6/('1.설계입력'!$C$8*'1.설계입력'!$C$15)-COS((1-'1.설계입력'!$C$15)*B270),SIN((1-'1.설계입력'!$C$15)*B270))</f>
        <v>0.56367647495431639</v>
      </c>
      <c r="D270" s="40">
        <f>'1.설계입력'!$C$6*COS(B270)-'1.설계입력'!$C$7*COS(B270+C270)-'1.설계입력'!$C$8*COS('1.설계입력'!$C$15*B270)</f>
        <v>48.231505271959151</v>
      </c>
      <c r="E270" s="40">
        <f>-'1.설계입력'!$C$6*SIN(B270)+'1.설계입력'!$C$7*SIN(B270+C270)+'1.설계입력'!$C$8*SIN('1.설계입력'!$C$15*B270)</f>
        <v>-62.444811504981438</v>
      </c>
      <c r="F270" s="40">
        <f>ATAN2(('1.설계입력'!$C$6+'1.설계입력'!$C$33)/('1.설계입력'!$C$8*'1.설계입력'!$C$15)-COS((1-'1.설계입력'!$C$15)*B270),SIN((1-'1.설계입력'!$C$15)*B270))</f>
        <v>0.56369149075720959</v>
      </c>
      <c r="G270" s="40">
        <f>('1.설계입력'!$C$6+'1.설계입력'!$C$33)*COS(B270)-('1.설계입력'!$C$7+'1.설계입력'!$C$34)*COS(B270+F270)-'1.설계입력'!$C$8*COS('1.설계입력'!$C$15*B270)</f>
        <v>48.228998578659528</v>
      </c>
      <c r="H270" s="40">
        <f>-('1.설계입력'!$C$6+'1.설계입력'!$C$33)*SIN(B270)+('1.설계입력'!$C$7+'1.설계입력'!$C$34)*SIN(B270+F270)+'1.설계입력'!$C$8*SIN('1.설계입력'!$C$15*B270)</f>
        <v>-62.434266765994117</v>
      </c>
      <c r="I270" s="40">
        <f t="shared" si="13"/>
        <v>78.902677931054313</v>
      </c>
      <c r="J270" s="40">
        <f t="shared" si="14"/>
        <v>78.892800498573123</v>
      </c>
      <c r="K270" s="38">
        <f>IF(OR(A270&gt;180,'1.설계입력'!$C$39&gt;=1),"",'1.설계입력'!$C$34*(1-SIN(B270)/SQRT(1+'1.설계입력'!$C$39^2-2*'1.설계입력'!$C$39*COS(B270)))-'1.설계입력'!$C$33*(1-'1.설계입력'!$C$39*COS(B270)-SQRT(MAX(0,1-'1.설계입력'!$C$39^2))*SIN(B270))/SQRT(1+'1.설계입력'!$C$39^2-2*'1.설계입력'!$C$39*COS(B270)))</f>
        <v>1.5769476927137666E-4</v>
      </c>
    </row>
    <row r="271" spans="1:11" x14ac:dyDescent="0.3">
      <c r="A271" s="40">
        <f>A270+'1.설계입력'!$C$12</f>
        <v>53.000000000000213</v>
      </c>
      <c r="B271" s="40">
        <f t="shared" si="12"/>
        <v>0.92502450355699839</v>
      </c>
      <c r="C271" s="40">
        <f>ATAN2('1.설계입력'!$C$6/('1.설계입력'!$C$8*'1.설계입력'!$C$15)-COS((1-'1.설계입력'!$C$15)*B271),SIN((1-'1.설계입력'!$C$15)*B271))</f>
        <v>0.61324134615148174</v>
      </c>
      <c r="D271" s="40">
        <f>'1.설계입력'!$C$6*COS(B271)-'1.설계입력'!$C$7*COS(B271+C271)-'1.설계입력'!$C$8*COS('1.설계입력'!$C$15*B271)</f>
        <v>48.069666274089059</v>
      </c>
      <c r="E271" s="40">
        <f>-'1.설계입력'!$C$6*SIN(B271)+'1.설계입력'!$C$7*SIN(B271+C271)+'1.설계입력'!$C$8*SIN('1.설계입력'!$C$15*B271)</f>
        <v>-62.454409515650887</v>
      </c>
      <c r="F271" s="40">
        <f>ATAN2(('1.설계입력'!$C$6+'1.설계입력'!$C$33)/('1.설계입력'!$C$8*'1.설계입력'!$C$15)-COS((1-'1.설계입력'!$C$15)*B271),SIN((1-'1.설계입력'!$C$15)*B271))</f>
        <v>0.61325848332831767</v>
      </c>
      <c r="G271" s="40">
        <f>('1.설계입력'!$C$6+'1.설계입력'!$C$33)*COS(B271)-('1.설계입력'!$C$7+'1.설계입력'!$C$34)*COS(B271+F271)-'1.설계입력'!$C$8*COS('1.설계입력'!$C$15*B271)</f>
        <v>48.067605848321051</v>
      </c>
      <c r="H271" s="40">
        <f>-('1.설계입력'!$C$6+'1.설계입력'!$C$33)*SIN(B271)+('1.설계입력'!$C$7+'1.설계입력'!$C$34)*SIN(B271+F271)+'1.설계입력'!$C$8*SIN('1.설계입력'!$C$15*B271)</f>
        <v>-62.44383579757573</v>
      </c>
      <c r="I271" s="40">
        <f t="shared" si="13"/>
        <v>78.81145908845312</v>
      </c>
      <c r="J271" s="40">
        <f t="shared" si="14"/>
        <v>78.801823336164929</v>
      </c>
      <c r="K271" s="38">
        <f>IF(OR(A271&gt;180,'1.설계입력'!$C$39&gt;=1),"",'1.설계입력'!$C$34*(1-SIN(B271)/SQRT(1+'1.설계입력'!$C$39^2-2*'1.설계입력'!$C$39*COS(B271)))-'1.설계입력'!$C$33*(1-'1.설계입력'!$C$39*COS(B271)-SQRT(MAX(0,1-'1.설계입력'!$C$39^2))*SIN(B271))/SQRT(1+'1.설계입력'!$C$39^2-2*'1.설계입력'!$C$39*COS(B271)))</f>
        <v>1.6367556112752255E-4</v>
      </c>
    </row>
    <row r="272" spans="1:11" x14ac:dyDescent="0.3">
      <c r="A272" s="40">
        <f>A271+'1.설계입력'!$C$12</f>
        <v>53.200000000000216</v>
      </c>
      <c r="B272" s="40">
        <f t="shared" si="12"/>
        <v>0.92851516206098705</v>
      </c>
      <c r="C272" s="40">
        <f>ATAN2('1.설계입력'!$C$6/('1.설계입력'!$C$8*'1.설계입력'!$C$15)-COS((1-'1.설계입력'!$C$15)*B272),SIN((1-'1.설계입력'!$C$15)*B272))</f>
        <v>0.66036906277934715</v>
      </c>
      <c r="D272" s="40">
        <f>'1.설계입력'!$C$6*COS(B272)-'1.설계입력'!$C$7*COS(B272+C272)-'1.설계입력'!$C$8*COS('1.설계입력'!$C$15*B272)</f>
        <v>47.9202105810528</v>
      </c>
      <c r="E272" s="40">
        <f>-'1.설계입력'!$C$6*SIN(B272)+'1.설계입력'!$C$7*SIN(B272+C272)+'1.설계입력'!$C$8*SIN('1.설계입력'!$C$15*B272)</f>
        <v>-62.455505640417286</v>
      </c>
      <c r="F272" s="40">
        <f>ATAN2(('1.설계입력'!$C$6+'1.설계입력'!$C$33)/('1.설계입력'!$C$8*'1.설계입력'!$C$15)-COS((1-'1.설계입력'!$C$15)*B272),SIN((1-'1.설계입력'!$C$15)*B272))</f>
        <v>0.66038857229789893</v>
      </c>
      <c r="G272" s="40">
        <f>('1.설계입력'!$C$6+'1.설계입력'!$C$33)*COS(B272)-('1.설계입력'!$C$7+'1.설계입력'!$C$34)*COS(B272+F272)-'1.설계입력'!$C$8*COS('1.설계입력'!$C$15*B272)</f>
        <v>47.918578295178662</v>
      </c>
      <c r="H272" s="40">
        <f>-('1.설계입력'!$C$6+'1.설계입력'!$C$33)*SIN(B272)+('1.설계입력'!$C$7+'1.설계입력'!$C$34)*SIN(B272+F272)+'1.설계입력'!$C$8*SIN('1.설계입력'!$C$15*B272)</f>
        <v>-62.444926113266682</v>
      </c>
      <c r="I272" s="40">
        <f t="shared" si="13"/>
        <v>78.721259942487208</v>
      </c>
      <c r="J272" s="40">
        <f t="shared" si="14"/>
        <v>78.711872948891923</v>
      </c>
      <c r="K272" s="38">
        <f>IF(OR(A272&gt;180,'1.설계입력'!$C$39&gt;=1),"",'1.설계입력'!$C$34*(1-SIN(B272)/SQRT(1+'1.설계입력'!$C$39^2-2*'1.설계입력'!$C$39*COS(B272)))-'1.설계입력'!$C$33*(1-'1.설계입력'!$C$39*COS(B272)-SQRT(MAX(0,1-'1.설계입력'!$C$39^2))*SIN(B272))/SQRT(1+'1.설계입력'!$C$39^2-2*'1.설계입력'!$C$39*COS(B272)))</f>
        <v>1.6975017249438697E-4</v>
      </c>
    </row>
    <row r="273" spans="1:11" x14ac:dyDescent="0.3">
      <c r="A273" s="40">
        <f>A272+'1.설계입력'!$C$12</f>
        <v>53.400000000000219</v>
      </c>
      <c r="B273" s="40">
        <f t="shared" si="12"/>
        <v>0.93200582056497583</v>
      </c>
      <c r="C273" s="40">
        <f>ATAN2('1.설계입력'!$C$6/('1.설계입력'!$C$8*'1.설계입력'!$C$15)-COS((1-'1.설계입력'!$C$15)*B273),SIN((1-'1.설계입력'!$C$15)*B273))</f>
        <v>0.70432816899471051</v>
      </c>
      <c r="D273" s="40">
        <f>'1.설계입력'!$C$6*COS(B273)-'1.설계입력'!$C$7*COS(B273+C273)-'1.설계입력'!$C$8*COS('1.설계입력'!$C$15*B273)</f>
        <v>47.782084587806047</v>
      </c>
      <c r="E273" s="40">
        <f>-'1.설계입력'!$C$6*SIN(B273)+'1.설계입력'!$C$7*SIN(B273+C273)+'1.설계입력'!$C$8*SIN('1.설계입력'!$C$15*B273)</f>
        <v>-62.449725226437231</v>
      </c>
      <c r="F273" s="40">
        <f>ATAN2(('1.설계입력'!$C$6+'1.설계입력'!$C$33)/('1.설계입력'!$C$8*'1.설계입력'!$C$15)-COS((1-'1.설계입력'!$C$15)*B273),SIN((1-'1.설계입력'!$C$15)*B273))</f>
        <v>0.70435036721110156</v>
      </c>
      <c r="G273" s="40">
        <f>('1.설계입력'!$C$6+'1.설계입력'!$C$33)*COS(B273)-('1.설계입력'!$C$7+'1.설계입력'!$C$34)*COS(B273+F273)-'1.설계입력'!$C$8*COS('1.설계입력'!$C$15*B273)</f>
        <v>47.780855547421275</v>
      </c>
      <c r="H273" s="40">
        <f>-('1.설계입력'!$C$6+'1.설계입력'!$C$33)*SIN(B273)+('1.설계입력'!$C$7+'1.설계입력'!$C$34)*SIN(B273+F273)+'1.설계입력'!$C$8*SIN('1.설계입력'!$C$15*B273)</f>
        <v>-62.439159709411804</v>
      </c>
      <c r="I273" s="40">
        <f t="shared" si="13"/>
        <v>78.632663622783141</v>
      </c>
      <c r="J273" s="40">
        <f t="shared" si="14"/>
        <v>78.623525881640361</v>
      </c>
      <c r="K273" s="38">
        <f>IF(OR(A273&gt;180,'1.설계입력'!$C$39&gt;=1),"",'1.설계입력'!$C$34*(1-SIN(B273)/SQRT(1+'1.설계입력'!$C$39^2-2*'1.설계입력'!$C$39*COS(B273)))-'1.설계입력'!$C$33*(1-'1.설계입력'!$C$39*COS(B273)-SQRT(MAX(0,1-'1.설계입력'!$C$39^2))*SIN(B273))/SQRT(1+'1.설계입력'!$C$39^2-2*'1.설계입력'!$C$39*COS(B273)))</f>
        <v>1.7591779810908418E-4</v>
      </c>
    </row>
    <row r="274" spans="1:11" x14ac:dyDescent="0.3">
      <c r="A274" s="40">
        <f>A273+'1.설계입력'!$C$12</f>
        <v>53.600000000000222</v>
      </c>
      <c r="B274" s="40">
        <f t="shared" si="12"/>
        <v>0.93549647906896449</v>
      </c>
      <c r="C274" s="40">
        <f>ATAN2('1.설계입력'!$C$6/('1.설계입력'!$C$8*'1.설계입력'!$C$15)-COS((1-'1.설계입력'!$C$15)*B274),SIN((1-'1.설계입력'!$C$15)*B274))</f>
        <v>0.74409324739170157</v>
      </c>
      <c r="D274" s="40">
        <f>'1.설계입력'!$C$6*COS(B274)-'1.설계입력'!$C$7*COS(B274+C274)-'1.설계입력'!$C$8*COS('1.설계입력'!$C$15*B274)</f>
        <v>47.652771811419456</v>
      </c>
      <c r="E274" s="40">
        <f>-'1.설계입력'!$C$6*SIN(B274)+'1.설계입력'!$C$7*SIN(B274+C274)+'1.설계입력'!$C$8*SIN('1.설계입력'!$C$15*B274)</f>
        <v>-62.438396085244214</v>
      </c>
      <c r="F274" s="40">
        <f>ATAN2(('1.설계입력'!$C$6+'1.설계입력'!$C$33)/('1.설계입력'!$C$8*'1.설계입력'!$C$15)-COS((1-'1.설계입력'!$C$15)*B274),SIN((1-'1.설계입력'!$C$15)*B274))</f>
        <v>0.74411853575080711</v>
      </c>
      <c r="G274" s="40">
        <f>('1.설계입력'!$C$6+'1.설계입력'!$C$33)*COS(B274)-('1.설계입력'!$C$7+'1.설계입력'!$C$34)*COS(B274+F274)-'1.설계입력'!$C$8*COS('1.설계입력'!$C$15*B274)</f>
        <v>47.651912460955892</v>
      </c>
      <c r="H274" s="40">
        <f>-('1.설계입력'!$C$6+'1.설계입력'!$C$33)*SIN(B274)+('1.설계입력'!$C$7+'1.설계입력'!$C$34)*SIN(B274+F274)+'1.설계입력'!$C$8*SIN('1.설계입력'!$C$15*B274)</f>
        <v>-62.427859809670856</v>
      </c>
      <c r="I274" s="40">
        <f t="shared" si="13"/>
        <v>78.545146043591089</v>
      </c>
      <c r="J274" s="40">
        <f t="shared" si="14"/>
        <v>78.536249220360162</v>
      </c>
      <c r="K274" s="38">
        <f>IF(OR(A274&gt;180,'1.설계입력'!$C$39&gt;=1),"",'1.설계입력'!$C$34*(1-SIN(B274)/SQRT(1+'1.설계입력'!$C$39^2-2*'1.설계입력'!$C$39*COS(B274)))-'1.설계입력'!$C$33*(1-'1.설계입력'!$C$39*COS(B274)-SQRT(MAX(0,1-'1.설계입력'!$C$39^2))*SIN(B274))/SQRT(1+'1.설계입력'!$C$39^2-2*'1.설계입력'!$C$39*COS(B274)))</f>
        <v>1.8217764380872191E-4</v>
      </c>
    </row>
    <row r="275" spans="1:11" x14ac:dyDescent="0.3">
      <c r="A275" s="40">
        <f>A274+'1.설계입력'!$C$12</f>
        <v>53.800000000000225</v>
      </c>
      <c r="B275" s="40">
        <f t="shared" si="12"/>
        <v>0.93898713757295327</v>
      </c>
      <c r="C275" s="40">
        <f>ATAN2('1.설계입력'!$C$6/('1.설계입력'!$C$8*'1.설계입력'!$C$15)-COS((1-'1.설계입력'!$C$15)*B275),SIN((1-'1.설계입력'!$C$15)*B275))</f>
        <v>0.77818171208870623</v>
      </c>
      <c r="D275" s="40">
        <f>'1.설계입력'!$C$6*COS(B275)-'1.설계입력'!$C$7*COS(B275+C275)-'1.설계입력'!$C$8*COS('1.설계입력'!$C$15*B275)</f>
        <v>47.527664292393041</v>
      </c>
      <c r="E275" s="40">
        <f>-'1.설계입력'!$C$6*SIN(B275)+'1.설계입력'!$C$7*SIN(B275+C275)+'1.설계입력'!$C$8*SIN('1.설계입력'!$C$15*B275)</f>
        <v>-62.422278628248073</v>
      </c>
      <c r="F275" s="40">
        <f>ATAN2(('1.설계입력'!$C$6+'1.설계입력'!$C$33)/('1.설계입력'!$C$8*'1.설계입력'!$C$15)-COS((1-'1.설계입력'!$C$15)*B275),SIN((1-'1.설계입력'!$C$15)*B275))</f>
        <v>0.77821060252648377</v>
      </c>
      <c r="G275" s="40">
        <f>('1.설계입력'!$C$6+'1.설계입력'!$C$33)*COS(B275)-('1.설계입력'!$C$7+'1.설계입력'!$C$34)*COS(B275+F275)-'1.설계입력'!$C$8*COS('1.설계입력'!$C$15*B275)</f>
        <v>47.527129360441627</v>
      </c>
      <c r="H275" s="40">
        <f>-('1.설계입력'!$C$6+'1.설계입력'!$C$33)*SIN(B275)+('1.설계입력'!$C$7+'1.설계입력'!$C$34)*SIN(B275+F275)+'1.설계입력'!$C$8*SIN('1.설계입력'!$C$15*B275)</f>
        <v>-62.41178055789171</v>
      </c>
      <c r="I275" s="40">
        <f t="shared" si="13"/>
        <v>78.456483111550753</v>
      </c>
      <c r="J275" s="40">
        <f t="shared" si="14"/>
        <v>78.447806710261716</v>
      </c>
      <c r="K275" s="38">
        <f>IF(OR(A275&gt;180,'1.설계입력'!$C$39&gt;=1),"",'1.설계입력'!$C$34*(1-SIN(B275)/SQRT(1+'1.설계입력'!$C$39^2-2*'1.설계입력'!$C$39*COS(B275)))-'1.설계입력'!$C$33*(1-'1.설계입력'!$C$39*COS(B275)-SQRT(MAX(0,1-'1.설계입력'!$C$39^2))*SIN(B275))/SQRT(1+'1.설계입력'!$C$39^2-2*'1.설계입력'!$C$39*COS(B275)))</f>
        <v>1.8852892633898044E-4</v>
      </c>
    </row>
    <row r="276" spans="1:11" x14ac:dyDescent="0.3">
      <c r="A276" s="40">
        <f>A275+'1.설계입력'!$C$12</f>
        <v>54.000000000000227</v>
      </c>
      <c r="B276" s="40">
        <f t="shared" si="12"/>
        <v>0.94247779607694193</v>
      </c>
      <c r="C276" s="40">
        <f>ATAN2('1.설계입력'!$C$6/('1.설계입력'!$C$8*'1.설계입력'!$C$15)-COS((1-'1.설계입력'!$C$15)*B276),SIN((1-'1.설계입력'!$C$15)*B276))</f>
        <v>0.80437416500306591</v>
      </c>
      <c r="D276" s="40">
        <f>'1.설계입력'!$C$6*COS(B276)-'1.설계입력'!$C$7*COS(B276+C276)-'1.설계입력'!$C$8*COS('1.설계입력'!$C$15*B276)</f>
        <v>47.398980893928808</v>
      </c>
      <c r="E276" s="40">
        <f>-'1.설계입력'!$C$6*SIN(B276)+'1.설계입력'!$C$7*SIN(B276+C276)+'1.설계입력'!$C$8*SIN('1.설계입력'!$C$15*B276)</f>
        <v>-62.401224755753717</v>
      </c>
      <c r="F276" s="40">
        <f>ATAN2(('1.설계입력'!$C$6+'1.설계입력'!$C$33)/('1.설계입력'!$C$8*'1.설계입력'!$C$15)-COS((1-'1.설계입력'!$C$15)*B276),SIN((1-'1.설계입력'!$C$15)*B276))</f>
        <v>0.80440730939994487</v>
      </c>
      <c r="G276" s="40">
        <f>('1.설계입력'!$C$6+'1.설계입력'!$C$33)*COS(B276)-('1.설계입력'!$C$7+'1.설계입력'!$C$34)*COS(B276+F276)-'1.설계입력'!$C$8*COS('1.설계입력'!$C$15*B276)</f>
        <v>47.398708246976902</v>
      </c>
      <c r="H276" s="40">
        <f>-('1.설계입력'!$C$6+'1.설계입력'!$C$33)*SIN(B276)+('1.설계입력'!$C$7+'1.설계입력'!$C$34)*SIN(B276+F276)+'1.설계입력'!$C$8*SIN('1.설계입력'!$C$15*B276)</f>
        <v>-62.390765281114739</v>
      </c>
      <c r="I276" s="40">
        <f t="shared" si="13"/>
        <v>78.361828978151848</v>
      </c>
      <c r="J276" s="40">
        <f t="shared" si="14"/>
        <v>78.353335192863284</v>
      </c>
      <c r="K276" s="38">
        <f>IF(OR(A276&gt;180,'1.설계입력'!$C$39&gt;=1),"",'1.설계입력'!$C$34*(1-SIN(B276)/SQRT(1+'1.설계입력'!$C$39^2-2*'1.설계입력'!$C$39*COS(B276)))-'1.설계입력'!$C$33*(1-'1.설계입력'!$C$39*COS(B276)-SQRT(MAX(0,1-'1.설계입력'!$C$39^2))*SIN(B276))/SQRT(1+'1.설계입력'!$C$39^2-2*'1.설계입력'!$C$39*COS(B276)))</f>
        <v>1.9497087316633029E-4</v>
      </c>
    </row>
    <row r="277" spans="1:11" x14ac:dyDescent="0.3">
      <c r="A277" s="40">
        <f>A276+'1.설계입력'!$C$12</f>
        <v>54.20000000000023</v>
      </c>
      <c r="B277" s="40">
        <f t="shared" si="12"/>
        <v>0.9459684545809306</v>
      </c>
      <c r="C277" s="40">
        <f>ATAN2('1.설계입력'!$C$6/('1.설계입력'!$C$8*'1.설계입력'!$C$15)-COS((1-'1.설계입력'!$C$15)*B277),SIN((1-'1.설계입력'!$C$15)*B277))</f>
        <v>0.8192155933986498</v>
      </c>
      <c r="D277" s="40">
        <f>'1.설계입력'!$C$6*COS(B277)-'1.설계입력'!$C$7*COS(B277+C277)-'1.설계입력'!$C$8*COS('1.설계입력'!$C$15*B277)</f>
        <v>47.253790541738901</v>
      </c>
      <c r="E277" s="40">
        <f>-'1.설계입력'!$C$6*SIN(B277)+'1.설계입력'!$C$7*SIN(B277+C277)+'1.설계입력'!$C$8*SIN('1.설계입력'!$C$15*B277)</f>
        <v>-62.373809006498846</v>
      </c>
      <c r="F277" s="40">
        <f>ATAN2(('1.설계입력'!$C$6+'1.설계입력'!$C$33)/('1.설계입력'!$C$8*'1.설계입력'!$C$15)-COS((1-'1.설계입력'!$C$15)*B277),SIN((1-'1.설계입력'!$C$15)*B277))</f>
        <v>0.81925380583987251</v>
      </c>
      <c r="G277" s="40">
        <f>('1.설계입력'!$C$6+'1.설계입력'!$C$33)*COS(B277)-('1.설계입력'!$C$7+'1.설계입력'!$C$34)*COS(B277+F277)-'1.설계입력'!$C$8*COS('1.설계입력'!$C$15*B277)</f>
        <v>47.253692090258127</v>
      </c>
      <c r="H277" s="40">
        <f>-('1.설계입력'!$C$6+'1.설계입력'!$C$33)*SIN(B277)+('1.설계입력'!$C$7+'1.설계입력'!$C$34)*SIN(B277+F277)+'1.설계입력'!$C$8*SIN('1.설계입력'!$C$15*B277)</f>
        <v>-62.363376851059925</v>
      </c>
      <c r="I277" s="40">
        <f t="shared" si="13"/>
        <v>78.252238118418887</v>
      </c>
      <c r="J277" s="40">
        <f t="shared" si="14"/>
        <v>78.243863583211692</v>
      </c>
      <c r="K277" s="38">
        <f>IF(OR(A277&gt;180,'1.설계입력'!$C$39&gt;=1),"",'1.설계입력'!$C$34*(1-SIN(B277)/SQRT(1+'1.설계입력'!$C$39^2-2*'1.설계입력'!$C$39*COS(B277)))-'1.설계입력'!$C$33*(1-'1.설계입력'!$C$39*COS(B277)-SQRT(MAX(0,1-'1.설계입력'!$C$39^2))*SIN(B277))/SQRT(1+'1.설계입력'!$C$39^2-2*'1.설계입력'!$C$39*COS(B277)))</f>
        <v>2.0150272229388822E-4</v>
      </c>
    </row>
    <row r="278" spans="1:11" x14ac:dyDescent="0.3">
      <c r="A278" s="40">
        <f>A277+'1.설계입력'!$C$12</f>
        <v>54.400000000000233</v>
      </c>
      <c r="B278" s="40">
        <f t="shared" si="12"/>
        <v>0.94945911308491937</v>
      </c>
      <c r="C278" s="40">
        <f>ATAN2('1.설계입력'!$C$6/('1.설계입력'!$C$8*'1.설계입력'!$C$15)-COS((1-'1.설계입력'!$C$15)*B278),SIN((1-'1.설계입력'!$C$15)*B278))</f>
        <v>0.81709081659043836</v>
      </c>
      <c r="D278" s="40">
        <f>'1.설계입력'!$C$6*COS(B278)-'1.설계입력'!$C$7*COS(B278+C278)-'1.설계입력'!$C$8*COS('1.설계입력'!$C$15*B278)</f>
        <v>47.070214209871672</v>
      </c>
      <c r="E278" s="40">
        <f>-'1.설계입력'!$C$6*SIN(B278)+'1.설계입력'!$C$7*SIN(B278+C278)+'1.설계입력'!$C$8*SIN('1.설계입력'!$C$15*B278)</f>
        <v>-62.337200900260498</v>
      </c>
      <c r="F278" s="40">
        <f>ATAN2(('1.설계입력'!$C$6+'1.설계입력'!$C$33)/('1.설계입력'!$C$8*'1.설계입력'!$C$15)-COS((1-'1.설계입력'!$C$15)*B278),SIN((1-'1.설계입력'!$C$15)*B278))</f>
        <v>0.81713504250880964</v>
      </c>
      <c r="G278" s="40">
        <f>('1.설계입력'!$C$6+'1.설계입력'!$C$33)*COS(B278)-('1.설계입력'!$C$7+'1.설계입력'!$C$34)*COS(B278+F278)-'1.설계입력'!$C$8*COS('1.설계입력'!$C$15*B278)</f>
        <v>47.070159001327049</v>
      </c>
      <c r="H278" s="40">
        <f>-('1.설계입력'!$C$6+'1.설계입력'!$C$33)*SIN(B278)+('1.설계입력'!$C$7+'1.설계입력'!$C$34)*SIN(B278+F278)+'1.설계입력'!$C$8*SIN('1.설계입력'!$C$15*B278)</f>
        <v>-62.326769469134</v>
      </c>
      <c r="I278" s="40">
        <f t="shared" si="13"/>
        <v>78.11230173181842</v>
      </c>
      <c r="J278" s="40">
        <f t="shared" si="14"/>
        <v>78.103943952074431</v>
      </c>
      <c r="K278" s="38">
        <f>IF(OR(A278&gt;180,'1.설계입력'!$C$39&gt;=1),"",'1.설계입력'!$C$34*(1-SIN(B278)/SQRT(1+'1.설계입력'!$C$39^2-2*'1.설계입력'!$C$39*COS(B278)))-'1.설계입력'!$C$33*(1-'1.설계입력'!$C$39*COS(B278)-SQRT(MAX(0,1-'1.설계입력'!$C$39^2))*SIN(B278))/SQRT(1+'1.설계입력'!$C$39^2-2*'1.설계입력'!$C$39*COS(B278)))</f>
        <v>2.0812372208076928E-4</v>
      </c>
    </row>
    <row r="279" spans="1:11" x14ac:dyDescent="0.3">
      <c r="A279" s="40">
        <f>A278+'1.설계입력'!$C$12</f>
        <v>54.600000000000236</v>
      </c>
      <c r="B279" s="40">
        <f t="shared" si="12"/>
        <v>0.95294977158890803</v>
      </c>
      <c r="C279" s="40">
        <f>ATAN2('1.설계입력'!$C$6/('1.설계입력'!$C$8*'1.설계입력'!$C$15)-COS((1-'1.설계입력'!$C$15)*B279),SIN((1-'1.설계입력'!$C$15)*B279))</f>
        <v>0.78846897179940445</v>
      </c>
      <c r="D279" s="40">
        <f>'1.설계입력'!$C$6*COS(B279)-'1.설계입력'!$C$7*COS(B279+C279)-'1.설계입력'!$C$8*COS('1.설계입력'!$C$15*B279)</f>
        <v>46.809920987914417</v>
      </c>
      <c r="E279" s="40">
        <f>-'1.설계입력'!$C$6*SIN(B279)+'1.설계입력'!$C$7*SIN(B279+C279)+'1.설계입력'!$C$8*SIN('1.설계입력'!$C$15*B279)</f>
        <v>-62.288457188703575</v>
      </c>
      <c r="F279" s="40">
        <f>ATAN2(('1.설계입력'!$C$6+'1.설계입력'!$C$33)/('1.설계입력'!$C$8*'1.설계입력'!$C$15)-COS((1-'1.설계입력'!$C$15)*B279),SIN((1-'1.설계입력'!$C$15)*B279))</f>
        <v>0.78852003505094415</v>
      </c>
      <c r="G279" s="40">
        <f>('1.설계입력'!$C$6+'1.설계입력'!$C$33)*COS(B279)-('1.설계입력'!$C$7+'1.설계입력'!$C$34)*COS(B279+F279)-'1.설계입력'!$C$8*COS('1.설계입력'!$C$15*B279)</f>
        <v>46.809702255764044</v>
      </c>
      <c r="H279" s="40">
        <f>-('1.설계입력'!$C$6+'1.설계입력'!$C$33)*SIN(B279)+('1.설계입력'!$C$7+'1.설계입력'!$C$34)*SIN(B279+F279)+'1.설계입력'!$C$8*SIN('1.설계입력'!$C$15*B279)</f>
        <v>-62.277982667090292</v>
      </c>
      <c r="I279" s="40">
        <f t="shared" si="13"/>
        <v>77.916754307682439</v>
      </c>
      <c r="J279" s="40">
        <f t="shared" si="14"/>
        <v>77.908249565470797</v>
      </c>
      <c r="K279" s="38">
        <f>IF(OR(A279&gt;180,'1.설계입력'!$C$39&gt;=1),"",'1.설계입력'!$C$34*(1-SIN(B279)/SQRT(1+'1.설계입력'!$C$39^2-2*'1.설계입력'!$C$39*COS(B279)))-'1.설계입력'!$C$33*(1-'1.설계입력'!$C$39*COS(B279)-SQRT(MAX(0,1-'1.설계입력'!$C$39^2))*SIN(B279))/SQRT(1+'1.설계입력'!$C$39^2-2*'1.설계입력'!$C$39*COS(B279)))</f>
        <v>2.148331310649138E-4</v>
      </c>
    </row>
    <row r="280" spans="1:11" x14ac:dyDescent="0.3">
      <c r="A280" s="40">
        <f>A279+'1.설계입력'!$C$12</f>
        <v>54.800000000000239</v>
      </c>
      <c r="B280" s="40">
        <f t="shared" si="12"/>
        <v>0.95644043009289681</v>
      </c>
      <c r="C280" s="40">
        <f>ATAN2('1.설계입력'!$C$6/('1.설계입력'!$C$8*'1.설계입력'!$C$15)-COS((1-'1.설계입력'!$C$15)*B280),SIN((1-'1.설계입력'!$C$15)*B280))</f>
        <v>0.7166772627471758</v>
      </c>
      <c r="D280" s="40">
        <f>'1.설계입력'!$C$6*COS(B280)-'1.설계입력'!$C$7*COS(B280+C280)-'1.설계입력'!$C$8*COS('1.설계입력'!$C$15*B280)</f>
        <v>46.403949439561856</v>
      </c>
      <c r="E280" s="40">
        <f>-'1.설계입력'!$C$6*SIN(B280)+'1.설계입력'!$C$7*SIN(B280+C280)+'1.설계입력'!$C$8*SIN('1.설계입력'!$C$15*B280)</f>
        <v>-62.231923828433665</v>
      </c>
      <c r="F280" s="40">
        <f>ATAN2(('1.설계입력'!$C$6+'1.설계입력'!$C$33)/('1.설계입력'!$C$8*'1.설계입력'!$C$15)-COS((1-'1.설계입력'!$C$15)*B280),SIN((1-'1.설계입력'!$C$15)*B280))</f>
        <v>0.71673479693291575</v>
      </c>
      <c r="G280" s="40">
        <f>('1.설계입력'!$C$6+'1.설계입력'!$C$33)*COS(B280)-('1.설계입력'!$C$7+'1.설계입력'!$C$34)*COS(B280+F280)-'1.설계입력'!$C$8*COS('1.설계입력'!$C$15*B280)</f>
        <v>46.403219252967389</v>
      </c>
      <c r="H280" s="40">
        <f>-('1.설계입력'!$C$6+'1.설계입력'!$C$33)*SIN(B280)+('1.설계입력'!$C$7+'1.설계입력'!$C$34)*SIN(B280+F280)+'1.설계입력'!$C$8*SIN('1.설계입력'!$C$15*B280)</f>
        <v>-62.221356605436021</v>
      </c>
      <c r="I280" s="40">
        <f t="shared" si="13"/>
        <v>77.628209221760244</v>
      </c>
      <c r="J280" s="40">
        <f t="shared" si="14"/>
        <v>77.619301561272763</v>
      </c>
      <c r="K280" s="38">
        <f>IF(OR(A280&gt;180,'1.설계입력'!$C$39&gt;=1),"",'1.설계입력'!$C$34*(1-SIN(B280)/SQRT(1+'1.설계입력'!$C$39^2-2*'1.설계입력'!$C$39*COS(B280)))-'1.설계입력'!$C$33*(1-'1.설계입력'!$C$39*COS(B280)-SQRT(MAX(0,1-'1.설계입력'!$C$39^2))*SIN(B280))/SQRT(1+'1.설계입력'!$C$39^2-2*'1.설계입력'!$C$39*COS(B280)))</f>
        <v>2.216302177892878E-4</v>
      </c>
    </row>
    <row r="281" spans="1:11" x14ac:dyDescent="0.3">
      <c r="A281" s="40">
        <f>A280+'1.설계입력'!$C$12</f>
        <v>55.000000000000242</v>
      </c>
      <c r="B281" s="40">
        <f t="shared" si="12"/>
        <v>0.95993108859688547</v>
      </c>
      <c r="C281" s="40">
        <f>ATAN2('1.설계입력'!$C$6/('1.설계입력'!$C$8*'1.설계입력'!$C$15)-COS((1-'1.설계입력'!$C$15)*B281),SIN((1-'1.설계입력'!$C$15)*B281))</f>
        <v>0.57345329675677337</v>
      </c>
      <c r="D281" s="40">
        <f>'1.설계입력'!$C$6*COS(B281)-'1.설계입력'!$C$7*COS(B281+C281)-'1.설계입력'!$C$8*COS('1.설계입력'!$C$15*B281)</f>
        <v>45.73458825706571</v>
      </c>
      <c r="E281" s="40">
        <f>-'1.설계입력'!$C$6*SIN(B281)+'1.설계입력'!$C$7*SIN(B281+C281)+'1.설계입력'!$C$8*SIN('1.설계입력'!$C$15*B281)</f>
        <v>-62.209085197402644</v>
      </c>
      <c r="F281" s="40">
        <f>ATAN2(('1.설계입력'!$C$6+'1.설계입력'!$C$33)/('1.설계입력'!$C$8*'1.설계입력'!$C$15)-COS((1-'1.설계입력'!$C$15)*B281),SIN((1-'1.설계입력'!$C$15)*B281))</f>
        <v>0.5735120607233174</v>
      </c>
      <c r="G281" s="40">
        <f>('1.설계입력'!$C$6+'1.설계입력'!$C$33)*COS(B281)-('1.설계입력'!$C$7+'1.설계입력'!$C$34)*COS(B281+F281)-'1.설계입력'!$C$8*COS('1.설계입력'!$C$15*B281)</f>
        <v>45.732742571374217</v>
      </c>
      <c r="H281" s="40">
        <f>-('1.설계입력'!$C$6+'1.설계입력'!$C$33)*SIN(B281)+('1.설계입력'!$C$7+'1.설계입력'!$C$34)*SIN(B281+F281)+'1.설계입력'!$C$8*SIN('1.설계입력'!$C$15*B281)</f>
        <v>-62.198442691267346</v>
      </c>
      <c r="I281" s="40">
        <f t="shared" si="13"/>
        <v>77.211546054596226</v>
      </c>
      <c r="J281" s="40">
        <f t="shared" si="14"/>
        <v>77.201878321181098</v>
      </c>
      <c r="K281" s="38">
        <f>IF(OR(A281&gt;180,'1.설계입력'!$C$39&gt;=1),"",'1.설계입력'!$C$34*(1-SIN(B281)/SQRT(1+'1.설계입력'!$C$39^2-2*'1.설계입력'!$C$39*COS(B281)))-'1.설계입력'!$C$33*(1-'1.설계입력'!$C$39*COS(B281)-SQRT(MAX(0,1-'1.설계입력'!$C$39^2))*SIN(B281))/SQRT(1+'1.설계입력'!$C$39^2-2*'1.설계입력'!$C$39*COS(B281)))</f>
        <v>2.2851426063140369E-4</v>
      </c>
    </row>
    <row r="282" spans="1:11" x14ac:dyDescent="0.3">
      <c r="A282" s="40">
        <f>A281+'1.설계입력'!$C$12</f>
        <v>55.200000000000244</v>
      </c>
      <c r="B282" s="40">
        <f t="shared" si="12"/>
        <v>0.96342174710087414</v>
      </c>
      <c r="C282" s="40">
        <f>ATAN2('1.설계입력'!$C$6/('1.설계입력'!$C$8*'1.설계입력'!$C$15)-COS((1-'1.설계입력'!$C$15)*B282),SIN((1-'1.설계입력'!$C$15)*B282))</f>
        <v>0.32290967953035837</v>
      </c>
      <c r="D282" s="40">
        <f>'1.설계입력'!$C$6*COS(B282)-'1.설계입력'!$C$7*COS(B282+C282)-'1.설계입력'!$C$8*COS('1.설계입력'!$C$15*B282)</f>
        <v>44.672241055487575</v>
      </c>
      <c r="E282" s="40">
        <f>-'1.설계입력'!$C$6*SIN(B282)+'1.설계입력'!$C$7*SIN(B282+C282)+'1.설계입력'!$C$8*SIN('1.설계입력'!$C$15*B282)</f>
        <v>-62.380270060485444</v>
      </c>
      <c r="F282" s="40">
        <f>ATAN2(('1.설계입력'!$C$6+'1.설계입력'!$C$33)/('1.설계입력'!$C$8*'1.설계입력'!$C$15)-COS((1-'1.설계입력'!$C$15)*B282),SIN((1-'1.설계입력'!$C$15)*B282))</f>
        <v>0.32295119525909233</v>
      </c>
      <c r="G282" s="40">
        <f>('1.설계입력'!$C$6+'1.설계입력'!$C$33)*COS(B282)-('1.설계입력'!$C$7+'1.설계입력'!$C$34)*COS(B282+F282)-'1.설계입력'!$C$8*COS('1.설계입력'!$C$15*B282)</f>
        <v>44.668358340772613</v>
      </c>
      <c r="H282" s="40">
        <f>-('1.설계입력'!$C$6+'1.설계입력'!$C$33)*SIN(B282)+('1.설계입력'!$C$7+'1.설계입력'!$C$34)*SIN(B282+F282)+'1.설계입력'!$C$8*SIN('1.설계입력'!$C$15*B282)</f>
        <v>-62.369903325437974</v>
      </c>
      <c r="I282" s="40">
        <f t="shared" si="13"/>
        <v>76.726183364863701</v>
      </c>
      <c r="J282" s="40">
        <f t="shared" si="14"/>
        <v>76.715494378151206</v>
      </c>
      <c r="K282" s="38">
        <f>IF(OR(A282&gt;180,'1.설계입력'!$C$39&gt;=1),"",'1.설계입력'!$C$34*(1-SIN(B282)/SQRT(1+'1.설계입력'!$C$39^2-2*'1.설계입력'!$C$39*COS(B282)))-'1.설계입력'!$C$33*(1-'1.설계입력'!$C$39*COS(B282)-SQRT(MAX(0,1-'1.설계입력'!$C$39^2))*SIN(B282))/SQRT(1+'1.설계입력'!$C$39^2-2*'1.설계입력'!$C$39*COS(B282)))</f>
        <v>2.3548454763606469E-4</v>
      </c>
    </row>
    <row r="283" spans="1:11" x14ac:dyDescent="0.3">
      <c r="A283" s="40">
        <f>A282+'1.설계입력'!$C$12</f>
        <v>55.400000000000247</v>
      </c>
      <c r="B283" s="40">
        <f t="shared" si="12"/>
        <v>0.96691240560486291</v>
      </c>
      <c r="C283" s="40">
        <f>ATAN2('1.설계입력'!$C$6/('1.설계입력'!$C$8*'1.설계입력'!$C$15)-COS((1-'1.설계입력'!$C$15)*B283),SIN((1-'1.설계입력'!$C$15)*B283))</f>
        <v>-2.8547383689990311E-2</v>
      </c>
      <c r="D283" s="40">
        <f>'1.설계입력'!$C$6*COS(B283)-'1.설계입력'!$C$7*COS(B283+C283)-'1.설계입력'!$C$8*COS('1.설계입력'!$C$15*B283)</f>
        <v>43.359967435377136</v>
      </c>
      <c r="E283" s="40">
        <f>-'1.설계입력'!$C$6*SIN(B283)+'1.설계입력'!$C$7*SIN(B283+C283)+'1.설계입력'!$C$8*SIN('1.설계입력'!$C$15*B283)</f>
        <v>-63.027254937088301</v>
      </c>
      <c r="F283" s="40">
        <f>ATAN2(('1.설계입력'!$C$6+'1.설계입력'!$C$33)/('1.설계입력'!$C$8*'1.설계입력'!$C$15)-COS((1-'1.설계입력'!$C$15)*B283),SIN((1-'1.설계입력'!$C$15)*B283))</f>
        <v>-2.8551404055597512E-2</v>
      </c>
      <c r="G283" s="40">
        <f>('1.설계입력'!$C$6+'1.설계입력'!$C$33)*COS(B283)-('1.설계입력'!$C$7+'1.설계입력'!$C$34)*COS(B283+F283)-'1.설계입력'!$C$8*COS('1.설계입력'!$C$15*B283)</f>
        <v>43.353406150964119</v>
      </c>
      <c r="H283" s="40">
        <f>-('1.설계입력'!$C$6+'1.설계입력'!$C$33)*SIN(B283)+('1.설계입력'!$C$7+'1.설계입력'!$C$34)*SIN(B283+F283)+'1.설계입력'!$C$8*SIN('1.설계입력'!$C$15*B283)</f>
        <v>-63.018179338374736</v>
      </c>
      <c r="I283" s="40">
        <f t="shared" si="13"/>
        <v>76.501775410128147</v>
      </c>
      <c r="J283" s="40">
        <f t="shared" si="14"/>
        <v>76.490579498484749</v>
      </c>
      <c r="K283" s="38">
        <f>IF(OR(A283&gt;180,'1.설계입력'!$C$39&gt;=1),"",'1.설계입력'!$C$34*(1-SIN(B283)/SQRT(1+'1.설계입력'!$C$39^2-2*'1.설계입력'!$C$39*COS(B283)))-'1.설계입력'!$C$33*(1-'1.설계입력'!$C$39*COS(B283)-SQRT(MAX(0,1-'1.설계입력'!$C$39^2))*SIN(B283))/SQRT(1+'1.설계입력'!$C$39^2-2*'1.설계입력'!$C$39*COS(B283)))</f>
        <v>2.4254037635132331E-4</v>
      </c>
    </row>
    <row r="284" spans="1:11" x14ac:dyDescent="0.3">
      <c r="A284" s="40">
        <f>A283+'1.설계입력'!$C$12</f>
        <v>55.60000000000025</v>
      </c>
      <c r="B284" s="40">
        <f t="shared" si="12"/>
        <v>0.97040306410885158</v>
      </c>
      <c r="C284" s="40">
        <f>ATAN2('1.설계입력'!$C$6/('1.설계입력'!$C$8*'1.설계입력'!$C$15)-COS((1-'1.설계입력'!$C$15)*B284),SIN((1-'1.설계입력'!$C$15)*B284))</f>
        <v>-0.36932190355449418</v>
      </c>
      <c r="D284" s="40">
        <f>'1.설계입력'!$C$6*COS(B284)-'1.설계입력'!$C$7*COS(B284+C284)-'1.설계입력'!$C$8*COS('1.설계입력'!$C$15*B284)</f>
        <v>42.370838906707846</v>
      </c>
      <c r="E284" s="40">
        <f>-'1.설계입력'!$C$6*SIN(B284)+'1.설계입력'!$C$7*SIN(B284+C284)+'1.설계입력'!$C$8*SIN('1.설계입력'!$C$15*B284)</f>
        <v>-64.048977935273214</v>
      </c>
      <c r="F284" s="40">
        <f>ATAN2(('1.설계입력'!$C$6+'1.설계입력'!$C$33)/('1.설계입력'!$C$8*'1.설계입력'!$C$15)-COS((1-'1.설계입력'!$C$15)*B284),SIN((1-'1.설계입력'!$C$15)*B284))</f>
        <v>-0.36936799668765541</v>
      </c>
      <c r="G284" s="40">
        <f>('1.설계입력'!$C$6+'1.설계입력'!$C$33)*COS(B284)-('1.설계입력'!$C$7+'1.설계입력'!$C$34)*COS(B284+F284)-'1.설계입력'!$C$8*COS('1.설계입력'!$C$15*B284)</f>
        <v>42.362302762568383</v>
      </c>
      <c r="H284" s="40">
        <f>-('1.설계입력'!$C$6+'1.설계입력'!$C$33)*SIN(B284)+('1.설계입력'!$C$7+'1.설계입력'!$C$34)*SIN(B284+F284)+'1.설계입력'!$C$8*SIN('1.설계입력'!$C$15*B284)</f>
        <v>-64.041991621171377</v>
      </c>
      <c r="I284" s="40">
        <f t="shared" si="13"/>
        <v>76.795569951731608</v>
      </c>
      <c r="J284" s="40">
        <f t="shared" si="14"/>
        <v>76.785033607817709</v>
      </c>
      <c r="K284" s="38">
        <f>IF(OR(A284&gt;180,'1.설계입력'!$C$39&gt;=1),"",'1.설계입력'!$C$34*(1-SIN(B284)/SQRT(1+'1.설계입력'!$C$39^2-2*'1.설계입력'!$C$39*COS(B284)))-'1.설계입력'!$C$33*(1-'1.설계입력'!$C$39*COS(B284)-SQRT(MAX(0,1-'1.설계입력'!$C$39^2))*SIN(B284))/SQRT(1+'1.설계입력'!$C$39^2-2*'1.설계입력'!$C$39*COS(B284)))</f>
        <v>2.4968105366751501E-4</v>
      </c>
    </row>
    <row r="285" spans="1:11" x14ac:dyDescent="0.3">
      <c r="A285" s="40">
        <f>A284+'1.설계입력'!$C$12</f>
        <v>55.800000000000253</v>
      </c>
      <c r="B285" s="40">
        <f t="shared" si="12"/>
        <v>0.97389372261284035</v>
      </c>
      <c r="C285" s="40">
        <f>ATAN2('1.설계입력'!$C$6/('1.설계입력'!$C$8*'1.설계입력'!$C$15)-COS((1-'1.설계입력'!$C$15)*B285),SIN((1-'1.설계입력'!$C$15)*B285))</f>
        <v>-0.60163483560450359</v>
      </c>
      <c r="D285" s="40">
        <f>'1.설계입력'!$C$6*COS(B285)-'1.설계입력'!$C$7*COS(B285+C285)-'1.설계입력'!$C$8*COS('1.설계입력'!$C$15*B285)</f>
        <v>41.901279015242544</v>
      </c>
      <c r="E285" s="40">
        <f>-'1.설계입력'!$C$6*SIN(B285)+'1.설계입력'!$C$7*SIN(B285+C285)+'1.설계입력'!$C$8*SIN('1.설계입력'!$C$15*B285)</f>
        <v>-64.939140197196579</v>
      </c>
      <c r="F285" s="40">
        <f>ATAN2(('1.설계입력'!$C$6+'1.설계입력'!$C$33)/('1.설계입력'!$C$8*'1.설계입력'!$C$15)-COS((1-'1.설계입력'!$C$15)*B285),SIN((1-'1.설계입력'!$C$15)*B285))</f>
        <v>-0.60169416592229974</v>
      </c>
      <c r="G285" s="40">
        <f>('1.설계입력'!$C$6+'1.설계입력'!$C$33)*COS(B285)-('1.설계입력'!$C$7+'1.설계입력'!$C$34)*COS(B285+F285)-'1.설계입력'!$C$8*COS('1.설계입력'!$C$15*B285)</f>
        <v>41.891904854162767</v>
      </c>
      <c r="H285" s="40">
        <f>-('1.설계입력'!$C$6+'1.설계입력'!$C$33)*SIN(B285)+('1.설계입력'!$C$7+'1.설계입력'!$C$34)*SIN(B285+F285)+'1.설계입력'!$C$8*SIN('1.설계입력'!$C$15*B285)</f>
        <v>-64.933851628042348</v>
      </c>
      <c r="I285" s="40">
        <f t="shared" si="13"/>
        <v>77.283951197285177</v>
      </c>
      <c r="J285" s="40">
        <f t="shared" si="14"/>
        <v>77.274425132529089</v>
      </c>
      <c r="K285" s="38">
        <f>IF(OR(A285&gt;180,'1.설계입력'!$C$39&gt;=1),"",'1.설계입력'!$C$34*(1-SIN(B285)/SQRT(1+'1.설계입력'!$C$39^2-2*'1.설계입력'!$C$39*COS(B285)))-'1.설계입력'!$C$33*(1-'1.설계입력'!$C$39*COS(B285)-SQRT(MAX(0,1-'1.설계입력'!$C$39^2))*SIN(B285))/SQRT(1+'1.설계입력'!$C$39^2-2*'1.설계입력'!$C$39*COS(B285)))</f>
        <v>2.5690589565935905E-4</v>
      </c>
    </row>
    <row r="286" spans="1:11" x14ac:dyDescent="0.3">
      <c r="A286" s="40">
        <f>A285+'1.설계입력'!$C$12</f>
        <v>56.000000000000256</v>
      </c>
      <c r="B286" s="40">
        <f t="shared" si="12"/>
        <v>0.97738438111682902</v>
      </c>
      <c r="C286" s="40">
        <f>ATAN2('1.설계입력'!$C$6/('1.설계입력'!$C$8*'1.설계입력'!$C$15)-COS((1-'1.설계입력'!$C$15)*B286),SIN((1-'1.설계입력'!$C$15)*B286))</f>
        <v>-0.73150594024621141</v>
      </c>
      <c r="D286" s="40">
        <f>'1.설계입력'!$C$6*COS(B286)-'1.설계입력'!$C$7*COS(B286+C286)-'1.설계입력'!$C$8*COS('1.설계입력'!$C$15*B286)</f>
        <v>41.713650300886201</v>
      </c>
      <c r="E286" s="40">
        <f>-'1.설계입력'!$C$6*SIN(B286)+'1.설계입력'!$C$7*SIN(B286+C286)+'1.설계입력'!$C$8*SIN('1.설계입력'!$C$15*B286)</f>
        <v>-65.530235562515116</v>
      </c>
      <c r="F286" s="40">
        <f>ATAN2(('1.설계입력'!$C$6+'1.설계입력'!$C$33)/('1.설계입력'!$C$8*'1.설계입력'!$C$15)-COS((1-'1.설계입력'!$C$15)*B286),SIN((1-'1.설계입력'!$C$15)*B286))</f>
        <v>-0.73156262494931679</v>
      </c>
      <c r="G286" s="40">
        <f>('1.설계입력'!$C$6+'1.설계입력'!$C$33)*COS(B286)-('1.설계입력'!$C$7+'1.설계입력'!$C$34)*COS(B286+F286)-'1.설계입력'!$C$8*COS('1.설계입력'!$C$15*B286)</f>
        <v>41.704005123808258</v>
      </c>
      <c r="H286" s="40">
        <f>-('1.설계입력'!$C$6+'1.설계입력'!$C$33)*SIN(B286)+('1.설계입력'!$C$7+'1.설계입력'!$C$34)*SIN(B286+F286)+'1.설계입력'!$C$8*SIN('1.설계입력'!$C$15*B286)</f>
        <v>-65.525914303973863</v>
      </c>
      <c r="I286" s="40">
        <f t="shared" si="13"/>
        <v>77.680373288903183</v>
      </c>
      <c r="J286" s="40">
        <f t="shared" si="14"/>
        <v>77.67154877262557</v>
      </c>
      <c r="K286" s="38">
        <f>IF(OR(A286&gt;180,'1.설계입력'!$C$39&gt;=1),"",'1.설계입력'!$C$34*(1-SIN(B286)/SQRT(1+'1.설계입력'!$C$39^2-2*'1.설계입력'!$C$39*COS(B286)))-'1.설계입력'!$C$33*(1-'1.설계입력'!$C$39*COS(B286)-SQRT(MAX(0,1-'1.설계입력'!$C$39^2))*SIN(B286))/SQRT(1+'1.설계입력'!$C$39^2-2*'1.설계입력'!$C$39*COS(B286)))</f>
        <v>2.6421422743104061E-4</v>
      </c>
    </row>
    <row r="287" spans="1:11" x14ac:dyDescent="0.3">
      <c r="A287" s="40">
        <f>A286+'1.설계입력'!$C$12</f>
        <v>56.200000000000259</v>
      </c>
      <c r="B287" s="40">
        <f t="shared" si="12"/>
        <v>0.98087503962081768</v>
      </c>
      <c r="C287" s="40">
        <f>ATAN2('1.설계입력'!$C$6/('1.설계입력'!$C$8*'1.설계입력'!$C$15)-COS((1-'1.설계입력'!$C$15)*B287),SIN((1-'1.설계입력'!$C$15)*B287))</f>
        <v>-0.79515308191513678</v>
      </c>
      <c r="D287" s="40">
        <f>'1.설계입력'!$C$6*COS(B287)-'1.설계입력'!$C$7*COS(B287+C287)-'1.설계입력'!$C$8*COS('1.설계입력'!$C$15*B287)</f>
        <v>41.632678454531167</v>
      </c>
      <c r="E287" s="40">
        <f>-'1.설계입력'!$C$6*SIN(B287)+'1.설계입력'!$C$7*SIN(B287+C287)+'1.설계입력'!$C$8*SIN('1.설계입력'!$C$15*B287)</f>
        <v>-65.903015744253835</v>
      </c>
      <c r="F287" s="40">
        <f>ATAN2(('1.설계입력'!$C$6+'1.설계입력'!$C$33)/('1.설계입력'!$C$8*'1.설계입력'!$C$15)-COS((1-'1.설계입력'!$C$15)*B287),SIN((1-'1.설계입력'!$C$15)*B287))</f>
        <v>-0.79520306446900046</v>
      </c>
      <c r="G287" s="40">
        <f>('1.설계입력'!$C$6+'1.설계입력'!$C$33)*COS(B287)-('1.설계입력'!$C$7+'1.설계입력'!$C$34)*COS(B287+F287)-'1.설계입력'!$C$8*COS('1.설계입력'!$C$15*B287)</f>
        <v>41.622956244083213</v>
      </c>
      <c r="H287" s="40">
        <f>-('1.설계입력'!$C$6+'1.설계입력'!$C$33)*SIN(B287)+('1.설계입력'!$C$7+'1.설계입력'!$C$34)*SIN(B287+F287)+'1.설계입력'!$C$8*SIN('1.설계입력'!$C$15*B287)</f>
        <v>-65.899140868670202</v>
      </c>
      <c r="I287" s="40">
        <f t="shared" si="13"/>
        <v>77.951827428776497</v>
      </c>
      <c r="J287" s="40">
        <f t="shared" si="14"/>
        <v>77.943359266365377</v>
      </c>
      <c r="K287" s="38">
        <f>IF(OR(A287&gt;180,'1.설계입력'!$C$39&gt;=1),"",'1.설계입력'!$C$34*(1-SIN(B287)/SQRT(1+'1.설계입력'!$C$39^2-2*'1.설계입력'!$C$39*COS(B287)))-'1.설계입력'!$C$33*(1-'1.설계입력'!$C$39*COS(B287)-SQRT(MAX(0,1-'1.설계입력'!$C$39^2))*SIN(B287))/SQRT(1+'1.설계입력'!$C$39^2-2*'1.설계입력'!$C$39*COS(B287)))</f>
        <v>2.716053829642281E-4</v>
      </c>
    </row>
    <row r="288" spans="1:11" x14ac:dyDescent="0.3">
      <c r="A288" s="40">
        <f>A287+'1.설계입력'!$C$12</f>
        <v>56.400000000000261</v>
      </c>
      <c r="B288" s="40">
        <f t="shared" si="12"/>
        <v>0.98436569812480645</v>
      </c>
      <c r="C288" s="40">
        <f>ATAN2('1.설계입력'!$C$6/('1.설계입력'!$C$8*'1.설계입력'!$C$15)-COS((1-'1.설계입력'!$C$15)*B288),SIN((1-'1.설계입력'!$C$15)*B288))</f>
        <v>-0.81884168922104583</v>
      </c>
      <c r="D288" s="40">
        <f>'1.설계입력'!$C$6*COS(B288)-'1.설계입력'!$C$7*COS(B288+C288)-'1.설계입력'!$C$8*COS('1.설계입력'!$C$15*B288)</f>
        <v>41.589571131902126</v>
      </c>
      <c r="E288" s="40">
        <f>-'1.설계입력'!$C$6*SIN(B288)+'1.설계입력'!$C$7*SIN(B288+C288)+'1.설계입력'!$C$8*SIN('1.설계입력'!$C$15*B288)</f>
        <v>-66.148682093507091</v>
      </c>
      <c r="F288" s="40">
        <f>ATAN2(('1.설계입력'!$C$6+'1.설계입력'!$C$33)/('1.설계입력'!$C$8*'1.설계입력'!$C$15)-COS((1-'1.설계입력'!$C$15)*B288),SIN((1-'1.설계입력'!$C$15)*B288))</f>
        <v>-0.81888492743552199</v>
      </c>
      <c r="G288" s="40">
        <f>('1.설계입력'!$C$6+'1.설계입력'!$C$33)*COS(B288)-('1.설계입력'!$C$7+'1.설계입력'!$C$34)*COS(B288+F288)-'1.설계입력'!$C$8*COS('1.설계입력'!$C$15*B288)</f>
        <v>41.579837776366858</v>
      </c>
      <c r="H288" s="40">
        <f>-('1.설계입력'!$C$6+'1.설계입력'!$C$33)*SIN(B288)+('1.설계입력'!$C$7+'1.설계입력'!$C$34)*SIN(B288+F288)+'1.설계입력'!$C$8*SIN('1.설계입력'!$C$15*B288)</f>
        <v>-66.144936342161671</v>
      </c>
      <c r="I288" s="40">
        <f t="shared" si="13"/>
        <v>78.13667877279795</v>
      </c>
      <c r="J288" s="40">
        <f t="shared" si="14"/>
        <v>78.128327213742423</v>
      </c>
      <c r="K288" s="38">
        <f>IF(OR(A288&gt;180,'1.설계입력'!$C$39&gt;=1),"",'1.설계입력'!$C$34*(1-SIN(B288)/SQRT(1+'1.설계입력'!$C$39^2-2*'1.설계입력'!$C$39*COS(B288)))-'1.설계입력'!$C$33*(1-'1.설계입력'!$C$39*COS(B288)-SQRT(MAX(0,1-'1.설계입력'!$C$39^2))*SIN(B288))/SQRT(1+'1.설계입력'!$C$39^2-2*'1.설계입력'!$C$39*COS(B288)))</f>
        <v>2.7907870496892529E-4</v>
      </c>
    </row>
    <row r="289" spans="1:11" x14ac:dyDescent="0.3">
      <c r="A289" s="40">
        <f>A288+'1.설계입력'!$C$12</f>
        <v>56.600000000000264</v>
      </c>
      <c r="B289" s="40">
        <f t="shared" si="12"/>
        <v>0.98785635662879512</v>
      </c>
      <c r="C289" s="40">
        <f>ATAN2('1.설계입력'!$C$6/('1.설계입력'!$C$8*'1.설계입력'!$C$15)-COS((1-'1.설계입력'!$C$15)*B289),SIN((1-'1.설계입력'!$C$15)*B289))</f>
        <v>-0.81786223373241074</v>
      </c>
      <c r="D289" s="40">
        <f>'1.설계입력'!$C$6*COS(B289)-'1.설계입력'!$C$7*COS(B289+C289)-'1.설계입력'!$C$8*COS('1.설계입력'!$C$15*B289)</f>
        <v>41.559960485590146</v>
      </c>
      <c r="E289" s="40">
        <f>-'1.설계입력'!$C$6*SIN(B289)+'1.설계입력'!$C$7*SIN(B289+C289)+'1.설계입력'!$C$8*SIN('1.설계입력'!$C$15*B289)</f>
        <v>-66.325374971464498</v>
      </c>
      <c r="F289" s="40">
        <f>ATAN2(('1.설계입력'!$C$6+'1.설계입력'!$C$33)/('1.설계입력'!$C$8*'1.설계입력'!$C$15)-COS((1-'1.설계입력'!$C$15)*B289),SIN((1-'1.설계입력'!$C$15)*B289))</f>
        <v>-0.81789960710244491</v>
      </c>
      <c r="G289" s="40">
        <f>('1.설계입력'!$C$6+'1.설계입력'!$C$33)*COS(B289)-('1.설계입력'!$C$7+'1.설계입력'!$C$34)*COS(B289+F289)-'1.설계입력'!$C$8*COS('1.설계입력'!$C$15*B289)</f>
        <v>41.550245411382988</v>
      </c>
      <c r="H289" s="40">
        <f>-('1.설계입력'!$C$6+'1.설계입력'!$C$33)*SIN(B289)+('1.설계입력'!$C$7+'1.설계입력'!$C$34)*SIN(B289+F289)+'1.설계입력'!$C$8*SIN('1.설계입력'!$C$15*B289)</f>
        <v>-66.321564250458977</v>
      </c>
      <c r="I289" s="40">
        <f t="shared" si="13"/>
        <v>78.270592693994487</v>
      </c>
      <c r="J289" s="40">
        <f t="shared" si="14"/>
        <v>78.262205299709706</v>
      </c>
      <c r="K289" s="38">
        <f>IF(OR(A289&gt;180,'1.설계입력'!$C$39&gt;=1),"",'1.설계입력'!$C$34*(1-SIN(B289)/SQRT(1+'1.설계입력'!$C$39^2-2*'1.설계입력'!$C$39*COS(B289)))-'1.설계입력'!$C$33*(1-'1.설계입력'!$C$39*COS(B289)-SQRT(MAX(0,1-'1.설계입력'!$C$39^2))*SIN(B289))/SQRT(1+'1.설계입력'!$C$39^2-2*'1.설계입력'!$C$39*COS(B289)))</f>
        <v>2.8663354473715925E-4</v>
      </c>
    </row>
    <row r="290" spans="1:11" x14ac:dyDescent="0.3">
      <c r="A290" s="40">
        <f>A289+'1.설계입력'!$C$12</f>
        <v>56.800000000000267</v>
      </c>
      <c r="B290" s="40">
        <f t="shared" si="12"/>
        <v>0.99134701513278389</v>
      </c>
      <c r="C290" s="40">
        <f>ATAN2('1.설계입력'!$C$6/('1.설계입력'!$C$8*'1.설계입력'!$C$15)-COS((1-'1.설계입력'!$C$15)*B290),SIN((1-'1.설계입력'!$C$15)*B290))</f>
        <v>-0.80097792689345937</v>
      </c>
      <c r="D290" s="40">
        <f>'1.설계입력'!$C$6*COS(B290)-'1.설계입력'!$C$7*COS(B290+C290)-'1.설계입력'!$C$8*COS('1.설계입력'!$C$15*B290)</f>
        <v>41.534356365974894</v>
      </c>
      <c r="E290" s="40">
        <f>-'1.설계입력'!$C$6*SIN(B290)+'1.설계입력'!$C$7*SIN(B290+C290)+'1.설계입력'!$C$8*SIN('1.설계입력'!$C$15*B290)</f>
        <v>-66.467012608510345</v>
      </c>
      <c r="F290" s="40">
        <f>ATAN2(('1.설계입력'!$C$6+'1.설계입력'!$C$33)/('1.설계입력'!$C$8*'1.설계입력'!$C$15)-COS((1-'1.설계입력'!$C$15)*B290),SIN((1-'1.설계입력'!$C$15)*B290))</f>
        <v>-0.80101036800754621</v>
      </c>
      <c r="G290" s="40">
        <f>('1.설계입력'!$C$6+'1.설계입력'!$C$33)*COS(B290)-('1.설계입력'!$C$7+'1.설계입력'!$C$34)*COS(B290+F290)-'1.설계입력'!$C$8*COS('1.설계입력'!$C$15*B290)</f>
        <v>41.524680648980684</v>
      </c>
      <c r="H290" s="40">
        <f>-('1.설계입력'!$C$6+'1.설계입력'!$C$33)*SIN(B290)+('1.설계입력'!$C$7+'1.설계입력'!$C$34)*SIN(B290+F290)+'1.설계입력'!$C$8*SIN('1.설계입력'!$C$15*B290)</f>
        <v>-66.463013624995909</v>
      </c>
      <c r="I290" s="40">
        <f t="shared" si="13"/>
        <v>78.377079071854112</v>
      </c>
      <c r="J290" s="40">
        <f t="shared" si="14"/>
        <v>78.368560552789432</v>
      </c>
      <c r="K290" s="38">
        <f>IF(OR(A290&gt;180,'1.설계입력'!$C$39&gt;=1),"",'1.설계입력'!$C$34*(1-SIN(B290)/SQRT(1+'1.설계입력'!$C$39^2-2*'1.설계입력'!$C$39*COS(B290)))-'1.설계입력'!$C$33*(1-'1.설계입력'!$C$39*COS(B290)-SQRT(MAX(0,1-'1.설계입력'!$C$39^2))*SIN(B290))/SQRT(1+'1.설계입력'!$C$39^2-2*'1.설계입력'!$C$39*COS(B290)))</f>
        <v>2.942692619994073E-4</v>
      </c>
    </row>
    <row r="291" spans="1:11" x14ac:dyDescent="0.3">
      <c r="A291" s="40">
        <f>A290+'1.설계입력'!$C$12</f>
        <v>57.00000000000027</v>
      </c>
      <c r="B291" s="40">
        <f t="shared" si="12"/>
        <v>0.99483767363677256</v>
      </c>
      <c r="C291" s="40">
        <f>ATAN2('1.설계입력'!$C$6/('1.설계입력'!$C$8*'1.설계입력'!$C$15)-COS((1-'1.설계입력'!$C$15)*B291),SIN((1-'1.설계입력'!$C$15)*B291))</f>
        <v>-0.7733846311140592</v>
      </c>
      <c r="D291" s="40">
        <f>'1.설계입력'!$C$6*COS(B291)-'1.설계입력'!$C$7*COS(B291+C291)-'1.설계입력'!$C$8*COS('1.설계입력'!$C$15*B291)</f>
        <v>41.508083582039006</v>
      </c>
      <c r="E291" s="40">
        <f>-'1.설계입력'!$C$6*SIN(B291)+'1.설계입력'!$C$7*SIN(B291+C291)+'1.설계입력'!$C$8*SIN('1.설계입력'!$C$15*B291)</f>
        <v>-66.593358815064661</v>
      </c>
      <c r="F291" s="40">
        <f>ATAN2(('1.설계입력'!$C$6+'1.설계입력'!$C$33)/('1.설계입력'!$C$8*'1.설계입력'!$C$15)-COS((1-'1.설계입력'!$C$15)*B291),SIN((1-'1.설계입력'!$C$15)*B291))</f>
        <v>-0.77341292880213075</v>
      </c>
      <c r="G291" s="40">
        <f>('1.설계입력'!$C$6+'1.설계입력'!$C$33)*COS(B291)-('1.설계입력'!$C$7+'1.설계입력'!$C$34)*COS(B291+F291)-'1.설계입력'!$C$8*COS('1.설계입력'!$C$15*B291)</f>
        <v>41.498468097683876</v>
      </c>
      <c r="H291" s="40">
        <f>-('1.설계입력'!$C$6+'1.설계입력'!$C$33)*SIN(B291)+('1.설계입력'!$C$7+'1.설계입력'!$C$34)*SIN(B291+F291)+'1.설계입력'!$C$8*SIN('1.설계입력'!$C$15*B291)</f>
        <v>-66.589090442784837</v>
      </c>
      <c r="I291" s="40">
        <f t="shared" si="13"/>
        <v>78.470353898306627</v>
      </c>
      <c r="J291" s="40">
        <f t="shared" si="14"/>
        <v>78.461645537497276</v>
      </c>
      <c r="K291" s="38">
        <f>IF(OR(A291&gt;180,'1.설계입력'!$C$39&gt;=1),"",'1.설계입력'!$C$34*(1-SIN(B291)/SQRT(1+'1.설계입력'!$C$39^2-2*'1.설계입력'!$C$39*COS(B291)))-'1.설계입력'!$C$33*(1-'1.설계입력'!$C$39*COS(B291)-SQRT(MAX(0,1-'1.설계입력'!$C$39^2))*SIN(B291))/SQRT(1+'1.설계입력'!$C$39^2-2*'1.설계입력'!$C$39*COS(B291)))</f>
        <v>3.0198522478369746E-4</v>
      </c>
    </row>
    <row r="292" spans="1:11" x14ac:dyDescent="0.3">
      <c r="A292" s="40">
        <f>A291+'1.설계입력'!$C$12</f>
        <v>57.200000000000273</v>
      </c>
      <c r="B292" s="40">
        <f t="shared" si="12"/>
        <v>0.99832833214076122</v>
      </c>
      <c r="C292" s="40">
        <f>ATAN2('1.설계입력'!$C$6/('1.설계입력'!$C$8*'1.설계입력'!$C$15)-COS((1-'1.설계입력'!$C$15)*B292),SIN((1-'1.설계입력'!$C$15)*B292))</f>
        <v>-0.73830116196659323</v>
      </c>
      <c r="D292" s="40">
        <f>'1.설계입력'!$C$6*COS(B292)-'1.설계입력'!$C$7*COS(B292+C292)-'1.설계입력'!$C$8*COS('1.설계입력'!$C$15*B292)</f>
        <v>41.478033484755294</v>
      </c>
      <c r="E292" s="40">
        <f>-'1.설계입력'!$C$6*SIN(B292)+'1.설계입력'!$C$7*SIN(B292+C292)+'1.설계입력'!$C$8*SIN('1.설계입력'!$C$15*B292)</f>
        <v>-66.71601812111129</v>
      </c>
      <c r="F292" s="40">
        <f>ATAN2(('1.설계입력'!$C$6+'1.설계입력'!$C$33)/('1.설계입력'!$C$8*'1.설계입력'!$C$15)-COS((1-'1.설계입력'!$C$15)*B292),SIN((1-'1.설계입력'!$C$15)*B292))</f>
        <v>-0.73832594469421309</v>
      </c>
      <c r="G292" s="40">
        <f>('1.설계입력'!$C$6+'1.설계입력'!$C$33)*COS(B292)-('1.설계입력'!$C$7+'1.설계입력'!$C$34)*COS(B292+F292)-'1.설계입력'!$C$8*COS('1.설계입력'!$C$15*B292)</f>
        <v>41.46850094940708</v>
      </c>
      <c r="H292" s="40">
        <f>-('1.설계입력'!$C$6+'1.설계입력'!$C$33)*SIN(B292)+('1.설계입력'!$C$7+'1.설계입력'!$C$34)*SIN(B292+F292)+'1.설계입력'!$C$8*SIN('1.설계입력'!$C$15*B292)</f>
        <v>-66.711425792223537</v>
      </c>
      <c r="I292" s="40">
        <f t="shared" si="13"/>
        <v>78.558604466340483</v>
      </c>
      <c r="J292" s="40">
        <f t="shared" si="14"/>
        <v>78.549671560244761</v>
      </c>
      <c r="K292" s="38">
        <f>IF(OR(A292&gt;180,'1.설계입력'!$C$39&gt;=1),"",'1.설계입력'!$C$34*(1-SIN(B292)/SQRT(1+'1.설계입력'!$C$39^2-2*'1.설계입력'!$C$39*COS(B292)))-'1.설계입력'!$C$33*(1-'1.설계입력'!$C$39*COS(B292)-SQRT(MAX(0,1-'1.설계입력'!$C$39^2))*SIN(B292))/SQRT(1+'1.설계입력'!$C$39^2-2*'1.설계입력'!$C$39*COS(B292)))</f>
        <v>3.0978080927737017E-4</v>
      </c>
    </row>
    <row r="293" spans="1:11" x14ac:dyDescent="0.3">
      <c r="A293" s="40">
        <f>A292+'1.설계입력'!$C$12</f>
        <v>57.400000000000276</v>
      </c>
      <c r="B293" s="40">
        <f t="shared" si="12"/>
        <v>1.0018189906447499</v>
      </c>
      <c r="C293" s="40">
        <f>ATAN2('1.설계입력'!$C$6/('1.설계입력'!$C$8*'1.설계입력'!$C$15)-COS((1-'1.설계입력'!$C$15)*B293),SIN((1-'1.설계입력'!$C$15)*B293))</f>
        <v>-0.6978082751097936</v>
      </c>
      <c r="D293" s="40">
        <f>'1.설계입력'!$C$6*COS(B293)-'1.설계입력'!$C$7*COS(B293+C293)-'1.설계입력'!$C$8*COS('1.설계입력'!$C$15*B293)</f>
        <v>41.441639826529645</v>
      </c>
      <c r="E293" s="40">
        <f>-'1.설계입력'!$C$6*SIN(B293)+'1.설계입력'!$C$7*SIN(B293+C293)+'1.설계입력'!$C$8*SIN('1.설계입력'!$C$15*B293)</f>
        <v>-66.841711389118174</v>
      </c>
      <c r="F293" s="40">
        <f>ATAN2(('1.설계입력'!$C$6+'1.설계입력'!$C$33)/('1.설계입력'!$C$8*'1.설계입력'!$C$15)-COS((1-'1.설계입력'!$C$15)*B293),SIN((1-'1.설계입력'!$C$15)*B293))</f>
        <v>-0.69783003594562865</v>
      </c>
      <c r="G293" s="40">
        <f>('1.설계입력'!$C$6+'1.설계입력'!$C$33)*COS(B293)-('1.설계입력'!$C$7+'1.설계입력'!$C$34)*COS(B293+F293)-'1.설계입력'!$C$8*COS('1.설계입력'!$C$15*B293)</f>
        <v>41.432214966019423</v>
      </c>
      <c r="H293" s="40">
        <f>-('1.설계입력'!$C$6+'1.설계입력'!$C$33)*SIN(B293)+('1.설계입력'!$C$7+'1.설계입력'!$C$34)*SIN(B293+F293)+'1.설계입력'!$C$8*SIN('1.설계입력'!$C$15*B293)</f>
        <v>-66.836758276837287</v>
      </c>
      <c r="I293" s="40">
        <f t="shared" si="13"/>
        <v>78.646194395774671</v>
      </c>
      <c r="J293" s="40">
        <f t="shared" si="14"/>
        <v>78.637018597775068</v>
      </c>
      <c r="K293" s="38">
        <f>IF(OR(A293&gt;180,'1.설계입력'!$C$39&gt;=1),"",'1.설계입력'!$C$34*(1-SIN(B293)/SQRT(1+'1.설계입력'!$C$39^2-2*'1.설계입력'!$C$39*COS(B293)))-'1.설계입력'!$C$33*(1-'1.설계입력'!$C$39*COS(B293)-SQRT(MAX(0,1-'1.설계입력'!$C$39^2))*SIN(B293))/SQRT(1+'1.설계입력'!$C$39^2-2*'1.설계입력'!$C$39*COS(B293)))</f>
        <v>3.1765539969141719E-4</v>
      </c>
    </row>
    <row r="294" spans="1:11" x14ac:dyDescent="0.3">
      <c r="A294" s="40">
        <f>A293+'1.설계입력'!$C$12</f>
        <v>57.600000000000279</v>
      </c>
      <c r="B294" s="40">
        <f t="shared" si="12"/>
        <v>1.0053096491487388</v>
      </c>
      <c r="C294" s="40">
        <f>ATAN2('1.설계입력'!$C$6/('1.설계입력'!$C$8*'1.설계입력'!$C$15)-COS((1-'1.설계입력'!$C$15)*B294),SIN((1-'1.설계입력'!$C$15)*B294))</f>
        <v>-0.65330378416724944</v>
      </c>
      <c r="D294" s="40">
        <f>'1.설계입력'!$C$6*COS(B294)-'1.설계입력'!$C$7*COS(B294+C294)-'1.설계입력'!$C$8*COS('1.설계입력'!$C$15*B294)</f>
        <v>41.396590612541374</v>
      </c>
      <c r="E294" s="40">
        <f>-'1.설계입력'!$C$6*SIN(B294)+'1.설계입력'!$C$7*SIN(B294+C294)+'1.설계입력'!$C$8*SIN('1.설계입력'!$C$15*B294)</f>
        <v>-66.974086527936137</v>
      </c>
      <c r="F294" s="40">
        <f>ATAN2(('1.설계입력'!$C$6+'1.설계입력'!$C$33)/('1.설계입력'!$C$8*'1.설계입력'!$C$15)-COS((1-'1.설계입력'!$C$15)*B294),SIN((1-'1.설계입력'!$C$15)*B294))</f>
        <v>-0.65332290995620768</v>
      </c>
      <c r="G294" s="40">
        <f>('1.설계입력'!$C$6+'1.설계입력'!$C$33)*COS(B294)-('1.설계입력'!$C$7+'1.설계입력'!$C$34)*COS(B294+F294)-'1.설계입력'!$C$8*COS('1.설계입력'!$C$15*B294)</f>
        <v>41.387299787452662</v>
      </c>
      <c r="H294" s="40">
        <f>-('1.설계입력'!$C$6+'1.설계입력'!$C$33)*SIN(B294)+('1.설계입력'!$C$7+'1.설계입력'!$C$34)*SIN(B294+F294)+'1.설계입력'!$C$8*SIN('1.설계입력'!$C$15*B294)</f>
        <v>-66.968748340145979</v>
      </c>
      <c r="I294" s="40">
        <f t="shared" si="13"/>
        <v>78.735036550406363</v>
      </c>
      <c r="J294" s="40">
        <f t="shared" si="14"/>
        <v>78.725611067442884</v>
      </c>
      <c r="K294" s="38">
        <f>IF(OR(A294&gt;180,'1.설계입력'!$C$39&gt;=1),"",'1.설계입력'!$C$34*(1-SIN(B294)/SQRT(1+'1.설계입력'!$C$39^2-2*'1.설계입력'!$C$39*COS(B294)))-'1.설계입력'!$C$33*(1-'1.설계입력'!$C$39*COS(B294)-SQRT(MAX(0,1-'1.설계입력'!$C$39^2))*SIN(B294))/SQRT(1+'1.설계입력'!$C$39^2-2*'1.설계입력'!$C$39*COS(B294)))</f>
        <v>3.2560838812733563E-4</v>
      </c>
    </row>
    <row r="295" spans="1:11" x14ac:dyDescent="0.3">
      <c r="A295" s="40">
        <f>A294+'1.설계입력'!$C$12</f>
        <v>57.800000000000281</v>
      </c>
      <c r="B295" s="40">
        <f t="shared" si="12"/>
        <v>1.0088003076527274</v>
      </c>
      <c r="C295" s="40">
        <f>ATAN2('1.설계입력'!$C$6/('1.설계입력'!$C$8*'1.설계입력'!$C$15)-COS((1-'1.설계입력'!$C$15)*B295),SIN((1-'1.설계입력'!$C$15)*B295))</f>
        <v>-0.60575930584807991</v>
      </c>
      <c r="D295" s="40">
        <f>'1.설계입력'!$C$6*COS(B295)-'1.설계입력'!$C$7*COS(B295+C295)-'1.설계입력'!$C$8*COS('1.설계입력'!$C$15*B295)</f>
        <v>41.340785966666125</v>
      </c>
      <c r="E295" s="40">
        <f>-'1.설계입력'!$C$6*SIN(B295)+'1.설계입력'!$C$7*SIN(B295+C295)+'1.설계입력'!$C$8*SIN('1.설계입력'!$C$15*B295)</f>
        <v>-67.114762336171879</v>
      </c>
      <c r="F295" s="40">
        <f>ATAN2(('1.설계입력'!$C$6+'1.설계입력'!$C$33)/('1.설계입력'!$C$8*'1.설계입력'!$C$15)-COS((1-'1.설계입력'!$C$15)*B295),SIN((1-'1.설계입력'!$C$15)*B295))</f>
        <v>-0.60577610174095797</v>
      </c>
      <c r="G295" s="40">
        <f>('1.설계입력'!$C$6+'1.설계입력'!$C$33)*COS(B295)-('1.설계입력'!$C$7+'1.설계입력'!$C$34)*COS(B295+F295)-'1.설계입력'!$C$8*COS('1.설계입력'!$C$15*B295)</f>
        <v>41.331656679426608</v>
      </c>
      <c r="H295" s="40">
        <f>-('1.설계입력'!$C$6+'1.설계입력'!$C$33)*SIN(B295)+('1.설계입력'!$C$7+'1.설계입력'!$C$34)*SIN(B295+F295)+'1.설계입력'!$C$8*SIN('1.설계입력'!$C$15*B295)</f>
        <v>-67.109024101412402</v>
      </c>
      <c r="I295" s="40">
        <f t="shared" si="13"/>
        <v>78.825452157171512</v>
      </c>
      <c r="J295" s="40">
        <f t="shared" si="14"/>
        <v>78.815778621478714</v>
      </c>
      <c r="K295" s="38">
        <f>IF(OR(A295&gt;180,'1.설계입력'!$C$39&gt;=1),"",'1.설계입력'!$C$34*(1-SIN(B295)/SQRT(1+'1.설계입력'!$C$39^2-2*'1.설계입력'!$C$39*COS(B295)))-'1.설계입력'!$C$33*(1-'1.설계입력'!$C$39*COS(B295)-SQRT(MAX(0,1-'1.설계입력'!$C$39^2))*SIN(B295))/SQRT(1+'1.설계입력'!$C$39^2-2*'1.설계입력'!$C$39*COS(B295)))</f>
        <v>3.3363917444646985E-4</v>
      </c>
    </row>
    <row r="296" spans="1:11" x14ac:dyDescent="0.3">
      <c r="A296" s="40">
        <f>A295+'1.설계입력'!$C$12</f>
        <v>58.000000000000284</v>
      </c>
      <c r="B296" s="40">
        <f t="shared" si="12"/>
        <v>1.0122909661567161</v>
      </c>
      <c r="C296" s="40">
        <f>ATAN2('1.설계입력'!$C$6/('1.설계입력'!$C$8*'1.설계입력'!$C$15)-COS((1-'1.설계입력'!$C$15)*B296),SIN((1-'1.설계입력'!$C$15)*B296))</f>
        <v>-0.55587101044777409</v>
      </c>
      <c r="D296" s="40">
        <f>'1.설계입력'!$C$6*COS(B296)-'1.설계입력'!$C$7*COS(B296+C296)-'1.설계입력'!$C$8*COS('1.설계입력'!$C$15*B296)</f>
        <v>41.272374175114294</v>
      </c>
      <c r="E296" s="40">
        <f>-'1.설계입력'!$C$6*SIN(B296)+'1.설계입력'!$C$7*SIN(B296+C296)+'1.설계입력'!$C$8*SIN('1.설계입력'!$C$15*B296)</f>
        <v>-67.263964224982431</v>
      </c>
      <c r="F296" s="40">
        <f>ATAN2(('1.설계입력'!$C$6+'1.설계입력'!$C$33)/('1.설계입력'!$C$8*'1.설계입력'!$C$15)-COS((1-'1.설계입력'!$C$15)*B296),SIN((1-'1.설계입력'!$C$15)*B296))</f>
        <v>-0.55588571877051951</v>
      </c>
      <c r="G296" s="40">
        <f>('1.설계입력'!$C$6+'1.설계입력'!$C$33)*COS(B296)-('1.설계입력'!$C$7+'1.설계입력'!$C$34)*COS(B296+F296)-'1.설계입력'!$C$8*COS('1.설계입력'!$C$15*B296)</f>
        <v>41.263434590789657</v>
      </c>
      <c r="H296" s="40">
        <f>-('1.설계입력'!$C$6+'1.설계입력'!$C$33)*SIN(B296)+('1.설계입력'!$C$7+'1.설계입력'!$C$34)*SIN(B296+F296)+'1.설계입력'!$C$8*SIN('1.설계입력'!$C$15*B296)</f>
        <v>-67.25781822127783</v>
      </c>
      <c r="I296" s="40">
        <f t="shared" si="13"/>
        <v>78.916726701697144</v>
      </c>
      <c r="J296" s="40">
        <f t="shared" si="14"/>
        <v>78.906813052580119</v>
      </c>
      <c r="K296" s="38">
        <f>IF(OR(A296&gt;180,'1.설계입력'!$C$39&gt;=1),"",'1.설계입력'!$C$34*(1-SIN(B296)/SQRT(1+'1.설계입력'!$C$39^2-2*'1.설계입력'!$C$39*COS(B296)))-'1.설계입력'!$C$33*(1-'1.설계입력'!$C$39*COS(B296)-SQRT(MAX(0,1-'1.설계입력'!$C$39^2))*SIN(B296))/SQRT(1+'1.설계입력'!$C$39^2-2*'1.설계입력'!$C$39*COS(B296)))</f>
        <v>3.4174716614179758E-4</v>
      </c>
    </row>
    <row r="297" spans="1:11" x14ac:dyDescent="0.3">
      <c r="A297" s="40">
        <f>A296+'1.설계입력'!$C$12</f>
        <v>58.200000000000287</v>
      </c>
      <c r="B297" s="40">
        <f t="shared" si="12"/>
        <v>1.0157816246607048</v>
      </c>
      <c r="C297" s="40">
        <f>ATAN2('1.설계입력'!$C$6/('1.설계입력'!$C$8*'1.설계입력'!$C$15)-COS((1-'1.설계입력'!$C$15)*B297),SIN((1-'1.설계입력'!$C$15)*B297))</f>
        <v>-0.504151528383329</v>
      </c>
      <c r="D297" s="40">
        <f>'1.설계입력'!$C$6*COS(B297)-'1.설계입력'!$C$7*COS(B297+C297)-'1.설계입력'!$C$8*COS('1.설계입력'!$C$15*B297)</f>
        <v>41.18980634162326</v>
      </c>
      <c r="E297" s="40">
        <f>-'1.설계입력'!$C$6*SIN(B297)+'1.설계입력'!$C$7*SIN(B297+C297)+'1.설계입력'!$C$8*SIN('1.설계입력'!$C$15*B297)</f>
        <v>-67.42093626777536</v>
      </c>
      <c r="F297" s="40">
        <f>ATAN2(('1.설계입력'!$C$6+'1.설계입력'!$C$33)/('1.설계입력'!$C$8*'1.설계입력'!$C$15)-COS((1-'1.설계입력'!$C$15)*B297),SIN((1-'1.설계입력'!$C$15)*B297))</f>
        <v>-0.50416434273250266</v>
      </c>
      <c r="G297" s="40">
        <f>('1.설계입력'!$C$6+'1.설계입력'!$C$33)*COS(B297)-('1.설계입력'!$C$7+'1.설계입력'!$C$34)*COS(B297+F297)-'1.설계입력'!$C$8*COS('1.설계입력'!$C$15*B297)</f>
        <v>41.181084857204695</v>
      </c>
      <c r="H297" s="40">
        <f>-('1.설계입력'!$C$6+'1.설계입력'!$C$33)*SIN(B297)+('1.설계입력'!$C$7+'1.설계입력'!$C$34)*SIN(B297+F297)+'1.설계입력'!$C$8*SIN('1.설계입력'!$C$15*B297)</f>
        <v>-67.414380630888346</v>
      </c>
      <c r="I297" s="40">
        <f t="shared" si="13"/>
        <v>79.007485681319181</v>
      </c>
      <c r="J297" s="40">
        <f t="shared" si="14"/>
        <v>78.997344676024312</v>
      </c>
      <c r="K297" s="38">
        <f>IF(OR(A297&gt;180,'1.설계입력'!$C$39&gt;=1),"",'1.설계입력'!$C$34*(1-SIN(B297)/SQRT(1+'1.설계입력'!$C$39^2-2*'1.설계입력'!$C$39*COS(B297)))-'1.설계입력'!$C$33*(1-'1.설계입력'!$C$39*COS(B297)-SQRT(MAX(0,1-'1.설계입력'!$C$39^2))*SIN(B297))/SQRT(1+'1.설계입력'!$C$39^2-2*'1.설계입력'!$C$39*COS(B297)))</f>
        <v>3.4993177821206027E-4</v>
      </c>
    </row>
    <row r="298" spans="1:11" x14ac:dyDescent="0.3">
      <c r="A298" s="40">
        <f>A297+'1.설계입력'!$C$12</f>
        <v>58.40000000000029</v>
      </c>
      <c r="B298" s="40">
        <f t="shared" si="12"/>
        <v>1.0192722831646934</v>
      </c>
      <c r="C298" s="40">
        <f>ATAN2('1.설계입력'!$C$6/('1.설계입력'!$C$8*'1.설계입력'!$C$15)-COS((1-'1.설계입력'!$C$15)*B298),SIN((1-'1.설계입력'!$C$15)*B298))</f>
        <v>-0.45098794431558697</v>
      </c>
      <c r="D298" s="40">
        <f>'1.설계입력'!$C$6*COS(B298)-'1.설계입력'!$C$7*COS(B298+C298)-'1.설계입력'!$C$8*COS('1.설계입력'!$C$15*B298)</f>
        <v>41.091888119394788</v>
      </c>
      <c r="E298" s="40">
        <f>-'1.설계입력'!$C$6*SIN(B298)+'1.설계입력'!$C$7*SIN(B298+C298)+'1.설계입력'!$C$8*SIN('1.설계입력'!$C$15*B298)</f>
        <v>-67.584226535333599</v>
      </c>
      <c r="F298" s="40">
        <f>ATAN2(('1.설계입력'!$C$6+'1.설계입력'!$C$33)/('1.설계입력'!$C$8*'1.설계입력'!$C$15)-COS((1-'1.설계입력'!$C$15)*B298),SIN((1-'1.설계입력'!$C$15)*B298))</f>
        <v>-0.4509990200049907</v>
      </c>
      <c r="G298" s="40">
        <f>('1.설계입력'!$C$6+'1.설계입력'!$C$33)*COS(B298)-('1.설계입력'!$C$7+'1.설계입력'!$C$34)*COS(B298+F298)-'1.설계입력'!$C$8*COS('1.설계입력'!$C$15*B298)</f>
        <v>41.083412984802806</v>
      </c>
      <c r="H298" s="40">
        <f>-('1.설계입력'!$C$6+'1.설계입력'!$C$33)*SIN(B298)+('1.설계입력'!$C$7+'1.설계입력'!$C$34)*SIN(B298+F298)+'1.설계입력'!$C$8*SIN('1.설계입력'!$C$15*B298)</f>
        <v>-67.577264283687697</v>
      </c>
      <c r="I298" s="40">
        <f t="shared" si="13"/>
        <v>79.095960362057355</v>
      </c>
      <c r="J298" s="40">
        <f t="shared" si="14"/>
        <v>79.085608491983137</v>
      </c>
      <c r="K298" s="38">
        <f>IF(OR(A298&gt;180,'1.설계입력'!$C$39&gt;=1),"",'1.설계입력'!$C$34*(1-SIN(B298)/SQRT(1+'1.설계입력'!$C$39^2-2*'1.설계입력'!$C$39*COS(B298)))-'1.설계입력'!$C$33*(1-'1.설계입력'!$C$39*COS(B298)-SQRT(MAX(0,1-'1.설계입력'!$C$39^2))*SIN(B298))/SQRT(1+'1.설계입력'!$C$39^2-2*'1.설계입력'!$C$39*COS(B298)))</f>
        <v>3.5819243303825794E-4</v>
      </c>
    </row>
    <row r="299" spans="1:11" x14ac:dyDescent="0.3">
      <c r="A299" s="40">
        <f>A298+'1.설계입력'!$C$12</f>
        <v>58.600000000000293</v>
      </c>
      <c r="B299" s="40">
        <f t="shared" si="12"/>
        <v>1.0227629416686823</v>
      </c>
      <c r="C299" s="40">
        <f>ATAN2('1.설계입력'!$C$6/('1.설계입력'!$C$8*'1.설계입력'!$C$15)-COS((1-'1.설계입력'!$C$15)*B299),SIN((1-'1.설계입력'!$C$15)*B299))</f>
        <v>-0.39667956056044074</v>
      </c>
      <c r="D299" s="40">
        <f>'1.설계입력'!$C$6*COS(B299)-'1.설계입력'!$C$7*COS(B299+C299)-'1.설계입력'!$C$8*COS('1.설계입력'!$C$15*B299)</f>
        <v>40.977820844806054</v>
      </c>
      <c r="E299" s="40">
        <f>-'1.설계입력'!$C$6*SIN(B299)+'1.설계입력'!$C$7*SIN(B299+C299)+'1.설계입력'!$C$8*SIN('1.설계입력'!$C$15*B299)</f>
        <v>-67.751898041100915</v>
      </c>
      <c r="F299" s="40">
        <f>ATAN2(('1.설계입력'!$C$6+'1.설계입력'!$C$33)/('1.설계입력'!$C$8*'1.설계입력'!$C$15)-COS((1-'1.설계입력'!$C$15)*B299),SIN((1-'1.설계입력'!$C$15)*B299))</f>
        <v>-0.39668902236745007</v>
      </c>
      <c r="G299" s="40">
        <f>('1.설계입력'!$C$6+'1.설계입력'!$C$33)*COS(B299)-('1.설계입력'!$C$7+'1.설계입력'!$C$34)*COS(B299+F299)-'1.설계입력'!$C$8*COS('1.설계입력'!$C$15*B299)</f>
        <v>40.969619829675331</v>
      </c>
      <c r="H299" s="40">
        <f>-('1.설계입력'!$C$6+'1.설계입력'!$C$33)*SIN(B299)+('1.설계입력'!$C$7+'1.설계입력'!$C$34)*SIN(B299+F299)+'1.설계입력'!$C$8*SIN('1.설계입력'!$C$15*B299)</f>
        <v>-67.744536362892646</v>
      </c>
      <c r="I299" s="40">
        <f t="shared" si="13"/>
        <v>79.180183691127894</v>
      </c>
      <c r="J299" s="40">
        <f t="shared" si="14"/>
        <v>79.169640368081815</v>
      </c>
      <c r="K299" s="38">
        <f>IF(OR(A299&gt;180,'1.설계입력'!$C$39&gt;=1),"",'1.설계입력'!$C$34*(1-SIN(B299)/SQRT(1+'1.설계입력'!$C$39^2-2*'1.설계입력'!$C$39*COS(B299)))-'1.설계입력'!$C$33*(1-'1.설계입력'!$C$39*COS(B299)-SQRT(MAX(0,1-'1.설계입력'!$C$39^2))*SIN(B299))/SQRT(1+'1.설계입력'!$C$39^2-2*'1.설계입력'!$C$39*COS(B299)))</f>
        <v>3.6652856026240025E-4</v>
      </c>
    </row>
    <row r="300" spans="1:11" x14ac:dyDescent="0.3">
      <c r="A300" s="40">
        <f>A299+'1.설계입력'!$C$12</f>
        <v>58.800000000000296</v>
      </c>
      <c r="B300" s="40">
        <f t="shared" si="12"/>
        <v>1.026253600172671</v>
      </c>
      <c r="C300" s="40">
        <f>ATAN2('1.설계입력'!$C$6/('1.설계입력'!$C$8*'1.설계입력'!$C$15)-COS((1-'1.설계입력'!$C$15)*B300),SIN((1-'1.설계입력'!$C$15)*B300))</f>
        <v>-0.34146321197062668</v>
      </c>
      <c r="D300" s="40">
        <f>'1.설계입력'!$C$6*COS(B300)-'1.설계입력'!$C$7*COS(B300+C300)-'1.설계입력'!$C$8*COS('1.설계입력'!$C$15*B300)</f>
        <v>40.847229586474697</v>
      </c>
      <c r="E300" s="40">
        <f>-'1.설계입력'!$C$6*SIN(B300)+'1.설계입력'!$C$7*SIN(B300+C300)+'1.설계입력'!$C$8*SIN('1.설계입력'!$C$15*B300)</f>
        <v>-67.921694188389367</v>
      </c>
      <c r="F300" s="40">
        <f>ATAN2(('1.설계입력'!$C$6+'1.설계입력'!$C$33)/('1.설계입력'!$C$8*'1.설계입력'!$C$15)-COS((1-'1.설계입력'!$C$15)*B300),SIN((1-'1.설계입력'!$C$15)*B300))</f>
        <v>-0.34147115989828891</v>
      </c>
      <c r="G300" s="40">
        <f>('1.설계입력'!$C$6+'1.설계입력'!$C$33)*COS(B300)-('1.설계입력'!$C$7+'1.설계입력'!$C$34)*COS(B300+F300)-'1.설계입력'!$C$8*COS('1.설계입력'!$C$15*B300)</f>
        <v>40.839329685196553</v>
      </c>
      <c r="H300" s="40">
        <f>-('1.설계입력'!$C$6+'1.설계입력'!$C$33)*SIN(B300)+('1.설계입력'!$C$7+'1.설계입력'!$C$34)*SIN(B300+F300)+'1.설계입력'!$C$8*SIN('1.설계입력'!$C$15*B300)</f>
        <v>-67.913943897019976</v>
      </c>
      <c r="I300" s="40">
        <f t="shared" si="13"/>
        <v>79.258139684900883</v>
      </c>
      <c r="J300" s="40">
        <f t="shared" si="14"/>
        <v>79.247426613005885</v>
      </c>
      <c r="K300" s="38">
        <f>IF(OR(A300&gt;180,'1.설계입력'!$C$39&gt;=1),"",'1.설계입력'!$C$34*(1-SIN(B300)/SQRT(1+'1.설계입력'!$C$39^2-2*'1.설계입력'!$C$39*COS(B300)))-'1.설계입력'!$C$33*(1-'1.설계입력'!$C$39*COS(B300)-SQRT(MAX(0,1-'1.설계입력'!$C$39^2))*SIN(B300))/SQRT(1+'1.설계입력'!$C$39^2-2*'1.설계입력'!$C$39*COS(B300)))</f>
        <v>3.7493959666851583E-4</v>
      </c>
    </row>
    <row r="301" spans="1:11" x14ac:dyDescent="0.3">
      <c r="A301" s="40">
        <f>A300+'1.설계입력'!$C$12</f>
        <v>59.000000000000298</v>
      </c>
      <c r="B301" s="40">
        <f t="shared" si="12"/>
        <v>1.0297442586766596</v>
      </c>
      <c r="C301" s="40">
        <f>ATAN2('1.설계입력'!$C$6/('1.설계입력'!$C$8*'1.설계입력'!$C$15)-COS((1-'1.설계입력'!$C$15)*B301),SIN((1-'1.설계입력'!$C$15)*B301))</f>
        <v>-0.28553071039058264</v>
      </c>
      <c r="D301" s="40">
        <f>'1.설계입력'!$C$6*COS(B301)-'1.설계입력'!$C$7*COS(B301+C301)-'1.설계입력'!$C$8*COS('1.설계입력'!$C$15*B301)</f>
        <v>40.700177605440977</v>
      </c>
      <c r="E301" s="40">
        <f>-'1.설계입력'!$C$6*SIN(B301)+'1.설계입력'!$C$7*SIN(B301+C301)+'1.설계입력'!$C$8*SIN('1.설계입력'!$C$15*B301)</f>
        <v>-68.091174913723478</v>
      </c>
      <c r="F301" s="40">
        <f>ATAN2(('1.설계입력'!$C$6+'1.설계입력'!$C$33)/('1.설계입력'!$C$8*'1.설계입력'!$C$15)-COS((1-'1.설계입력'!$C$15)*B301),SIN((1-'1.설계입력'!$C$15)*B301))</f>
        <v>-0.28553722396427039</v>
      </c>
      <c r="G301" s="40">
        <f>('1.설계입력'!$C$6+'1.설계입력'!$C$33)*COS(B301)-('1.설계입력'!$C$7+'1.설계입력'!$C$34)*COS(B301+F301)-'1.설계입력'!$C$8*COS('1.설계입력'!$C$15*B301)</f>
        <v>40.692604773698974</v>
      </c>
      <c r="H301" s="40">
        <f>-('1.설계입력'!$C$6+'1.설계입력'!$C$33)*SIN(B301)+('1.설계입력'!$C$7+'1.설계입력'!$C$34)*SIN(B301+F301)+'1.설계입력'!$C$8*SIN('1.설계입력'!$C$15*B301)</f>
        <v>-68.083050012776454</v>
      </c>
      <c r="I301" s="40">
        <f t="shared" si="13"/>
        <v>79.327880081631605</v>
      </c>
      <c r="J301" s="40">
        <f t="shared" si="14"/>
        <v>79.317020760431291</v>
      </c>
      <c r="K301" s="38">
        <f>IF(OR(A301&gt;180,'1.설계입력'!$C$39&gt;=1),"",'1.설계입력'!$C$34*(1-SIN(B301)/SQRT(1+'1.설계입력'!$C$39^2-2*'1.설계입력'!$C$39*COS(B301)))-'1.설계입력'!$C$33*(1-'1.설계입력'!$C$39*COS(B301)-SQRT(MAX(0,1-'1.설계입력'!$C$39^2))*SIN(B301))/SQRT(1+'1.설계입력'!$C$39^2-2*'1.설계입력'!$C$39*COS(B301)))</f>
        <v>3.8342498606584252E-4</v>
      </c>
    </row>
    <row r="302" spans="1:11" x14ac:dyDescent="0.3">
      <c r="A302" s="40">
        <f>A301+'1.설계입력'!$C$12</f>
        <v>59.200000000000301</v>
      </c>
      <c r="B302" s="40">
        <f t="shared" si="12"/>
        <v>1.0332349171806483</v>
      </c>
      <c r="C302" s="40">
        <f>ATAN2('1.설계입력'!$C$6/('1.설계입력'!$C$8*'1.설계입력'!$C$15)-COS((1-'1.설계입력'!$C$15)*B302),SIN((1-'1.설계입력'!$C$15)*B302))</f>
        <v>-0.22904119837369458</v>
      </c>
      <c r="D302" s="40">
        <f>'1.설계입력'!$C$6*COS(B302)-'1.설계입력'!$C$7*COS(B302+C302)-'1.설계입력'!$C$8*COS('1.설계입력'!$C$15*B302)</f>
        <v>40.537167501244397</v>
      </c>
      <c r="E302" s="40">
        <f>-'1.설계입력'!$C$6*SIN(B302)+'1.설계입력'!$C$7*SIN(B302+C302)+'1.설계입력'!$C$8*SIN('1.설계입력'!$C$15*B302)</f>
        <v>-68.257832627677786</v>
      </c>
      <c r="F302" s="40">
        <f>ATAN2(('1.설계입력'!$C$6+'1.설계입력'!$C$33)/('1.설계입력'!$C$8*'1.설계입력'!$C$15)-COS((1-'1.설계입력'!$C$15)*B302),SIN((1-'1.설계입력'!$C$15)*B302))</f>
        <v>-0.22904633984200534</v>
      </c>
      <c r="G302" s="40">
        <f>('1.설계입력'!$C$6+'1.설계입력'!$C$33)*COS(B302)-('1.설계입력'!$C$7+'1.설계입력'!$C$34)*COS(B302+F302)-'1.설계입력'!$C$8*COS('1.설계입력'!$C$15*B302)</f>
        <v>40.529946418554914</v>
      </c>
      <c r="H302" s="40">
        <f>-('1.설계입력'!$C$6+'1.설계입력'!$C$33)*SIN(B302)+('1.설계입력'!$C$7+'1.설계입력'!$C$34)*SIN(B302+F302)+'1.설계입력'!$C$8*SIN('1.설계입력'!$C$15*B302)</f>
        <v>-68.249349947624523</v>
      </c>
      <c r="I302" s="40">
        <f t="shared" si="13"/>
        <v>79.387616566137183</v>
      </c>
      <c r="J302" s="40">
        <f t="shared" si="14"/>
        <v>79.376635888429092</v>
      </c>
      <c r="K302" s="38">
        <f>IF(OR(A302&gt;180,'1.설계입력'!$C$39&gt;=1),"",'1.설계입력'!$C$34*(1-SIN(B302)/SQRT(1+'1.설계입력'!$C$39^2-2*'1.설계입력'!$C$39*COS(B302)))-'1.설계입력'!$C$33*(1-'1.설계입력'!$C$39*COS(B302)-SQRT(MAX(0,1-'1.설계입력'!$C$39^2))*SIN(B302))/SQRT(1+'1.설계입력'!$C$39^2-2*'1.설계입력'!$C$39*COS(B302)))</f>
        <v>3.9198417917415973E-4</v>
      </c>
    </row>
    <row r="303" spans="1:11" x14ac:dyDescent="0.3">
      <c r="A303" s="40">
        <f>A302+'1.설계입력'!$C$12</f>
        <v>59.400000000000304</v>
      </c>
      <c r="B303" s="40">
        <f t="shared" si="12"/>
        <v>1.036725575684637</v>
      </c>
      <c r="C303" s="40">
        <f>ATAN2('1.설계입력'!$C$6/('1.설계입력'!$C$8*'1.설계입력'!$C$15)-COS((1-'1.설계입력'!$C$15)*B303),SIN((1-'1.설계입력'!$C$15)*B303))</f>
        <v>-0.17213015190074066</v>
      </c>
      <c r="D303" s="40">
        <f>'1.설계입력'!$C$6*COS(B303)-'1.설계입력'!$C$7*COS(B303+C303)-'1.설계입력'!$C$8*COS('1.설계입력'!$C$15*B303)</f>
        <v>40.359129648553498</v>
      </c>
      <c r="E303" s="40">
        <f>-'1.설계입력'!$C$6*SIN(B303)+'1.설계입력'!$C$7*SIN(B303+C303)+'1.설계입력'!$C$8*SIN('1.설계입력'!$C$15*B303)</f>
        <v>-68.419192984817997</v>
      </c>
      <c r="F303" s="40">
        <f>ATAN2(('1.설계입력'!$C$6+'1.설계입력'!$C$33)/('1.설계입력'!$C$8*'1.설계입력'!$C$15)-COS((1-'1.설계입력'!$C$15)*B303),SIN((1-'1.설계입력'!$C$15)*B303))</f>
        <v>-0.17213396860202393</v>
      </c>
      <c r="G303" s="40">
        <f>('1.설계입력'!$C$6+'1.설계입력'!$C$33)*COS(B303)-('1.설계입력'!$C$7+'1.설계입력'!$C$34)*COS(B303+F303)-'1.설계입력'!$C$8*COS('1.설계입력'!$C$15*B303)</f>
        <v>40.352283502509067</v>
      </c>
      <c r="H303" s="40">
        <f>-('1.설계입력'!$C$6+'1.설계입력'!$C$33)*SIN(B303)+('1.설계입력'!$C$7+'1.설계입력'!$C$34)*SIN(B303+F303)+'1.설계입력'!$C$8*SIN('1.설계입력'!$C$15*B303)</f>
        <v>-68.410371866487708</v>
      </c>
      <c r="I303" s="40">
        <f t="shared" si="13"/>
        <v>79.435793661815438</v>
      </c>
      <c r="J303" s="40">
        <f t="shared" si="14"/>
        <v>79.424717580725442</v>
      </c>
      <c r="K303" s="38">
        <f>IF(OR(A303&gt;180,'1.설계입력'!$C$39&gt;=1),"",'1.설계입력'!$C$34*(1-SIN(B303)/SQRT(1+'1.설계입력'!$C$39^2-2*'1.설계입력'!$C$39*COS(B303)))-'1.설계입력'!$C$33*(1-'1.설계입력'!$C$39*COS(B303)-SQRT(MAX(0,1-'1.설계입력'!$C$39^2))*SIN(B303))/SQRT(1+'1.설계입력'!$C$39^2-2*'1.설계입력'!$C$39*COS(B303)))</f>
        <v>4.0061663351124234E-4</v>
      </c>
    </row>
    <row r="304" spans="1:11" x14ac:dyDescent="0.3">
      <c r="A304" s="40">
        <f>A303+'1.설계입력'!$C$12</f>
        <v>59.600000000000307</v>
      </c>
      <c r="B304" s="40">
        <f t="shared" si="12"/>
        <v>1.0402162341886259</v>
      </c>
      <c r="C304" s="40">
        <f>ATAN2('1.설계입력'!$C$6/('1.설계입력'!$C$8*'1.설계입력'!$C$15)-COS((1-'1.설계입력'!$C$15)*B304),SIN((1-'1.설계입력'!$C$15)*B304))</f>
        <v>-0.11491615484441724</v>
      </c>
      <c r="D304" s="40">
        <f>'1.설계입력'!$C$6*COS(B304)-'1.설계입력'!$C$7*COS(B304+C304)-'1.설계입력'!$C$8*COS('1.설계입력'!$C$15*B304)</f>
        <v>40.167398695667075</v>
      </c>
      <c r="E304" s="40">
        <f>-'1.설계입력'!$C$6*SIN(B304)+'1.설계입력'!$C$7*SIN(B304+C304)+'1.설계입력'!$C$8*SIN('1.설계입력'!$C$15*B304)</f>
        <v>-68.572903129208228</v>
      </c>
      <c r="F304" s="40">
        <f>ATAN2(('1.설계입력'!$C$6+'1.설계입력'!$C$33)/('1.설계입력'!$C$8*'1.설계입력'!$C$15)-COS((1-'1.설계입력'!$C$15)*B304),SIN((1-'1.설계입력'!$C$15)*B304))</f>
        <v>-0.11491868092232295</v>
      </c>
      <c r="G304" s="40">
        <f>('1.설계입력'!$C$6+'1.설계입력'!$C$33)*COS(B304)-('1.설계입력'!$C$7+'1.설계입력'!$C$34)*COS(B304+F304)-'1.설계입력'!$C$8*COS('1.설계입력'!$C$15*B304)</f>
        <v>40.160948984506888</v>
      </c>
      <c r="H304" s="40">
        <f>-('1.설계입력'!$C$6+'1.설계입력'!$C$33)*SIN(B304)+('1.설계입력'!$C$7+'1.설계입력'!$C$34)*SIN(B304+F304)+'1.설계입력'!$C$8*SIN('1.설계입력'!$C$15*B304)</f>
        <v>-68.563765137120285</v>
      </c>
      <c r="I304" s="40">
        <f t="shared" si="13"/>
        <v>79.471145465158941</v>
      </c>
      <c r="J304" s="40">
        <f t="shared" si="14"/>
        <v>79.460000711769169</v>
      </c>
      <c r="K304" s="38">
        <f>IF(OR(A304&gt;180,'1.설계입력'!$C$39&gt;=1),"",'1.설계입력'!$C$34*(1-SIN(B304)/SQRT(1+'1.설계입력'!$C$39^2-2*'1.설계입력'!$C$39*COS(B304)))-'1.설계입력'!$C$33*(1-'1.설계입력'!$C$39*COS(B304)-SQRT(MAX(0,1-'1.설계입력'!$C$39^2))*SIN(B304))/SQRT(1+'1.설계입력'!$C$39^2-2*'1.설계입력'!$C$39*COS(B304)))</f>
        <v>4.0932181328235691E-4</v>
      </c>
    </row>
    <row r="305" spans="1:11" x14ac:dyDescent="0.3">
      <c r="A305" s="40">
        <f>A304+'1.설계입력'!$C$12</f>
        <v>59.80000000000031</v>
      </c>
      <c r="B305" s="40">
        <f t="shared" si="12"/>
        <v>1.0437068926926145</v>
      </c>
      <c r="C305" s="40">
        <f>ATAN2('1.설계입력'!$C$6/('1.설계입력'!$C$8*'1.설계입력'!$C$15)-COS((1-'1.설계입력'!$C$15)*B305),SIN((1-'1.설계입력'!$C$15)*B305))</f>
        <v>-5.7506194575572968E-2</v>
      </c>
      <c r="D305" s="40">
        <f>'1.설계입력'!$C$6*COS(B305)-'1.설계입력'!$C$7*COS(B305+C305)-'1.설계입력'!$C$8*COS('1.설계입력'!$C$15*B305)</f>
        <v>39.963679004930341</v>
      </c>
      <c r="E305" s="40">
        <f>-'1.설계입력'!$C$6*SIN(B305)+'1.설계입력'!$C$7*SIN(B305+C305)+'1.설계입력'!$C$8*SIN('1.설계입력'!$C$15*B305)</f>
        <v>-68.716808645363997</v>
      </c>
      <c r="F305" s="40">
        <f>ATAN2(('1.설계입력'!$C$6+'1.설계입력'!$C$33)/('1.설계입력'!$C$8*'1.설계입력'!$C$15)-COS((1-'1.설계입력'!$C$15)*B305),SIN((1-'1.설계입력'!$C$15)*B305))</f>
        <v>-5.7507452170340929E-2</v>
      </c>
      <c r="G305" s="40">
        <f>('1.설계입력'!$C$6+'1.설계입력'!$C$33)*COS(B305)-('1.설계입력'!$C$7+'1.설계입력'!$C$34)*COS(B305+F305)-'1.설계입력'!$C$8*COS('1.설계입력'!$C$15*B305)</f>
        <v>39.957645355707626</v>
      </c>
      <c r="H305" s="40">
        <f>-('1.설계입력'!$C$6+'1.설계입력'!$C$33)*SIN(B305)+('1.설계입력'!$C$7+'1.설계입력'!$C$34)*SIN(B305+F305)+'1.설계입력'!$C$8*SIN('1.설계입력'!$C$15*B305)</f>
        <v>-68.707377299156605</v>
      </c>
      <c r="I305" s="40">
        <f t="shared" si="13"/>
        <v>79.492738221882135</v>
      </c>
      <c r="J305" s="40">
        <f t="shared" si="14"/>
        <v>79.481552058959963</v>
      </c>
      <c r="K305" s="38">
        <f>IF(OR(A305&gt;180,'1.설계입력'!$C$39&gt;=1),"",'1.설계입력'!$C$34*(1-SIN(B305)/SQRT(1+'1.설계입력'!$C$39^2-2*'1.설계입력'!$C$39*COS(B305)))-'1.설계입력'!$C$33*(1-'1.설계입력'!$C$39*COS(B305)-SQRT(MAX(0,1-'1.설계입력'!$C$39^2))*SIN(B305))/SQRT(1+'1.설계입력'!$C$39^2-2*'1.설계입력'!$C$39*COS(B305)))</f>
        <v>4.1809918927179063E-4</v>
      </c>
    </row>
    <row r="306" spans="1:11" x14ac:dyDescent="0.3">
      <c r="A306" s="40">
        <f>A305+'1.설계입력'!$C$12</f>
        <v>60.000000000000313</v>
      </c>
      <c r="B306" s="40">
        <f t="shared" si="12"/>
        <v>1.0471975511966032</v>
      </c>
      <c r="C306" s="40">
        <f>ATAN2('1.설계입력'!$C$6/('1.설계입력'!$C$8*'1.설계입력'!$C$15)-COS((1-'1.설계입력'!$C$15)*B306),SIN((1-'1.설계입력'!$C$15)*B306))</f>
        <v>9.0896975245964512E-14</v>
      </c>
      <c r="D306" s="40">
        <f>'1.설계입력'!$C$6*COS(B306)-'1.설계입력'!$C$7*COS(B306+C306)-'1.설계입력'!$C$8*COS('1.설계입력'!$C$15*B306)</f>
        <v>39.749999999999666</v>
      </c>
      <c r="E306" s="40">
        <f>-'1.설계입력'!$C$6*SIN(B306)+'1.설계입력'!$C$7*SIN(B306+C306)+'1.설계입력'!$C$8*SIN('1.설계입력'!$C$15*B306)</f>
        <v>-68.849019600863073</v>
      </c>
      <c r="F306" s="40">
        <f>ATAN2(('1.설계입력'!$C$6+'1.설계입력'!$C$33)/('1.설계입력'!$C$8*'1.설계입력'!$C$15)-COS((1-'1.설계입력'!$C$15)*B306),SIN((1-'1.설계입력'!$C$15)*B306))</f>
        <v>9.0898959659872581E-14</v>
      </c>
      <c r="G306" s="40">
        <f>('1.설계입력'!$C$6+'1.설계입력'!$C$33)*COS(B306)-('1.설계입력'!$C$7+'1.설계입력'!$C$34)*COS(B306+F306)-'1.설계입력'!$C$8*COS('1.설계입력'!$C$15*B306)</f>
        <v>39.744399999999665</v>
      </c>
      <c r="H306" s="40">
        <f>-('1.설계입력'!$C$6+'1.설계입력'!$C$33)*SIN(B306)+('1.설계입력'!$C$7+'1.설계입력'!$C$34)*SIN(B306+F306)+'1.설계입력'!$C$8*SIN('1.설계입력'!$C$15*B306)</f>
        <v>-68.839320116340687</v>
      </c>
      <c r="I306" s="40">
        <f t="shared" si="13"/>
        <v>79.5</v>
      </c>
      <c r="J306" s="40">
        <f t="shared" si="14"/>
        <v>79.488800000000012</v>
      </c>
      <c r="K306" s="38">
        <f>IF(OR(A306&gt;180,'1.설계입력'!$C$39&gt;=1),"",'1.설계입력'!$C$34*(1-SIN(B306)/SQRT(1+'1.설계입력'!$C$39^2-2*'1.설계입력'!$C$39*COS(B306)))-'1.설계입력'!$C$33*(1-'1.설계입력'!$C$39*COS(B306)-SQRT(MAX(0,1-'1.설계입력'!$C$39^2))*SIN(B306))/SQRT(1+'1.설계입력'!$C$39^2-2*'1.설계입력'!$C$39*COS(B306)))</f>
        <v>4.2694823873635254E-4</v>
      </c>
    </row>
    <row r="307" spans="1:11" x14ac:dyDescent="0.3">
      <c r="A307" s="40">
        <f>A306+'1.설계입력'!$C$12</f>
        <v>60.200000000000315</v>
      </c>
      <c r="B307" s="40">
        <f t="shared" si="12"/>
        <v>1.0506882097005918</v>
      </c>
      <c r="C307" s="40">
        <f>ATAN2('1.설계입력'!$C$6/('1.설계입력'!$C$8*'1.설계입력'!$C$15)-COS((1-'1.설계입력'!$C$15)*B307),SIN((1-'1.설계입력'!$C$15)*B307))</f>
        <v>5.7506194575751617E-2</v>
      </c>
      <c r="D307" s="40">
        <f>'1.설계입력'!$C$6*COS(B307)-'1.설계입력'!$C$7*COS(B307+C307)-'1.설계입력'!$C$8*COS('1.설계입력'!$C$15*B307)</f>
        <v>39.528662451413496</v>
      </c>
      <c r="E307" s="40">
        <f>-'1.설계입력'!$C$6*SIN(B307)+'1.설계입력'!$C$7*SIN(B307+C307)+'1.설계입력'!$C$8*SIN('1.설계입력'!$C$15*B307)</f>
        <v>-68.967965569638849</v>
      </c>
      <c r="F307" s="40">
        <f>ATAN2(('1.설계입력'!$C$6+'1.설계입력'!$C$33)/('1.설계입력'!$C$8*'1.설계입력'!$C$15)-COS((1-'1.설계입력'!$C$15)*B307),SIN((1-'1.설계입력'!$C$15)*B307))</f>
        <v>5.7507452170519585E-2</v>
      </c>
      <c r="G307" s="40">
        <f>('1.설계입력'!$C$6+'1.설계입력'!$C$33)*COS(B307)-('1.설계입력'!$C$7+'1.설계입력'!$C$34)*COS(B307+F307)-'1.설계입력'!$C$8*COS('1.설계입력'!$C$15*B307)</f>
        <v>39.523511490617359</v>
      </c>
      <c r="H307" s="40">
        <f>-('1.설계입력'!$C$6+'1.설계입력'!$C$33)*SIN(B307)+('1.설계입력'!$C$7+'1.설계입력'!$C$34)*SIN(B307+F307)+'1.설계입력'!$C$8*SIN('1.설계입력'!$C$15*B307)</f>
        <v>-68.958024603030765</v>
      </c>
      <c r="I307" s="40">
        <f t="shared" si="13"/>
        <v>79.492738221882107</v>
      </c>
      <c r="J307" s="40">
        <f t="shared" si="14"/>
        <v>79.481552058959934</v>
      </c>
      <c r="K307" s="38">
        <f>IF(OR(A307&gt;180,'1.설계입력'!$C$39&gt;=1),"",'1.설계입력'!$C$34*(1-SIN(B307)/SQRT(1+'1.설계입력'!$C$39^2-2*'1.설계입력'!$C$39*COS(B307)))-'1.설계입력'!$C$33*(1-'1.설계입력'!$C$39*COS(B307)-SQRT(MAX(0,1-'1.설계입력'!$C$39^2))*SIN(B307))/SQRT(1+'1.설계입력'!$C$39^2-2*'1.설계입력'!$C$39*COS(B307)))</f>
        <v>4.3586844530082872E-4</v>
      </c>
    </row>
    <row r="308" spans="1:11" x14ac:dyDescent="0.3">
      <c r="A308" s="40">
        <f>A307+'1.설계입력'!$C$12</f>
        <v>60.400000000000318</v>
      </c>
      <c r="B308" s="40">
        <f t="shared" si="12"/>
        <v>1.0541788682045805</v>
      </c>
      <c r="C308" s="40">
        <f>ATAN2('1.설계입력'!$C$6/('1.설계입력'!$C$8*'1.설계입력'!$C$15)-COS((1-'1.설계입력'!$C$15)*B308),SIN((1-'1.설계입력'!$C$15)*B308))</f>
        <v>0.11491615484459543</v>
      </c>
      <c r="D308" s="40">
        <f>'1.설계입력'!$C$6*COS(B308)-'1.설계입력'!$C$7*COS(B308+C308)-'1.설계입력'!$C$8*COS('1.설계입력'!$C$15*B308)</f>
        <v>39.302176773309498</v>
      </c>
      <c r="E308" s="40">
        <f>-'1.설계입력'!$C$6*SIN(B308)+'1.설계입력'!$C$7*SIN(B308+C308)+'1.설계입력'!$C$8*SIN('1.설계입력'!$C$15*B308)</f>
        <v>-69.072439238990015</v>
      </c>
      <c r="F308" s="40">
        <f>ATAN2(('1.설계입력'!$C$6+'1.설계입력'!$C$33)/('1.설계입력'!$C$8*'1.설계입력'!$C$15)-COS((1-'1.설계입력'!$C$15)*B308),SIN((1-'1.설계입력'!$C$15)*B308))</f>
        <v>0.11491868092250114</v>
      </c>
      <c r="G308" s="40">
        <f>('1.설계입력'!$C$6+'1.설계입력'!$C$33)*COS(B308)-('1.설계입력'!$C$7+'1.설계입력'!$C$34)*COS(B308+F308)-'1.설계입력'!$C$8*COS('1.설계입력'!$C$15*B308)</f>
        <v>39.297487895601847</v>
      </c>
      <c r="H308" s="40">
        <f>-('1.설계입력'!$C$6+'1.설계입력'!$C$33)*SIN(B308)+('1.설계입력'!$C$7+'1.설계입력'!$C$34)*SIN(B308+F308)+'1.설계입력'!$C$8*SIN('1.설계입력'!$C$15*B308)</f>
        <v>-69.062284629234256</v>
      </c>
      <c r="I308" s="40">
        <f t="shared" si="13"/>
        <v>79.471145465158841</v>
      </c>
      <c r="J308" s="40">
        <f t="shared" si="14"/>
        <v>79.460000711769069</v>
      </c>
      <c r="K308" s="38">
        <f>IF(OR(A308&gt;180,'1.설계입력'!$C$39&gt;=1),"",'1.설계입력'!$C$34*(1-SIN(B308)/SQRT(1+'1.설계입력'!$C$39^2-2*'1.설계입력'!$C$39*COS(B308)))-'1.설계입력'!$C$33*(1-'1.설계입력'!$C$39*COS(B308)-SQRT(MAX(0,1-'1.설계입력'!$C$39^2))*SIN(B308))/SQRT(1+'1.설계입력'!$C$39^2-2*'1.설계입력'!$C$39*COS(B308)))</f>
        <v>4.4485929885531813E-4</v>
      </c>
    </row>
    <row r="309" spans="1:11" x14ac:dyDescent="0.3">
      <c r="A309" s="40">
        <f>A308+'1.설계입력'!$C$12</f>
        <v>60.600000000000321</v>
      </c>
      <c r="B309" s="40">
        <f t="shared" si="12"/>
        <v>1.0576695267085694</v>
      </c>
      <c r="C309" s="40">
        <f>ATAN2('1.설계입력'!$C$6/('1.설계입력'!$C$8*'1.설계입력'!$C$15)-COS((1-'1.설계입력'!$C$15)*B309),SIN((1-'1.설계입력'!$C$15)*B309))</f>
        <v>0.17213015190091807</v>
      </c>
      <c r="D309" s="40">
        <f>'1.설계입력'!$C$6*COS(B309)-'1.설계입력'!$C$7*COS(B309+C309)-'1.설계입력'!$C$8*COS('1.설계입력'!$C$15*B309)</f>
        <v>39.073194407004969</v>
      </c>
      <c r="E309" s="40">
        <f>-'1.설계입력'!$C$6*SIN(B309)+'1.설계입력'!$C$7*SIN(B309+C309)+'1.설계입력'!$C$8*SIN('1.설계입력'!$C$15*B309)</f>
        <v>-69.161628042686289</v>
      </c>
      <c r="F309" s="40">
        <f>ATAN2(('1.설계입력'!$C$6+'1.설계입력'!$C$33)/('1.설계입력'!$C$8*'1.설계입력'!$C$15)-COS((1-'1.설계입력'!$C$15)*B309),SIN((1-'1.설계입력'!$C$15)*B309))</f>
        <v>0.17213396860220134</v>
      </c>
      <c r="G309" s="40">
        <f>('1.설계입력'!$C$6+'1.설계입력'!$C$33)*COS(B309)-('1.설계입력'!$C$7+'1.설계입력'!$C$34)*COS(B309+F309)-'1.설계입력'!$C$8*COS('1.설계입력'!$C$15*B309)</f>
        <v>39.068978167463378</v>
      </c>
      <c r="H309" s="40">
        <f>-('1.설계입력'!$C$6+'1.설계입력'!$C$33)*SIN(B309)+('1.설계입력'!$C$7+'1.설계입력'!$C$34)*SIN(B309+F309)+'1.설계입력'!$C$8*SIN('1.설계입력'!$C$15*B309)</f>
        <v>-69.151288547128658</v>
      </c>
      <c r="I309" s="40">
        <f t="shared" si="13"/>
        <v>79.435793661815296</v>
      </c>
      <c r="J309" s="40">
        <f t="shared" si="14"/>
        <v>79.424717580725314</v>
      </c>
      <c r="K309" s="38">
        <f>IF(OR(A309&gt;180,'1.설계입력'!$C$39&gt;=1),"",'1.설계입력'!$C$34*(1-SIN(B309)/SQRT(1+'1.설계입력'!$C$39^2-2*'1.설계입력'!$C$39*COS(B309)))-'1.설계입력'!$C$33*(1-'1.설계입력'!$C$39*COS(B309)-SQRT(MAX(0,1-'1.설계입력'!$C$39^2))*SIN(B309))/SQRT(1+'1.설계입력'!$C$39^2-2*'1.설계입력'!$C$39*COS(B309)))</f>
        <v>4.5392029545444034E-4</v>
      </c>
    </row>
    <row r="310" spans="1:11" x14ac:dyDescent="0.3">
      <c r="A310" s="40">
        <f>A309+'1.설계입력'!$C$12</f>
        <v>60.800000000000324</v>
      </c>
      <c r="B310" s="40">
        <f t="shared" si="12"/>
        <v>1.0611601852125581</v>
      </c>
      <c r="C310" s="40">
        <f>ATAN2('1.설계입력'!$C$6/('1.설계입력'!$C$8*'1.설계입력'!$C$15)-COS((1-'1.설계입력'!$C$15)*B310),SIN((1-'1.설계입력'!$C$15)*B310))</f>
        <v>0.22904119837387085</v>
      </c>
      <c r="D310" s="40">
        <f>'1.설계입력'!$C$6*COS(B310)-'1.설계입력'!$C$7*COS(B310+C310)-'1.설계입력'!$C$8*COS('1.설계입력'!$C$15*B310)</f>
        <v>38.844433312212367</v>
      </c>
      <c r="E310" s="40">
        <f>-'1.설계입력'!$C$6*SIN(B310)+'1.설계입력'!$C$7*SIN(B310+C310)+'1.설계입력'!$C$8*SIN('1.설계입력'!$C$15*B310)</f>
        <v>-69.23513316738169</v>
      </c>
      <c r="F310" s="40">
        <f>ATAN2(('1.설계입력'!$C$6+'1.설계입력'!$C$33)/('1.설계입력'!$C$8*'1.설계입력'!$C$15)-COS((1-'1.설계입력'!$C$15)*B310),SIN((1-'1.설계입력'!$C$15)*B310))</f>
        <v>0.22904633984218162</v>
      </c>
      <c r="G310" s="40">
        <f>('1.설계입력'!$C$6+'1.설계입력'!$C$33)*COS(B310)-('1.설계입력'!$C$7+'1.설계입력'!$C$34)*COS(B310+F310)-'1.설계입력'!$C$8*COS('1.설계입력'!$C$15*B310)</f>
        <v>38.84069763713881</v>
      </c>
      <c r="H310" s="40">
        <f>-('1.설계입력'!$C$6+'1.설계입력'!$C$33)*SIN(B310)+('1.설계입력'!$C$7+'1.설계입력'!$C$34)*SIN(B310+F310)+'1.설계입력'!$C$8*SIN('1.설계입력'!$C$15*B310)</f>
        <v>-69.224638186303139</v>
      </c>
      <c r="I310" s="40">
        <f t="shared" si="13"/>
        <v>79.387616566136998</v>
      </c>
      <c r="J310" s="40">
        <f t="shared" si="14"/>
        <v>79.376635888428908</v>
      </c>
      <c r="K310" s="38">
        <f>IF(OR(A310&gt;180,'1.설계입력'!$C$39&gt;=1),"",'1.설계입력'!$C$34*(1-SIN(B310)/SQRT(1+'1.설계입력'!$C$39^2-2*'1.설계입력'!$C$39*COS(B310)))-'1.설계입력'!$C$33*(1-'1.설계입력'!$C$39*COS(B310)-SQRT(MAX(0,1-'1.설계입력'!$C$39^2))*SIN(B310))/SQRT(1+'1.설계입력'!$C$39^2-2*'1.설계입력'!$C$39*COS(B310)))</f>
        <v>4.630509372183883E-4</v>
      </c>
    </row>
    <row r="311" spans="1:11" x14ac:dyDescent="0.3">
      <c r="A311" s="40">
        <f>A310+'1.설계입력'!$C$12</f>
        <v>61.000000000000327</v>
      </c>
      <c r="B311" s="40">
        <f t="shared" si="12"/>
        <v>1.0646508437165467</v>
      </c>
      <c r="C311" s="40">
        <f>ATAN2('1.설계입력'!$C$6/('1.설계입력'!$C$8*'1.설계입력'!$C$15)-COS((1-'1.설계입력'!$C$15)*B311),SIN((1-'1.설계입력'!$C$15)*B311))</f>
        <v>0.28553071039075739</v>
      </c>
      <c r="D311" s="40">
        <f>'1.설계입력'!$C$6*COS(B311)-'1.설계입력'!$C$7*COS(B311+C311)-'1.설계입력'!$C$8*COS('1.설계입력'!$C$15*B311)</f>
        <v>38.61859844609301</v>
      </c>
      <c r="E311" s="40">
        <f>-'1.설계입력'!$C$6*SIN(B311)+'1.설계입력'!$C$7*SIN(B311+C311)+'1.설계입력'!$C$8*SIN('1.설계입력'!$C$15*B311)</f>
        <v>-69.292975201712267</v>
      </c>
      <c r="F311" s="40">
        <f>ATAN2(('1.설계입력'!$C$6+'1.설계입력'!$C$33)/('1.설계입력'!$C$8*'1.설계입력'!$C$15)-COS((1-'1.설계입력'!$C$15)*B311),SIN((1-'1.설계입력'!$C$15)*B311))</f>
        <v>0.28553722396444514</v>
      </c>
      <c r="G311" s="40">
        <f>('1.설계입력'!$C$6+'1.설계입력'!$C$33)*COS(B311)-('1.설계입력'!$C$7+'1.설계입력'!$C$34)*COS(B311+F311)-'1.설계입력'!$C$8*COS('1.설계입력'!$C$15*B311)</f>
        <v>38.615348491340661</v>
      </c>
      <c r="H311" s="40">
        <f>-('1.설계입력'!$C$6+'1.설계입력'!$C$33)*SIN(B311)+('1.설계입력'!$C$7+'1.설계입력'!$C$34)*SIN(B311+F311)+'1.설계입력'!$C$8*SIN('1.설계입력'!$C$15*B311)</f>
        <v>-69.282354486571606</v>
      </c>
      <c r="I311" s="40">
        <f t="shared" si="13"/>
        <v>79.327880081631378</v>
      </c>
      <c r="J311" s="40">
        <f t="shared" si="14"/>
        <v>79.317020760431078</v>
      </c>
      <c r="K311" s="38">
        <f>IF(OR(A311&gt;180,'1.설계입력'!$C$39&gt;=1),"",'1.설계입력'!$C$34*(1-SIN(B311)/SQRT(1+'1.설계입력'!$C$39^2-2*'1.설계입력'!$C$39*COS(B311)))-'1.설계입력'!$C$33*(1-'1.설계입력'!$C$39*COS(B311)-SQRT(MAX(0,1-'1.설계입력'!$C$39^2))*SIN(B311))/SQRT(1+'1.설계입력'!$C$39^2-2*'1.설계입력'!$C$39*COS(B311)))</f>
        <v>4.7225073223572443E-4</v>
      </c>
    </row>
    <row r="312" spans="1:11" x14ac:dyDescent="0.3">
      <c r="A312" s="40">
        <f>A311+'1.설계입력'!$C$12</f>
        <v>61.20000000000033</v>
      </c>
      <c r="B312" s="40">
        <f t="shared" si="12"/>
        <v>1.0681415022205354</v>
      </c>
      <c r="C312" s="40">
        <f>ATAN2('1.설계입력'!$C$6/('1.설계입력'!$C$8*'1.설계입력'!$C$15)-COS((1-'1.설계입력'!$C$15)*B312),SIN((1-'1.설계입력'!$C$15)*B312))</f>
        <v>0.34146321197079949</v>
      </c>
      <c r="D312" s="40">
        <f>'1.설계입력'!$C$6*COS(B312)-'1.설계입력'!$C$7*COS(B312+C312)-'1.설계입력'!$C$8*COS('1.설계입력'!$C$15*B312)</f>
        <v>38.398297841985041</v>
      </c>
      <c r="E312" s="40">
        <f>-'1.설계입력'!$C$6*SIN(B312)+'1.설계입력'!$C$7*SIN(B312+C312)+'1.설계입력'!$C$8*SIN('1.설계입력'!$C$15*B312)</f>
        <v>-69.335585590297228</v>
      </c>
      <c r="F312" s="40">
        <f>ATAN2(('1.설계입력'!$C$6+'1.설계입력'!$C$33)/('1.설계입력'!$C$8*'1.설계입력'!$C$15)-COS((1-'1.설계입력'!$C$15)*B312),SIN((1-'1.설계입력'!$C$15)*B312))</f>
        <v>0.34147115989846172</v>
      </c>
      <c r="G312" s="40">
        <f>('1.설계입력'!$C$6+'1.설계입력'!$C$33)*COS(B312)-('1.설계입력'!$C$7+'1.설계입력'!$C$34)*COS(B312+F312)-'1.설계입력'!$C$8*COS('1.설계입력'!$C$15*B312)</f>
        <v>38.395535843411494</v>
      </c>
      <c r="H312" s="40">
        <f>-('1.설계입력'!$C$6+'1.설계입력'!$C$33)*SIN(B312)+('1.설계입력'!$C$7+'1.설계입력'!$C$34)*SIN(B312+F312)+'1.설계입력'!$C$8*SIN('1.설계입력'!$C$15*B312)</f>
        <v>-69.324868929418258</v>
      </c>
      <c r="I312" s="40">
        <f t="shared" si="13"/>
        <v>79.258139684900655</v>
      </c>
      <c r="J312" s="40">
        <f t="shared" si="14"/>
        <v>79.247426613005658</v>
      </c>
      <c r="K312" s="38">
        <f>IF(OR(A312&gt;180,'1.설계입력'!$C$39&gt;=1),"",'1.설계입력'!$C$34*(1-SIN(B312)/SQRT(1+'1.설계입력'!$C$39^2-2*'1.설계입력'!$C$39*COS(B312)))-'1.설계입력'!$C$33*(1-'1.설계입력'!$C$39*COS(B312)-SQRT(MAX(0,1-'1.설계입력'!$C$39^2))*SIN(B312))/SQRT(1+'1.설계입력'!$C$39^2-2*'1.설계입력'!$C$39*COS(B312)))</f>
        <v>4.8151919446798682E-4</v>
      </c>
    </row>
    <row r="313" spans="1:11" x14ac:dyDescent="0.3">
      <c r="A313" s="40">
        <f>A312+'1.설계입력'!$C$12</f>
        <v>61.400000000000333</v>
      </c>
      <c r="B313" s="40">
        <f t="shared" si="12"/>
        <v>1.0716321607245241</v>
      </c>
      <c r="C313" s="40">
        <f>ATAN2('1.설계입력'!$C$6/('1.설계입력'!$C$8*'1.설계입력'!$C$15)-COS((1-'1.설계입력'!$C$15)*B313),SIN((1-'1.설계입력'!$C$15)*B313))</f>
        <v>0.3966795605606111</v>
      </c>
      <c r="D313" s="40">
        <f>'1.설계입력'!$C$6*COS(B313)-'1.설계입력'!$C$7*COS(B313+C313)-'1.설계입력'!$C$8*COS('1.설계입력'!$C$15*B313)</f>
        <v>38.185954435802842</v>
      </c>
      <c r="E313" s="40">
        <f>-'1.설계입력'!$C$6*SIN(B313)+'1.설계입력'!$C$7*SIN(B313+C313)+'1.설계입력'!$C$8*SIN('1.설계입력'!$C$15*B313)</f>
        <v>-69.363782863880061</v>
      </c>
      <c r="F313" s="40">
        <f>ATAN2(('1.설계입력'!$C$6+'1.설계입력'!$C$33)/('1.설계입력'!$C$8*'1.설계입력'!$C$15)-COS((1-'1.설계입력'!$C$15)*B313),SIN((1-'1.설계입력'!$C$15)*B313))</f>
        <v>0.39668902236762038</v>
      </c>
      <c r="G313" s="40">
        <f>('1.설계입력'!$C$6+'1.설계입력'!$C$33)*COS(B313)-('1.설계입력'!$C$7+'1.설계입력'!$C$34)*COS(B313+F313)-'1.설계입력'!$C$8*COS('1.설계입력'!$C$15*B313)</f>
        <v>38.183679543025356</v>
      </c>
      <c r="H313" s="40">
        <f>-('1.설계입력'!$C$6+'1.설계입력'!$C$33)*SIN(B313)+('1.설계입력'!$C$7+'1.설계입력'!$C$34)*SIN(B313+F313)+'1.설계입력'!$C$8*SIN('1.설계입력'!$C$15*B313)</f>
        <v>-69.352999737335892</v>
      </c>
      <c r="I313" s="40">
        <f t="shared" si="13"/>
        <v>79.18018369112761</v>
      </c>
      <c r="J313" s="40">
        <f t="shared" si="14"/>
        <v>79.169640368081531</v>
      </c>
      <c r="K313" s="38">
        <f>IF(OR(A313&gt;180,'1.설계입력'!$C$39&gt;=1),"",'1.설계입력'!$C$34*(1-SIN(B313)/SQRT(1+'1.설계입력'!$C$39^2-2*'1.설계입력'!$C$39*COS(B313)))-'1.설계입력'!$C$33*(1-'1.설계입력'!$C$39*COS(B313)-SQRT(MAX(0,1-'1.설계입력'!$C$39^2))*SIN(B313))/SQRT(1+'1.설계입력'!$C$39^2-2*'1.설계입력'!$C$39*COS(B313)))</f>
        <v>4.9085584365596844E-4</v>
      </c>
    </row>
    <row r="314" spans="1:11" x14ac:dyDescent="0.3">
      <c r="A314" s="40">
        <f>A313+'1.설계입력'!$C$12</f>
        <v>61.600000000000335</v>
      </c>
      <c r="B314" s="40">
        <f t="shared" si="12"/>
        <v>1.0751228192285129</v>
      </c>
      <c r="C314" s="40">
        <f>ATAN2('1.설계입력'!$C$6/('1.설계입력'!$C$8*'1.설계입력'!$C$15)-COS((1-'1.설계입력'!$C$15)*B314),SIN((1-'1.설계입력'!$C$15)*B314))</f>
        <v>0.45098794431575406</v>
      </c>
      <c r="D314" s="40">
        <f>'1.설계입력'!$C$6*COS(B314)-'1.설계입력'!$C$7*COS(B314+C314)-'1.설계입력'!$C$8*COS('1.설계입력'!$C$15*B314)</f>
        <v>37.983713015023248</v>
      </c>
      <c r="E314" s="40">
        <f>-'1.설계입력'!$C$6*SIN(B314)+'1.설계입력'!$C$7*SIN(B314+C314)+'1.설계입력'!$C$8*SIN('1.설계입력'!$C$15*B314)</f>
        <v>-69.378732268530683</v>
      </c>
      <c r="F314" s="40">
        <f>ATAN2(('1.설계입력'!$C$6+'1.설계입력'!$C$33)/('1.설계입력'!$C$8*'1.설계입력'!$C$15)-COS((1-'1.설계입력'!$C$15)*B314),SIN((1-'1.설계입력'!$C$15)*B314))</f>
        <v>0.45099902000515785</v>
      </c>
      <c r="G314" s="40">
        <f>('1.설계입력'!$C$6+'1.설계입력'!$C$33)*COS(B314)-('1.설계입력'!$C$7+'1.설계입력'!$C$34)*COS(B314+F314)-'1.설계입력'!$C$8*COS('1.설계입력'!$C$15*B314)</f>
        <v>37.981921095526353</v>
      </c>
      <c r="H314" s="40">
        <f>-('1.설계입력'!$C$6+'1.설계입력'!$C$33)*SIN(B314)+('1.설계입력'!$C$7+'1.설계입력'!$C$34)*SIN(B314+F314)+'1.설계입력'!$C$8*SIN('1.설계입력'!$C$15*B314)</f>
        <v>-69.367911460850578</v>
      </c>
      <c r="I314" s="40">
        <f t="shared" si="13"/>
        <v>79.095960362057099</v>
      </c>
      <c r="J314" s="40">
        <f t="shared" si="14"/>
        <v>79.085608491982882</v>
      </c>
      <c r="K314" s="38">
        <f>IF(OR(A314&gt;180,'1.설계입력'!$C$39&gt;=1),"",'1.설계입력'!$C$34*(1-SIN(B314)/SQRT(1+'1.설계입력'!$C$39^2-2*'1.설계입력'!$C$39*COS(B314)))-'1.설계입력'!$C$33*(1-'1.설계입력'!$C$39*COS(B314)-SQRT(MAX(0,1-'1.설계입력'!$C$39^2))*SIN(B314))/SQRT(1+'1.설계입력'!$C$39^2-2*'1.설계입력'!$C$39*COS(B314)))</f>
        <v>5.0026020522770504E-4</v>
      </c>
    </row>
    <row r="315" spans="1:11" x14ac:dyDescent="0.3">
      <c r="A315" s="40">
        <f>A314+'1.설계입력'!$C$12</f>
        <v>61.800000000000338</v>
      </c>
      <c r="B315" s="40">
        <f t="shared" si="12"/>
        <v>1.0786134777325016</v>
      </c>
      <c r="C315" s="40">
        <f>ATAN2('1.설계입력'!$C$6/('1.설계입력'!$C$8*'1.설계입력'!$C$15)-COS((1-'1.설계입력'!$C$15)*B315),SIN((1-'1.설계입력'!$C$15)*B315))</f>
        <v>0.5041515283834922</v>
      </c>
      <c r="D315" s="40">
        <f>'1.설계입력'!$C$6*COS(B315)-'1.설계입력'!$C$7*COS(B315+C315)-'1.설계입력'!$C$8*COS('1.설계입력'!$C$15*B315)</f>
        <v>37.793340384012858</v>
      </c>
      <c r="E315" s="40">
        <f>-'1.설계입력'!$C$6*SIN(B315)+'1.설계입력'!$C$7*SIN(B315+C315)+'1.설계입력'!$C$8*SIN('1.설계입력'!$C$15*B315)</f>
        <v>-69.381886802694794</v>
      </c>
      <c r="F315" s="40">
        <f>ATAN2(('1.설계입력'!$C$6+'1.설계입력'!$C$33)/('1.설계입력'!$C$8*'1.설계입력'!$C$15)-COS((1-'1.설계입력'!$C$15)*B315),SIN((1-'1.설계입력'!$C$15)*B315))</f>
        <v>0.50416434273266586</v>
      </c>
      <c r="G315" s="40">
        <f>('1.설계입력'!$C$6+'1.설계입력'!$C$33)*COS(B315)-('1.설계입력'!$C$7+'1.설계입력'!$C$34)*COS(B315+F315)-'1.설계입력'!$C$8*COS('1.설계입력'!$C$15*B315)</f>
        <v>37.792023778139999</v>
      </c>
      <c r="H315" s="40">
        <f>-('1.설계입력'!$C$6+'1.설계입력'!$C$33)*SIN(B315)+('1.설계입력'!$C$7+'1.설계입력'!$C$34)*SIN(B315+F315)+'1.설계입력'!$C$8*SIN('1.설계입력'!$C$15*B315)</f>
        <v>-69.371055957186101</v>
      </c>
      <c r="I315" s="40">
        <f t="shared" si="13"/>
        <v>79.007485681318897</v>
      </c>
      <c r="J315" s="40">
        <f t="shared" si="14"/>
        <v>78.997344676024042</v>
      </c>
      <c r="K315" s="38">
        <f>IF(OR(A315&gt;180,'1.설계입력'!$C$39&gt;=1),"",'1.설계입력'!$C$34*(1-SIN(B315)/SQRT(1+'1.설계입력'!$C$39^2-2*'1.설계입력'!$C$39*COS(B315)))-'1.설계입력'!$C$33*(1-'1.설계입력'!$C$39*COS(B315)-SQRT(MAX(0,1-'1.설계입력'!$C$39^2))*SIN(B315))/SQRT(1+'1.설계입력'!$C$39^2-2*'1.설계입력'!$C$39*COS(B315)))</f>
        <v>5.0973181020811081E-4</v>
      </c>
    </row>
    <row r="316" spans="1:11" x14ac:dyDescent="0.3">
      <c r="A316" s="40">
        <f>A315+'1.설계입력'!$C$12</f>
        <v>62.000000000000341</v>
      </c>
      <c r="B316" s="40">
        <f t="shared" si="12"/>
        <v>1.0821041362364903</v>
      </c>
      <c r="C316" s="40">
        <f>ATAN2('1.설계입력'!$C$6/('1.설계입력'!$C$8*'1.설계입력'!$C$15)-COS((1-'1.설계입력'!$C$15)*B316),SIN((1-'1.설계입력'!$C$15)*B316))</f>
        <v>0.5558710104479323</v>
      </c>
      <c r="D316" s="40">
        <f>'1.설계입력'!$C$6*COS(B316)-'1.설계입력'!$C$7*COS(B316+C316)-'1.설계입력'!$C$8*COS('1.설계입력'!$C$15*B316)</f>
        <v>37.616114690524775</v>
      </c>
      <c r="E316" s="40">
        <f>-'1.설계입력'!$C$6*SIN(B316)+'1.설계입력'!$C$7*SIN(B316+C316)+'1.설계입력'!$C$8*SIN('1.설계입력'!$C$15*B316)</f>
        <v>-69.374906622636971</v>
      </c>
      <c r="F316" s="40">
        <f>ATAN2(('1.설계입력'!$C$6+'1.설계입력'!$C$33)/('1.설계입력'!$C$8*'1.설계입력'!$C$15)-COS((1-'1.설계입력'!$C$15)*B316),SIN((1-'1.설계입력'!$C$15)*B316))</f>
        <v>0.55588571877067761</v>
      </c>
      <c r="G316" s="40">
        <f>('1.설계입력'!$C$6+'1.설계입력'!$C$33)*COS(B316)-('1.설계입력'!$C$7+'1.설계입력'!$C$34)*COS(B316+F316)-'1.설계입력'!$C$8*COS('1.설계입력'!$C$15*B316)</f>
        <v>37.615261887347167</v>
      </c>
      <c r="H316" s="40">
        <f>-('1.설계입력'!$C$6+'1.설계입력'!$C$33)*SIN(B316)+('1.설계입력'!$C$7+'1.설계입력'!$C$34)*SIN(B316+F316)+'1.설계입력'!$C$8*SIN('1.설계입력'!$C$15*B316)</f>
        <v>-69.364091713660272</v>
      </c>
      <c r="I316" s="40">
        <f t="shared" si="13"/>
        <v>78.916726701696845</v>
      </c>
      <c r="J316" s="40">
        <f t="shared" si="14"/>
        <v>78.906813052579849</v>
      </c>
      <c r="K316" s="38">
        <f>IF(OR(A316&gt;180,'1.설계입력'!$C$39&gt;=1),"",'1.설계입력'!$C$34*(1-SIN(B316)/SQRT(1+'1.설계입력'!$C$39^2-2*'1.설계입력'!$C$39*COS(B316)))-'1.설계입력'!$C$33*(1-'1.설계입력'!$C$39*COS(B316)-SQRT(MAX(0,1-'1.설계입력'!$C$39^2))*SIN(B316))/SQRT(1+'1.설계입력'!$C$39^2-2*'1.설계입력'!$C$39*COS(B316)))</f>
        <v>5.1927019513022541E-4</v>
      </c>
    </row>
    <row r="317" spans="1:11" x14ac:dyDescent="0.3">
      <c r="A317" s="40">
        <f>A316+'1.설계입력'!$C$12</f>
        <v>62.200000000000344</v>
      </c>
      <c r="B317" s="40">
        <f t="shared" si="12"/>
        <v>1.0855947947404789</v>
      </c>
      <c r="C317" s="40">
        <f>ATAN2('1.설계입력'!$C$6/('1.설계입력'!$C$8*'1.설계입력'!$C$15)-COS((1-'1.설계입력'!$C$15)*B317),SIN((1-'1.설계입력'!$C$15)*B317))</f>
        <v>0.60575930584823168</v>
      </c>
      <c r="D317" s="40">
        <f>'1.설계입력'!$C$6*COS(B317)-'1.설계입력'!$C$7*COS(B317+C317)-'1.설계입력'!$C$8*COS('1.설계입력'!$C$15*B317)</f>
        <v>37.452696168746336</v>
      </c>
      <c r="E317" s="40">
        <f>-'1.설계입력'!$C$6*SIN(B317)+'1.설계입력'!$C$7*SIN(B317+C317)+'1.설계입력'!$C$8*SIN('1.설계입력'!$C$15*B317)</f>
        <v>-69.359552027633953</v>
      </c>
      <c r="F317" s="40">
        <f>ATAN2(('1.설계입력'!$C$6+'1.설계입력'!$C$33)/('1.설계입력'!$C$8*'1.설계입력'!$C$15)-COS((1-'1.설계입력'!$C$15)*B317),SIN((1-'1.설계입력'!$C$15)*B317))</f>
        <v>0.60577610174110963</v>
      </c>
      <c r="G317" s="40">
        <f>('1.설계입력'!$C$6+'1.설계입력'!$C$33)*COS(B317)-('1.설계입력'!$C$7+'1.설계입력'!$C$34)*COS(B317+F317)-'1.설계입력'!$C$8*COS('1.설계입력'!$C$15*B317)</f>
        <v>37.452291355291507</v>
      </c>
      <c r="H317" s="40">
        <f>-('1.설계입력'!$C$6+'1.설계입력'!$C$33)*SIN(B317)+('1.설계입력'!$C$7+'1.설계입력'!$C$34)*SIN(B317+F317)+'1.설계입력'!$C$8*SIN('1.설계입력'!$C$15*B317)</f>
        <v>-69.348776715586354</v>
      </c>
      <c r="I317" s="40">
        <f t="shared" si="13"/>
        <v>78.825452157171213</v>
      </c>
      <c r="J317" s="40">
        <f t="shared" si="14"/>
        <v>78.815778621478415</v>
      </c>
      <c r="K317" s="38">
        <f>IF(OR(A317&gt;180,'1.설계입력'!$C$39&gt;=1),"",'1.설계입력'!$C$34*(1-SIN(B317)/SQRT(1+'1.설계입력'!$C$39^2-2*'1.설계입력'!$C$39*COS(B317)))-'1.설계입력'!$C$33*(1-'1.설계입력'!$C$39*COS(B317)-SQRT(MAX(0,1-'1.설계입력'!$C$39^2))*SIN(B317))/SQRT(1+'1.설계입력'!$C$39^2-2*'1.설계입력'!$C$39*COS(B317)))</f>
        <v>5.2887490194805588E-4</v>
      </c>
    </row>
    <row r="318" spans="1:11" x14ac:dyDescent="0.3">
      <c r="A318" s="40">
        <f>A317+'1.설계입력'!$C$12</f>
        <v>62.400000000000347</v>
      </c>
      <c r="B318" s="40">
        <f t="shared" si="12"/>
        <v>1.0890854532444676</v>
      </c>
      <c r="C318" s="40">
        <f>ATAN2('1.설계입력'!$C$6/('1.설계입력'!$C$8*'1.설계입력'!$C$15)-COS((1-'1.설계입력'!$C$15)*B318),SIN((1-'1.설계입력'!$C$15)*B318))</f>
        <v>0.65330378416739276</v>
      </c>
      <c r="D318" s="40">
        <f>'1.설계입력'!$C$6*COS(B318)-'1.설계입력'!$C$7*COS(B318+C318)-'1.설계입력'!$C$8*COS('1.설계입력'!$C$15*B318)</f>
        <v>37.302965022178689</v>
      </c>
      <c r="E318" s="40">
        <f>-'1.설계입력'!$C$6*SIN(B318)+'1.설계입력'!$C$7*SIN(B318+C318)+'1.설계입력'!$C$8*SIN('1.설계입력'!$C$15*B318)</f>
        <v>-69.337542364493231</v>
      </c>
      <c r="F318" s="40">
        <f>ATAN2(('1.설계입력'!$C$6+'1.설계입력'!$C$33)/('1.설계입력'!$C$8*'1.설계입력'!$C$15)-COS((1-'1.설계입력'!$C$15)*B318),SIN((1-'1.설계입력'!$C$15)*B318))</f>
        <v>0.65332290995635112</v>
      </c>
      <c r="G318" s="40">
        <f>('1.설계입력'!$C$6+'1.설계입력'!$C$33)*COS(B318)-('1.설계입력'!$C$7+'1.설계입력'!$C$34)*COS(B318+F318)-'1.설계입력'!$C$8*COS('1.설계입력'!$C$15*B318)</f>
        <v>37.302987428486588</v>
      </c>
      <c r="H318" s="40">
        <f>-('1.설계입력'!$C$6+'1.설계입력'!$C$33)*SIN(B318)+('1.설계입력'!$C$7+'1.설계입력'!$C$34)*SIN(B318+F318)+'1.설계입력'!$C$8*SIN('1.설계입력'!$C$15*B318)</f>
        <v>-69.326827180049222</v>
      </c>
      <c r="I318" s="40">
        <f t="shared" si="13"/>
        <v>78.735036550406079</v>
      </c>
      <c r="J318" s="40">
        <f t="shared" si="14"/>
        <v>78.725611067442586</v>
      </c>
      <c r="K318" s="38">
        <f>IF(OR(A318&gt;180,'1.설계입력'!$C$39&gt;=1),"",'1.설계입력'!$C$34*(1-SIN(B318)/SQRT(1+'1.설계입력'!$C$39^2-2*'1.설계입력'!$C$39*COS(B318)))-'1.설계입력'!$C$33*(1-'1.설계입력'!$C$39*COS(B318)-SQRT(MAX(0,1-'1.설계입력'!$C$39^2))*SIN(B318))/SQRT(1+'1.설계입력'!$C$39^2-2*'1.설계입력'!$C$39*COS(B318)))</f>
        <v>5.3854547795097163E-4</v>
      </c>
    </row>
    <row r="319" spans="1:11" x14ac:dyDescent="0.3">
      <c r="A319" s="40">
        <f>A318+'1.설계입력'!$C$12</f>
        <v>62.60000000000035</v>
      </c>
      <c r="B319" s="40">
        <f t="shared" si="12"/>
        <v>1.0925761117484565</v>
      </c>
      <c r="C319" s="40">
        <f>ATAN2('1.설계입력'!$C$6/('1.설계입력'!$C$8*'1.설계입력'!$C$15)-COS((1-'1.설계입력'!$C$15)*B319),SIN((1-'1.설계입력'!$C$15)*B319))</f>
        <v>0.6978082751099286</v>
      </c>
      <c r="D319" s="40">
        <f>'1.설계입력'!$C$6*COS(B319)-'1.설계입력'!$C$7*COS(B319+C319)-'1.설계입력'!$C$8*COS('1.설계입력'!$C$15*B319)</f>
        <v>37.165800182138746</v>
      </c>
      <c r="E319" s="40">
        <f>-'1.설계입력'!$C$6*SIN(B319)+'1.설계입력'!$C$7*SIN(B319+C319)+'1.설계입력'!$C$8*SIN('1.설계입력'!$C$15*B319)</f>
        <v>-69.310368558818595</v>
      </c>
      <c r="F319" s="40">
        <f>ATAN2(('1.설계입력'!$C$6+'1.설계입력'!$C$33)/('1.설계입력'!$C$8*'1.설계입력'!$C$15)-COS((1-'1.설계입력'!$C$15)*B319),SIN((1-'1.설계입력'!$C$15)*B319))</f>
        <v>0.69783003594576354</v>
      </c>
      <c r="G319" s="40">
        <f>('1.설계입력'!$C$6+'1.설계입력'!$C$33)*COS(B319)-('1.설계입력'!$C$7+'1.설계입력'!$C$34)*COS(B319+F319)-'1.설계입력'!$C$8*COS('1.설계입력'!$C$15*B319)</f>
        <v>37.166223091330814</v>
      </c>
      <c r="H319" s="40">
        <f>-('1.설계입력'!$C$6+'1.설계입력'!$C$33)*SIN(B319)+('1.설계입력'!$C$7+'1.설계입력'!$C$34)*SIN(B319+F319)+'1.설계입력'!$C$8*SIN('1.설계입력'!$C$15*B319)</f>
        <v>-69.299729834049188</v>
      </c>
      <c r="I319" s="40">
        <f t="shared" si="13"/>
        <v>78.646194395774387</v>
      </c>
      <c r="J319" s="40">
        <f t="shared" si="14"/>
        <v>78.637018597774798</v>
      </c>
      <c r="K319" s="38">
        <f>IF(OR(A319&gt;180,'1.설계입력'!$C$39&gt;=1),"",'1.설계입력'!$C$34*(1-SIN(B319)/SQRT(1+'1.설계입력'!$C$39^2-2*'1.설계입력'!$C$39*COS(B319)))-'1.설계입력'!$C$33*(1-'1.설계입력'!$C$39*COS(B319)-SQRT(MAX(0,1-'1.설계입력'!$C$39^2))*SIN(B319))/SQRT(1+'1.설계입력'!$C$39^2-2*'1.설계입력'!$C$39*COS(B319)))</f>
        <v>5.4828147567962011E-4</v>
      </c>
    </row>
    <row r="320" spans="1:11" x14ac:dyDescent="0.3">
      <c r="A320" s="40">
        <f>A319+'1.설계입력'!$C$12</f>
        <v>62.800000000000352</v>
      </c>
      <c r="B320" s="40">
        <f t="shared" si="12"/>
        <v>1.0960667702524451</v>
      </c>
      <c r="C320" s="40">
        <f>ATAN2('1.설계입력'!$C$6/('1.설계입력'!$C$8*'1.설계입력'!$C$15)-COS((1-'1.설계입력'!$C$15)*B320),SIN((1-'1.설계입력'!$C$15)*B320))</f>
        <v>0.73830116196671158</v>
      </c>
      <c r="D320" s="40">
        <f>'1.설계입력'!$C$6*COS(B320)-'1.설계입력'!$C$7*COS(B320+C320)-'1.설계입력'!$C$8*COS('1.설계입력'!$C$15*B320)</f>
        <v>37.038749789847294</v>
      </c>
      <c r="E320" s="40">
        <f>-'1.설계입력'!$C$6*SIN(B320)+'1.설계입력'!$C$7*SIN(B320+C320)+'1.설계입력'!$C$8*SIN('1.설계입력'!$C$15*B320)</f>
        <v>-69.279039757375202</v>
      </c>
      <c r="F320" s="40">
        <f>ATAN2(('1.설계입력'!$C$6+'1.설계입력'!$C$33)/('1.설계입력'!$C$8*'1.설계입력'!$C$15)-COS((1-'1.설계입력'!$C$15)*B320),SIN((1-'1.설계입력'!$C$15)*B320))</f>
        <v>0.73832594469433144</v>
      </c>
      <c r="G320" s="40">
        <f>('1.설계입력'!$C$6+'1.설계입력'!$C$33)*COS(B320)-('1.설계입력'!$C$7+'1.설계입력'!$C$34)*COS(B320+F320)-'1.설계입력'!$C$8*COS('1.설계입력'!$C$15*B320)</f>
        <v>37.039538984042075</v>
      </c>
      <c r="H320" s="40">
        <f>-('1.설계입력'!$C$6+'1.설계입력'!$C$33)*SIN(B320)+('1.설계입력'!$C$7+'1.설계입력'!$C$34)*SIN(B320+F320)+'1.설계입력'!$C$8*SIN('1.설계입력'!$C$15*B320)</f>
        <v>-69.268488175157302</v>
      </c>
      <c r="I320" s="40">
        <f t="shared" si="13"/>
        <v>78.558604466340199</v>
      </c>
      <c r="J320" s="40">
        <f t="shared" si="14"/>
        <v>78.549671560244477</v>
      </c>
      <c r="K320" s="38">
        <f>IF(OR(A320&gt;180,'1.설계입력'!$C$39&gt;=1),"",'1.설계입력'!$C$34*(1-SIN(B320)/SQRT(1+'1.설계입력'!$C$39^2-2*'1.설계입력'!$C$39*COS(B320)))-'1.설계입력'!$C$33*(1-'1.설계입력'!$C$39*COS(B320)-SQRT(MAX(0,1-'1.설계입력'!$C$39^2))*SIN(B320))/SQRT(1+'1.설계입력'!$C$39^2-2*'1.설계입력'!$C$39*COS(B320)))</f>
        <v>5.5808245284333976E-4</v>
      </c>
    </row>
    <row r="321" spans="1:11" x14ac:dyDescent="0.3">
      <c r="A321" s="40">
        <f>A320+'1.설계입력'!$C$12</f>
        <v>63.000000000000355</v>
      </c>
      <c r="B321" s="40">
        <f t="shared" si="12"/>
        <v>1.0995574287564338</v>
      </c>
      <c r="C321" s="40">
        <f>ATAN2('1.설계입력'!$C$6/('1.설계입력'!$C$8*'1.설계입력'!$C$15)-COS((1-'1.설계입력'!$C$15)*B321),SIN((1-'1.설계입력'!$C$15)*B321))</f>
        <v>0.77338463111415801</v>
      </c>
      <c r="D321" s="40">
        <f>'1.설계입력'!$C$6*COS(B321)-'1.설계입력'!$C$7*COS(B321+C321)-'1.설계입력'!$C$8*COS('1.설계입력'!$C$15*B321)</f>
        <v>36.917498666158487</v>
      </c>
      <c r="E321" s="40">
        <f>-'1.설계입력'!$C$6*SIN(B321)+'1.설계입력'!$C$7*SIN(B321+C321)+'1.설계입력'!$C$8*SIN('1.설계입력'!$C$15*B321)</f>
        <v>-69.243734251985785</v>
      </c>
      <c r="F321" s="40">
        <f>ATAN2(('1.설계입력'!$C$6+'1.설계입력'!$C$33)/('1.설계입력'!$C$8*'1.설계입력'!$C$15)-COS((1-'1.설계입력'!$C$15)*B321),SIN((1-'1.설계입력'!$C$15)*B321))</f>
        <v>0.77341292880222945</v>
      </c>
      <c r="G321" s="40">
        <f>('1.설계입력'!$C$6+'1.설계입력'!$C$33)*COS(B321)-('1.설계입력'!$C$7+'1.설계입력'!$C$34)*COS(B321+F321)-'1.설계입력'!$C$8*COS('1.설계입력'!$C$15*B321)</f>
        <v>36.918609889508915</v>
      </c>
      <c r="H321" s="40">
        <f>-('1.설계입력'!$C$6+'1.설계입력'!$C$33)*SIN(B321)+('1.설계입력'!$C$7+'1.설계입력'!$C$34)*SIN(B321+F321)+'1.설계입력'!$C$8*SIN('1.설계입력'!$C$15*B321)</f>
        <v>-69.233272812124639</v>
      </c>
      <c r="I321" s="40">
        <f t="shared" si="13"/>
        <v>78.470353898306357</v>
      </c>
      <c r="J321" s="40">
        <f t="shared" si="14"/>
        <v>78.461645537497006</v>
      </c>
      <c r="K321" s="38">
        <f>IF(OR(A321&gt;180,'1.설계입력'!$C$39&gt;=1),"",'1.설계입력'!$C$34*(1-SIN(B321)/SQRT(1+'1.설계입력'!$C$39^2-2*'1.설계입력'!$C$39*COS(B321)))-'1.설계입력'!$C$33*(1-'1.설계입력'!$C$39*COS(B321)-SQRT(MAX(0,1-'1.설계입력'!$C$39^2))*SIN(B321))/SQRT(1+'1.설계입력'!$C$39^2-2*'1.설계입력'!$C$39*COS(B321)))</f>
        <v>5.6794797223904314E-4</v>
      </c>
    </row>
    <row r="322" spans="1:11" x14ac:dyDescent="0.3">
      <c r="A322" s="40">
        <f>A321+'1.설계입력'!$C$12</f>
        <v>63.200000000000358</v>
      </c>
      <c r="B322" s="40">
        <f t="shared" si="12"/>
        <v>1.1030480872604225</v>
      </c>
      <c r="C322" s="40">
        <f>ATAN2('1.설계입력'!$C$6/('1.설계입력'!$C$8*'1.설계입력'!$C$15)-COS((1-'1.설계입력'!$C$15)*B322),SIN((1-'1.설계입력'!$C$15)*B322))</f>
        <v>0.80097792689353065</v>
      </c>
      <c r="D322" s="40">
        <f>'1.설계입력'!$C$6*COS(B322)-'1.설계입력'!$C$7*COS(B322+C322)-'1.설계입력'!$C$8*COS('1.설계입력'!$C$15*B322)</f>
        <v>36.794943249642706</v>
      </c>
      <c r="E322" s="40">
        <f>-'1.설계입력'!$C$6*SIN(B322)+'1.설계입력'!$C$7*SIN(B322+C322)+'1.설계입력'!$C$8*SIN('1.설계입력'!$C$15*B322)</f>
        <v>-69.203314047025216</v>
      </c>
      <c r="F322" s="40">
        <f>ATAN2(('1.설계입력'!$C$6+'1.설계입력'!$C$33)/('1.설계입력'!$C$8*'1.설계입력'!$C$15)-COS((1-'1.설계입력'!$C$15)*B322),SIN((1-'1.설계입력'!$C$15)*B322))</f>
        <v>0.80101036800761738</v>
      </c>
      <c r="G322" s="40">
        <f>('1.설계입력'!$C$6+'1.설계입력'!$C$33)*COS(B322)-('1.설계입력'!$C$7+'1.설계입력'!$C$34)*COS(B322+F322)-'1.설계입력'!$C$8*COS('1.설계입력'!$C$15*B322)</f>
        <v>36.796317886826991</v>
      </c>
      <c r="H322" s="40">
        <f>-('1.설계입력'!$C$6+'1.설계입력'!$C$33)*SIN(B322)+('1.설계입력'!$C$7+'1.설계입력'!$C$34)*SIN(B322+F322)+'1.설계입력'!$C$8*SIN('1.설계입력'!$C$15*B322)</f>
        <v>-69.192935138551178</v>
      </c>
      <c r="I322" s="40">
        <f t="shared" si="13"/>
        <v>78.377079071853814</v>
      </c>
      <c r="J322" s="40">
        <f t="shared" si="14"/>
        <v>78.36856055278912</v>
      </c>
      <c r="K322" s="38">
        <f>IF(OR(A322&gt;180,'1.설계입력'!$C$39&gt;=1),"",'1.설계입력'!$C$34*(1-SIN(B322)/SQRT(1+'1.설계입력'!$C$39^2-2*'1.설계입력'!$C$39*COS(B322)))-'1.설계입력'!$C$33*(1-'1.설계입력'!$C$39*COS(B322)-SQRT(MAX(0,1-'1.설계입력'!$C$39^2))*SIN(B322))/SQRT(1+'1.설계입력'!$C$39^2-2*'1.설계입력'!$C$39*COS(B322)))</f>
        <v>5.7787760167152984E-4</v>
      </c>
    </row>
    <row r="323" spans="1:11" x14ac:dyDescent="0.3">
      <c r="A323" s="40">
        <f>A322+'1.설계입력'!$C$12</f>
        <v>63.400000000000361</v>
      </c>
      <c r="B323" s="40">
        <f t="shared" si="12"/>
        <v>1.1065387457644111</v>
      </c>
      <c r="C323" s="40">
        <f>ATAN2('1.설계입력'!$C$6/('1.설계입력'!$C$8*'1.설계입력'!$C$15)-COS((1-'1.설계입력'!$C$15)*B323),SIN((1-'1.설계입력'!$C$15)*B323))</f>
        <v>0.81786223373244138</v>
      </c>
      <c r="D323" s="40">
        <f>'1.설계입력'!$C$6*COS(B323)-'1.설계입력'!$C$7*COS(B323+C323)-'1.설계입력'!$C$8*COS('1.설계입력'!$C$15*B323)</f>
        <v>36.659479398021311</v>
      </c>
      <c r="E323" s="40">
        <f>-'1.설계입력'!$C$6*SIN(B323)+'1.설계입력'!$C$7*SIN(B323+C323)+'1.설계입력'!$C$8*SIN('1.설계입력'!$C$15*B323)</f>
        <v>-69.1546690465306</v>
      </c>
      <c r="F323" s="40">
        <f>ATAN2(('1.설계입력'!$C$6+'1.설계입력'!$C$33)/('1.설계입력'!$C$8*'1.설계입력'!$C$15)-COS((1-'1.설계입력'!$C$15)*B323),SIN((1-'1.설계입력'!$C$15)*B323))</f>
        <v>0.81789960710247556</v>
      </c>
      <c r="G323" s="40">
        <f>('1.설계입력'!$C$6+'1.설계입력'!$C$33)*COS(B323)-('1.설계입력'!$C$7+'1.설계입력'!$C$34)*COS(B323+F323)-'1.설계입력'!$C$8*COS('1.설계입력'!$C$15*B323)</f>
        <v>36.66103675392737</v>
      </c>
      <c r="H323" s="40">
        <f>-('1.설계입력'!$C$6+'1.설계입력'!$C$33)*SIN(B323)+('1.설계입력'!$C$7+'1.설계입력'!$C$34)*SIN(B323+F323)+'1.설계입력'!$C$8*SIN('1.설계입력'!$C$15*B323)</f>
        <v>-69.144350184964793</v>
      </c>
      <c r="I323" s="40">
        <f t="shared" si="13"/>
        <v>78.270592693994118</v>
      </c>
      <c r="J323" s="40">
        <f t="shared" si="14"/>
        <v>78.26220529970935</v>
      </c>
      <c r="K323" s="38">
        <f>IF(OR(A323&gt;180,'1.설계입력'!$C$39&gt;=1),"",'1.설계입력'!$C$34*(1-SIN(B323)/SQRT(1+'1.설계입력'!$C$39^2-2*'1.설계입력'!$C$39*COS(B323)))-'1.설계입력'!$C$33*(1-'1.설계입력'!$C$39*COS(B323)-SQRT(MAX(0,1-'1.설계입력'!$C$39^2))*SIN(B323))/SQRT(1+'1.설계입력'!$C$39^2-2*'1.설계입력'!$C$39*COS(B323)))</f>
        <v>5.8787091387520858E-4</v>
      </c>
    </row>
    <row r="324" spans="1:11" x14ac:dyDescent="0.3">
      <c r="A324" s="40">
        <f>A323+'1.설계입력'!$C$12</f>
        <v>63.600000000000364</v>
      </c>
      <c r="B324" s="40">
        <f t="shared" si="12"/>
        <v>1.1100294042684</v>
      </c>
      <c r="C324" s="40">
        <f>ATAN2('1.설계입력'!$C$6/('1.설계입력'!$C$8*'1.설계입력'!$C$15)-COS((1-'1.설계입력'!$C$15)*B324),SIN((1-'1.설계입력'!$C$15)*B324))</f>
        <v>0.8188416892210163</v>
      </c>
      <c r="D324" s="40">
        <f>'1.설계입력'!$C$6*COS(B324)-'1.설계입력'!$C$7*COS(B324+C324)-'1.설계입력'!$C$8*COS('1.설계입력'!$C$15*B324)</f>
        <v>36.49165355388628</v>
      </c>
      <c r="E324" s="40">
        <f>-'1.설계입력'!$C$6*SIN(B324)+'1.설계입력'!$C$7*SIN(B324+C324)+'1.설계입력'!$C$8*SIN('1.설계입력'!$C$15*B324)</f>
        <v>-69.09196617948048</v>
      </c>
      <c r="F324" s="40">
        <f>ATAN2(('1.설계입력'!$C$6+'1.설계입력'!$C$33)/('1.설계입력'!$C$8*'1.설계입력'!$C$15)-COS((1-'1.설계입력'!$C$15)*B324),SIN((1-'1.설계입력'!$C$15)*B324))</f>
        <v>0.81888492743549246</v>
      </c>
      <c r="G324" s="40">
        <f>('1.설계입력'!$C$6+'1.설계입력'!$C$33)*COS(B324)-('1.설계입력'!$C$7+'1.설계입력'!$C$34)*COS(B324+F324)-'1.설계입력'!$C$8*COS('1.설계입력'!$C$15*B324)</f>
        <v>36.493276315832517</v>
      </c>
      <c r="H324" s="40">
        <f>-('1.설계입력'!$C$6+'1.설계입력'!$C$33)*SIN(B324)+('1.설계입력'!$C$7+'1.설계입력'!$C$34)*SIN(B324+F324)+'1.설계입력'!$C$8*SIN('1.설계입력'!$C$15*B324)</f>
        <v>-69.081663970650169</v>
      </c>
      <c r="I324" s="40">
        <f t="shared" si="13"/>
        <v>78.136678772797453</v>
      </c>
      <c r="J324" s="40">
        <f t="shared" si="14"/>
        <v>78.128327213741926</v>
      </c>
      <c r="K324" s="38">
        <f>IF(OR(A324&gt;180,'1.설계입력'!$C$39&gt;=1),"",'1.설계입력'!$C$34*(1-SIN(B324)/SQRT(1+'1.설계입력'!$C$39^2-2*'1.설계입력'!$C$39*COS(B324)))-'1.설계입력'!$C$33*(1-'1.설계입력'!$C$39*COS(B324)-SQRT(MAX(0,1-'1.설계입력'!$C$39^2))*SIN(B324))/SQRT(1+'1.설계입력'!$C$39^2-2*'1.설계입력'!$C$39*COS(B324)))</f>
        <v>5.9792748643720329E-4</v>
      </c>
    </row>
    <row r="325" spans="1:11" x14ac:dyDescent="0.3">
      <c r="A325" s="40">
        <f>A324+'1.설계입력'!$C$12</f>
        <v>63.800000000000367</v>
      </c>
      <c r="B325" s="40">
        <f t="shared" si="12"/>
        <v>1.1135200627723887</v>
      </c>
      <c r="C325" s="40">
        <f>ATAN2('1.설계입력'!$C$6/('1.설계입력'!$C$8*'1.설계입력'!$C$15)-COS((1-'1.설계입력'!$C$15)*B325),SIN((1-'1.설계입력'!$C$15)*B325))</f>
        <v>0.79515308191501111</v>
      </c>
      <c r="D325" s="40">
        <f>'1.설계입력'!$C$6*COS(B325)-'1.설계입력'!$C$7*COS(B325+C325)-'1.설계입력'!$C$8*COS('1.설계입력'!$C$15*B325)</f>
        <v>36.257346593263179</v>
      </c>
      <c r="E325" s="40">
        <f>-'1.설계입력'!$C$6*SIN(B325)+'1.설계입력'!$C$7*SIN(B325+C325)+'1.설계입력'!$C$8*SIN('1.설계입력'!$C$15*B325)</f>
        <v>-69.006465041339666</v>
      </c>
      <c r="F325" s="40">
        <f>ATAN2(('1.설계입력'!$C$6+'1.설계입력'!$C$33)/('1.설계입력'!$C$8*'1.설계입력'!$C$15)-COS((1-'1.설계입력'!$C$15)*B325),SIN((1-'1.설계입력'!$C$15)*B325))</f>
        <v>0.7952030644688749</v>
      </c>
      <c r="G325" s="40">
        <f>('1.설계입력'!$C$6+'1.설계입력'!$C$33)*COS(B325)-('1.설계입력'!$C$7+'1.설계입력'!$C$34)*COS(B325+F325)-'1.설계입력'!$C$8*COS('1.설계입력'!$C$15*B325)</f>
        <v>36.258851957795216</v>
      </c>
      <c r="H325" s="40">
        <f>-('1.설계입력'!$C$6+'1.설계입력'!$C$33)*SIN(B325)+('1.설계입력'!$C$7+'1.설계입력'!$C$34)*SIN(B325+F325)+'1.설계입력'!$C$8*SIN('1.설계입력'!$C$15*B325)</f>
        <v>-68.996107922318984</v>
      </c>
      <c r="I325" s="40">
        <f t="shared" si="13"/>
        <v>77.951827428775815</v>
      </c>
      <c r="J325" s="40">
        <f t="shared" si="14"/>
        <v>77.943359266364695</v>
      </c>
      <c r="K325" s="38">
        <f>IF(OR(A325&gt;180,'1.설계입력'!$C$39&gt;=1),"",'1.설계입력'!$C$34*(1-SIN(B325)/SQRT(1+'1.설계입력'!$C$39^2-2*'1.설계입력'!$C$39*COS(B325)))-'1.설계입력'!$C$33*(1-'1.설계입력'!$C$39*COS(B325)-SQRT(MAX(0,1-'1.설계입력'!$C$39^2))*SIN(B325))/SQRT(1+'1.설계입력'!$C$39^2-2*'1.설계입력'!$C$39*COS(B325)))</f>
        <v>6.0804690172181158E-4</v>
      </c>
    </row>
    <row r="326" spans="1:11" x14ac:dyDescent="0.3">
      <c r="A326" s="40">
        <f>A325+'1.설계입력'!$C$12</f>
        <v>64.000000000000369</v>
      </c>
      <c r="B326" s="40">
        <f t="shared" ref="B326:B389" si="15">RADIANS(A326)</f>
        <v>1.1170107212763773</v>
      </c>
      <c r="C326" s="40">
        <f>ATAN2('1.설계입력'!$C$6/('1.설계입력'!$C$8*'1.설계입력'!$C$15)-COS((1-'1.설계입력'!$C$15)*B326),SIN((1-'1.설계입력'!$C$15)*B326))</f>
        <v>0.73150594024592774</v>
      </c>
      <c r="D326" s="40">
        <f>'1.설계입력'!$C$6*COS(B326)-'1.설계입력'!$C$7*COS(B326+C326)-'1.설계입력'!$C$8*COS('1.설계입력'!$C$15*B326)</f>
        <v>35.894023562672018</v>
      </c>
      <c r="E326" s="40">
        <f>-'1.설계입력'!$C$6*SIN(B326)+'1.설계입력'!$C$7*SIN(B326+C326)+'1.설계입력'!$C$8*SIN('1.설계입력'!$C$15*B326)</f>
        <v>-68.890198626404995</v>
      </c>
      <c r="F326" s="40">
        <f>ATAN2(('1.설계입력'!$C$6+'1.설계입력'!$C$33)/('1.설계입력'!$C$8*'1.설계입력'!$C$15)-COS((1-'1.설계입력'!$C$15)*B326),SIN((1-'1.설계입력'!$C$15)*B326))</f>
        <v>0.73156262494903312</v>
      </c>
      <c r="G326" s="40">
        <f>('1.설계입력'!$C$6+'1.설계입력'!$C$33)*COS(B326)-('1.설계입력'!$C$7+'1.설계입력'!$C$34)*COS(B326+F326)-'1.설계입력'!$C$8*COS('1.설계입력'!$C$15*B326)</f>
        <v>35.895103831537931</v>
      </c>
      <c r="H326" s="40">
        <f>-('1.설계입력'!$C$6+'1.설계입력'!$C$33)*SIN(B326)+('1.설계입력'!$C$7+'1.설계입력'!$C$34)*SIN(B326+F326)+'1.설계입력'!$C$8*SIN('1.설계입력'!$C$15*B326)</f>
        <v>-68.879685028760875</v>
      </c>
      <c r="I326" s="40">
        <f t="shared" ref="I326:I389" si="16">SQRT(D326^2+E326^2)</f>
        <v>77.680373288902175</v>
      </c>
      <c r="J326" s="40">
        <f t="shared" ref="J326:J389" si="17">SQRT(G326^2+H326^2)</f>
        <v>77.671548772624547</v>
      </c>
      <c r="K326" s="38">
        <f>IF(OR(A326&gt;180,'1.설계입력'!$C$39&gt;=1),"",'1.설계입력'!$C$34*(1-SIN(B326)/SQRT(1+'1.설계입력'!$C$39^2-2*'1.설계입력'!$C$39*COS(B326)))-'1.설계입력'!$C$33*(1-'1.설계입력'!$C$39*COS(B326)-SQRT(MAX(0,1-'1.설계입력'!$C$39^2))*SIN(B326))/SQRT(1+'1.설계입력'!$C$39^2-2*'1.설계입력'!$C$39*COS(B326)))</f>
        <v>6.1822874679628992E-4</v>
      </c>
    </row>
    <row r="327" spans="1:11" x14ac:dyDescent="0.3">
      <c r="A327" s="40">
        <f>A326+'1.설계입력'!$C$12</f>
        <v>64.200000000000372</v>
      </c>
      <c r="B327" s="40">
        <f t="shared" si="15"/>
        <v>1.120501379780366</v>
      </c>
      <c r="C327" s="40">
        <f>ATAN2('1.설계입력'!$C$6/('1.설계입력'!$C$8*'1.설계입력'!$C$15)-COS((1-'1.설계입력'!$C$15)*B327),SIN((1-'1.설계입력'!$C$15)*B327))</f>
        <v>0.60163483560395037</v>
      </c>
      <c r="D327" s="40">
        <f>'1.설계입력'!$C$6*COS(B327)-'1.설계입력'!$C$7*COS(B327+C327)-'1.설계입력'!$C$8*COS('1.설계입력'!$C$15*B327)</f>
        <v>35.288305603067712</v>
      </c>
      <c r="E327" s="40">
        <f>-'1.설계입력'!$C$6*SIN(B327)+'1.설계입력'!$C$7*SIN(B327+C327)+'1.설계입력'!$C$8*SIN('1.설계입력'!$C$15*B327)</f>
        <v>-68.757142176857755</v>
      </c>
      <c r="F327" s="40">
        <f>ATAN2(('1.설계입력'!$C$6+'1.설계입력'!$C$33)/('1.설계입력'!$C$8*'1.설계입력'!$C$15)-COS((1-'1.설계입력'!$C$15)*B327),SIN((1-'1.설계입력'!$C$15)*B327))</f>
        <v>0.60169416592174663</v>
      </c>
      <c r="G327" s="40">
        <f>('1.설계입력'!$C$6+'1.설계입력'!$C$33)*COS(B327)-('1.설계입력'!$C$7+'1.설계입력'!$C$34)*COS(B327+F327)-'1.설계입력'!$C$8*COS('1.설계입력'!$C$15*B327)</f>
        <v>35.288412648370361</v>
      </c>
      <c r="H327" s="40">
        <f>-('1.설계입력'!$C$6+'1.설계입력'!$C$33)*SIN(B327)+('1.설계입력'!$C$7+'1.설계입력'!$C$34)*SIN(B327+F327)+'1.설계입력'!$C$8*SIN('1.설계입력'!$C$15*B327)</f>
        <v>-68.746379630646388</v>
      </c>
      <c r="I327" s="40">
        <f t="shared" si="16"/>
        <v>77.283951197283727</v>
      </c>
      <c r="J327" s="40">
        <f t="shared" si="17"/>
        <v>77.274425132527625</v>
      </c>
      <c r="K327" s="38">
        <f>IF(OR(A327&gt;180,'1.설계입력'!$C$39&gt;=1),"",'1.설계입력'!$C$34*(1-SIN(B327)/SQRT(1+'1.설계입력'!$C$39^2-2*'1.설계입력'!$C$39*COS(B327)))-'1.설계입력'!$C$33*(1-'1.설계입력'!$C$39*COS(B327)-SQRT(MAX(0,1-'1.설계입력'!$C$39^2))*SIN(B327))/SQRT(1+'1.설계입력'!$C$39^2-2*'1.설계입력'!$C$39*COS(B327)))</f>
        <v>6.284726133579439E-4</v>
      </c>
    </row>
    <row r="328" spans="1:11" x14ac:dyDescent="0.3">
      <c r="A328" s="40">
        <f>A327+'1.설계입력'!$C$12</f>
        <v>64.400000000000375</v>
      </c>
      <c r="B328" s="40">
        <f t="shared" si="15"/>
        <v>1.1239920382843547</v>
      </c>
      <c r="C328" s="40">
        <f>ATAN2('1.설계입력'!$C$6/('1.설계입력'!$C$8*'1.설계입력'!$C$15)-COS((1-'1.설계입력'!$C$15)*B328),SIN((1-'1.설계입력'!$C$15)*B328))</f>
        <v>0.36932190355360001</v>
      </c>
      <c r="D328" s="40">
        <f>'1.설계입력'!$C$6*COS(B328)-'1.설계입력'!$C$7*COS(B328+C328)-'1.설계입력'!$C$8*COS('1.설계입력'!$C$15*B328)</f>
        <v>34.282622525017871</v>
      </c>
      <c r="E328" s="40">
        <f>-'1.설계입력'!$C$6*SIN(B328)+'1.설계입력'!$C$7*SIN(B328+C328)+'1.설계입력'!$C$8*SIN('1.설계입력'!$C$15*B328)</f>
        <v>-68.718711840503971</v>
      </c>
      <c r="F328" s="40">
        <f>ATAN2(('1.설계입력'!$C$6+'1.설계입력'!$C$33)/('1.설계입력'!$C$8*'1.설계입력'!$C$15)-COS((1-'1.설계입력'!$C$15)*B328),SIN((1-'1.설계입력'!$C$15)*B328))</f>
        <v>0.36936799668676118</v>
      </c>
      <c r="G328" s="40">
        <f>('1.설계입력'!$C$6+'1.설계입력'!$C$33)*COS(B328)-('1.설계입력'!$C$7+'1.설계입력'!$C$34)*COS(B328+F328)-'1.설계입력'!$C$8*COS('1.설계입력'!$C$15*B328)</f>
        <v>34.280840271596574</v>
      </c>
      <c r="H328" s="40">
        <f>-('1.설계입력'!$C$6+'1.설계입력'!$C$33)*SIN(B328)+('1.설계입력'!$C$7+'1.설계입력'!$C$34)*SIN(B328+F328)+'1.설계입력'!$C$8*SIN('1.설계입력'!$C$15*B328)</f>
        <v>-68.707826165777917</v>
      </c>
      <c r="I328" s="40">
        <f t="shared" si="16"/>
        <v>76.795569951730187</v>
      </c>
      <c r="J328" s="40">
        <f t="shared" si="17"/>
        <v>76.785033607816274</v>
      </c>
      <c r="K328" s="38">
        <f>IF(OR(A328&gt;180,'1.설계입력'!$C$39&gt;=1),"",'1.설계입력'!$C$34*(1-SIN(B328)/SQRT(1+'1.설계입력'!$C$39^2-2*'1.설계입력'!$C$39*COS(B328)))-'1.설계입력'!$C$33*(1-'1.설계입력'!$C$39*COS(B328)-SQRT(MAX(0,1-'1.설계입력'!$C$39^2))*SIN(B328))/SQRT(1+'1.설계입력'!$C$39^2-2*'1.설계입력'!$C$39*COS(B328)))</f>
        <v>6.3877809766248802E-4</v>
      </c>
    </row>
    <row r="329" spans="1:11" x14ac:dyDescent="0.3">
      <c r="A329" s="40">
        <f>A328+'1.설계입력'!$C$12</f>
        <v>64.600000000000378</v>
      </c>
      <c r="B329" s="40">
        <f t="shared" si="15"/>
        <v>1.1274826967883436</v>
      </c>
      <c r="C329" s="40">
        <f>ATAN2('1.설계입력'!$C$6/('1.설계입력'!$C$8*'1.설계입력'!$C$15)-COS((1-'1.설계입력'!$C$15)*B329),SIN((1-'1.설계입력'!$C$15)*B329))</f>
        <v>2.8547383688818456E-2</v>
      </c>
      <c r="D329" s="40">
        <f>'1.설계입력'!$C$6*COS(B329)-'1.설계입력'!$C$7*COS(B329+C329)-'1.설계입력'!$C$8*COS('1.설계입력'!$C$15*B329)</f>
        <v>32.903220188623607</v>
      </c>
      <c r="E329" s="40">
        <f>-'1.설계입력'!$C$6*SIN(B329)+'1.설계입력'!$C$7*SIN(B329+C329)+'1.설계입력'!$C$8*SIN('1.설계입력'!$C$15*B329)</f>
        <v>-69.064460774848698</v>
      </c>
      <c r="F329" s="40">
        <f>ATAN2(('1.설계입력'!$C$6+'1.설계입력'!$C$33)/('1.설계입력'!$C$8*'1.설계입력'!$C$15)-COS((1-'1.설계입력'!$C$15)*B329),SIN((1-'1.설계입력'!$C$15)*B329))</f>
        <v>2.8551404054425487E-2</v>
      </c>
      <c r="G329" s="40">
        <f>('1.설계입력'!$C$6+'1.설계입력'!$C$33)*COS(B329)-('1.설계입력'!$C$7+'1.설계입력'!$C$34)*COS(B329+F329)-'1.설계입력'!$C$8*COS('1.설계입력'!$C$15*B329)</f>
        <v>32.898641131789603</v>
      </c>
      <c r="H329" s="40">
        <f>-('1.설계입력'!$C$6+'1.설계입력'!$C$33)*SIN(B329)+('1.설계입력'!$C$7+'1.설계입력'!$C$34)*SIN(B329+F329)+'1.설계입력'!$C$8*SIN('1.설계입력'!$C$15*B329)</f>
        <v>-69.054240736508788</v>
      </c>
      <c r="I329" s="40">
        <f t="shared" si="16"/>
        <v>76.501775410127976</v>
      </c>
      <c r="J329" s="40">
        <f t="shared" si="17"/>
        <v>76.490579498484578</v>
      </c>
      <c r="K329" s="38">
        <f>IF(OR(A329&gt;180,'1.설계입력'!$C$39&gt;=1),"",'1.설계입력'!$C$34*(1-SIN(B329)/SQRT(1+'1.설계입력'!$C$39^2-2*'1.설계입력'!$C$39*COS(B329)))-'1.설계입력'!$C$33*(1-'1.설계입력'!$C$39*COS(B329)-SQRT(MAX(0,1-'1.설계입력'!$C$39^2))*SIN(B329))/SQRT(1+'1.설계입력'!$C$39^2-2*'1.설계입력'!$C$39*COS(B329)))</f>
        <v>6.4914480045366455E-4</v>
      </c>
    </row>
    <row r="330" spans="1:11" x14ac:dyDescent="0.3">
      <c r="A330" s="40">
        <f>A329+'1.설계입력'!$C$12</f>
        <v>64.800000000000381</v>
      </c>
      <c r="B330" s="40">
        <f t="shared" si="15"/>
        <v>1.1309733552923322</v>
      </c>
      <c r="C330" s="40">
        <f>ATAN2('1.설계입력'!$C$6/('1.설계입력'!$C$8*'1.설계입력'!$C$15)-COS((1-'1.설계입력'!$C$15)*B330),SIN((1-'1.설계입력'!$C$15)*B330))</f>
        <v>-0.32290967953132377</v>
      </c>
      <c r="D330" s="40">
        <f>'1.설계입력'!$C$6*COS(B330)-'1.설계입력'!$C$7*COS(B330+C330)-'1.설계입력'!$C$8*COS('1.설계입력'!$C$15*B330)</f>
        <v>31.686778039567507</v>
      </c>
      <c r="E330" s="40">
        <f>-'1.설계입력'!$C$6*SIN(B330)+'1.설계입력'!$C$7*SIN(B330+C330)+'1.설계입력'!$C$8*SIN('1.설계입력'!$C$15*B330)</f>
        <v>-69.877430628279939</v>
      </c>
      <c r="F330" s="40">
        <f>ATAN2(('1.설계입력'!$C$6+'1.설계입력'!$C$33)/('1.설계입력'!$C$8*'1.설계입력'!$C$15)-COS((1-'1.설계입력'!$C$15)*B330),SIN((1-'1.설계입력'!$C$15)*B330))</f>
        <v>-0.32295119526005783</v>
      </c>
      <c r="G330" s="40">
        <f>('1.설계입력'!$C$6+'1.설계입력'!$C$33)*COS(B330)-('1.설계입력'!$C$7+'1.설계입력'!$C$34)*COS(B330+F330)-'1.설계입력'!$C$8*COS('1.설계입력'!$C$15*B330)</f>
        <v>31.679741541019553</v>
      </c>
      <c r="H330" s="40">
        <f>-('1.설계입력'!$C$6+'1.설계입력'!$C$33)*SIN(B330)+('1.설계입력'!$C$7+'1.설계입력'!$C$34)*SIN(B330+F330)+'1.설계입력'!$C$8*SIN('1.설계입력'!$C$15*B330)</f>
        <v>-69.868884731177388</v>
      </c>
      <c r="I330" s="40">
        <f t="shared" si="16"/>
        <v>76.726183364865037</v>
      </c>
      <c r="J330" s="40">
        <f t="shared" si="17"/>
        <v>76.715494378152542</v>
      </c>
      <c r="K330" s="38">
        <f>IF(OR(A330&gt;180,'1.설계입력'!$C$39&gt;=1),"",'1.설계입력'!$C$34*(1-SIN(B330)/SQRT(1+'1.설계입력'!$C$39^2-2*'1.설계입력'!$C$39*COS(B330)))-'1.설계입력'!$C$33*(1-'1.설계입력'!$C$39*COS(B330)-SQRT(MAX(0,1-'1.설계입력'!$C$39^2))*SIN(B330))/SQRT(1+'1.설계입력'!$C$39^2-2*'1.설계입력'!$C$39*COS(B330)))</f>
        <v>6.595723268940835E-4</v>
      </c>
    </row>
    <row r="331" spans="1:11" x14ac:dyDescent="0.3">
      <c r="A331" s="40">
        <f>A330+'1.설계입력'!$C$12</f>
        <v>65.000000000000384</v>
      </c>
      <c r="B331" s="40">
        <f t="shared" si="15"/>
        <v>1.1344640137963209</v>
      </c>
      <c r="C331" s="40">
        <f>ATAN2('1.설계입력'!$C$6/('1.설계입력'!$C$8*'1.설계입력'!$C$15)-COS((1-'1.설계입력'!$C$15)*B331),SIN((1-'1.설계입력'!$C$15)*B331))</f>
        <v>-0.57345329675736845</v>
      </c>
      <c r="D331" s="40">
        <f>'1.설계입력'!$C$6*COS(B331)-'1.설계입력'!$C$7*COS(B331+C331)-'1.설계입력'!$C$8*COS('1.설계입력'!$C$15*B331)</f>
        <v>31.007353998606899</v>
      </c>
      <c r="E331" s="40">
        <f>-'1.설계입력'!$C$6*SIN(B331)+'1.설계입력'!$C$7*SIN(B331+C331)+'1.설계입력'!$C$8*SIN('1.설계입력'!$C$15*B331)</f>
        <v>-70.711857860943951</v>
      </c>
      <c r="F331" s="40">
        <f>ATAN2(('1.설계입력'!$C$6+'1.설계입력'!$C$33)/('1.설계입력'!$C$8*'1.설계입력'!$C$15)-COS((1-'1.설계입력'!$C$15)*B331),SIN((1-'1.설계입력'!$C$15)*B331))</f>
        <v>-0.57351206072391248</v>
      </c>
      <c r="G331" s="40">
        <f>('1.설계입력'!$C$6+'1.설계입력'!$C$33)*COS(B331)-('1.설계입력'!$C$7+'1.설계입력'!$C$34)*COS(B331+F331)-'1.설계입력'!$C$8*COS('1.설계입력'!$C$15*B331)</f>
        <v>30.999060160779546</v>
      </c>
      <c r="H331" s="40">
        <f>-('1.설계입력'!$C$6+'1.설계입력'!$C$33)*SIN(B331)+('1.설계입력'!$C$7+'1.설계입력'!$C$34)*SIN(B331+F331)+'1.설계입력'!$C$8*SIN('1.설계입력'!$C$15*B331)</f>
        <v>-70.70493819718007</v>
      </c>
      <c r="I331" s="40">
        <f t="shared" si="16"/>
        <v>77.211546054597719</v>
      </c>
      <c r="J331" s="40">
        <f t="shared" si="17"/>
        <v>77.201878321182591</v>
      </c>
      <c r="K331" s="38">
        <f>IF(OR(A331&gt;180,'1.설계입력'!$C$39&gt;=1),"",'1.설계입력'!$C$34*(1-SIN(B331)/SQRT(1+'1.설계입력'!$C$39^2-2*'1.설계입력'!$C$39*COS(B331)))-'1.설계입력'!$C$33*(1-'1.설계입력'!$C$39*COS(B331)-SQRT(MAX(0,1-'1.설계입력'!$C$39^2))*SIN(B331))/SQRT(1+'1.설계입력'!$C$39^2-2*'1.설계입력'!$C$39*COS(B331)))</f>
        <v>6.700602864972736E-4</v>
      </c>
    </row>
    <row r="332" spans="1:11" x14ac:dyDescent="0.3">
      <c r="A332" s="40">
        <f>A331+'1.설계입력'!$C$12</f>
        <v>65.200000000000387</v>
      </c>
      <c r="B332" s="40">
        <f t="shared" si="15"/>
        <v>1.1379546723003096</v>
      </c>
      <c r="C332" s="40">
        <f>ATAN2('1.설계입력'!$C$6/('1.설계입력'!$C$8*'1.설계입력'!$C$15)-COS((1-'1.설계입력'!$C$15)*B332),SIN((1-'1.설계입력'!$C$15)*B332))</f>
        <v>-0.71667726274749177</v>
      </c>
      <c r="D332" s="40">
        <f>'1.설계입력'!$C$6*COS(B332)-'1.설계입력'!$C$7*COS(B332+C332)-'1.설계입력'!$C$8*COS('1.설계입력'!$C$15*B332)</f>
        <v>30.692452242020106</v>
      </c>
      <c r="E332" s="40">
        <f>-'1.설계입력'!$C$6*SIN(B332)+'1.설계입력'!$C$7*SIN(B332+C332)+'1.설계입력'!$C$8*SIN('1.설계입력'!$C$15*B332)</f>
        <v>-71.302960964807525</v>
      </c>
      <c r="F332" s="40">
        <f>ATAN2(('1.설계입력'!$C$6+'1.설계입력'!$C$33)/('1.설계입력'!$C$8*'1.설계입력'!$C$15)-COS((1-'1.설계입력'!$C$15)*B332),SIN((1-'1.설계입력'!$C$15)*B332))</f>
        <v>-0.71673479693323172</v>
      </c>
      <c r="G332" s="40">
        <f>('1.설계입력'!$C$6+'1.설계입력'!$C$33)*COS(B332)-('1.설계입력'!$C$7+'1.설계입력'!$C$34)*COS(B332+F332)-'1.설계입력'!$C$8*COS('1.설계입력'!$C$15*B332)</f>
        <v>30.683665851753929</v>
      </c>
      <c r="H332" s="40">
        <f>-('1.설계입력'!$C$6+'1.설계입력'!$C$33)*SIN(B332)+('1.설계입력'!$C$7+'1.설계입력'!$C$34)*SIN(B332+F332)+'1.설계입력'!$C$8*SIN('1.설계입력'!$C$15*B332)</f>
        <v>-71.297044993168413</v>
      </c>
      <c r="I332" s="40">
        <f t="shared" si="16"/>
        <v>77.628209221761338</v>
      </c>
      <c r="J332" s="40">
        <f t="shared" si="17"/>
        <v>77.619301561273872</v>
      </c>
      <c r="K332" s="38">
        <f>IF(OR(A332&gt;180,'1.설계입력'!$C$39&gt;=1),"",'1.설계입력'!$C$34*(1-SIN(B332)/SQRT(1+'1.설계입력'!$C$39^2-2*'1.설계입력'!$C$39*COS(B332)))-'1.설계입력'!$C$33*(1-'1.설계입력'!$C$39*COS(B332)-SQRT(MAX(0,1-'1.설계입력'!$C$39^2))*SIN(B332))/SQRT(1+'1.설계입력'!$C$39^2-2*'1.설계입력'!$C$39*COS(B332)))</f>
        <v>6.8060829306090798E-4</v>
      </c>
    </row>
    <row r="333" spans="1:11" x14ac:dyDescent="0.3">
      <c r="A333" s="40">
        <f>A332+'1.설계입력'!$C$12</f>
        <v>65.400000000000389</v>
      </c>
      <c r="B333" s="40">
        <f t="shared" si="15"/>
        <v>1.1414453308042982</v>
      </c>
      <c r="C333" s="40">
        <f>ATAN2('1.설계입력'!$C$6/('1.설계입력'!$C$8*'1.설계입력'!$C$15)-COS((1-'1.설계입력'!$C$15)*B333),SIN((1-'1.설계입력'!$C$15)*B333))</f>
        <v>-0.78846897179954678</v>
      </c>
      <c r="D333" s="40">
        <f>'1.설계입력'!$C$6*COS(B333)-'1.설계입력'!$C$7*COS(B333+C333)-'1.설계입력'!$C$8*COS('1.설계입력'!$C$15*B333)</f>
        <v>30.538425793999199</v>
      </c>
      <c r="E333" s="40">
        <f>-'1.설계입력'!$C$6*SIN(B333)+'1.설계입력'!$C$7*SIN(B333+C333)+'1.설계입력'!$C$8*SIN('1.설계입력'!$C$15*B333)</f>
        <v>-71.682809319028962</v>
      </c>
      <c r="F333" s="40">
        <f>ATAN2(('1.설계입력'!$C$6+'1.설계입력'!$C$33)/('1.설계입력'!$C$8*'1.설계입력'!$C$15)-COS((1-'1.설계입력'!$C$15)*B333),SIN((1-'1.설계입력'!$C$15)*B333))</f>
        <v>-0.78852003505108648</v>
      </c>
      <c r="G333" s="40">
        <f>('1.설계입력'!$C$6+'1.설계입력'!$C$33)*COS(B333)-('1.설계입력'!$C$7+'1.설계입력'!$C$34)*COS(B333+F333)-'1.설계입력'!$C$8*COS('1.설계입력'!$C$15*B333)</f>
        <v>30.529463958264781</v>
      </c>
      <c r="H333" s="40">
        <f>-('1.설계입력'!$C$6+'1.설계입력'!$C$33)*SIN(B333)+('1.설계입력'!$C$7+'1.설계입력'!$C$34)*SIN(B333+F333)+'1.설계입력'!$C$8*SIN('1.설계입력'!$C$15*B333)</f>
        <v>-71.677382630623484</v>
      </c>
      <c r="I333" s="40">
        <f t="shared" si="16"/>
        <v>77.916754307683149</v>
      </c>
      <c r="J333" s="40">
        <f t="shared" si="17"/>
        <v>77.908249565471522</v>
      </c>
      <c r="K333" s="38">
        <f>IF(OR(A333&gt;180,'1.설계입력'!$C$39&gt;=1),"",'1.설계입력'!$C$34*(1-SIN(B333)/SQRT(1+'1.설계입력'!$C$39^2-2*'1.설계입력'!$C$39*COS(B333)))-'1.설계입력'!$C$33*(1-'1.설계입력'!$C$39*COS(B333)-SQRT(MAX(0,1-'1.설계입력'!$C$39^2))*SIN(B333))/SQRT(1+'1.설계입력'!$C$39^2-2*'1.설계입력'!$C$39*COS(B333)))</f>
        <v>6.9121596460118356E-4</v>
      </c>
    </row>
    <row r="334" spans="1:11" x14ac:dyDescent="0.3">
      <c r="A334" s="40">
        <f>A333+'1.설계입력'!$C$12</f>
        <v>65.600000000000392</v>
      </c>
      <c r="B334" s="40">
        <f t="shared" si="15"/>
        <v>1.1449359893082871</v>
      </c>
      <c r="C334" s="40">
        <f>ATAN2('1.설계입력'!$C$6/('1.설계입력'!$C$8*'1.설계입력'!$C$15)-COS((1-'1.설계입력'!$C$15)*B334),SIN((1-'1.설계입력'!$C$15)*B334))</f>
        <v>-0.81709081659048044</v>
      </c>
      <c r="D334" s="40">
        <f>'1.설계입력'!$C$6*COS(B334)-'1.설계입력'!$C$7*COS(B334+C334)-'1.설계입력'!$C$8*COS('1.설계입력'!$C$15*B334)</f>
        <v>30.450492475503722</v>
      </c>
      <c r="E334" s="40">
        <f>-'1.설계입력'!$C$6*SIN(B334)+'1.설계입력'!$C$7*SIN(B334+C334)+'1.설계입력'!$C$8*SIN('1.설계입력'!$C$15*B334)</f>
        <v>-71.932601717455043</v>
      </c>
      <c r="F334" s="40">
        <f>ATAN2(('1.설계입력'!$C$6+'1.설계입력'!$C$33)/('1.설계입력'!$C$8*'1.설계입력'!$C$15)-COS((1-'1.설계입력'!$C$15)*B334),SIN((1-'1.설계입력'!$C$15)*B334))</f>
        <v>-0.81713504250885172</v>
      </c>
      <c r="G334" s="40">
        <f>('1.설계입력'!$C$6+'1.설계입력'!$C$33)*COS(B334)-('1.설계입력'!$C$7+'1.설계입력'!$C$34)*COS(B334+F334)-'1.설계입력'!$C$8*COS('1.설계입력'!$C$15*B334)</f>
        <v>30.441486195422662</v>
      </c>
      <c r="H334" s="40">
        <f>-('1.설계입력'!$C$6+'1.설계입력'!$C$33)*SIN(B334)+('1.설계입력'!$C$7+'1.설계입력'!$C$34)*SIN(B334+F334)+'1.설계입력'!$C$8*SIN('1.설계입력'!$C$15*B334)</f>
        <v>-71.927338189889639</v>
      </c>
      <c r="I334" s="40">
        <f t="shared" si="16"/>
        <v>78.112301731818945</v>
      </c>
      <c r="J334" s="40">
        <f t="shared" si="17"/>
        <v>78.103943952074943</v>
      </c>
      <c r="K334" s="38">
        <f>IF(OR(A334&gt;180,'1.설계입력'!$C$39&gt;=1),"",'1.설계입력'!$C$34*(1-SIN(B334)/SQRT(1+'1.설계입력'!$C$39^2-2*'1.설계입력'!$C$39*COS(B334)))-'1.설계입력'!$C$33*(1-'1.설계입력'!$C$39*COS(B334)-SQRT(MAX(0,1-'1.설계입력'!$C$39^2))*SIN(B334))/SQRT(1+'1.설계입력'!$C$39^2-2*'1.설계입력'!$C$39*COS(B334)))</f>
        <v>7.018829232883501E-4</v>
      </c>
    </row>
    <row r="335" spans="1:11" x14ac:dyDescent="0.3">
      <c r="A335" s="40">
        <f>A334+'1.설계입력'!$C$12</f>
        <v>65.800000000000395</v>
      </c>
      <c r="B335" s="40">
        <f t="shared" si="15"/>
        <v>1.1484266478122758</v>
      </c>
      <c r="C335" s="40">
        <f>ATAN2('1.설계입력'!$C$6/('1.설계입력'!$C$8*'1.설계입력'!$C$15)-COS((1-'1.설계입력'!$C$15)*B335),SIN((1-'1.설계입력'!$C$15)*B335))</f>
        <v>-0.81921559339862648</v>
      </c>
      <c r="D335" s="40">
        <f>'1.설계입력'!$C$6*COS(B335)-'1.설계입력'!$C$7*COS(B335+C335)-'1.설계입력'!$C$8*COS('1.설계입력'!$C$15*B335)</f>
        <v>30.390407859557008</v>
      </c>
      <c r="E335" s="40">
        <f>-'1.설계입력'!$C$6*SIN(B335)+'1.설계입력'!$C$7*SIN(B335+C335)+'1.설계입력'!$C$8*SIN('1.설계입력'!$C$15*B335)</f>
        <v>-72.109887537504633</v>
      </c>
      <c r="F335" s="40">
        <f>ATAN2(('1.설계입력'!$C$6+'1.설계입력'!$C$33)/('1.설계입력'!$C$8*'1.설계입력'!$C$15)-COS((1-'1.설계입력'!$C$15)*B335),SIN((1-'1.설계입력'!$C$15)*B335))</f>
        <v>-0.81925380583984908</v>
      </c>
      <c r="G335" s="40">
        <f>('1.설계입력'!$C$6+'1.설계입력'!$C$33)*COS(B335)-('1.설계입력'!$C$7+'1.설계입력'!$C$34)*COS(B335+F335)-'1.설계입력'!$C$8*COS('1.설계입력'!$C$15*B335)</f>
        <v>30.381422573671053</v>
      </c>
      <c r="H335" s="40">
        <f>-('1.설계입력'!$C$6+'1.설계입력'!$C$33)*SIN(B335)+('1.설계입력'!$C$7+'1.설계입력'!$C$34)*SIN(B335+F335)+'1.설계입력'!$C$8*SIN('1.설계입력'!$C$15*B335)</f>
        <v>-72.104586198301789</v>
      </c>
      <c r="I335" s="40">
        <f t="shared" si="16"/>
        <v>78.252238118419271</v>
      </c>
      <c r="J335" s="40">
        <f t="shared" si="17"/>
        <v>78.243863583212075</v>
      </c>
      <c r="K335" s="38">
        <f>IF(OR(A335&gt;180,'1.설계입력'!$C$39&gt;=1),"",'1.설계입력'!$C$34*(1-SIN(B335)/SQRT(1+'1.설계입력'!$C$39^2-2*'1.설계입력'!$C$39*COS(B335)))-'1.설계입력'!$C$33*(1-'1.설계입력'!$C$39*COS(B335)-SQRT(MAX(0,1-'1.설계입력'!$C$39^2))*SIN(B335))/SQRT(1+'1.설계입력'!$C$39^2-2*'1.설계입력'!$C$39*COS(B335)))</f>
        <v>7.1260879538333492E-4</v>
      </c>
    </row>
    <row r="336" spans="1:11" x14ac:dyDescent="0.3">
      <c r="A336" s="40">
        <f>A335+'1.설계입력'!$C$12</f>
        <v>66.000000000000398</v>
      </c>
      <c r="B336" s="40">
        <f t="shared" si="15"/>
        <v>1.1519173063162644</v>
      </c>
      <c r="C336" s="40">
        <f>ATAN2('1.설계입력'!$C$6/('1.설계입력'!$C$8*'1.설계입력'!$C$15)-COS((1-'1.설계입력'!$C$15)*B336),SIN((1-'1.설계입력'!$C$15)*B336))</f>
        <v>-0.80437416500299985</v>
      </c>
      <c r="D336" s="40">
        <f>'1.설계입력'!$C$6*COS(B336)-'1.설계입력'!$C$7*COS(B336+C336)-'1.설계입력'!$C$8*COS('1.설계입력'!$C$15*B336)</f>
        <v>30.341555418780562</v>
      </c>
      <c r="E336" s="40">
        <f>-'1.설계입력'!$C$6*SIN(B336)+'1.설계입력'!$C$7*SIN(B336+C336)+'1.설계입력'!$C$8*SIN('1.설계입력'!$C$15*B336)</f>
        <v>-72.249333945512831</v>
      </c>
      <c r="F336" s="40">
        <f>ATAN2(('1.설계입력'!$C$6+'1.설계입력'!$C$33)/('1.설계입력'!$C$8*'1.설계입력'!$C$15)-COS((1-'1.설계입력'!$C$15)*B336),SIN((1-'1.설계입력'!$C$15)*B336))</f>
        <v>-0.80440730939987892</v>
      </c>
      <c r="G336" s="40">
        <f>('1.설계입력'!$C$6+'1.설계입력'!$C$33)*COS(B336)-('1.설계입력'!$C$7+'1.설계입력'!$C$34)*COS(B336+F336)-'1.설계입력'!$C$8*COS('1.설계입력'!$C$15*B336)</f>
        <v>30.332633571508921</v>
      </c>
      <c r="H336" s="40">
        <f>-('1.설계입력'!$C$6+'1.설계입력'!$C$33)*SIN(B336)+('1.설계입력'!$C$7+'1.설계입력'!$C$34)*SIN(B336+F336)+'1.설계입력'!$C$8*SIN('1.설계입력'!$C$15*B336)</f>
        <v>-72.243868089006739</v>
      </c>
      <c r="I336" s="40">
        <f t="shared" si="16"/>
        <v>78.361828978152147</v>
      </c>
      <c r="J336" s="40">
        <f t="shared" si="17"/>
        <v>78.353335192863597</v>
      </c>
      <c r="K336" s="38">
        <f>IF(OR(A336&gt;180,'1.설계입력'!$C$39&gt;=1),"",'1.설계입력'!$C$34*(1-SIN(B336)/SQRT(1+'1.설계입력'!$C$39^2-2*'1.설계입력'!$C$39*COS(B336)))-'1.설계입력'!$C$33*(1-'1.설계입력'!$C$39*COS(B336)-SQRT(MAX(0,1-'1.설계입력'!$C$39^2))*SIN(B336))/SQRT(1+'1.설계입력'!$C$39^2-2*'1.설계입력'!$C$39*COS(B336)))</f>
        <v>7.2339321117547621E-4</v>
      </c>
    </row>
    <row r="337" spans="1:11" x14ac:dyDescent="0.3">
      <c r="A337" s="40">
        <f>A336+'1.설계입력'!$C$12</f>
        <v>66.200000000000401</v>
      </c>
      <c r="B337" s="40">
        <f t="shared" si="15"/>
        <v>1.1554079648202531</v>
      </c>
      <c r="C337" s="40">
        <f>ATAN2('1.설계입력'!$C$6/('1.설계입력'!$C$8*'1.설계입력'!$C$15)-COS((1-'1.설계입력'!$C$15)*B337),SIN((1-'1.설계입력'!$C$15)*B337))</f>
        <v>-0.77818171208861109</v>
      </c>
      <c r="D337" s="40">
        <f>'1.설계입력'!$C$6*COS(B337)-'1.설계입력'!$C$7*COS(B337+C337)-'1.설계입력'!$C$8*COS('1.설계입력'!$C$15*B337)</f>
        <v>30.295446907976615</v>
      </c>
      <c r="E337" s="40">
        <f>-'1.설계입력'!$C$6*SIN(B337)+'1.설계입력'!$C$7*SIN(B337+C337)+'1.설계입력'!$C$8*SIN('1.설계입력'!$C$15*B337)</f>
        <v>-72.371303973875357</v>
      </c>
      <c r="F337" s="40">
        <f>ATAN2(('1.설계입력'!$C$6+'1.설계입력'!$C$33)/('1.설계입력'!$C$8*'1.설계입력'!$C$15)-COS((1-'1.설계입력'!$C$15)*B337),SIN((1-'1.설계입력'!$C$15)*B337))</f>
        <v>-0.77821060252638874</v>
      </c>
      <c r="G337" s="40">
        <f>('1.설계입력'!$C$6+'1.설계입력'!$C$33)*COS(B337)-('1.설계입력'!$C$7+'1.설계입력'!$C$34)*COS(B337+F337)-'1.설계입력'!$C$8*COS('1.설계입력'!$C$15*B337)</f>
        <v>30.286622778332994</v>
      </c>
      <c r="H337" s="40">
        <f>-('1.설계입력'!$C$6+'1.설계입력'!$C$33)*SIN(B337)+('1.설계입력'!$C$7+'1.설계입력'!$C$34)*SIN(B337+F337)+'1.설계입력'!$C$8*SIN('1.설계입력'!$C$15*B337)</f>
        <v>-72.365591674037944</v>
      </c>
      <c r="I337" s="40">
        <f t="shared" si="16"/>
        <v>78.456483111551051</v>
      </c>
      <c r="J337" s="40">
        <f t="shared" si="17"/>
        <v>78.447806710262</v>
      </c>
      <c r="K337" s="38">
        <f>IF(OR(A337&gt;180,'1.설계입력'!$C$39&gt;=1),"",'1.설계입력'!$C$34*(1-SIN(B337)/SQRT(1+'1.설계입력'!$C$39^2-2*'1.설계입력'!$C$39*COS(B337)))-'1.설계입력'!$C$33*(1-'1.설계입력'!$C$39*COS(B337)-SQRT(MAX(0,1-'1.설계입력'!$C$39^2))*SIN(B337))/SQRT(1+'1.설계입력'!$C$39^2-2*'1.설계입력'!$C$39*COS(B337)))</f>
        <v>7.3423580492131533E-4</v>
      </c>
    </row>
    <row r="338" spans="1:11" x14ac:dyDescent="0.3">
      <c r="A338" s="40">
        <f>A337+'1.설계입력'!$C$12</f>
        <v>66.400000000000404</v>
      </c>
      <c r="B338" s="40">
        <f t="shared" si="15"/>
        <v>1.1588986233242418</v>
      </c>
      <c r="C338" s="40">
        <f>ATAN2('1.설계입력'!$C$6/('1.설계입력'!$C$8*'1.설계입력'!$C$15)-COS((1-'1.설계입력'!$C$15)*B338),SIN((1-'1.설계입력'!$C$15)*B338))</f>
        <v>-0.74409324739158589</v>
      </c>
      <c r="D338" s="40">
        <f>'1.설계입력'!$C$6*COS(B338)-'1.설계입력'!$C$7*COS(B338+C338)-'1.설계입력'!$C$8*COS('1.설계입력'!$C$15*B338)</f>
        <v>30.246851275666447</v>
      </c>
      <c r="E338" s="40">
        <f>-'1.설계입력'!$C$6*SIN(B338)+'1.설계입력'!$C$7*SIN(B338+C338)+'1.설계입력'!$C$8*SIN('1.설계입력'!$C$15*B338)</f>
        <v>-72.487708992054721</v>
      </c>
      <c r="F338" s="40">
        <f>ATAN2(('1.설계입력'!$C$6+'1.설계입력'!$C$33)/('1.설계입력'!$C$8*'1.설계입력'!$C$15)-COS((1-'1.설계입력'!$C$15)*B338),SIN((1-'1.설계입력'!$C$15)*B338))</f>
        <v>-0.74411853575069131</v>
      </c>
      <c r="G338" s="40">
        <f>('1.설계입력'!$C$6+'1.설계입력'!$C$33)*COS(B338)-('1.설계입력'!$C$7+'1.설계입력'!$C$34)*COS(B338+F338)-'1.설계입력'!$C$8*COS('1.설계입력'!$C$15*B338)</f>
        <v>30.238156268590419</v>
      </c>
      <c r="H338" s="40">
        <f>-('1.설계입력'!$C$6+'1.설계입력'!$C$33)*SIN(B338)+('1.설계입력'!$C$7+'1.설계입력'!$C$34)*SIN(B338+F338)+'1.설계입력'!$C$8*SIN('1.설계입력'!$C$15*B338)</f>
        <v>-72.481696634935844</v>
      </c>
      <c r="I338" s="40">
        <f t="shared" si="16"/>
        <v>78.545146043591359</v>
      </c>
      <c r="J338" s="40">
        <f t="shared" si="17"/>
        <v>78.536249220360432</v>
      </c>
      <c r="K338" s="38">
        <f>IF(OR(A338&gt;180,'1.설계입력'!$C$39&gt;=1),"",'1.설계입력'!$C$34*(1-SIN(B338)/SQRT(1+'1.설계입력'!$C$39^2-2*'1.설계입력'!$C$39*COS(B338)))-'1.설계입력'!$C$33*(1-'1.설계입력'!$C$39*COS(B338)-SQRT(MAX(0,1-'1.설계입력'!$C$39^2))*SIN(B338))/SQRT(1+'1.설계입력'!$C$39^2-2*'1.설계입력'!$C$39*COS(B338)))</f>
        <v>7.4513621478444758E-4</v>
      </c>
    </row>
    <row r="339" spans="1:11" x14ac:dyDescent="0.3">
      <c r="A339" s="40">
        <f>A338+'1.설계입력'!$C$12</f>
        <v>66.600000000000406</v>
      </c>
      <c r="B339" s="40">
        <f t="shared" si="15"/>
        <v>1.1623892818282306</v>
      </c>
      <c r="C339" s="40">
        <f>ATAN2('1.설계입력'!$C$6/('1.설계입력'!$C$8*'1.설계입력'!$C$15)-COS((1-'1.설계입력'!$C$15)*B339),SIN((1-'1.설계입력'!$C$15)*B339))</f>
        <v>-0.70432816899457762</v>
      </c>
      <c r="D339" s="40">
        <f>'1.설계입력'!$C$6*COS(B339)-'1.설계입력'!$C$7*COS(B339+C339)-'1.설계입력'!$C$8*COS('1.설계입력'!$C$15*B339)</f>
        <v>30.192006211549341</v>
      </c>
      <c r="E339" s="40">
        <f>-'1.설계입력'!$C$6*SIN(B339)+'1.설계입력'!$C$7*SIN(B339+C339)+'1.설계입력'!$C$8*SIN('1.설계입력'!$C$15*B339)</f>
        <v>-72.605361712035929</v>
      </c>
      <c r="F339" s="40">
        <f>ATAN2(('1.설계입력'!$C$6+'1.설계입력'!$C$33)/('1.설계입력'!$C$8*'1.설계입력'!$C$15)-COS((1-'1.설계입력'!$C$15)*B339),SIN((1-'1.설계입력'!$C$15)*B339))</f>
        <v>-0.70435036721096855</v>
      </c>
      <c r="G339" s="40">
        <f>('1.설계입력'!$C$6+'1.설계입력'!$C$33)*COS(B339)-('1.설계입력'!$C$7+'1.설계입력'!$C$34)*COS(B339+F339)-'1.설계입력'!$C$8*COS('1.설계입력'!$C$15*B339)</f>
        <v>30.183470725593587</v>
      </c>
      <c r="H339" s="40">
        <f>-('1.설계입력'!$C$6+'1.설계입력'!$C$33)*SIN(B339)+('1.설계입력'!$C$7+'1.설계입력'!$C$34)*SIN(B339+F339)+'1.설계입력'!$C$8*SIN('1.설계입력'!$C$15*B339)</f>
        <v>-72.599014573327736</v>
      </c>
      <c r="I339" s="40">
        <f t="shared" si="16"/>
        <v>78.632663622783411</v>
      </c>
      <c r="J339" s="40">
        <f t="shared" si="17"/>
        <v>78.62352588164066</v>
      </c>
      <c r="K339" s="38">
        <f>IF(OR(A339&gt;180,'1.설계입력'!$C$39&gt;=1),"",'1.설계입력'!$C$34*(1-SIN(B339)/SQRT(1+'1.설계입력'!$C$39^2-2*'1.설계입력'!$C$39*COS(B339)))-'1.설계입력'!$C$33*(1-'1.설계입력'!$C$39*COS(B339)-SQRT(MAX(0,1-'1.설계입력'!$C$39^2))*SIN(B339))/SQRT(1+'1.설계입력'!$C$39^2-2*'1.설계입력'!$C$39*COS(B339)))</f>
        <v>7.5609408277639665E-4</v>
      </c>
    </row>
    <row r="340" spans="1:11" x14ac:dyDescent="0.3">
      <c r="A340" s="40">
        <f>A339+'1.설계입력'!$C$12</f>
        <v>66.800000000000409</v>
      </c>
      <c r="B340" s="40">
        <f t="shared" si="15"/>
        <v>1.1658799403322193</v>
      </c>
      <c r="C340" s="40">
        <f>ATAN2('1.설계입력'!$C$6/('1.설계입력'!$C$8*'1.설계입력'!$C$15)-COS((1-'1.설계입력'!$C$15)*B340),SIN((1-'1.설계입력'!$C$15)*B340))</f>
        <v>-0.66036906277920282</v>
      </c>
      <c r="D340" s="40">
        <f>'1.설계입력'!$C$6*COS(B340)-'1.설계입력'!$C$7*COS(B340+C340)-'1.설계입력'!$C$8*COS('1.설계입력'!$C$15*B340)</f>
        <v>30.127949200277051</v>
      </c>
      <c r="E340" s="40">
        <f>-'1.설계입력'!$C$6*SIN(B340)+'1.설계입력'!$C$7*SIN(B340+C340)+'1.설계입력'!$C$8*SIN('1.설계입력'!$C$15*B340)</f>
        <v>-72.727872538100613</v>
      </c>
      <c r="F340" s="40">
        <f>ATAN2(('1.설계입력'!$C$6+'1.설계입력'!$C$33)/('1.설계입력'!$C$8*'1.설계입력'!$C$15)-COS((1-'1.설계입력'!$C$15)*B340),SIN((1-'1.설계입력'!$C$15)*B340))</f>
        <v>-0.66038857229775449</v>
      </c>
      <c r="G340" s="40">
        <f>('1.설계입력'!$C$6+'1.설계입력'!$C$33)*COS(B340)-('1.설계입력'!$C$7+'1.설계입력'!$C$34)*COS(B340+F340)-'1.설계입력'!$C$8*COS('1.설계입력'!$C$15*B340)</f>
        <v>30.119603203941672</v>
      </c>
      <c r="H340" s="40">
        <f>-('1.설계입력'!$C$6+'1.설계입력'!$C$33)*SIN(B340)+('1.설계입력'!$C$7+'1.설계입력'!$C$34)*SIN(B340+F340)+'1.설계입력'!$C$8*SIN('1.설계입력'!$C$15*B340)</f>
        <v>-72.721169173492058</v>
      </c>
      <c r="I340" s="40">
        <f t="shared" si="16"/>
        <v>78.721259942487478</v>
      </c>
      <c r="J340" s="40">
        <f t="shared" si="17"/>
        <v>78.711872948892179</v>
      </c>
      <c r="K340" s="38">
        <f>IF(OR(A340&gt;180,'1.설계입력'!$C$39&gt;=1),"",'1.설계입력'!$C$34*(1-SIN(B340)/SQRT(1+'1.설계입력'!$C$39^2-2*'1.설계입력'!$C$39*COS(B340)))-'1.설계입력'!$C$33*(1-'1.설계입력'!$C$39*COS(B340)-SQRT(MAX(0,1-'1.설계입력'!$C$39^2))*SIN(B340))/SQRT(1+'1.설계입력'!$C$39^2-2*'1.설계입력'!$C$39*COS(B340)))</f>
        <v>7.6710905469851176E-4</v>
      </c>
    </row>
    <row r="341" spans="1:11" x14ac:dyDescent="0.3">
      <c r="A341" s="40">
        <f>A340+'1.설계입력'!$C$12</f>
        <v>67.000000000000412</v>
      </c>
      <c r="B341" s="40">
        <f t="shared" si="15"/>
        <v>1.169370598836208</v>
      </c>
      <c r="C341" s="40">
        <f>ATAN2('1.설계입력'!$C$6/('1.설계입력'!$C$8*'1.설계입력'!$C$15)-COS((1-'1.설계입력'!$C$15)*B341),SIN((1-'1.설계입력'!$C$15)*B341))</f>
        <v>-0.61324134615133119</v>
      </c>
      <c r="D341" s="40">
        <f>'1.설계입력'!$C$6*COS(B341)-'1.설계입력'!$C$7*COS(B341+C341)-'1.설계입력'!$C$8*COS('1.설계입력'!$C$15*B341)</f>
        <v>30.052272081865457</v>
      </c>
      <c r="E341" s="40">
        <f>-'1.설계입력'!$C$6*SIN(B341)+'1.설계입력'!$C$7*SIN(B341+C341)+'1.설계입력'!$C$8*SIN('1.설계입력'!$C$15*B341)</f>
        <v>-72.856756902627041</v>
      </c>
      <c r="F341" s="40">
        <f>ATAN2(('1.설계입력'!$C$6+'1.설계입력'!$C$33)/('1.설계입력'!$C$8*'1.설계입력'!$C$15)-COS((1-'1.설계입력'!$C$15)*B341),SIN((1-'1.설계입력'!$C$15)*B341))</f>
        <v>-0.61325848332816713</v>
      </c>
      <c r="G341" s="40">
        <f>('1.설계입력'!$C$6+'1.설계입력'!$C$33)*COS(B341)-('1.설계입력'!$C$7+'1.설계입력'!$C$34)*COS(B341+F341)-'1.설계입력'!$C$8*COS('1.설계입력'!$C$15*B341)</f>
        <v>30.044145186283917</v>
      </c>
      <c r="H341" s="40">
        <f>-('1.설계입력'!$C$6+'1.설계입력'!$C$33)*SIN(B341)+('1.설계입력'!$C$7+'1.설계입력'!$C$34)*SIN(B341+F341)+'1.설계입력'!$C$8*SIN('1.설계입력'!$C$15*B341)</f>
        <v>-72.849685662531755</v>
      </c>
      <c r="I341" s="40">
        <f t="shared" si="16"/>
        <v>78.811459088453404</v>
      </c>
      <c r="J341" s="40">
        <f t="shared" si="17"/>
        <v>78.801823336165214</v>
      </c>
      <c r="K341" s="38">
        <f>IF(OR(A341&gt;180,'1.설계입력'!$C$39&gt;=1),"",'1.설계입력'!$C$34*(1-SIN(B341)/SQRT(1+'1.설계입력'!$C$39^2-2*'1.설계입력'!$C$39*COS(B341)))-'1.설계입력'!$C$33*(1-'1.설계입력'!$C$39*COS(B341)-SQRT(MAX(0,1-'1.설계입력'!$C$39^2))*SIN(B341))/SQRT(1+'1.설계입력'!$C$39^2-2*'1.설계입력'!$C$39*COS(B341)))</f>
        <v>7.7818078008484303E-4</v>
      </c>
    </row>
    <row r="342" spans="1:11" x14ac:dyDescent="0.3">
      <c r="A342" s="40">
        <f>A341+'1.설계입력'!$C$12</f>
        <v>67.200000000000415</v>
      </c>
      <c r="B342" s="40">
        <f t="shared" si="15"/>
        <v>1.1728612573401966</v>
      </c>
      <c r="C342" s="40">
        <f>ATAN2('1.설계입력'!$C$6/('1.설계입력'!$C$8*'1.설계입력'!$C$15)-COS((1-'1.설계입력'!$C$15)*B342),SIN((1-'1.설계입력'!$C$15)*B342))</f>
        <v>-0.56367647495415918</v>
      </c>
      <c r="D342" s="40">
        <f>'1.설계입력'!$C$6*COS(B342)-'1.설계입력'!$C$7*COS(B342+C342)-'1.설계입력'!$C$8*COS('1.설계입력'!$C$15*B342)</f>
        <v>29.963040461864839</v>
      </c>
      <c r="E342" s="40">
        <f>-'1.설계입력'!$C$6*SIN(B342)+'1.설계입력'!$C$7*SIN(B342+C342)+'1.설계입력'!$C$8*SIN('1.설계입력'!$C$15*B342)</f>
        <v>-72.99211458077086</v>
      </c>
      <c r="F342" s="40">
        <f>ATAN2(('1.설계입력'!$C$6+'1.설계입력'!$C$33)/('1.설계입력'!$C$8*'1.설계입력'!$C$15)-COS((1-'1.설계입력'!$C$15)*B342),SIN((1-'1.설계입력'!$C$15)*B342))</f>
        <v>-0.56369149075705227</v>
      </c>
      <c r="G342" s="40">
        <f>('1.설계입력'!$C$6+'1.설계입력'!$C$33)*COS(B342)-('1.설계입력'!$C$7+'1.설계입력'!$C$34)*COS(B342+F342)-'1.설계입력'!$C$8*COS('1.설계입력'!$C$15*B342)</f>
        <v>29.955161796675355</v>
      </c>
      <c r="H342" s="40">
        <f>-('1.설계입력'!$C$6+'1.설계입력'!$C$33)*SIN(B342)+('1.설계입력'!$C$7+'1.설계입력'!$C$34)*SIN(B342+F342)+'1.설계입력'!$C$8*SIN('1.설계입력'!$C$15*B342)</f>
        <v>-72.984671351200234</v>
      </c>
      <c r="I342" s="40">
        <f t="shared" si="16"/>
        <v>78.902677931054612</v>
      </c>
      <c r="J342" s="40">
        <f t="shared" si="17"/>
        <v>78.892800498573422</v>
      </c>
      <c r="K342" s="38">
        <f>IF(OR(A342&gt;180,'1.설계입력'!$C$39&gt;=1),"",'1.설계입력'!$C$34*(1-SIN(B342)/SQRT(1+'1.설계입력'!$C$39^2-2*'1.설계입력'!$C$39*COS(B342)))-'1.설계입력'!$C$33*(1-'1.설계입력'!$C$39*COS(B342)-SQRT(MAX(0,1-'1.설계입력'!$C$39^2))*SIN(B342))/SQRT(1+'1.설계입력'!$C$39^2-2*'1.설계입력'!$C$39*COS(B342)))</f>
        <v>7.8930891214599552E-4</v>
      </c>
    </row>
    <row r="343" spans="1:11" x14ac:dyDescent="0.3">
      <c r="A343" s="40">
        <f>A342+'1.설계입력'!$C$12</f>
        <v>67.400000000000418</v>
      </c>
      <c r="B343" s="40">
        <f t="shared" si="15"/>
        <v>1.1763519158441853</v>
      </c>
      <c r="C343" s="40">
        <f>ATAN2('1.설계입력'!$C$6/('1.설계입력'!$C$8*'1.설계입력'!$C$15)-COS((1-'1.설계입력'!$C$15)*B343),SIN((1-'1.설계입력'!$C$15)*B343))</f>
        <v>-0.51221089029010403</v>
      </c>
      <c r="D343" s="40">
        <f>'1.설계입력'!$C$6*COS(B343)-'1.설계입력'!$C$7*COS(B343+C343)-'1.설계입력'!$C$8*COS('1.설계입력'!$C$15*B343)</f>
        <v>29.858776402366324</v>
      </c>
      <c r="E343" s="40">
        <f>-'1.설계입력'!$C$6*SIN(B343)+'1.설계입력'!$C$7*SIN(B343+C343)+'1.설계입력'!$C$8*SIN('1.설계입력'!$C$15*B343)</f>
        <v>-73.1330712376202</v>
      </c>
      <c r="F343" s="40">
        <f>ATAN2(('1.설계입력'!$C$6+'1.설계입력'!$C$33)/('1.설계입력'!$C$8*'1.설계입력'!$C$15)-COS((1-'1.설계입력'!$C$15)*B343),SIN((1-'1.설계입력'!$C$15)*B343))</f>
        <v>-0.51222398505328426</v>
      </c>
      <c r="G343" s="40">
        <f>('1.설계입력'!$C$6+'1.설계입력'!$C$33)*COS(B343)-('1.설계입력'!$C$7+'1.설계입력'!$C$34)*COS(B343+F343)-'1.설계입력'!$C$8*COS('1.설계입력'!$C$15*B343)</f>
        <v>29.85117441928714</v>
      </c>
      <c r="H343" s="40">
        <f>-('1.설계입력'!$C$6+'1.설계입력'!$C$33)*SIN(B343)+('1.설계입력'!$C$7+'1.설계입력'!$C$34)*SIN(B343+F343)+'1.설계입력'!$C$8*SIN('1.설계입력'!$C$15*B343)</f>
        <v>-73.125257913378519</v>
      </c>
      <c r="I343" s="40">
        <f t="shared" si="16"/>
        <v>78.993624026837381</v>
      </c>
      <c r="J343" s="40">
        <f t="shared" si="17"/>
        <v>78.983517008986311</v>
      </c>
      <c r="K343" s="38">
        <f>IF(OR(A343&gt;180,'1.설계입력'!$C$39&gt;=1),"",'1.설계입력'!$C$34*(1-SIN(B343)/SQRT(1+'1.설계입력'!$C$39^2-2*'1.설계입력'!$C$39*COS(B343)))-'1.설계입력'!$C$33*(1-'1.설계입력'!$C$39*COS(B343)-SQRT(MAX(0,1-'1.설계입력'!$C$39^2))*SIN(B343))/SQRT(1+'1.설계입력'!$C$39^2-2*'1.설계입력'!$C$39*COS(B343)))</f>
        <v>8.0049310771394713E-4</v>
      </c>
    </row>
    <row r="344" spans="1:11" x14ac:dyDescent="0.3">
      <c r="A344" s="40">
        <f>A343+'1.설계입력'!$C$12</f>
        <v>67.600000000000421</v>
      </c>
      <c r="B344" s="40">
        <f t="shared" si="15"/>
        <v>1.1798425743481742</v>
      </c>
      <c r="C344" s="40">
        <f>ATAN2('1.설계입력'!$C$6/('1.설계입력'!$C$8*'1.설계입력'!$C$15)-COS((1-'1.설계입력'!$C$15)*B344),SIN((1-'1.설계입력'!$C$15)*B344))</f>
        <v>-0.45924813815067606</v>
      </c>
      <c r="D344" s="40">
        <f>'1.설계입력'!$C$6*COS(B344)-'1.설계입력'!$C$7*COS(B344+C344)-'1.설계입력'!$C$8*COS('1.설계입력'!$C$15*B344)</f>
        <v>29.738462399231786</v>
      </c>
      <c r="E344" s="40">
        <f>-'1.설계입력'!$C$6*SIN(B344)+'1.설계입력'!$C$7*SIN(B344+C344)+'1.설계입력'!$C$8*SIN('1.설계입력'!$C$15*B344)</f>
        <v>-73.278083642883303</v>
      </c>
      <c r="F344" s="40">
        <f>ATAN2(('1.설계입력'!$C$6+'1.설계입력'!$C$33)/('1.설계입력'!$C$8*'1.설계입력'!$C$15)-COS((1-'1.설계입력'!$C$15)*B344),SIN((1-'1.설계입력'!$C$15)*B344))</f>
        <v>-0.45925947251518406</v>
      </c>
      <c r="G344" s="40">
        <f>('1.설계입력'!$C$6+'1.설계입력'!$C$33)*COS(B344)-('1.설계입력'!$C$7+'1.설계입력'!$C$34)*COS(B344+F344)-'1.설계입력'!$C$8*COS('1.설계입력'!$C$15*B344)</f>
        <v>29.731164655162392</v>
      </c>
      <c r="H344" s="40">
        <f>-('1.설계입력'!$C$6+'1.설계입력'!$C$33)*SIN(B344)+('1.설계입력'!$C$7+'1.설계입력'!$C$34)*SIN(B344+F344)+'1.설계입력'!$C$8*SIN('1.설계입력'!$C$15*B344)</f>
        <v>-73.269907051725653</v>
      </c>
      <c r="I344" s="40">
        <f t="shared" si="16"/>
        <v>79.082575124005189</v>
      </c>
      <c r="J344" s="40">
        <f t="shared" si="17"/>
        <v>79.072254496257372</v>
      </c>
      <c r="K344" s="38">
        <f>IF(OR(A344&gt;180,'1.설계입력'!$C$39&gt;=1),"",'1.설계입력'!$C$34*(1-SIN(B344)/SQRT(1+'1.설계입력'!$C$39^2-2*'1.설계입력'!$C$39*COS(B344)))-'1.설계입력'!$C$33*(1-'1.설계입력'!$C$39*COS(B344)-SQRT(MAX(0,1-'1.설계입력'!$C$39^2))*SIN(B344))/SQRT(1+'1.설계입력'!$C$39^2-2*'1.설계입력'!$C$39*COS(B344)))</f>
        <v>8.1173302718778959E-4</v>
      </c>
    </row>
    <row r="345" spans="1:11" x14ac:dyDescent="0.3">
      <c r="A345" s="40">
        <f>A344+'1.설계입력'!$C$12</f>
        <v>67.800000000000423</v>
      </c>
      <c r="B345" s="40">
        <f t="shared" si="15"/>
        <v>1.1833332328521629</v>
      </c>
      <c r="C345" s="40">
        <f>ATAN2('1.설계입력'!$C$6/('1.설계입력'!$C$8*'1.설계입력'!$C$15)-COS((1-'1.설계입력'!$C$15)*B345),SIN((1-'1.설계입력'!$C$15)*B345))</f>
        <v>-0.40509913106642731</v>
      </c>
      <c r="D345" s="40">
        <f>'1.설계입력'!$C$6*COS(B345)-'1.설계입력'!$C$7*COS(B345+C345)-'1.설계입력'!$C$8*COS('1.설계입력'!$C$15*B345)</f>
        <v>29.601548525084567</v>
      </c>
      <c r="E345" s="40">
        <f>-'1.설계입력'!$C$6*SIN(B345)+'1.설계입력'!$C$7*SIN(B345+C345)+'1.설계입력'!$C$8*SIN('1.설계입력'!$C$15*B345)</f>
        <v>-73.425163801231449</v>
      </c>
      <c r="F345" s="40">
        <f>ATAN2(('1.설계입력'!$C$6+'1.설계입력'!$C$33)/('1.설계입력'!$C$8*'1.설계입력'!$C$15)-COS((1-'1.설계입력'!$C$15)*B345),SIN((1-'1.설계입력'!$C$15)*B345))</f>
        <v>-0.40510883408968801</v>
      </c>
      <c r="G345" s="40">
        <f>('1.설계입력'!$C$6+'1.설계입력'!$C$33)*COS(B345)-('1.설계입력'!$C$7+'1.설계입력'!$C$34)*COS(B345+F345)-'1.설계입력'!$C$8*COS('1.설계입력'!$C$15*B345)</f>
        <v>29.594581466400545</v>
      </c>
      <c r="H345" s="40">
        <f>-('1.설계입력'!$C$6+'1.설계입력'!$C$33)*SIN(B345)+('1.설계입력'!$C$7+'1.설계입력'!$C$34)*SIN(B345+F345)+'1.설계입력'!$C$8*SIN('1.설계입력'!$C$15*B345)</f>
        <v>-73.416634913052178</v>
      </c>
      <c r="I345" s="40">
        <f t="shared" si="16"/>
        <v>79.167583986885731</v>
      </c>
      <c r="J345" s="40">
        <f t="shared" si="17"/>
        <v>79.157068756541321</v>
      </c>
      <c r="K345" s="38">
        <f>IF(OR(A345&gt;180,'1.설계입력'!$C$39&gt;=1),"",'1.설계입력'!$C$34*(1-SIN(B345)/SQRT(1+'1.설계입력'!$C$39^2-2*'1.설계입력'!$C$39*COS(B345)))-'1.설계입력'!$C$33*(1-'1.설계입력'!$C$39*COS(B345)-SQRT(MAX(0,1-'1.설계입력'!$C$39^2))*SIN(B345))/SQRT(1+'1.설계입력'!$C$39^2-2*'1.설계입력'!$C$39*COS(B345)))</f>
        <v>8.2302833448038518E-4</v>
      </c>
    </row>
    <row r="346" spans="1:11" x14ac:dyDescent="0.3">
      <c r="A346" s="40">
        <f>A345+'1.설계입력'!$C$12</f>
        <v>68.000000000000426</v>
      </c>
      <c r="B346" s="40">
        <f t="shared" si="15"/>
        <v>1.1868238913561515</v>
      </c>
      <c r="C346" s="40">
        <f>ATAN2('1.설계입력'!$C$6/('1.설계입력'!$C$8*'1.설계입력'!$C$15)-COS((1-'1.설계입력'!$C$15)*B346),SIN((1-'1.설계입력'!$C$15)*B346))</f>
        <v>-0.35000902060102951</v>
      </c>
      <c r="D346" s="40">
        <f>'1.설계입력'!$C$6*COS(B346)-'1.설계입력'!$C$7*COS(B346+C346)-'1.설계입력'!$C$8*COS('1.설계입력'!$C$15*B346)</f>
        <v>29.447954708519049</v>
      </c>
      <c r="E346" s="40">
        <f>-'1.설계입력'!$C$6*SIN(B346)+'1.설계입력'!$C$7*SIN(B346+C346)+'1.설계입력'!$C$8*SIN('1.설계입력'!$C$15*B346)</f>
        <v>-73.572052725537574</v>
      </c>
      <c r="F346" s="40">
        <f>ATAN2(('1.설계입력'!$C$6+'1.설계입력'!$C$33)/('1.설계입력'!$C$8*'1.설계입력'!$C$15)-COS((1-'1.설계입력'!$C$15)*B346),SIN((1-'1.설계입력'!$C$15)*B346))</f>
        <v>-0.35001719578608131</v>
      </c>
      <c r="G346" s="40">
        <f>('1.설계입력'!$C$6+'1.설계입력'!$C$33)*COS(B346)-('1.설계입력'!$C$7+'1.설계입력'!$C$34)*COS(B346+F346)-'1.설계입력'!$C$8*COS('1.설계입력'!$C$15*B346)</f>
        <v>29.441343465375581</v>
      </c>
      <c r="H346" s="40">
        <f>-('1.설계입력'!$C$6+'1.설계입력'!$C$33)*SIN(B346)+('1.설계입력'!$C$7+'1.설계입력'!$C$34)*SIN(B346+F346)+'1.설계입력'!$C$8*SIN('1.설계입력'!$C$15*B346)</f>
        <v>-73.563186045553195</v>
      </c>
      <c r="I346" s="40">
        <f t="shared" si="16"/>
        <v>79.246633863933113</v>
      </c>
      <c r="J346" s="40">
        <f t="shared" si="17"/>
        <v>79.235945417587374</v>
      </c>
      <c r="K346" s="38">
        <f>IF(OR(A346&gt;180,'1.설계입력'!$C$39&gt;=1),"",'1.설계입력'!$C$34*(1-SIN(B346)/SQRT(1+'1.설계입력'!$C$39^2-2*'1.설계입력'!$C$39*COS(B346)))-'1.설계입력'!$C$33*(1-'1.설계입력'!$C$39*COS(B346)-SQRT(MAX(0,1-'1.설계입력'!$C$39^2))*SIN(B346))/SQRT(1+'1.설계입력'!$C$39^2-2*'1.설계입력'!$C$39*COS(B346)))</f>
        <v>8.343786969659474E-4</v>
      </c>
    </row>
    <row r="347" spans="1:11" x14ac:dyDescent="0.3">
      <c r="A347" s="40">
        <f>A346+'1.설계입력'!$C$12</f>
        <v>68.200000000000429</v>
      </c>
      <c r="B347" s="40">
        <f t="shared" si="15"/>
        <v>1.1903145498601402</v>
      </c>
      <c r="C347" s="40">
        <f>ATAN2('1.설계입력'!$C$6/('1.설계입력'!$C$8*'1.설계입력'!$C$15)-COS((1-'1.설계입력'!$C$15)*B347),SIN((1-'1.설계입력'!$C$15)*B347))</f>
        <v>-0.29417563771134436</v>
      </c>
      <c r="D347" s="40">
        <f>'1.설계입력'!$C$6*COS(B347)-'1.설계입력'!$C$7*COS(B347+C347)-'1.설계입력'!$C$8*COS('1.설계입력'!$C$15*B347)</f>
        <v>29.278064619225528</v>
      </c>
      <c r="E347" s="40">
        <f>-'1.설계입력'!$C$6*SIN(B347)+'1.설계입력'!$C$7*SIN(B347+C347)+'1.설계입력'!$C$8*SIN('1.설계입력'!$C$15*B347)</f>
        <v>-73.716361204482624</v>
      </c>
      <c r="F347" s="40">
        <f>ATAN2(('1.설계입력'!$C$6+'1.설계입력'!$C$33)/('1.설계입력'!$C$8*'1.설계입력'!$C$15)-COS((1-'1.설계입력'!$C$15)*B347),SIN((1-'1.설계입력'!$C$15)*B347))</f>
        <v>-0.29418236750167437</v>
      </c>
      <c r="G347" s="40">
        <f>('1.설계입력'!$C$6+'1.설계입력'!$C$33)*COS(B347)-('1.설계입력'!$C$7+'1.설계입력'!$C$34)*COS(B347+F347)-'1.설계입력'!$C$8*COS('1.설계입력'!$C$15*B347)</f>
        <v>29.271832813132502</v>
      </c>
      <c r="H347" s="40">
        <f>-('1.설계입력'!$C$6+'1.설계입력'!$C$33)*SIN(B347)+('1.설계입력'!$C$7+'1.설계입력'!$C$34)*SIN(B347+F347)+'1.설계입력'!$C$8*SIN('1.설계입력'!$C$15*B347)</f>
        <v>-73.707174287064021</v>
      </c>
      <c r="I347" s="40">
        <f t="shared" si="16"/>
        <v>79.31775953137668</v>
      </c>
      <c r="J347" s="40">
        <f t="shared" si="17"/>
        <v>79.30692112056559</v>
      </c>
      <c r="K347" s="38">
        <f>IF(OR(A347&gt;180,'1.설계입력'!$C$39&gt;=1),"",'1.설계입력'!$C$34*(1-SIN(B347)/SQRT(1+'1.설계입력'!$C$39^2-2*'1.설계입력'!$C$39*COS(B347)))-'1.설계입력'!$C$33*(1-'1.설계입력'!$C$39*COS(B347)-SQRT(MAX(0,1-'1.설계입력'!$C$39^2))*SIN(B347))/SQRT(1+'1.설계입력'!$C$39^2-2*'1.설계입력'!$C$39*COS(B347)))</f>
        <v>8.4578378542848832E-4</v>
      </c>
    </row>
    <row r="348" spans="1:11" x14ac:dyDescent="0.3">
      <c r="A348" s="40">
        <f>A347+'1.설계입력'!$C$12</f>
        <v>68.400000000000432</v>
      </c>
      <c r="B348" s="40">
        <f t="shared" si="15"/>
        <v>1.1938052083641288</v>
      </c>
      <c r="C348" s="40">
        <f>ATAN2('1.설계입력'!$C$6/('1.설계입력'!$C$8*'1.설계입력'!$C$15)-COS((1-'1.설계입력'!$C$15)*B348),SIN((1-'1.설계입력'!$C$15)*B348))</f>
        <v>-0.23776249646115169</v>
      </c>
      <c r="D348" s="40">
        <f>'1.설계입력'!$C$6*COS(B348)-'1.설계입력'!$C$7*COS(B348+C348)-'1.설계입력'!$C$8*COS('1.설계입력'!$C$15*B348)</f>
        <v>29.092709755860675</v>
      </c>
      <c r="E348" s="40">
        <f>-'1.설계입력'!$C$6*SIN(B348)+'1.설계입력'!$C$7*SIN(B348+C348)+'1.설계입력'!$C$8*SIN('1.설계입력'!$C$15*B348)</f>
        <v>-73.855687416892351</v>
      </c>
      <c r="F348" s="40">
        <f>ATAN2(('1.설계입력'!$C$6+'1.설계입력'!$C$33)/('1.설계입력'!$C$8*'1.설계입력'!$C$15)-COS((1-'1.설계입력'!$C$15)*B348),SIN((1-'1.설계입력'!$C$15)*B348))</f>
        <v>-0.23776784559084901</v>
      </c>
      <c r="G348" s="40">
        <f>('1.설계입력'!$C$6+'1.설계입력'!$C$33)*COS(B348)-('1.설계입력'!$C$7+'1.설계입력'!$C$34)*COS(B348+F348)-'1.설계입력'!$C$8*COS('1.설계입력'!$C$15*B348)</f>
        <v>29.086879321397589</v>
      </c>
      <c r="H348" s="40">
        <f>-('1.설계입력'!$C$6+'1.설계입력'!$C$33)*SIN(B348)+('1.설계입력'!$C$7+'1.설계입력'!$C$34)*SIN(B348+F348)+'1.설계입력'!$C$8*SIN('1.설계입력'!$C$15*B348)</f>
        <v>-73.846200459253907</v>
      </c>
      <c r="I348" s="40">
        <f t="shared" si="16"/>
        <v>79.379142882500702</v>
      </c>
      <c r="J348" s="40">
        <f t="shared" si="17"/>
        <v>79.368179208835699</v>
      </c>
      <c r="K348" s="38">
        <f>IF(OR(A348&gt;180,'1.설계입력'!$C$39&gt;=1),"",'1.설계입력'!$C$34*(1-SIN(B348)/SQRT(1+'1.설계입력'!$C$39^2-2*'1.설계입력'!$C$39*COS(B348)))-'1.설계입력'!$C$33*(1-'1.설계입력'!$C$39*COS(B348)-SQRT(MAX(0,1-'1.설계입력'!$C$39^2))*SIN(B348))/SQRT(1+'1.설계입력'!$C$39^2-2*'1.설계입력'!$C$39*COS(B348)))</f>
        <v>8.572432740111297E-4</v>
      </c>
    </row>
    <row r="349" spans="1:11" x14ac:dyDescent="0.3">
      <c r="A349" s="40">
        <f>A348+'1.설계입력'!$C$12</f>
        <v>68.600000000000435</v>
      </c>
      <c r="B349" s="40">
        <f t="shared" si="15"/>
        <v>1.1972958668681177</v>
      </c>
      <c r="C349" s="40">
        <f>ATAN2('1.설계입력'!$C$6/('1.설계입력'!$C$8*'1.설계입력'!$C$15)-COS((1-'1.설계입력'!$C$15)*B349),SIN((1-'1.설계입력'!$C$15)*B349))</f>
        <v>-0.18090822721610711</v>
      </c>
      <c r="D349" s="40">
        <f>'1.설계입력'!$C$6*COS(B349)-'1.설계입력'!$C$7*COS(B349+C349)-'1.설계입력'!$C$8*COS('1.설계입력'!$C$15*B349)</f>
        <v>28.893143411984315</v>
      </c>
      <c r="E349" s="40">
        <f>-'1.설계입력'!$C$6*SIN(B349)+'1.설계입력'!$C$7*SIN(B349+C349)+'1.설계입력'!$C$8*SIN('1.설계입력'!$C$15*B349)</f>
        <v>-73.987716936353024</v>
      </c>
      <c r="F349" s="40">
        <f>ATAN2(('1.설계입력'!$C$6+'1.설계입력'!$C$33)/('1.설계입력'!$C$8*'1.설계입력'!$C$15)-COS((1-'1.설계입력'!$C$15)*B349),SIN((1-'1.설계입력'!$C$15)*B349))</f>
        <v>-0.18091224519115179</v>
      </c>
      <c r="G349" s="40">
        <f>('1.설계입력'!$C$6+'1.설계입력'!$C$33)*COS(B349)-('1.설계입력'!$C$7+'1.설계입력'!$C$34)*COS(B349+F349)-'1.설계입력'!$C$8*COS('1.설계입력'!$C$15*B349)</f>
        <v>28.887734432505258</v>
      </c>
      <c r="H349" s="40">
        <f>-('1.설계입력'!$C$6+'1.설계입력'!$C$33)*SIN(B349)+('1.설계입력'!$C$7+'1.설계입력'!$C$34)*SIN(B349+F349)+'1.설계입력'!$C$8*SIN('1.설계입력'!$C$15*B349)</f>
        <v>-73.977952425158151</v>
      </c>
      <c r="I349" s="40">
        <f t="shared" si="16"/>
        <v>79.429188549798198</v>
      </c>
      <c r="J349" s="40">
        <f t="shared" si="17"/>
        <v>79.418125422739067</v>
      </c>
      <c r="K349" s="38">
        <f>IF(OR(A349&gt;180,'1.설계입력'!$C$39&gt;=1),"",'1.설계입력'!$C$34*(1-SIN(B349)/SQRT(1+'1.설계입력'!$C$39^2-2*'1.설계입력'!$C$39*COS(B349)))-'1.설계입력'!$C$33*(1-'1.설계입력'!$C$39*COS(B349)-SQRT(MAX(0,1-'1.설계입력'!$C$39^2))*SIN(B349))/SQRT(1+'1.설계입력'!$C$39^2-2*'1.설계입력'!$C$39*COS(B349)))</f>
        <v>8.6875684016628424E-4</v>
      </c>
    </row>
    <row r="350" spans="1:11" x14ac:dyDescent="0.3">
      <c r="A350" s="40">
        <f>A349+'1.설계입력'!$C$12</f>
        <v>68.800000000000438</v>
      </c>
      <c r="B350" s="40">
        <f t="shared" si="15"/>
        <v>1.2007865253721064</v>
      </c>
      <c r="C350" s="40">
        <f>ATAN2('1.설계입력'!$C$6/('1.설계입력'!$C$8*'1.설계입력'!$C$15)-COS((1-'1.설계입력'!$C$15)*B350),SIN((1-'1.설계입력'!$C$15)*B350))</f>
        <v>-0.12373363783080348</v>
      </c>
      <c r="D350" s="40">
        <f>'1.설계입력'!$C$6*COS(B350)-'1.설계입력'!$C$7*COS(B350+C350)-'1.설계입력'!$C$8*COS('1.설계입력'!$C$15*B350)</f>
        <v>28.681004790124181</v>
      </c>
      <c r="E350" s="40">
        <f>-'1.설계입력'!$C$6*SIN(B350)+'1.설계입력'!$C$7*SIN(B350+C350)+'1.설계입력'!$C$8*SIN('1.설계입력'!$C$15*B350)</f>
        <v>-74.110308145704806</v>
      </c>
      <c r="F350" s="40">
        <f>ATAN2(('1.설계입력'!$C$6+'1.설계입력'!$C$33)/('1.설계입력'!$C$8*'1.설계입력'!$C$15)-COS((1-'1.설계입력'!$C$15)*B350),SIN((1-'1.설계입력'!$C$15)*B350))</f>
        <v>-0.12373636073529504</v>
      </c>
      <c r="G350" s="40">
        <f>('1.설계입력'!$C$6+'1.설계입력'!$C$33)*COS(B350)-('1.설계입력'!$C$7+'1.설계입력'!$C$34)*COS(B350+F350)-'1.설계입력'!$C$8*COS('1.설계입력'!$C$15*B350)</f>
        <v>28.676035346872496</v>
      </c>
      <c r="H350" s="40">
        <f>-('1.설계입력'!$C$6+'1.설계입력'!$C$33)*SIN(B350)+('1.설계입력'!$C$7+'1.설계입력'!$C$34)*SIN(B350+F350)+'1.설계입력'!$C$8*SIN('1.설계입력'!$C$15*B350)</f>
        <v>-74.100290538341881</v>
      </c>
      <c r="I350" s="40">
        <f t="shared" si="16"/>
        <v>79.466582971853313</v>
      </c>
      <c r="J350" s="40">
        <f t="shared" si="17"/>
        <v>79.455447019582991</v>
      </c>
      <c r="K350" s="38">
        <f>IF(OR(A350&gt;180,'1.설계입력'!$C$39&gt;=1),"",'1.설계입력'!$C$34*(1-SIN(B350)/SQRT(1+'1.설계입력'!$C$39^2-2*'1.설계입력'!$C$39*COS(B350)))-'1.설계입력'!$C$33*(1-'1.설계입력'!$C$39*COS(B350)-SQRT(MAX(0,1-'1.설계입력'!$C$39^2))*SIN(B350))/SQRT(1+'1.설계입력'!$C$39^2-2*'1.설계입력'!$C$39*COS(B350)))</f>
        <v>8.8032416460665137E-4</v>
      </c>
    </row>
    <row r="351" spans="1:11" x14ac:dyDescent="0.3">
      <c r="A351" s="40">
        <f>A350+'1.설계입력'!$C$12</f>
        <v>69.000000000000441</v>
      </c>
      <c r="B351" s="40">
        <f t="shared" si="15"/>
        <v>1.2042771838760951</v>
      </c>
      <c r="C351" s="40">
        <f>ATAN2('1.설계입력'!$C$6/('1.설계입력'!$C$8*'1.설계입력'!$C$15)-COS((1-'1.설계입력'!$C$15)*B351),SIN((1-'1.설계입력'!$C$15)*B351))</f>
        <v>-6.6347198376041153E-2</v>
      </c>
      <c r="D351" s="40">
        <f>'1.설계입력'!$C$6*COS(B351)-'1.설계입력'!$C$7*COS(B351+C351)-'1.설계입력'!$C$8*COS('1.설계입력'!$C$15*B351)</f>
        <v>28.458273892955066</v>
      </c>
      <c r="E351" s="40">
        <f>-'1.설계입력'!$C$6*SIN(B351)+'1.설계입력'!$C$7*SIN(B351+C351)+'1.설계입력'!$C$8*SIN('1.설계입력'!$C$15*B351)</f>
        <v>-74.221564585141579</v>
      </c>
      <c r="F351" s="40">
        <f>ATAN2(('1.설계입력'!$C$6+'1.설계입력'!$C$33)/('1.설계입력'!$C$8*'1.설계입력'!$C$15)-COS((1-'1.설계입력'!$C$15)*B351),SIN((1-'1.설계입력'!$C$15)*B351))</f>
        <v>-6.6348650137716209E-2</v>
      </c>
      <c r="G351" s="40">
        <f>('1.설계입력'!$C$6+'1.설계입력'!$C$33)*COS(B351)-('1.설계입력'!$C$7+'1.설계입력'!$C$34)*COS(B351+F351)-'1.설계입력'!$C$8*COS('1.설계입력'!$C$15*B351)</f>
        <v>28.45375992680373</v>
      </c>
      <c r="H351" s="40">
        <f>-('1.설계입력'!$C$6+'1.설계입력'!$C$33)*SIN(B351)+('1.설계입력'!$C$7+'1.설계입력'!$C$34)*SIN(B351+F351)+'1.설계입력'!$C$8*SIN('1.설계입력'!$C$15*B351)</f>
        <v>-74.211320012965004</v>
      </c>
      <c r="I351" s="40">
        <f t="shared" si="16"/>
        <v>79.490339050936186</v>
      </c>
      <c r="J351" s="40">
        <f t="shared" si="17"/>
        <v>79.479157469357219</v>
      </c>
      <c r="K351" s="38">
        <f>IF(OR(A351&gt;180,'1.설계입력'!$C$39&gt;=1),"",'1.설계입력'!$C$34*(1-SIN(B351)/SQRT(1+'1.설계입력'!$C$39^2-2*'1.설계입력'!$C$39*COS(B351)))-'1.설계입력'!$C$33*(1-'1.설계입력'!$C$39*COS(B351)-SQRT(MAX(0,1-'1.설계입력'!$C$39^2))*SIN(B351))/SQRT(1+'1.설계입력'!$C$39^2-2*'1.설계입력'!$C$39*COS(B351)))</f>
        <v>8.9194493125705691E-4</v>
      </c>
    </row>
    <row r="352" spans="1:11" x14ac:dyDescent="0.3">
      <c r="A352" s="40">
        <f>A351+'1.설계입력'!$C$12</f>
        <v>69.200000000000443</v>
      </c>
      <c r="B352" s="40">
        <f t="shared" si="15"/>
        <v>1.2077678423800837</v>
      </c>
      <c r="C352" s="40">
        <f>ATAN2('1.설계입력'!$C$6/('1.설계입력'!$C$8*'1.설계입력'!$C$15)-COS((1-'1.설계입력'!$C$15)*B352),SIN((1-'1.설계입력'!$C$15)*B352))</f>
        <v>-8.8494988855923398E-3</v>
      </c>
      <c r="D352" s="40">
        <f>'1.설계입력'!$C$6*COS(B352)-'1.설계입력'!$C$7*COS(B352+C352)-'1.설계입력'!$C$8*COS('1.설계입력'!$C$15*B352)</f>
        <v>28.227218053809992</v>
      </c>
      <c r="E352" s="40">
        <f>-'1.설계입력'!$C$6*SIN(B352)+'1.설계입력'!$C$7*SIN(B352+C352)+'1.설계입력'!$C$8*SIN('1.설계입력'!$C$15*B352)</f>
        <v>-74.319894869574398</v>
      </c>
      <c r="F352" s="40">
        <f>ATAN2(('1.설계입력'!$C$6+'1.설계입력'!$C$33)/('1.설계입력'!$C$8*'1.설계입력'!$C$15)-COS((1-'1.설계입력'!$C$15)*B352),SIN((1-'1.설계입력'!$C$15)*B352))</f>
        <v>-8.8496920909132519E-3</v>
      </c>
      <c r="G352" s="40">
        <f>('1.설계입력'!$C$6+'1.설계입력'!$C$33)*COS(B352)-('1.설계입력'!$C$7+'1.설계입력'!$C$34)*COS(B352+F352)-'1.설계입력'!$C$8*COS('1.설계입력'!$C$15*B352)</f>
        <v>28.223173238695836</v>
      </c>
      <c r="H352" s="40">
        <f>-('1.설계입력'!$C$6+'1.설계입력'!$C$33)*SIN(B352)+('1.설계입력'!$C$7+'1.설계입력'!$C$34)*SIN(B352+F352)+'1.설계입력'!$C$8*SIN('1.설계입력'!$C$15*B352)</f>
        <v>-74.309450853950111</v>
      </c>
      <c r="I352" s="40">
        <f t="shared" si="16"/>
        <v>79.499827751272065</v>
      </c>
      <c r="J352" s="40">
        <f t="shared" si="17"/>
        <v>79.488628078971544</v>
      </c>
      <c r="K352" s="38">
        <f>IF(OR(A352&gt;180,'1.설계입력'!$C$39&gt;=1),"",'1.설계입력'!$C$34*(1-SIN(B352)/SQRT(1+'1.설계입력'!$C$39^2-2*'1.설계입력'!$C$39*COS(B352)))-'1.설계입력'!$C$33*(1-'1.설계입력'!$C$39*COS(B352)-SQRT(MAX(0,1-'1.설계입력'!$C$39^2))*SIN(B352))/SQRT(1+'1.설계입력'!$C$39^2-2*'1.설계입력'!$C$39*COS(B352)))</f>
        <v>9.0361882720707077E-4</v>
      </c>
    </row>
    <row r="353" spans="1:11" x14ac:dyDescent="0.3">
      <c r="A353" s="40">
        <f>A352+'1.설계입력'!$C$12</f>
        <v>69.400000000000446</v>
      </c>
      <c r="B353" s="40">
        <f t="shared" si="15"/>
        <v>1.2112585008840724</v>
      </c>
      <c r="C353" s="40">
        <f>ATAN2('1.설계입력'!$C$6/('1.설계입력'!$C$8*'1.설계입력'!$C$15)-COS((1-'1.설계입력'!$C$15)*B353),SIN((1-'1.설계입력'!$C$15)*B353))</f>
        <v>4.8662919702450042E-2</v>
      </c>
      <c r="D353" s="40">
        <f>'1.설계입력'!$C$6*COS(B353)-'1.설계입력'!$C$7*COS(B353+C353)-'1.설계입력'!$C$8*COS('1.설계입력'!$C$15*B353)</f>
        <v>27.990331124045348</v>
      </c>
      <c r="E353" s="40">
        <f>-'1.설계입력'!$C$6*SIN(B353)+'1.설계입력'!$C$7*SIN(B353+C353)+'1.설계입력'!$C$8*SIN('1.설계입력'!$C$15*B353)</f>
        <v>-74.404060289058918</v>
      </c>
      <c r="F353" s="40">
        <f>ATAN2(('1.설계입력'!$C$6+'1.설계입력'!$C$33)/('1.설계입력'!$C$8*'1.설계입력'!$C$15)-COS((1-'1.설계입력'!$C$15)*B353),SIN((1-'1.설계입력'!$C$15)*B353))</f>
        <v>4.8663983387329968E-2</v>
      </c>
      <c r="G353" s="40">
        <f>('1.설계입력'!$C$6+'1.설계입력'!$C$33)*COS(B353)-('1.설계입력'!$C$7+'1.설계입력'!$C$34)*COS(B353+F353)-'1.설계입력'!$C$8*COS('1.설계입력'!$C$15*B353)</f>
        <v>27.986766750983698</v>
      </c>
      <c r="H353" s="40">
        <f>-('1.설계입력'!$C$6+'1.설계입력'!$C$33)*SIN(B353)+('1.설계입력'!$C$7+'1.설계입력'!$C$34)*SIN(B353+F353)+'1.설계입력'!$C$8*SIN('1.설계입력'!$C$15*B353)</f>
        <v>-74.393445463282504</v>
      </c>
      <c r="I353" s="40">
        <f t="shared" si="16"/>
        <v>79.494797464561259</v>
      </c>
      <c r="J353" s="40">
        <f t="shared" si="17"/>
        <v>79.483607373296508</v>
      </c>
      <c r="K353" s="38">
        <f>IF(OR(A353&gt;180,'1.설계입력'!$C$39&gt;=1),"",'1.설계입력'!$C$34*(1-SIN(B353)/SQRT(1+'1.설계입력'!$C$39^2-2*'1.설계입력'!$C$39*COS(B353)))-'1.설계입력'!$C$33*(1-'1.설계입력'!$C$39*COS(B353)-SQRT(MAX(0,1-'1.설계입력'!$C$39^2))*SIN(B353))/SQRT(1+'1.설계입력'!$C$39^2-2*'1.설계입력'!$C$39*COS(B353)))</f>
        <v>9.1534554266444563E-4</v>
      </c>
    </row>
    <row r="354" spans="1:11" x14ac:dyDescent="0.3">
      <c r="A354" s="40">
        <f>A353+'1.설계입력'!$C$12</f>
        <v>69.600000000000449</v>
      </c>
      <c r="B354" s="40">
        <f t="shared" si="15"/>
        <v>1.2147491593880613</v>
      </c>
      <c r="C354" s="40">
        <f>ATAN2('1.설계입력'!$C$6/('1.설계입력'!$C$8*'1.설계입력'!$C$15)-COS((1-'1.설계입력'!$C$15)*B354),SIN((1-'1.설계입력'!$C$15)*B354))</f>
        <v>0.10609404750986044</v>
      </c>
      <c r="D354" s="40">
        <f>'1.설계입력'!$C$6*COS(B354)-'1.설계입력'!$C$7*COS(B354+C354)-'1.설계입력'!$C$8*COS('1.설계입력'!$C$15*B354)</f>
        <v>27.750266430215163</v>
      </c>
      <c r="E354" s="40">
        <f>-'1.설계입력'!$C$6*SIN(B354)+'1.설계입력'!$C$7*SIN(B354+C354)+'1.설계입력'!$C$8*SIN('1.설계입력'!$C$15*B354)</f>
        <v>-74.473209905511666</v>
      </c>
      <c r="F354" s="40">
        <f>ATAN2(('1.설계입력'!$C$6+'1.설계입력'!$C$33)/('1.설계입력'!$C$8*'1.설계입력'!$C$15)-COS((1-'1.설계입력'!$C$15)*B354),SIN((1-'1.설계입력'!$C$15)*B354))</f>
        <v>0.1060963772837754</v>
      </c>
      <c r="G354" s="40">
        <f>('1.설계입력'!$C$6+'1.설계입력'!$C$33)*COS(B354)-('1.설계입력'!$C$7+'1.설계입력'!$C$34)*COS(B354+F354)-'1.설계입력'!$C$8*COS('1.설계입력'!$C$15*B354)</f>
        <v>27.747191300507726</v>
      </c>
      <c r="H354" s="40">
        <f>-('1.설계입력'!$C$6+'1.설계입력'!$C$33)*SIN(B354)+('1.설계입력'!$C$7+'1.설계입력'!$C$34)*SIN(B354+F354)+'1.설계입력'!$C$8*SIN('1.설계입력'!$C$15*B354)</f>
        <v>-74.462453736975334</v>
      </c>
      <c r="I354" s="40">
        <f t="shared" si="16"/>
        <v>79.475381600709085</v>
      </c>
      <c r="J354" s="40">
        <f t="shared" si="17"/>
        <v>79.464228691897361</v>
      </c>
      <c r="K354" s="38">
        <f>IF(OR(A354&gt;180,'1.설계입력'!$C$39&gt;=1),"",'1.설계입력'!$C$34*(1-SIN(B354)/SQRT(1+'1.설계입력'!$C$39^2-2*'1.설계입력'!$C$39*COS(B354)))-'1.설계입력'!$C$33*(1-'1.설계입력'!$C$39*COS(B354)-SQRT(MAX(0,1-'1.설계입력'!$C$39^2))*SIN(B354))/SQRT(1+'1.설계입력'!$C$39^2-2*'1.설계입력'!$C$39*COS(B354)))</f>
        <v>9.2712477090929287E-4</v>
      </c>
    </row>
    <row r="355" spans="1:11" x14ac:dyDescent="0.3">
      <c r="A355" s="40">
        <f>A354+'1.설계입력'!$C$12</f>
        <v>69.800000000000452</v>
      </c>
      <c r="B355" s="40">
        <f t="shared" si="15"/>
        <v>1.2182398178920499</v>
      </c>
      <c r="C355" s="40">
        <f>ATAN2('1.설계입력'!$C$6/('1.설계입력'!$C$8*'1.설계입력'!$C$15)-COS((1-'1.설계입력'!$C$15)*B355),SIN((1-'1.설계입력'!$C$15)*B355))</f>
        <v>0.16334492824997623</v>
      </c>
      <c r="D355" s="40">
        <f>'1.설계입력'!$C$6*COS(B355)-'1.설계입력'!$C$7*COS(B355+C355)-'1.설계입력'!$C$8*COS('1.설계입력'!$C$15*B355)</f>
        <v>27.509764651941158</v>
      </c>
      <c r="E355" s="40">
        <f>-'1.설계입력'!$C$6*SIN(B355)+'1.설계입력'!$C$7*SIN(B355+C355)+'1.설계입력'!$C$8*SIN('1.설계입력'!$C$15*B355)</f>
        <v>-74.526902787215917</v>
      </c>
      <c r="F355" s="40">
        <f>ATAN2(('1.설계입력'!$C$6+'1.설계입력'!$C$33)/('1.설계입력'!$C$8*'1.설계입력'!$C$15)-COS((1-'1.설계입력'!$C$15)*B355),SIN((1-'1.설계입력'!$C$15)*B355))</f>
        <v>0.16334854448335898</v>
      </c>
      <c r="G355" s="40">
        <f>('1.설계입력'!$C$6+'1.설계입력'!$C$33)*COS(B355)-('1.설계입력'!$C$7+'1.설계입력'!$C$34)*COS(B355+F355)-'1.설계입력'!$C$8*COS('1.설계입력'!$C$15*B355)</f>
        <v>27.507184977771026</v>
      </c>
      <c r="H355" s="40">
        <f>-('1.설계입력'!$C$6+'1.설계입력'!$C$33)*SIN(B355)+('1.설계입력'!$C$7+'1.설계입력'!$C$34)*SIN(B355+F355)+'1.설계입력'!$C$8*SIN('1.설계입력'!$C$15*B355)</f>
        <v>-74.516035294808319</v>
      </c>
      <c r="I355" s="40">
        <f t="shared" si="16"/>
        <v>79.442094573722841</v>
      </c>
      <c r="J355" s="40">
        <f t="shared" si="17"/>
        <v>79.431006171761609</v>
      </c>
      <c r="K355" s="38">
        <f>IF(OR(A355&gt;180,'1.설계입력'!$C$39&gt;=1),"",'1.설계입력'!$C$34*(1-SIN(B355)/SQRT(1+'1.설계입력'!$C$39^2-2*'1.설계입력'!$C$39*COS(B355)))-'1.설계입력'!$C$33*(1-'1.설계입력'!$C$39*COS(B355)-SQRT(MAX(0,1-'1.설계입력'!$C$39^2))*SIN(B355))/SQRT(1+'1.설계입력'!$C$39^2-2*'1.설계입력'!$C$39*COS(B355)))</f>
        <v>9.3895620824905549E-4</v>
      </c>
    </row>
    <row r="356" spans="1:11" x14ac:dyDescent="0.3">
      <c r="A356" s="40">
        <f>A355+'1.설계입력'!$C$12</f>
        <v>70.000000000000455</v>
      </c>
      <c r="B356" s="40">
        <f t="shared" si="15"/>
        <v>1.2217304763960386</v>
      </c>
      <c r="C356" s="40">
        <f>ATAN2('1.설계입력'!$C$6/('1.설계입력'!$C$8*'1.설계입력'!$C$15)-COS((1-'1.설계입력'!$C$15)*B356),SIN((1-'1.설계입력'!$C$15)*B356))</f>
        <v>0.2203099553001949</v>
      </c>
      <c r="D356" s="40">
        <f>'1.설계입력'!$C$6*COS(B356)-'1.설계입력'!$C$7*COS(B356+C356)-'1.설계입력'!$C$8*COS('1.설계입력'!$C$15*B356)</f>
        <v>27.271577743794101</v>
      </c>
      <c r="E356" s="40">
        <f>-'1.설계입력'!$C$6*SIN(B356)+'1.설계입력'!$C$7*SIN(B356+C356)+'1.설계입력'!$C$8*SIN('1.설계입력'!$C$15*B356)</f>
        <v>-74.565116914854016</v>
      </c>
      <c r="F356" s="40">
        <f>ATAN2(('1.설계입력'!$C$6+'1.설계입력'!$C$33)/('1.설계입력'!$C$8*'1.설계입력'!$C$15)-COS((1-'1.설계입력'!$C$15)*B356),SIN((1-'1.설계입력'!$C$15)*B356))</f>
        <v>0.22031489022428152</v>
      </c>
      <c r="G356" s="40">
        <f>('1.설계입력'!$C$6+'1.설계입력'!$C$33)*COS(B356)-('1.설계입력'!$C$7+'1.설계입력'!$C$34)*COS(B356+F356)-'1.설계입력'!$C$8*COS('1.설계입력'!$C$15*B356)</f>
        <v>27.269497053768813</v>
      </c>
      <c r="H356" s="40">
        <f>-('1.설계입력'!$C$6+'1.설계입력'!$C$33)*SIN(B356)+('1.설계입력'!$C$7+'1.설계입력'!$C$34)*SIN(B356+F356)+'1.설계입력'!$C$8*SIN('1.설계입력'!$C$15*B356)</f>
        <v>-74.554168376581146</v>
      </c>
      <c r="I356" s="40">
        <f t="shared" si="16"/>
        <v>79.395816093555297</v>
      </c>
      <c r="J356" s="40">
        <f t="shared" si="17"/>
        <v>79.384819026619439</v>
      </c>
      <c r="K356" s="38">
        <f>IF(OR(A356&gt;180,'1.설계입력'!$C$39&gt;=1),"",'1.설계입력'!$C$34*(1-SIN(B356)/SQRT(1+'1.설계입력'!$C$39^2-2*'1.설계입력'!$C$39*COS(B356)))-'1.설계입력'!$C$33*(1-'1.설계입력'!$C$39*COS(B356)-SQRT(MAX(0,1-'1.설계입력'!$C$39^2))*SIN(B356))/SQRT(1+'1.설계입력'!$C$39^2-2*'1.설계입력'!$C$39*COS(B356)))</f>
        <v>9.508395539742072E-4</v>
      </c>
    </row>
    <row r="357" spans="1:11" x14ac:dyDescent="0.3">
      <c r="A357" s="40">
        <f>A356+'1.설계입력'!$C$12</f>
        <v>70.200000000000458</v>
      </c>
      <c r="B357" s="40">
        <f t="shared" si="15"/>
        <v>1.2252211349000273</v>
      </c>
      <c r="C357" s="40">
        <f>ATAN2('1.설계입력'!$C$6/('1.설계입력'!$C$8*'1.설계입력'!$C$15)-COS((1-'1.설계입력'!$C$15)*B357),SIN((1-'1.설계입력'!$C$15)*B357))</f>
        <v>0.27687264441166959</v>
      </c>
      <c r="D357" s="40">
        <f>'1.설계입력'!$C$6*COS(B357)-'1.설계입력'!$C$7*COS(B357+C357)-'1.설계입력'!$C$8*COS('1.설계입력'!$C$15*B357)</f>
        <v>27.038389913452605</v>
      </c>
      <c r="E357" s="40">
        <f>-'1.설계입력'!$C$6*SIN(B357)+'1.설계입력'!$C$7*SIN(B357+C357)+'1.설계입력'!$C$8*SIN('1.설계입력'!$C$15*B357)</f>
        <v>-74.588244196205167</v>
      </c>
      <c r="F357" s="40">
        <f>ATAN2(('1.설계입력'!$C$6+'1.설계입력'!$C$33)/('1.설계입력'!$C$8*'1.설계입력'!$C$15)-COS((1-'1.설계입력'!$C$15)*B357),SIN((1-'1.설계입력'!$C$15)*B357))</f>
        <v>0.27687894323754347</v>
      </c>
      <c r="G357" s="40">
        <f>('1.설계입력'!$C$6+'1.설계입력'!$C$33)*COS(B357)-('1.설계입력'!$C$7+'1.설계입력'!$C$34)*COS(B357+F357)-'1.설계입력'!$C$8*COS('1.설계입력'!$C$15*B357)</f>
        <v>27.036808959709312</v>
      </c>
      <c r="H357" s="40">
        <f>-('1.설계입력'!$C$6+'1.설계입력'!$C$33)*SIN(B357)+('1.설계입력'!$C$7+'1.설계입력'!$C$34)*SIN(B357+F357)+'1.설계입력'!$C$8*SIN('1.설계입력'!$C$15*B357)</f>
        <v>-74.577244841422328</v>
      </c>
      <c r="I357" s="40">
        <f t="shared" si="16"/>
        <v>79.337763400442725</v>
      </c>
      <c r="J357" s="40">
        <f t="shared" si="17"/>
        <v>79.326883758668288</v>
      </c>
      <c r="K357" s="38">
        <f>IF(OR(A357&gt;180,'1.설계입력'!$C$39&gt;=1),"",'1.설계입력'!$C$34*(1-SIN(B357)/SQRT(1+'1.설계입력'!$C$39^2-2*'1.설계입력'!$C$39*COS(B357)))-'1.설계입력'!$C$33*(1-'1.설계입력'!$C$39*COS(B357)-SQRT(MAX(0,1-'1.설계입력'!$C$39^2))*SIN(B357))/SQRT(1+'1.설계입력'!$C$39^2-2*'1.설계입력'!$C$39*COS(B357)))</f>
        <v>9.6277451031469123E-4</v>
      </c>
    </row>
    <row r="358" spans="1:11" x14ac:dyDescent="0.3">
      <c r="A358" s="40">
        <f>A357+'1.설계입력'!$C$12</f>
        <v>70.40000000000046</v>
      </c>
      <c r="B358" s="40">
        <f t="shared" si="15"/>
        <v>1.2287117934040159</v>
      </c>
      <c r="C358" s="40">
        <f>ATAN2('1.설계입력'!$C$6/('1.설계입력'!$C$8*'1.설계입력'!$C$15)-COS((1-'1.설계입력'!$C$15)*B358),SIN((1-'1.설계입력'!$C$15)*B358))</f>
        <v>0.33290051505383395</v>
      </c>
      <c r="D358" s="40">
        <f>'1.설계입력'!$C$6*COS(B358)-'1.설계입력'!$C$7*COS(B358+C358)-'1.설계입력'!$C$8*COS('1.설계입력'!$C$15*B358)</f>
        <v>26.81273644241055</v>
      </c>
      <c r="E358" s="40">
        <f>-'1.설계입력'!$C$6*SIN(B358)+'1.설계입력'!$C$7*SIN(B358+C358)+'1.설계입력'!$C$8*SIN('1.설계입력'!$C$15*B358)</f>
        <v>-74.597070889207004</v>
      </c>
      <c r="F358" s="40">
        <f>ATAN2(('1.설계입력'!$C$6+'1.설계입력'!$C$33)/('1.설계입력'!$C$8*'1.설계입력'!$C$15)-COS((1-'1.설계입력'!$C$15)*B358),SIN((1-'1.설계입력'!$C$15)*B358))</f>
        <v>0.33290823760026544</v>
      </c>
      <c r="G358" s="40">
        <f>('1.설계입력'!$C$6+'1.설계입력'!$C$33)*COS(B358)-('1.설계입력'!$C$7+'1.설계입력'!$C$34)*COS(B358+F358)-'1.설계입력'!$C$8*COS('1.설계입력'!$C$15*B358)</f>
        <v>26.811653104475631</v>
      </c>
      <c r="H358" s="40">
        <f>-('1.설계입력'!$C$6+'1.설계입력'!$C$33)*SIN(B358)+('1.설계입력'!$C$7+'1.설계입력'!$C$34)*SIN(B358+F358)+'1.설계입력'!$C$8*SIN('1.설계입력'!$C$15*B358)</f>
        <v>-74.586050568556033</v>
      </c>
      <c r="I358" s="40">
        <f t="shared" si="16"/>
        <v>79.269450740998238</v>
      </c>
      <c r="J358" s="40">
        <f t="shared" si="17"/>
        <v>79.258713600524302</v>
      </c>
      <c r="K358" s="38">
        <f>IF(OR(A358&gt;180,'1.설계입력'!$C$39&gt;=1),"",'1.설계입력'!$C$34*(1-SIN(B358)/SQRT(1+'1.설계입력'!$C$39^2-2*'1.설계입력'!$C$39*COS(B358)))-'1.설계입력'!$C$33*(1-'1.설계입력'!$C$39*COS(B358)-SQRT(MAX(0,1-'1.설계입력'!$C$39^2))*SIN(B358))/SQRT(1+'1.설계입력'!$C$39^2-2*'1.설계입력'!$C$39*COS(B358)))</f>
        <v>9.7476078239706995E-4</v>
      </c>
    </row>
    <row r="359" spans="1:11" x14ac:dyDescent="0.3">
      <c r="A359" s="40">
        <f>A358+'1.설계입력'!$C$12</f>
        <v>70.600000000000463</v>
      </c>
      <c r="B359" s="40">
        <f t="shared" si="15"/>
        <v>1.2322024519080048</v>
      </c>
      <c r="C359" s="40">
        <f>ATAN2('1.설계입력'!$C$6/('1.설계입력'!$C$8*'1.설계입력'!$C$15)-COS((1-'1.설계입력'!$C$15)*B359),SIN((1-'1.설계입력'!$C$15)*B359))</f>
        <v>0.38823858520455645</v>
      </c>
      <c r="D359" s="40">
        <f>'1.설계입력'!$C$6*COS(B359)-'1.설계입력'!$C$7*COS(B359+C359)-'1.설계입력'!$C$8*COS('1.설계입력'!$C$15*B359)</f>
        <v>26.596920741100277</v>
      </c>
      <c r="E359" s="40">
        <f>-'1.설계입력'!$C$6*SIN(B359)+'1.설계입력'!$C$7*SIN(B359+C359)+'1.설계입력'!$C$8*SIN('1.설계입력'!$C$15*B359)</f>
        <v>-74.592742492770725</v>
      </c>
      <c r="F359" s="40">
        <f>ATAN2(('1.설계입력'!$C$6+'1.설계입력'!$C$33)/('1.설계입력'!$C$8*'1.설계입력'!$C$15)-COS((1-'1.설계입력'!$C$15)*B359),SIN((1-'1.설계입력'!$C$15)*B359))</f>
        <v>0.38824780815406906</v>
      </c>
      <c r="G359" s="40">
        <f>('1.설계입력'!$C$6+'1.설계입력'!$C$33)*COS(B359)-('1.설계입력'!$C$7+'1.설계입력'!$C$34)*COS(B359+F359)-'1.설계입력'!$C$8*COS('1.설계입력'!$C$15*B359)</f>
        <v>26.596329919538235</v>
      </c>
      <c r="H359" s="40">
        <f>-('1.설계입력'!$C$6+'1.설계입력'!$C$33)*SIN(B359)+('1.설계입력'!$C$7+'1.설계입력'!$C$34)*SIN(B359+F359)+'1.설계입력'!$C$8*SIN('1.설계입력'!$C$15*B359)</f>
        <v>-74.581730316708018</v>
      </c>
      <c r="I359" s="40">
        <f t="shared" si="16"/>
        <v>79.192634919550272</v>
      </c>
      <c r="J359" s="40">
        <f t="shared" si="17"/>
        <v>79.18206401845741</v>
      </c>
      <c r="K359" s="38">
        <f>IF(OR(A359&gt;180,'1.설계입력'!$C$39&gt;=1),"",'1.설계입력'!$C$34*(1-SIN(B359)/SQRT(1+'1.설계입력'!$C$39^2-2*'1.설계입력'!$C$39*COS(B359)))-'1.설계입력'!$C$33*(1-'1.설계입력'!$C$39*COS(B359)-SQRT(MAX(0,1-'1.설계입력'!$C$39^2))*SIN(B359))/SQRT(1+'1.설계입력'!$C$39^2-2*'1.설계입력'!$C$39*COS(B359)))</f>
        <v>9.8679807820239909E-4</v>
      </c>
    </row>
    <row r="360" spans="1:11" x14ac:dyDescent="0.3">
      <c r="A360" s="40">
        <f>A359+'1.설계입력'!$C$12</f>
        <v>70.800000000000466</v>
      </c>
      <c r="B360" s="40">
        <f t="shared" si="15"/>
        <v>1.2356931104119935</v>
      </c>
      <c r="C360" s="40">
        <f>ATAN2('1.설계입력'!$C$6/('1.설계입력'!$C$8*'1.설계입력'!$C$15)-COS((1-'1.설계입력'!$C$15)*B360),SIN((1-'1.설계입력'!$C$15)*B360))</f>
        <v>0.44270077298426985</v>
      </c>
      <c r="D360" s="40">
        <f>'1.설계입력'!$C$6*COS(B360)-'1.설계입력'!$C$7*COS(B360+C360)-'1.설계입력'!$C$8*COS('1.설계입력'!$C$15*B360)</f>
        <v>26.392929375275521</v>
      </c>
      <c r="E360" s="40">
        <f>-'1.설계입력'!$C$6*SIN(B360)+'1.설계입력'!$C$7*SIN(B360+C360)+'1.설계입력'!$C$8*SIN('1.설계입력'!$C$15*B360)</f>
        <v>-74.57671173595628</v>
      </c>
      <c r="F360" s="40">
        <f>ATAN2(('1.설계입력'!$C$6+'1.설계입력'!$C$33)/('1.설계입력'!$C$8*'1.설계입력'!$C$15)-COS((1-'1.설계입력'!$C$15)*B360),SIN((1-'1.설계입력'!$C$15)*B360))</f>
        <v>0.44271159294091433</v>
      </c>
      <c r="G360" s="40">
        <f>('1.설계입력'!$C$6+'1.설계입력'!$C$33)*COS(B360)-('1.설계입력'!$C$7+'1.설계입력'!$C$34)*COS(B360+F360)-'1.설계입력'!$C$8*COS('1.설계입력'!$C$15*B360)</f>
        <v>26.392822864828901</v>
      </c>
      <c r="H360" s="40">
        <f>-('1.설계입력'!$C$6+'1.설계입력'!$C$33)*SIN(B360)+('1.설계입력'!$C$7+'1.설계입력'!$C$34)*SIN(B360+F360)+'1.설계입력'!$C$8*SIN('1.설계입력'!$C$15*B360)</f>
        <v>-74.565735669256924</v>
      </c>
      <c r="I360" s="40">
        <f t="shared" si="16"/>
        <v>79.10924506248432</v>
      </c>
      <c r="J360" s="40">
        <f t="shared" si="17"/>
        <v>79.098862410730845</v>
      </c>
      <c r="K360" s="38">
        <f>IF(OR(A360&gt;180,'1.설계입력'!$C$39&gt;=1),"",'1.설계입력'!$C$34*(1-SIN(B360)/SQRT(1+'1.설계입력'!$C$39^2-2*'1.설계입력'!$C$39*COS(B360)))-'1.설계입력'!$C$33*(1-'1.설계입력'!$C$39*COS(B360)-SQRT(MAX(0,1-'1.설계입력'!$C$39^2))*SIN(B360))/SQRT(1+'1.설계입력'!$C$39^2-2*'1.설계입력'!$C$39*COS(B360)))</f>
        <v>9.9888610852476994E-4</v>
      </c>
    </row>
    <row r="361" spans="1:11" x14ac:dyDescent="0.3">
      <c r="A361" s="40">
        <f>A360+'1.설계입력'!$C$12</f>
        <v>71.000000000000469</v>
      </c>
      <c r="B361" s="40">
        <f t="shared" si="15"/>
        <v>1.2391837689159821</v>
      </c>
      <c r="C361" s="40">
        <f>ATAN2('1.설계입력'!$C$6/('1.설계입력'!$C$8*'1.설계입력'!$C$15)-COS((1-'1.설계입력'!$C$15)*B361),SIN((1-'1.설계입력'!$C$15)*B361))</f>
        <v>0.49605815253558427</v>
      </c>
      <c r="D361" s="40">
        <f>'1.설계입력'!$C$6*COS(B361)-'1.설계입력'!$C$7*COS(B361+C361)-'1.설계입력'!$C$8*COS('1.설계입력'!$C$15*B361)</f>
        <v>26.202343721482642</v>
      </c>
      <c r="E361" s="40">
        <f>-'1.설계입력'!$C$6*SIN(B361)+'1.설계입력'!$C$7*SIN(B361+C361)+'1.설계입력'!$C$8*SIN('1.설계입력'!$C$15*B361)</f>
        <v>-74.550667549208583</v>
      </c>
      <c r="F361" s="40">
        <f>ATAN2(('1.설계입력'!$C$6+'1.설계입력'!$C$33)/('1.설계입력'!$C$8*'1.설계입력'!$C$15)-COS((1-'1.설계입력'!$C$15)*B361),SIN((1-'1.설계입력'!$C$15)*B361))</f>
        <v>0.4960706901320816</v>
      </c>
      <c r="G361" s="40">
        <f>('1.설계입력'!$C$6+'1.설계입력'!$C$33)*COS(B361)-('1.설계입력'!$C$7+'1.설계입력'!$C$34)*COS(B361+F361)-'1.설계입력'!$C$8*COS('1.설계입력'!$C$15*B361)</f>
        <v>26.202710048141583</v>
      </c>
      <c r="H361" s="40">
        <f>-('1.설계입력'!$C$6+'1.설계입력'!$C$33)*SIN(B361)+('1.설계입력'!$C$7+'1.설계입력'!$C$34)*SIN(B361+F361)+'1.설계입력'!$C$8*SIN('1.설계입력'!$C$15*B361)</f>
        <v>-74.539753943394985</v>
      </c>
      <c r="I361" s="40">
        <f t="shared" si="16"/>
        <v>79.021293639950883</v>
      </c>
      <c r="J361" s="40">
        <f t="shared" si="17"/>
        <v>79.011119039087461</v>
      </c>
      <c r="K361" s="38">
        <f>IF(OR(A361&gt;180,'1.설계입력'!$C$39&gt;=1),"",'1.설계입력'!$C$34*(1-SIN(B361)/SQRT(1+'1.설계입력'!$C$39^2-2*'1.설계입력'!$C$39*COS(B361)))-'1.설계입력'!$C$33*(1-'1.설계입력'!$C$39*COS(B361)-SQRT(MAX(0,1-'1.설계입력'!$C$39^2))*SIN(B361))/SQRT(1+'1.설계입력'!$C$39^2-2*'1.설계입력'!$C$39*COS(B361)))</f>
        <v>1.011024586930557E-3</v>
      </c>
    </row>
    <row r="362" spans="1:11" x14ac:dyDescent="0.3">
      <c r="A362" s="40">
        <f>A361+'1.설계입력'!$C$12</f>
        <v>71.200000000000472</v>
      </c>
      <c r="B362" s="40">
        <f t="shared" si="15"/>
        <v>1.2426744274199708</v>
      </c>
      <c r="C362" s="40">
        <f>ATAN2('1.설계입력'!$C$6/('1.설계입력'!$C$8*'1.설계입력'!$C$15)-COS((1-'1.설계입력'!$C$15)*B362),SIN((1-'1.설계입력'!$C$15)*B362))</f>
        <v>0.54802244106949916</v>
      </c>
      <c r="D362" s="40">
        <f>'1.설계입력'!$C$6*COS(B362)-'1.설계입력'!$C$7*COS(B362+C362)-'1.설계입력'!$C$8*COS('1.설계입력'!$C$15*B362)</f>
        <v>26.026245108246737</v>
      </c>
      <c r="E362" s="40">
        <f>-'1.설계입력'!$C$6*SIN(B362)+'1.설계입력'!$C$7*SIN(B362+C362)+'1.설계입력'!$C$8*SIN('1.설계입력'!$C$15*B362)</f>
        <v>-74.516441628827465</v>
      </c>
      <c r="F362" s="40">
        <f>ATAN2(('1.설계입력'!$C$6+'1.설계입력'!$C$33)/('1.설계입력'!$C$8*'1.설계입력'!$C$15)-COS((1-'1.설계입력'!$C$15)*B362),SIN((1-'1.설계입력'!$C$15)*B362))</f>
        <v>0.54803684647438966</v>
      </c>
      <c r="G362" s="40">
        <f>('1.설계입력'!$C$6+'1.설계입력'!$C$33)*COS(B362)-('1.설계입력'!$C$7+'1.설계입력'!$C$34)*COS(B362+F362)-'1.설계입력'!$C$8*COS('1.설계입력'!$C$15*B362)</f>
        <v>26.02706930615993</v>
      </c>
      <c r="H362" s="40">
        <f>-('1.설계입력'!$C$6+'1.설계입력'!$C$33)*SIN(B362)+('1.설계입력'!$C$7+'1.설계입력'!$C$34)*SIN(B362+F362)+'1.설계입력'!$C$8*SIN('1.설계입력'!$C$15*B362)</f>
        <v>-74.505614666021984</v>
      </c>
      <c r="I362" s="40">
        <f t="shared" si="16"/>
        <v>78.930764011613292</v>
      </c>
      <c r="J362" s="40">
        <f t="shared" si="17"/>
        <v>78.920814449861084</v>
      </c>
      <c r="K362" s="38">
        <f>IF(OR(A362&gt;180,'1.설계입력'!$C$39&gt;=1),"",'1.설계입력'!$C$34*(1-SIN(B362)/SQRT(1+'1.설계입력'!$C$39^2-2*'1.설계입력'!$C$39*COS(B362)))-'1.설계입력'!$C$33*(1-'1.설계입력'!$C$39*COS(B362)-SQRT(MAX(0,1-'1.설계입력'!$C$39^2))*SIN(B362))/SQRT(1+'1.설계입력'!$C$39^2-2*'1.설계입력'!$C$39*COS(B362)))</f>
        <v>1.023213229718316E-3</v>
      </c>
    </row>
    <row r="363" spans="1:11" x14ac:dyDescent="0.3">
      <c r="A363" s="40">
        <f>A362+'1.설계입력'!$C$12</f>
        <v>71.400000000000475</v>
      </c>
      <c r="B363" s="40">
        <f t="shared" si="15"/>
        <v>1.2461650859239595</v>
      </c>
      <c r="C363" s="40">
        <f>ATAN2('1.설계입력'!$C$6/('1.설계입력'!$C$8*'1.설계입력'!$C$15)-COS((1-'1.설계입력'!$C$15)*B363),SIN((1-'1.설계입력'!$C$15)*B363))</f>
        <v>0.59822213579567229</v>
      </c>
      <c r="D363" s="40">
        <f>'1.설계입력'!$C$6*COS(B363)-'1.설계입력'!$C$7*COS(B363+C363)-'1.설계입력'!$C$8*COS('1.설계입력'!$C$15*B363)</f>
        <v>25.865107214319877</v>
      </c>
      <c r="E363" s="40">
        <f>-'1.설계입력'!$C$6*SIN(B363)+'1.설계입력'!$C$7*SIN(B363+C363)+'1.설계입력'!$C$8*SIN('1.설계입력'!$C$15*B363)</f>
        <v>-74.475887064663155</v>
      </c>
      <c r="F363" s="40">
        <f>ATAN2(('1.설계입력'!$C$6+'1.설계입력'!$C$33)/('1.설계입력'!$C$8*'1.설계입력'!$C$15)-COS((1-'1.설계입력'!$C$15)*B363),SIN((1-'1.설계입력'!$C$15)*B363))</f>
        <v>0.59823859611327324</v>
      </c>
      <c r="G363" s="40">
        <f>('1.설계입력'!$C$6+'1.설계입력'!$C$33)*COS(B363)-('1.설계입력'!$C$7+'1.설계입력'!$C$34)*COS(B363+F363)-'1.설계입력'!$C$8*COS('1.설계입력'!$C$15*B363)</f>
        <v>25.866370504239796</v>
      </c>
      <c r="H363" s="40">
        <f>-('1.설계입력'!$C$6+'1.설계입력'!$C$33)*SIN(B363)+('1.설계입력'!$C$7+'1.설계입력'!$C$34)*SIN(B363+F363)+'1.설계입력'!$C$8*SIN('1.설계입력'!$C$15*B363)</f>
        <v>-74.465168073095953</v>
      </c>
      <c r="I363" s="40">
        <f t="shared" si="16"/>
        <v>78.839466799799723</v>
      </c>
      <c r="J363" s="40">
        <f t="shared" si="17"/>
        <v>78.829755671428003</v>
      </c>
      <c r="K363" s="38">
        <f>IF(OR(A363&gt;180,'1.설계입력'!$C$39&gt;=1),"",'1.설계입력'!$C$34*(1-SIN(B363)/SQRT(1+'1.설계입력'!$C$39^2-2*'1.설계입력'!$C$39*COS(B363)))-'1.설계입력'!$C$33*(1-'1.설계입력'!$C$39*COS(B363)-SQRT(MAX(0,1-'1.설계입력'!$C$39^2))*SIN(B363))/SQRT(1+'1.설계입력'!$C$39^2-2*'1.설계입력'!$C$39*COS(B363)))</f>
        <v>1.035451755879343E-3</v>
      </c>
    </row>
    <row r="364" spans="1:11" x14ac:dyDescent="0.3">
      <c r="A364" s="40">
        <f>A363+'1.설계입력'!$C$12</f>
        <v>71.600000000000477</v>
      </c>
      <c r="B364" s="40">
        <f t="shared" si="15"/>
        <v>1.2496557444279484</v>
      </c>
      <c r="C364" s="40">
        <f>ATAN2('1.설계입력'!$C$6/('1.설계입력'!$C$8*'1.설계입력'!$C$15)-COS((1-'1.설계입력'!$C$15)*B364),SIN((1-'1.설계입력'!$C$15)*B364))</f>
        <v>0.64616706943058477</v>
      </c>
      <c r="D364" s="40">
        <f>'1.설계입력'!$C$6*COS(B364)-'1.설계입력'!$C$7*COS(B364+C364)-'1.설계입력'!$C$8*COS('1.설계입력'!$C$15*B364)</f>
        <v>25.718664030674478</v>
      </c>
      <c r="E364" s="40">
        <f>-'1.설계입력'!$C$6*SIN(B364)+'1.설계입력'!$C$7*SIN(B364+C364)+'1.설계입력'!$C$8*SIN('1.설계입력'!$C$15*B364)</f>
        <v>-74.430719914452879</v>
      </c>
      <c r="F364" s="40">
        <f>ATAN2(('1.설계입력'!$C$6+'1.설계입력'!$C$33)/('1.설계입력'!$C$8*'1.설계입력'!$C$15)-COS((1-'1.설계입력'!$C$15)*B364),SIN((1-'1.설계입력'!$C$15)*B364))</f>
        <v>0.64618581867639491</v>
      </c>
      <c r="G364" s="40">
        <f>('1.설계입력'!$C$6+'1.설계입력'!$C$33)*COS(B364)-('1.설계입력'!$C$7+'1.설계입력'!$C$34)*COS(B364+F364)-'1.설계입력'!$C$8*COS('1.설계입력'!$C$15*B364)</f>
        <v>25.720343337142143</v>
      </c>
      <c r="H364" s="40">
        <f>-('1.설계입력'!$C$6+'1.설계입력'!$C$33)*SIN(B364)+('1.설계입력'!$C$7+'1.설계입력'!$C$34)*SIN(B364+F364)+'1.설계입력'!$C$8*SIN('1.설계입력'!$C$15*B364)</f>
        <v>-74.420126494684283</v>
      </c>
      <c r="I364" s="40">
        <f t="shared" si="16"/>
        <v>78.748852350408526</v>
      </c>
      <c r="J364" s="40">
        <f t="shared" si="17"/>
        <v>78.739388420696301</v>
      </c>
      <c r="K364" s="38">
        <f>IF(OR(A364&gt;180,'1.설계입력'!$C$39&gt;=1),"",'1.설계입력'!$C$34*(1-SIN(B364)/SQRT(1+'1.설계입력'!$C$39^2-2*'1.설계입력'!$C$39*COS(B364)))-'1.설계입력'!$C$33*(1-'1.설계입력'!$C$39*COS(B364)-SQRT(MAX(0,1-'1.설계입력'!$C$39^2))*SIN(B364))/SQRT(1+'1.설계입력'!$C$39^2-2*'1.설계입력'!$C$39*COS(B364)))</f>
        <v>1.0477398870588832E-3</v>
      </c>
    </row>
    <row r="365" spans="1:11" x14ac:dyDescent="0.3">
      <c r="A365" s="40">
        <f>A364+'1.설계입력'!$C$12</f>
        <v>71.80000000000048</v>
      </c>
      <c r="B365" s="40">
        <f t="shared" si="15"/>
        <v>1.253146402931937</v>
      </c>
      <c r="C365" s="40">
        <f>ATAN2('1.설계입력'!$C$6/('1.설계입력'!$C$8*'1.설계입력'!$C$15)-COS((1-'1.설계입력'!$C$15)*B365),SIN((1-'1.설계입력'!$C$15)*B365))</f>
        <v>0.69119422737308178</v>
      </c>
      <c r="D365" s="40">
        <f>'1.설계입력'!$C$6*COS(B365)-'1.설계입력'!$C$7*COS(B365+C365)-'1.설계입력'!$C$8*COS('1.설계입력'!$C$15*B365)</f>
        <v>25.585731634130653</v>
      </c>
      <c r="E365" s="40">
        <f>-'1.설계입력'!$C$6*SIN(B365)+'1.설계입력'!$C$7*SIN(B365+C365)+'1.설계입력'!$C$8*SIN('1.설계입력'!$C$15*B365)</f>
        <v>-74.382308606613464</v>
      </c>
      <c r="F365" s="40">
        <f>ATAN2(('1.설계입력'!$C$6+'1.설계입력'!$C$33)/('1.설계입력'!$C$8*'1.설계입력'!$C$15)-COS((1-'1.설계입력'!$C$15)*B365),SIN((1-'1.설계입력'!$C$15)*B365))</f>
        <v>0.69121555993714279</v>
      </c>
      <c r="G365" s="40">
        <f>('1.설계입력'!$C$6+'1.설계입력'!$C$33)*COS(B365)-('1.설계입력'!$C$7+'1.설계입력'!$C$34)*COS(B365+F365)-'1.설계입력'!$C$8*COS('1.설계입력'!$C$15*B365)</f>
        <v>25.587798834893491</v>
      </c>
      <c r="H365" s="40">
        <f>-('1.설계입력'!$C$6+'1.설계입력'!$C$33)*SIN(B365)+('1.설계입력'!$C$7+'1.설계입력'!$C$34)*SIN(B365+F365)+'1.설계입력'!$C$8*SIN('1.설계입력'!$C$15*B365)</f>
        <v>-74.371853473149613</v>
      </c>
      <c r="I365" s="40">
        <f t="shared" si="16"/>
        <v>78.659757798401827</v>
      </c>
      <c r="J365" s="40">
        <f t="shared" si="17"/>
        <v>78.650543788626237</v>
      </c>
      <c r="K365" s="38">
        <f>IF(OR(A365&gt;180,'1.설계입력'!$C$39&gt;=1),"",'1.설계입력'!$C$34*(1-SIN(B365)/SQRT(1+'1.설계입력'!$C$39^2-2*'1.설계입력'!$C$39*COS(B365)))-'1.설계입력'!$C$33*(1-'1.설계입력'!$C$39*COS(B365)-SQRT(MAX(0,1-'1.설계입력'!$C$39^2))*SIN(B365))/SQRT(1+'1.설계입력'!$C$39^2-2*'1.설계입력'!$C$39*COS(B365)))</f>
        <v>1.0600773475179558E-3</v>
      </c>
    </row>
    <row r="366" spans="1:11" x14ac:dyDescent="0.3">
      <c r="A366" s="40">
        <f>A365+'1.설계입력'!$C$12</f>
        <v>72.000000000000483</v>
      </c>
      <c r="B366" s="40">
        <f t="shared" si="15"/>
        <v>1.2566370614359257</v>
      </c>
      <c r="C366" s="40">
        <f>ATAN2('1.설계입력'!$C$6/('1.설계입력'!$C$8*'1.설계입력'!$C$15)-COS((1-'1.설계입력'!$C$15)*B366),SIN((1-'1.설계입력'!$C$15)*B366))</f>
        <v>0.73238231098220208</v>
      </c>
      <c r="D366" s="40">
        <f>'1.설계입력'!$C$6*COS(B366)-'1.설계입력'!$C$7*COS(B366+C366)-'1.설계입력'!$C$8*COS('1.설계입력'!$C$15*B366)</f>
        <v>25.463942709782213</v>
      </c>
      <c r="E366" s="40">
        <f>-'1.설계입력'!$C$6*SIN(B366)+'1.설계입력'!$C$7*SIN(B366+C366)+'1.설계입력'!$C$8*SIN('1.설계입력'!$C$15*B366)</f>
        <v>-74.331386055868606</v>
      </c>
      <c r="F366" s="40">
        <f>ATAN2(('1.설계입력'!$C$6+'1.설계입력'!$C$33)/('1.설계입력'!$C$8*'1.설계입력'!$C$15)-COS((1-'1.설계입력'!$C$15)*B366),SIN((1-'1.설계입력'!$C$15)*B366))</f>
        <v>0.73240659969080824</v>
      </c>
      <c r="G366" s="40">
        <f>('1.설계입력'!$C$6+'1.설계입력'!$C$33)*COS(B366)-('1.설계입력'!$C$7+'1.설계입력'!$C$34)*COS(B366+F366)-'1.설계입력'!$C$8*COS('1.설계입력'!$C$15*B366)</f>
        <v>25.466363429733242</v>
      </c>
      <c r="H366" s="40">
        <f>-('1.설계입력'!$C$6+'1.설계입력'!$C$33)*SIN(B366)+('1.설계입력'!$C$7+'1.설계입력'!$C$34)*SIN(B366+F366)+'1.설계입력'!$C$8*SIN('1.설계입력'!$C$15*B366)</f>
        <v>-74.321075442085061</v>
      </c>
      <c r="I366" s="40">
        <f t="shared" si="16"/>
        <v>78.572051846147232</v>
      </c>
      <c r="J366" s="40">
        <f t="shared" si="17"/>
        <v>78.56308243191171</v>
      </c>
      <c r="K366" s="38">
        <f>IF(OR(A366&gt;180,'1.설계입력'!$C$39&gt;=1),"",'1.설계입력'!$C$34*(1-SIN(B366)/SQRT(1+'1.설계입력'!$C$39^2-2*'1.설계입력'!$C$39*COS(B366)))-'1.설계입력'!$C$33*(1-'1.설계입력'!$C$39*COS(B366)-SQRT(MAX(0,1-'1.설계입력'!$C$39^2))*SIN(B366))/SQRT(1+'1.설계입력'!$C$39^2-2*'1.설계입력'!$C$39*COS(B366)))</f>
        <v>1.0724638640958236E-3</v>
      </c>
    </row>
    <row r="367" spans="1:11" x14ac:dyDescent="0.3">
      <c r="A367" s="40">
        <f>A366+'1.설계입력'!$C$12</f>
        <v>72.200000000000486</v>
      </c>
      <c r="B367" s="40">
        <f t="shared" si="15"/>
        <v>1.2601277199399143</v>
      </c>
      <c r="C367" s="40">
        <f>ATAN2('1.설계입력'!$C$6/('1.설계입력'!$C$8*'1.설계입력'!$C$15)-COS((1-'1.설계입력'!$C$15)*B367),SIN((1-'1.설계입력'!$C$15)*B367))</f>
        <v>0.76841236863231022</v>
      </c>
      <c r="D367" s="40">
        <f>'1.설계입력'!$C$6*COS(B367)-'1.설계입력'!$C$7*COS(B367+C367)-'1.설계입력'!$C$8*COS('1.설계입력'!$C$15*B367)</f>
        <v>25.349313987074957</v>
      </c>
      <c r="E367" s="40">
        <f>-'1.설계입력'!$C$6*SIN(B367)+'1.설계입력'!$C$7*SIN(B367+C367)+'1.설계입력'!$C$8*SIN('1.설계입력'!$C$15*B367)</f>
        <v>-74.277643078866348</v>
      </c>
      <c r="F367" s="40">
        <f>ATAN2(('1.설계입력'!$C$6+'1.설계입력'!$C$33)/('1.설계입력'!$C$8*'1.설계입력'!$C$15)-COS((1-'1.설계입력'!$C$15)*B367),SIN((1-'1.설계입력'!$C$15)*B367))</f>
        <v>0.76844008839024047</v>
      </c>
      <c r="G367" s="40">
        <f>('1.설계입력'!$C$6+'1.설계입력'!$C$33)*COS(B367)-('1.설계입력'!$C$7+'1.설계입력'!$C$34)*COS(B367+F367)-'1.설계입력'!$C$8*COS('1.설계입력'!$C$15*B367)</f>
        <v>25.352045591300239</v>
      </c>
      <c r="H367" s="40">
        <f>-('1.설계입력'!$C$6+'1.설계입력'!$C$33)*SIN(B367)+('1.설계입력'!$C$7+'1.설계입력'!$C$34)*SIN(B367+F367)+'1.설계입력'!$C$8*SIN('1.설계입력'!$C$15*B367)</f>
        <v>-74.267474458465827</v>
      </c>
      <c r="I367" s="40">
        <f t="shared" si="16"/>
        <v>78.484112920812052</v>
      </c>
      <c r="J367" s="40">
        <f t="shared" si="17"/>
        <v>78.475371793335512</v>
      </c>
      <c r="K367" s="38">
        <f>IF(OR(A367&gt;180,'1.설계입력'!$C$39&gt;=1),"",'1.설계입력'!$C$34*(1-SIN(B367)/SQRT(1+'1.설계입력'!$C$39^2-2*'1.설계입력'!$C$39*COS(B367)))-'1.설계입력'!$C$33*(1-'1.설계입력'!$C$39*COS(B367)-SQRT(MAX(0,1-'1.설계입력'!$C$39^2))*SIN(B367))/SQRT(1+'1.설계입력'!$C$39^2-2*'1.설계입력'!$C$39*COS(B367)))</f>
        <v>1.0848991661730483E-3</v>
      </c>
    </row>
    <row r="368" spans="1:11" x14ac:dyDescent="0.3">
      <c r="A368" s="40">
        <f>A367+'1.설계입력'!$C$12</f>
        <v>72.400000000000489</v>
      </c>
      <c r="B368" s="40">
        <f t="shared" si="15"/>
        <v>1.2636183784439032</v>
      </c>
      <c r="C368" s="40">
        <f>ATAN2('1.설계입력'!$C$6/('1.설계입력'!$C$8*'1.설계입력'!$C$15)-COS((1-'1.설계입력'!$C$15)*B368),SIN((1-'1.설계입력'!$C$15)*B368))</f>
        <v>0.79733184953441916</v>
      </c>
      <c r="D368" s="40">
        <f>'1.설계입력'!$C$6*COS(B368)-'1.설계입력'!$C$7*COS(B368+C368)-'1.설계입력'!$C$8*COS('1.설계입력'!$C$15*B368)</f>
        <v>25.235485196301301</v>
      </c>
      <c r="E368" s="40">
        <f>-'1.설계입력'!$C$6*SIN(B368)+'1.설계입력'!$C$7*SIN(B368+C368)+'1.설계입력'!$C$8*SIN('1.설계입력'!$C$15*B368)</f>
        <v>-74.219137052175924</v>
      </c>
      <c r="F368" s="40">
        <f>ATAN2(('1.설계입력'!$C$6+'1.설계입력'!$C$33)/('1.설계입력'!$C$8*'1.설계입력'!$C$15)-COS((1-'1.설계입력'!$C$15)*B368),SIN((1-'1.설계입력'!$C$15)*B368))</f>
        <v>0.79736360604082235</v>
      </c>
      <c r="G368" s="40">
        <f>('1.설계입력'!$C$6+'1.설계입력'!$C$33)*COS(B368)-('1.설계입력'!$C$7+'1.설계입력'!$C$34)*COS(B368+F368)-'1.설계입력'!$C$8*COS('1.설계입력'!$C$15*B368)</f>
        <v>25.238473315229651</v>
      </c>
      <c r="H368" s="40">
        <f>-('1.설계입력'!$C$6+'1.설계입력'!$C$33)*SIN(B368)+('1.설계입력'!$C$7+'1.설계입력'!$C$34)*SIN(B368+F368)+'1.설계입력'!$C$8*SIN('1.설계입력'!$C$15*B368)</f>
        <v>-74.209095773578255</v>
      </c>
      <c r="I368" s="40">
        <f t="shared" si="16"/>
        <v>78.392027769808422</v>
      </c>
      <c r="J368" s="40">
        <f t="shared" si="17"/>
        <v>78.383483150569859</v>
      </c>
      <c r="K368" s="38">
        <f>IF(OR(A368&gt;180,'1.설계입력'!$C$39&gt;=1),"",'1.설계입력'!$C$34*(1-SIN(B368)/SQRT(1+'1.설계입력'!$C$39^2-2*'1.설계입력'!$C$39*COS(B368)))-'1.설계입력'!$C$33*(1-'1.설계입력'!$C$39*COS(B368)-SQRT(MAX(0,1-'1.설계입력'!$C$39^2))*SIN(B368))/SQRT(1+'1.설계입력'!$C$39^2-2*'1.설계입력'!$C$39*COS(B368)))</f>
        <v>1.0973829856351567E-3</v>
      </c>
    </row>
    <row r="369" spans="1:11" x14ac:dyDescent="0.3">
      <c r="A369" s="40">
        <f>A368+'1.설계입력'!$C$12</f>
        <v>72.600000000000492</v>
      </c>
      <c r="B369" s="40">
        <f t="shared" si="15"/>
        <v>1.2671090369478919</v>
      </c>
      <c r="C369" s="40">
        <f>ATAN2('1.설계입력'!$C$6/('1.설계입력'!$C$8*'1.설계입력'!$C$15)-COS((1-'1.설계입력'!$C$15)*B369),SIN((1-'1.설계입력'!$C$15)*B369))</f>
        <v>0.81613895239503143</v>
      </c>
      <c r="D369" s="40">
        <f>'1.설계입력'!$C$6*COS(B369)-'1.설계입력'!$C$7*COS(B369+C369)-'1.설계입력'!$C$8*COS('1.설계입력'!$C$15*B369)</f>
        <v>25.11228858906458</v>
      </c>
      <c r="E369" s="40">
        <f>-'1.설계입력'!$C$6*SIN(B369)+'1.설계입력'!$C$7*SIN(B369+C369)+'1.설계입력'!$C$8*SIN('1.설계입력'!$C$15*B369)</f>
        <v>-74.15142181335078</v>
      </c>
      <c r="F369" s="40">
        <f>ATAN2(('1.설계입력'!$C$6+'1.설계입력'!$C$33)/('1.설계입력'!$C$8*'1.설계입력'!$C$15)-COS((1-'1.설계입력'!$C$15)*B369),SIN((1-'1.설계입력'!$C$15)*B369))</f>
        <v>0.81617550904738068</v>
      </c>
      <c r="G369" s="40">
        <f>('1.설계입력'!$C$6+'1.설계입력'!$C$33)*COS(B369)-('1.설계입력'!$C$7+'1.설계입력'!$C$34)*COS(B369+F369)-'1.설계입력'!$C$8*COS('1.설계입력'!$C$15*B369)</f>
        <v>25.115460817610099</v>
      </c>
      <c r="H369" s="40">
        <f>-('1.설계입력'!$C$6+'1.설계입력'!$C$33)*SIN(B369)+('1.설계입력'!$C$7+'1.설계입력'!$C$34)*SIN(B369+F369)+'1.설계입력'!$C$8*SIN('1.설계입력'!$C$15*B369)</f>
        <v>-74.141475998194707</v>
      </c>
      <c r="I369" s="40">
        <f t="shared" si="16"/>
        <v>78.28831582759932</v>
      </c>
      <c r="J369" s="40">
        <f t="shared" si="17"/>
        <v>78.279913357589948</v>
      </c>
      <c r="K369" s="38">
        <f>IF(OR(A369&gt;180,'1.설계입력'!$C$39&gt;=1),"",'1.설계입력'!$C$34*(1-SIN(B369)/SQRT(1+'1.설계입력'!$C$39^2-2*'1.설계입력'!$C$39*COS(B369)))-'1.설계입력'!$C$33*(1-'1.설계입력'!$C$39*COS(B369)-SQRT(MAX(0,1-'1.설계입력'!$C$39^2))*SIN(B369))/SQRT(1+'1.설계입력'!$C$39^2-2*'1.설계입력'!$C$39*COS(B369)))</f>
        <v>1.1099150568368915E-3</v>
      </c>
    </row>
    <row r="370" spans="1:11" x14ac:dyDescent="0.3">
      <c r="A370" s="40">
        <f>A369+'1.설계입력'!$C$12</f>
        <v>72.800000000000495</v>
      </c>
      <c r="B370" s="40">
        <f t="shared" si="15"/>
        <v>1.2705996954518806</v>
      </c>
      <c r="C370" s="40">
        <f>ATAN2('1.설계입력'!$C$6/('1.설계입력'!$C$8*'1.설계입력'!$C$15)-COS((1-'1.설계입력'!$C$15)*B370),SIN((1-'1.설계입력'!$C$15)*B370))</f>
        <v>0.82002074287634197</v>
      </c>
      <c r="D370" s="40">
        <f>'1.설계입력'!$C$6*COS(B370)-'1.설계입력'!$C$7*COS(B370+C370)-'1.설계입력'!$C$8*COS('1.설계입력'!$C$15*B370)</f>
        <v>24.962897922471711</v>
      </c>
      <c r="E370" s="40">
        <f>-'1.설계입력'!$C$6*SIN(B370)+'1.설계입력'!$C$7*SIN(B370+C370)+'1.설계입력'!$C$8*SIN('1.설계입력'!$C$15*B370)</f>
        <v>-74.066320550726076</v>
      </c>
      <c r="F370" s="40">
        <f>ATAN2(('1.설계입력'!$C$6+'1.설계입력'!$C$33)/('1.설계입력'!$C$8*'1.설계입력'!$C$15)-COS((1-'1.설계입력'!$C$15)*B370),SIN((1-'1.설계입력'!$C$15)*B370))</f>
        <v>0.82006301553601468</v>
      </c>
      <c r="G370" s="40">
        <f>('1.설계입력'!$C$6+'1.설계입력'!$C$33)*COS(B370)-('1.설계입력'!$C$7+'1.설계입력'!$C$34)*COS(B370+F370)-'1.설계입력'!$C$8*COS('1.설계입력'!$C$15*B370)</f>
        <v>24.966151770466389</v>
      </c>
      <c r="H370" s="40">
        <f>-('1.설계입력'!$C$6+'1.설계입력'!$C$33)*SIN(B370)+('1.설계입력'!$C$7+'1.설계입력'!$C$34)*SIN(B370+F370)+'1.설계입력'!$C$8*SIN('1.설계입력'!$C$15*B370)</f>
        <v>-74.056413309813934</v>
      </c>
      <c r="I370" s="40">
        <f t="shared" si="16"/>
        <v>78.159875336457972</v>
      </c>
      <c r="J370" s="40">
        <f t="shared" si="17"/>
        <v>78.151526450479196</v>
      </c>
      <c r="K370" s="38">
        <f>IF(OR(A370&gt;180,'1.설계입력'!$C$39&gt;=1),"",'1.설계입력'!$C$34*(1-SIN(B370)/SQRT(1+'1.설계입력'!$C$39^2-2*'1.설계입력'!$C$39*COS(B370)))-'1.설계입력'!$C$33*(1-'1.설계입력'!$C$39*COS(B370)-SQRT(MAX(0,1-'1.설계입력'!$C$39^2))*SIN(B370))/SQRT(1+'1.설계입력'!$C$39^2-2*'1.설계입력'!$C$39*COS(B370)))</f>
        <v>1.1224951165670375E-3</v>
      </c>
    </row>
    <row r="371" spans="1:11" x14ac:dyDescent="0.3">
      <c r="A371" s="40">
        <f>A370+'1.설계입력'!$C$12</f>
        <v>73.000000000000497</v>
      </c>
      <c r="B371" s="40">
        <f t="shared" si="15"/>
        <v>1.2740903539558692</v>
      </c>
      <c r="C371" s="40">
        <f>ATAN2('1.설계입력'!$C$6/('1.설계입력'!$C$8*'1.설계입력'!$C$15)-COS((1-'1.설계입력'!$C$15)*B371),SIN((1-'1.설계입력'!$C$15)*B371))</f>
        <v>0.80091285278213076</v>
      </c>
      <c r="D371" s="40">
        <f>'1.설계입력'!$C$6*COS(B371)-'1.설계입력'!$C$7*COS(B371+C371)-'1.설계입력'!$C$8*COS('1.설계입력'!$C$15*B371)</f>
        <v>24.757865801788846</v>
      </c>
      <c r="E371" s="40">
        <f>-'1.설계입력'!$C$6*SIN(B371)+'1.설계입력'!$C$7*SIN(B371+C371)+'1.설계입력'!$C$8*SIN('1.설계입력'!$C$15*B371)</f>
        <v>-73.950576908395078</v>
      </c>
      <c r="F371" s="40">
        <f>ATAN2(('1.설계입력'!$C$6+'1.설계입력'!$C$33)/('1.설계입력'!$C$8*'1.설계입력'!$C$15)-COS((1-'1.설계입력'!$C$15)*B371),SIN((1-'1.설계입력'!$C$15)*B371))</f>
        <v>0.80096175867769304</v>
      </c>
      <c r="G371" s="40">
        <f>('1.설계입력'!$C$6+'1.설계입력'!$C$33)*COS(B371)-('1.설계입력'!$C$7+'1.설계입력'!$C$34)*COS(B371+F371)-'1.설계입력'!$C$8*COS('1.설계입력'!$C$15*B371)</f>
        <v>24.761044290481475</v>
      </c>
      <c r="H371" s="40">
        <f>-('1.설계입력'!$C$6+'1.설계입력'!$C$33)*SIN(B371)+('1.설계입력'!$C$7+'1.설계입력'!$C$34)*SIN(B371+F371)+'1.설계입력'!$C$8*SIN('1.설계입력'!$C$15*B371)</f>
        <v>-73.940615048432861</v>
      </c>
      <c r="I371" s="40">
        <f t="shared" si="16"/>
        <v>77.984868687097503</v>
      </c>
      <c r="J371" s="40">
        <f t="shared" si="17"/>
        <v>77.97643149116098</v>
      </c>
      <c r="K371" s="38">
        <f>IF(OR(A371&gt;180,'1.설계입력'!$C$39&gt;=1),"",'1.설계입력'!$C$34*(1-SIN(B371)/SQRT(1+'1.설계입력'!$C$39^2-2*'1.설계입력'!$C$39*COS(B371)))-'1.설계입력'!$C$33*(1-'1.설계입력'!$C$39*COS(B371)-SQRT(MAX(0,1-'1.설계입력'!$C$39^2))*SIN(B371))/SQRT(1+'1.설계입력'!$C$39^2-2*'1.설계입력'!$C$39*COS(B371)))</f>
        <v>1.1351229040138197E-3</v>
      </c>
    </row>
    <row r="372" spans="1:11" x14ac:dyDescent="0.3">
      <c r="A372" s="40">
        <f>A371+'1.설계입력'!$C$12</f>
        <v>73.2000000000005</v>
      </c>
      <c r="B372" s="40">
        <f t="shared" si="15"/>
        <v>1.2775810124598579</v>
      </c>
      <c r="C372" s="40">
        <f>ATAN2('1.설계입력'!$C$6/('1.설계입력'!$C$8*'1.설계입력'!$C$15)-COS((1-'1.설계입력'!$C$15)*B372),SIN((1-'1.설계입력'!$C$15)*B372))</f>
        <v>0.74479458536827314</v>
      </c>
      <c r="D372" s="40">
        <f>'1.설계입력'!$C$6*COS(B372)-'1.설계입력'!$C$7*COS(B372+C372)-'1.설계입력'!$C$8*COS('1.설계입력'!$C$15*B372)</f>
        <v>24.442459604399335</v>
      </c>
      <c r="E372" s="40">
        <f>-'1.설계입력'!$C$6*SIN(B372)+'1.설계입력'!$C$7*SIN(B372+C372)+'1.설계입력'!$C$8*SIN('1.설계입력'!$C$15*B372)</f>
        <v>-73.786445354338198</v>
      </c>
      <c r="F372" s="40">
        <f>ATAN2(('1.설계입력'!$C$6+'1.설계입력'!$C$33)/('1.설계입력'!$C$8*'1.설계입력'!$C$15)-COS((1-'1.설계입력'!$C$15)*B372),SIN((1-'1.설계입력'!$C$15)*B372))</f>
        <v>0.74485034012859508</v>
      </c>
      <c r="G372" s="40">
        <f>('1.설계입력'!$C$6+'1.설계입력'!$C$33)*COS(B372)-('1.설계입력'!$C$7+'1.설계입력'!$C$34)*COS(B372+F372)-'1.설계입력'!$C$8*COS('1.설계입력'!$C$15*B372)</f>
        <v>24.445299407887589</v>
      </c>
      <c r="H372" s="40">
        <f>-('1.설계입력'!$C$6+'1.설계입력'!$C$33)*SIN(B372)+('1.설계입력'!$C$7+'1.설계입력'!$C$34)*SIN(B372+F372)+'1.설계입력'!$C$8*SIN('1.설계입력'!$C$15*B372)</f>
        <v>-73.776287140883667</v>
      </c>
      <c r="I372" s="40">
        <f t="shared" si="16"/>
        <v>77.729488288174338</v>
      </c>
      <c r="J372" s="40">
        <f t="shared" si="17"/>
        <v>77.720738592961055</v>
      </c>
      <c r="K372" s="38">
        <f>IF(OR(A372&gt;180,'1.설계입력'!$C$39&gt;=1),"",'1.설계입력'!$C$34*(1-SIN(B372)/SQRT(1+'1.설계입력'!$C$39^2-2*'1.설계입력'!$C$39*COS(B372)))-'1.설계입력'!$C$33*(1-'1.설계입력'!$C$39*COS(B372)-SQRT(MAX(0,1-'1.설계입력'!$C$39^2))*SIN(B372))/SQRT(1+'1.설계입력'!$C$39^2-2*'1.설계입력'!$C$39*COS(B372)))</f>
        <v>1.1477981607308453E-3</v>
      </c>
    </row>
    <row r="373" spans="1:11" x14ac:dyDescent="0.3">
      <c r="A373" s="40">
        <f>A372+'1.설계입력'!$C$12</f>
        <v>73.400000000000503</v>
      </c>
      <c r="B373" s="40">
        <f t="shared" si="15"/>
        <v>1.2810716709638468</v>
      </c>
      <c r="C373" s="40">
        <f>ATAN2('1.설계입력'!$C$6/('1.설계입력'!$C$8*'1.설계입력'!$C$15)-COS((1-'1.설계입력'!$C$15)*B373),SIN((1-'1.설계입력'!$C$15)*B373))</f>
        <v>0.62735856662346157</v>
      </c>
      <c r="D373" s="40">
        <f>'1.설계입력'!$C$6*COS(B373)-'1.설계입력'!$C$7*COS(B373+C373)-'1.설계입력'!$C$8*COS('1.설계입력'!$C$15*B373)</f>
        <v>23.912678848360041</v>
      </c>
      <c r="E373" s="40">
        <f>-'1.설계입력'!$C$6*SIN(B373)+'1.설계입력'!$C$7*SIN(B373+C373)+'1.설계입력'!$C$8*SIN('1.설계입력'!$C$15*B373)</f>
        <v>-73.56473040309082</v>
      </c>
      <c r="F373" s="40">
        <f>ATAN2(('1.설계입력'!$C$6+'1.설계입력'!$C$33)/('1.설계입력'!$C$8*'1.설계입력'!$C$15)-COS((1-'1.설계입력'!$C$15)*B373),SIN((1-'1.설계입력'!$C$15)*B373))</f>
        <v>0.62741810599320769</v>
      </c>
      <c r="G373" s="40">
        <f>('1.설계입력'!$C$6+'1.설계입력'!$C$33)*COS(B373)-('1.설계입력'!$C$7+'1.설계입력'!$C$34)*COS(B373+F373)-'1.설계입력'!$C$8*COS('1.설계입력'!$C$15*B373)</f>
        <v>23.914701548179153</v>
      </c>
      <c r="H373" s="40">
        <f>-('1.설계입력'!$C$6+'1.설계입력'!$C$33)*SIN(B373)+('1.설계입력'!$C$7+'1.설계입력'!$C$34)*SIN(B373+F373)+'1.설계입력'!$C$8*SIN('1.설계입력'!$C$15*B373)</f>
        <v>-73.554195977749572</v>
      </c>
      <c r="I373" s="40">
        <f t="shared" si="16"/>
        <v>77.353640954930114</v>
      </c>
      <c r="J373" s="40">
        <f t="shared" si="17"/>
        <v>77.344247983102619</v>
      </c>
      <c r="K373" s="38">
        <f>IF(OR(A373&gt;180,'1.설계입력'!$C$39&gt;=1),"",'1.설계입력'!$C$34*(1-SIN(B373)/SQRT(1+'1.설계입력'!$C$39^2-2*'1.설계입력'!$C$39*COS(B373)))-'1.설계입력'!$C$33*(1-'1.설계입력'!$C$39*COS(B373)-SQRT(MAX(0,1-'1.설계입력'!$C$39^2))*SIN(B373))/SQRT(1+'1.설계입력'!$C$39^2-2*'1.설계입력'!$C$39*COS(B373)))</f>
        <v>1.1605206306036127E-3</v>
      </c>
    </row>
    <row r="374" spans="1:11" x14ac:dyDescent="0.3">
      <c r="A374" s="40">
        <f>A373+'1.설계입력'!$C$12</f>
        <v>73.600000000000506</v>
      </c>
      <c r="B374" s="40">
        <f t="shared" si="15"/>
        <v>1.2845623294678354</v>
      </c>
      <c r="C374" s="40">
        <f>ATAN2('1.설계입력'!$C$6/('1.설계입력'!$C$8*'1.설계입력'!$C$15)-COS((1-'1.설계입력'!$C$15)*B374),SIN((1-'1.설계입력'!$C$15)*B374))</f>
        <v>0.41290720168186623</v>
      </c>
      <c r="D374" s="40">
        <f>'1.설계입력'!$C$6*COS(B374)-'1.설계입력'!$C$7*COS(B374+C374)-'1.설계입력'!$C$8*COS('1.설계입력'!$C$15*B374)</f>
        <v>22.999781571123169</v>
      </c>
      <c r="E374" s="40">
        <f>-'1.설계입력'!$C$6*SIN(B374)+'1.설계입력'!$C$7*SIN(B374+C374)+'1.설계입력'!$C$8*SIN('1.설계입력'!$C$15*B374)</f>
        <v>-73.347604154293919</v>
      </c>
      <c r="F374" s="40">
        <f>ATAN2(('1.설계입력'!$C$6+'1.설계입력'!$C$33)/('1.설계입력'!$C$8*'1.설계입력'!$C$15)-COS((1-'1.설계입력'!$C$15)*B374),SIN((1-'1.설계입력'!$C$15)*B374))</f>
        <v>0.41295709323791602</v>
      </c>
      <c r="G374" s="40">
        <f>('1.설계입력'!$C$6+'1.설계입력'!$C$33)*COS(B374)-('1.설계입력'!$C$7+'1.설계입력'!$C$34)*COS(B374+F374)-'1.설계입력'!$C$8*COS('1.설계입력'!$C$15*B374)</f>
        <v>23.000127991225632</v>
      </c>
      <c r="H374" s="40">
        <f>-('1.설계입력'!$C$6+'1.설계입력'!$C$33)*SIN(B374)+('1.설계입력'!$C$7+'1.설계입력'!$C$34)*SIN(B374+F374)+'1.설계입력'!$C$8*SIN('1.설계입력'!$C$15*B374)</f>
        <v>-73.336620448972141</v>
      </c>
      <c r="I374" s="40">
        <f t="shared" si="16"/>
        <v>76.869115953641426</v>
      </c>
      <c r="J374" s="40">
        <f t="shared" si="17"/>
        <v>76.858739167965538</v>
      </c>
      <c r="K374" s="38">
        <f>IF(OR(A374&gt;180,'1.설계입력'!$C$39&gt;=1),"",'1.설계입력'!$C$34*(1-SIN(B374)/SQRT(1+'1.설계입력'!$C$39^2-2*'1.설계입력'!$C$39*COS(B374)))-'1.설계입력'!$C$33*(1-'1.설계입력'!$C$39*COS(B374)-SQRT(MAX(0,1-'1.설계입력'!$C$39^2))*SIN(B374))/SQRT(1+'1.설계입력'!$C$39^2-2*'1.설계입력'!$C$39*COS(B374)))</f>
        <v>1.1732900598165289E-3</v>
      </c>
    </row>
    <row r="375" spans="1:11" x14ac:dyDescent="0.3">
      <c r="A375" s="40">
        <f>A374+'1.설계입력'!$C$12</f>
        <v>73.800000000000509</v>
      </c>
      <c r="B375" s="40">
        <f t="shared" si="15"/>
        <v>1.2880529879718241</v>
      </c>
      <c r="C375" s="40">
        <f>ATAN2('1.설계입력'!$C$6/('1.설계입력'!$C$8*'1.설계입력'!$C$15)-COS((1-'1.설계입력'!$C$15)*B375),SIN((1-'1.설계입력'!$C$15)*B375))</f>
        <v>8.5342777045148824E-2</v>
      </c>
      <c r="D375" s="40">
        <f>'1.설계입력'!$C$6*COS(B375)-'1.설계입력'!$C$7*COS(B375+C375)-'1.설계입력'!$C$8*COS('1.설계입력'!$C$15*B375)</f>
        <v>21.62926104393534</v>
      </c>
      <c r="E375" s="40">
        <f>-'1.설계입력'!$C$6*SIN(B375)+'1.설계입력'!$C$7*SIN(B375+C375)+'1.설계입력'!$C$8*SIN('1.설계입력'!$C$15*B375)</f>
        <v>-73.3951786721872</v>
      </c>
      <c r="F375" s="40">
        <f>ATAN2(('1.설계입력'!$C$6+'1.설계입력'!$C$33)/('1.설계입력'!$C$8*'1.설계입력'!$C$15)-COS((1-'1.설계입력'!$C$15)*B375),SIN((1-'1.설계입력'!$C$15)*B375))</f>
        <v>8.5354729898528339E-2</v>
      </c>
      <c r="G375" s="40">
        <f>('1.설계입력'!$C$6+'1.설계입력'!$C$33)*COS(B375)-('1.설계입력'!$C$7+'1.설계입력'!$C$34)*COS(B375+F375)-'1.설계입력'!$C$8*COS('1.설계입력'!$C$15*B375)</f>
        <v>21.626854568978484</v>
      </c>
      <c r="H375" s="40">
        <f>-('1.설계입력'!$C$6+'1.설계입력'!$C$33)*SIN(B375)+('1.설계입력'!$C$7+'1.설계입력'!$C$34)*SIN(B375+F375)+'1.설계입력'!$C$8*SIN('1.설계입력'!$C$15*B375)</f>
        <v>-73.384249670702914</v>
      </c>
      <c r="I375" s="40">
        <f t="shared" si="16"/>
        <v>76.515862313829942</v>
      </c>
      <c r="J375" s="40">
        <f t="shared" si="17"/>
        <v>76.504698798699977</v>
      </c>
      <c r="K375" s="38">
        <f>IF(OR(A375&gt;180,'1.설계입력'!$C$39&gt;=1),"",'1.설계입력'!$C$34*(1-SIN(B375)/SQRT(1+'1.설계입력'!$C$39^2-2*'1.설계입력'!$C$39*COS(B375)))-'1.설계입력'!$C$33*(1-'1.설계입력'!$C$39*COS(B375)-SQRT(MAX(0,1-'1.설계입력'!$C$39^2))*SIN(B375))/SQRT(1+'1.설계입력'!$C$39^2-2*'1.설계입력'!$C$39*COS(B375)))</f>
        <v>1.1861061968204772E-3</v>
      </c>
    </row>
    <row r="376" spans="1:11" x14ac:dyDescent="0.3">
      <c r="A376" s="40">
        <f>A375+'1.설계입력'!$C$12</f>
        <v>74.000000000000512</v>
      </c>
      <c r="B376" s="40">
        <f t="shared" si="15"/>
        <v>1.2915436464758128</v>
      </c>
      <c r="C376" s="40">
        <f>ATAN2('1.설계입력'!$C$6/('1.설계입력'!$C$8*'1.설계입력'!$C$15)-COS((1-'1.설계입력'!$C$15)*B376),SIN((1-'1.설계입력'!$C$15)*B376))</f>
        <v>-0.273825635879276</v>
      </c>
      <c r="D376" s="40">
        <f>'1.설계입력'!$C$6*COS(B376)-'1.설계입력'!$C$7*COS(B376+C376)-'1.설계입력'!$C$8*COS('1.설계입력'!$C$15*B376)</f>
        <v>20.240554557159125</v>
      </c>
      <c r="E376" s="40">
        <f>-'1.설계입력'!$C$6*SIN(B376)+'1.설계입력'!$C$7*SIN(B376+C376)+'1.설계입력'!$C$8*SIN('1.설계입력'!$C$15*B376)</f>
        <v>-73.942601482359478</v>
      </c>
      <c r="F376" s="40">
        <f>ATAN2(('1.설계입력'!$C$6+'1.설계입력'!$C$33)/('1.설계입력'!$C$8*'1.설계입력'!$C$15)-COS((1-'1.설계입력'!$C$15)*B376),SIN((1-'1.설계입력'!$C$15)*B376))</f>
        <v>-0.27386178503692976</v>
      </c>
      <c r="G376" s="40">
        <f>('1.설계입력'!$C$6+'1.설계입력'!$C$33)*COS(B376)-('1.설계입력'!$C$7+'1.설계입력'!$C$34)*COS(B376+F376)-'1.설계입력'!$C$8*COS('1.설계입력'!$C$15*B376)</f>
        <v>20.235321791028237</v>
      </c>
      <c r="H376" s="40">
        <f>-('1.설계입력'!$C$6+'1.설계입력'!$C$33)*SIN(B376)+('1.설계입력'!$C$7+'1.설계입력'!$C$34)*SIN(B376+F376)+'1.설계입력'!$C$8*SIN('1.설계입력'!$C$15*B376)</f>
        <v>-73.932805302010422</v>
      </c>
      <c r="I376" s="40">
        <f t="shared" si="16"/>
        <v>76.662822559310754</v>
      </c>
      <c r="J376" s="40">
        <f t="shared" si="17"/>
        <v>76.651992458196688</v>
      </c>
      <c r="K376" s="38">
        <f>IF(OR(A376&gt;180,'1.설계입력'!$C$39&gt;=1),"",'1.설계입력'!$C$34*(1-SIN(B376)/SQRT(1+'1.설계입력'!$C$39^2-2*'1.설계입력'!$C$39*COS(B376)))-'1.설계입력'!$C$33*(1-'1.설계입력'!$C$39*COS(B376)-SQRT(MAX(0,1-'1.설계입력'!$C$39^2))*SIN(B376))/SQRT(1+'1.설계입력'!$C$39^2-2*'1.설계입력'!$C$39*COS(B376)))</f>
        <v>1.1989687923008936E-3</v>
      </c>
    </row>
    <row r="377" spans="1:11" x14ac:dyDescent="0.3">
      <c r="A377" s="40">
        <f>A376+'1.설계입력'!$C$12</f>
        <v>74.200000000000514</v>
      </c>
      <c r="B377" s="40">
        <f t="shared" si="15"/>
        <v>1.2950343049798014</v>
      </c>
      <c r="C377" s="40">
        <f>ATAN2('1.설계입력'!$C$6/('1.설계입력'!$C$8*'1.설계입력'!$C$15)-COS((1-'1.설계입력'!$C$15)*B377),SIN((1-'1.설계입력'!$C$15)*B377))</f>
        <v>-0.54267331614675762</v>
      </c>
      <c r="D377" s="40">
        <f>'1.설계입력'!$C$6*COS(B377)-'1.설계입력'!$C$7*COS(B377+C377)-'1.설계입력'!$C$8*COS('1.설계입력'!$C$15*B377)</f>
        <v>19.354321054055941</v>
      </c>
      <c r="E377" s="40">
        <f>-'1.설계입력'!$C$6*SIN(B377)+'1.설계입력'!$C$7*SIN(B377+C377)+'1.설계입력'!$C$8*SIN('1.설계입력'!$C$15*B377)</f>
        <v>-74.669331757475717</v>
      </c>
      <c r="F377" s="40">
        <f>ATAN2(('1.설계입력'!$C$6+'1.설계입력'!$C$33)/('1.설계입력'!$C$8*'1.설계입력'!$C$15)-COS((1-'1.설계입력'!$C$15)*B377),SIN((1-'1.설계입력'!$C$15)*B377))</f>
        <v>-0.54273108859253361</v>
      </c>
      <c r="G377" s="40">
        <f>('1.설계입력'!$C$6+'1.설계입력'!$C$33)*COS(B377)-('1.설계입력'!$C$7+'1.설계입력'!$C$34)*COS(B377+F377)-'1.설계입력'!$C$8*COS('1.설계입력'!$C$15*B377)</f>
        <v>19.347405124199614</v>
      </c>
      <c r="H377" s="40">
        <f>-('1.설계입력'!$C$6+'1.설계입력'!$C$33)*SIN(B377)+('1.설계입력'!$C$7+'1.설계입력'!$C$34)*SIN(B377+F377)+'1.설계입력'!$C$8*SIN('1.설계입력'!$C$15*B377)</f>
        <v>-74.660982689980457</v>
      </c>
      <c r="I377" s="40">
        <f t="shared" si="16"/>
        <v>77.136883840167172</v>
      </c>
      <c r="J377" s="40">
        <f t="shared" si="17"/>
        <v>77.127066722866275</v>
      </c>
      <c r="K377" s="38">
        <f>IF(OR(A377&gt;180,'1.설계입력'!$C$39&gt;=1),"",'1.설계입력'!$C$34*(1-SIN(B377)/SQRT(1+'1.설계입력'!$C$39^2-2*'1.설계입력'!$C$39*COS(B377)))-'1.설계입력'!$C$33*(1-'1.설계입력'!$C$39*COS(B377)-SQRT(MAX(0,1-'1.설계입력'!$C$39^2))*SIN(B377))/SQRT(1+'1.설계입력'!$C$39^2-2*'1.설계입력'!$C$39*COS(B377)))</f>
        <v>1.211877599146355E-3</v>
      </c>
    </row>
    <row r="378" spans="1:11" x14ac:dyDescent="0.3">
      <c r="A378" s="40">
        <f>A377+'1.설계입력'!$C$12</f>
        <v>74.400000000000517</v>
      </c>
      <c r="B378" s="40">
        <f t="shared" si="15"/>
        <v>1.2985249634837903</v>
      </c>
      <c r="C378" s="40">
        <f>ATAN2('1.설계입력'!$C$6/('1.설계입력'!$C$8*'1.설계입력'!$C$15)-COS((1-'1.설계입력'!$C$15)*B378),SIN((1-'1.설계입력'!$C$15)*B378))</f>
        <v>-0.7001834507689445</v>
      </c>
      <c r="D378" s="40">
        <f>'1.설계입력'!$C$6*COS(B378)-'1.설계입력'!$C$7*COS(B378+C378)-'1.설계입력'!$C$8*COS('1.설계입력'!$C$15*B378)</f>
        <v>18.903134258282787</v>
      </c>
      <c r="E378" s="40">
        <f>-'1.설계입력'!$C$6*SIN(B378)+'1.설계입력'!$C$7*SIN(B378+C378)+'1.설계입력'!$C$8*SIN('1.설계입력'!$C$15*B378)</f>
        <v>-75.234456078946877</v>
      </c>
      <c r="F378" s="40">
        <f>ATAN2(('1.설계입력'!$C$6+'1.설계입력'!$C$33)/('1.설계입력'!$C$8*'1.설계입력'!$C$15)-COS((1-'1.설계입력'!$C$15)*B378),SIN((1-'1.설계입력'!$C$15)*B378))</f>
        <v>-0.70024172816352581</v>
      </c>
      <c r="G378" s="40">
        <f>('1.설계입력'!$C$6+'1.설계입력'!$C$33)*COS(B378)-('1.설계입력'!$C$7+'1.설계입력'!$C$34)*COS(B378+F378)-'1.설계입력'!$C$8*COS('1.설계입력'!$C$15*B378)</f>
        <v>18.89547624771863</v>
      </c>
      <c r="H378" s="40">
        <f>-('1.설계입력'!$C$6+'1.설계입력'!$C$33)*SIN(B378)+('1.설계입력'!$C$7+'1.설계입력'!$C$34)*SIN(B378+F378)+'1.설계입력'!$C$8*SIN('1.설계입력'!$C$15*B378)</f>
        <v>-75.227100770130889</v>
      </c>
      <c r="I378" s="40">
        <f t="shared" si="16"/>
        <v>77.572880997689211</v>
      </c>
      <c r="J378" s="40">
        <f t="shared" si="17"/>
        <v>77.563881497173199</v>
      </c>
      <c r="K378" s="38">
        <f>IF(OR(A378&gt;180,'1.설계입력'!$C$39&gt;=1),"",'1.설계입력'!$C$34*(1-SIN(B378)/SQRT(1+'1.설계입력'!$C$39^2-2*'1.설계입력'!$C$39*COS(B378)))-'1.설계입력'!$C$33*(1-'1.설계입력'!$C$39*COS(B378)-SQRT(MAX(0,1-'1.설계입력'!$C$39^2))*SIN(B378))/SQRT(1+'1.설계입력'!$C$39^2-2*'1.설계입력'!$C$39*COS(B378)))</f>
        <v>1.2248323724176511E-3</v>
      </c>
    </row>
    <row r="379" spans="1:11" x14ac:dyDescent="0.3">
      <c r="A379" s="40">
        <f>A378+'1.설계입력'!$C$12</f>
        <v>74.60000000000052</v>
      </c>
      <c r="B379" s="40">
        <f t="shared" si="15"/>
        <v>1.302015621987779</v>
      </c>
      <c r="C379" s="40">
        <f>ATAN2('1.설계입력'!$C$6/('1.설계입력'!$C$8*'1.설계입력'!$C$15)-COS((1-'1.설계입력'!$C$15)*B379),SIN((1-'1.설계입력'!$C$15)*B379))</f>
        <v>-0.78078617049848809</v>
      </c>
      <c r="D379" s="40">
        <f>'1.설계입력'!$C$6*COS(B379)-'1.설계입력'!$C$7*COS(B379+C379)-'1.설계입력'!$C$8*COS('1.설계입력'!$C$15*B379)</f>
        <v>18.669653941598835</v>
      </c>
      <c r="E379" s="40">
        <f>-'1.설계입력'!$C$6*SIN(B379)+'1.설계입력'!$C$7*SIN(B379+C379)+'1.설계입력'!$C$8*SIN('1.설계입력'!$C$15*B379)</f>
        <v>-75.608592743271132</v>
      </c>
      <c r="F379" s="40">
        <f>ATAN2(('1.설계입력'!$C$6+'1.설계입력'!$C$33)/('1.설계입력'!$C$8*'1.설계입력'!$C$15)-COS((1-'1.설계입력'!$C$15)*B379),SIN((1-'1.설계입력'!$C$15)*B379))</f>
        <v>-0.78083831187473374</v>
      </c>
      <c r="G379" s="40">
        <f>('1.설계입력'!$C$6+'1.설계입력'!$C$33)*COS(B379)-('1.설계입력'!$C$7+'1.설계입력'!$C$34)*COS(B379+F379)-'1.설계입력'!$C$8*COS('1.설계입력'!$C$15*B379)</f>
        <v>18.661702275713715</v>
      </c>
      <c r="H379" s="40">
        <f>-('1.설계입력'!$C$6+'1.설계입력'!$C$33)*SIN(B379)+('1.설계입력'!$C$7+'1.설계입력'!$C$34)*SIN(B379+F379)+'1.설계입력'!$C$8*SIN('1.설계입력'!$C$15*B379)</f>
        <v>-75.601751917790608</v>
      </c>
      <c r="I379" s="40">
        <f t="shared" si="16"/>
        <v>77.879492004743383</v>
      </c>
      <c r="J379" s="40">
        <f t="shared" si="17"/>
        <v>77.870944676859637</v>
      </c>
      <c r="K379" s="38">
        <f>IF(OR(A379&gt;180,'1.설계입력'!$C$39&gt;=1),"",'1.설계입력'!$C$34*(1-SIN(B379)/SQRT(1+'1.설계입력'!$C$39^2-2*'1.설계입력'!$C$39*COS(B379)))-'1.설계입력'!$C$33*(1-'1.설계입력'!$C$39*COS(B379)-SQRT(MAX(0,1-'1.설계입력'!$C$39^2))*SIN(B379))/SQRT(1+'1.설계입력'!$C$39^2-2*'1.설계입력'!$C$39*COS(B379)))</f>
        <v>1.2378328693173745E-3</v>
      </c>
    </row>
    <row r="380" spans="1:11" x14ac:dyDescent="0.3">
      <c r="A380" s="40">
        <f>A379+'1.설계입력'!$C$12</f>
        <v>74.800000000000523</v>
      </c>
      <c r="B380" s="40">
        <f t="shared" si="15"/>
        <v>1.3055062804917676</v>
      </c>
      <c r="C380" s="40">
        <f>ATAN2('1.설계입력'!$C$6/('1.설계입력'!$C$8*'1.설계입력'!$C$15)-COS((1-'1.설계입력'!$C$15)*B380),SIN((1-'1.설계입력'!$C$15)*B380))</f>
        <v>-0.81472602006466133</v>
      </c>
      <c r="D380" s="40">
        <f>'1.설계입력'!$C$6*COS(B380)-'1.설계입력'!$C$7*COS(B380+C380)-'1.설계입력'!$C$8*COS('1.설계입력'!$C$15*B380)</f>
        <v>18.533561021450694</v>
      </c>
      <c r="E380" s="40">
        <f>-'1.설계입력'!$C$6*SIN(B380)+'1.설계입력'!$C$7*SIN(B380+C380)+'1.설계입력'!$C$8*SIN('1.설계입력'!$C$15*B380)</f>
        <v>-75.855319987862117</v>
      </c>
      <c r="F380" s="40">
        <f>ATAN2(('1.설계입력'!$C$6+'1.설계입력'!$C$33)/('1.설계입력'!$C$8*'1.설계입력'!$C$15)-COS((1-'1.설계입력'!$C$15)*B380),SIN((1-'1.설계입력'!$C$15)*B380))</f>
        <v>-0.81477125483768853</v>
      </c>
      <c r="G380" s="40">
        <f>('1.설계입력'!$C$6+'1.설계입력'!$C$33)*COS(B380)-('1.설계입력'!$C$7+'1.설계입력'!$C$34)*COS(B380+F380)-'1.설계입력'!$C$8*COS('1.설계입력'!$C$15*B380)</f>
        <v>18.525518867188485</v>
      </c>
      <c r="H380" s="40">
        <f>-('1.설계입력'!$C$6+'1.설계입력'!$C$33)*SIN(B380)+('1.설계입력'!$C$7+'1.설계입력'!$C$34)*SIN(B380+F380)+'1.설계입력'!$C$8*SIN('1.설계입력'!$C$15*B380)</f>
        <v>-75.848670698857021</v>
      </c>
      <c r="I380" s="40">
        <f t="shared" si="16"/>
        <v>78.086634289081715</v>
      </c>
      <c r="J380" s="40">
        <f t="shared" si="17"/>
        <v>78.078266477184343</v>
      </c>
      <c r="K380" s="38">
        <f>IF(OR(A380&gt;180,'1.설계입력'!$C$39&gt;=1),"",'1.설계입력'!$C$34*(1-SIN(B380)/SQRT(1+'1.설계입력'!$C$39^2-2*'1.설계입력'!$C$39*COS(B380)))-'1.설계입력'!$C$33*(1-'1.설계입력'!$C$39*COS(B380)-SQRT(MAX(0,1-'1.설계입력'!$C$39^2))*SIN(B380))/SQRT(1+'1.설계입력'!$C$39^2-2*'1.설계입력'!$C$39*COS(B380)))</f>
        <v>1.250878849159958E-3</v>
      </c>
    </row>
    <row r="381" spans="1:11" x14ac:dyDescent="0.3">
      <c r="A381" s="40">
        <f>A380+'1.설계입력'!$C$12</f>
        <v>75.000000000000526</v>
      </c>
      <c r="B381" s="40">
        <f t="shared" si="15"/>
        <v>1.3089969389957563</v>
      </c>
      <c r="C381" s="40">
        <f>ATAN2('1.설계입력'!$C$6/('1.설계입력'!$C$8*'1.설계입력'!$C$15)-COS((1-'1.설계입력'!$C$15)*B381),SIN((1-'1.설계입력'!$C$15)*B381))</f>
        <v>-0.82017454861961181</v>
      </c>
      <c r="D381" s="40">
        <f>'1.설계입력'!$C$6*COS(B381)-'1.설계입력'!$C$7*COS(B381+C381)-'1.설계입력'!$C$8*COS('1.설계입력'!$C$15*B381)</f>
        <v>18.441615857353121</v>
      </c>
      <c r="E381" s="40">
        <f>-'1.설계입력'!$C$6*SIN(B381)+'1.설계입력'!$C$7*SIN(B381+C381)+'1.설계입력'!$C$8*SIN('1.설계입력'!$C$15*B381)</f>
        <v>-76.02853357633947</v>
      </c>
      <c r="F381" s="40">
        <f>ATAN2(('1.설계입력'!$C$6+'1.설계입력'!$C$33)/('1.설계입력'!$C$8*'1.설계입력'!$C$15)-COS((1-'1.설계입력'!$C$15)*B381),SIN((1-'1.설계입력'!$C$15)*B381))</f>
        <v>-0.82021362287629485</v>
      </c>
      <c r="G381" s="40">
        <f>('1.설계입력'!$C$6+'1.설계입력'!$C$33)*COS(B381)-('1.설계입력'!$C$7+'1.설계입력'!$C$34)*COS(B381+F381)-'1.설계입력'!$C$8*COS('1.설계입력'!$C$15*B381)</f>
        <v>18.433588597085176</v>
      </c>
      <c r="H381" s="40">
        <f>-('1.설계입력'!$C$6+'1.설계입력'!$C$33)*SIN(B381)+('1.설계입력'!$C$7+'1.설계입력'!$C$34)*SIN(B381+F381)+'1.설계입력'!$C$8*SIN('1.설계입력'!$C$15*B381)</f>
        <v>-76.021873828879095</v>
      </c>
      <c r="I381" s="40">
        <f t="shared" si="16"/>
        <v>78.233184219989127</v>
      </c>
      <c r="J381" s="40">
        <f t="shared" si="17"/>
        <v>78.224820159720409</v>
      </c>
      <c r="K381" s="38">
        <f>IF(OR(A381&gt;180,'1.설계입력'!$C$39&gt;=1),"",'1.설계입력'!$C$34*(1-SIN(B381)/SQRT(1+'1.설계입력'!$C$39^2-2*'1.설계입력'!$C$39*COS(B381)))-'1.설계입력'!$C$33*(1-'1.설계입력'!$C$39*COS(B381)-SQRT(MAX(0,1-'1.설계입력'!$C$39^2))*SIN(B381))/SQRT(1+'1.설계입력'!$C$39^2-2*'1.설계입력'!$C$39*COS(B381)))</f>
        <v>1.2639700733422248E-3</v>
      </c>
    </row>
    <row r="382" spans="1:11" x14ac:dyDescent="0.3">
      <c r="A382" s="40">
        <f>A381+'1.설계입력'!$C$12</f>
        <v>75.200000000000529</v>
      </c>
      <c r="B382" s="40">
        <f t="shared" si="15"/>
        <v>1.312487597499745</v>
      </c>
      <c r="C382" s="40">
        <f>ATAN2('1.설계입력'!$C$6/('1.설계입력'!$C$8*'1.설계입력'!$C$15)-COS((1-'1.설계입력'!$C$15)*B382),SIN((1-'1.설계입력'!$C$15)*B382))</f>
        <v>-0.80750570064689775</v>
      </c>
      <c r="D382" s="40">
        <f>'1.설계입력'!$C$6*COS(B382)-'1.설계입력'!$C$7*COS(B382+C382)-'1.설계입력'!$C$8*COS('1.설계입력'!$C$15*B382)</f>
        <v>18.369311432842707</v>
      </c>
      <c r="E382" s="40">
        <f>-'1.설계입력'!$C$6*SIN(B382)+'1.설계입력'!$C$7*SIN(B382+C382)+'1.설계입력'!$C$8*SIN('1.설계입력'!$C$15*B382)</f>
        <v>-76.162335347826556</v>
      </c>
      <c r="F382" s="40">
        <f>ATAN2(('1.설계입력'!$C$6+'1.설계입력'!$C$33)/('1.설계입력'!$C$8*'1.설계입력'!$C$15)-COS((1-'1.설계입력'!$C$15)*B382),SIN((1-'1.설계입력'!$C$15)*B382))</f>
        <v>-0.80753956762085521</v>
      </c>
      <c r="G382" s="40">
        <f>('1.설계입력'!$C$6+'1.설계입력'!$C$33)*COS(B382)-('1.설계입력'!$C$7+'1.설계입력'!$C$34)*COS(B382+F382)-'1.설계입력'!$C$8*COS('1.설계입력'!$C$15*B382)</f>
        <v>18.361364897875212</v>
      </c>
      <c r="H382" s="40">
        <f>-('1.설계입력'!$C$6+'1.설계입력'!$C$33)*SIN(B382)+('1.설계입력'!$C$7+'1.설계입력'!$C$34)*SIN(B382+F382)+'1.설계입력'!$C$8*SIN('1.설계입력'!$C$15*B382)</f>
        <v>-76.155538283813001</v>
      </c>
      <c r="I382" s="40">
        <f t="shared" si="16"/>
        <v>78.346237485609706</v>
      </c>
      <c r="J382" s="40">
        <f t="shared" si="17"/>
        <v>78.337766959559374</v>
      </c>
      <c r="K382" s="38">
        <f>IF(OR(A382&gt;180,'1.설계입력'!$C$39&gt;=1),"",'1.설계입력'!$C$34*(1-SIN(B382)/SQRT(1+'1.설계입력'!$C$39^2-2*'1.설계입력'!$C$39*COS(B382)))-'1.설계입력'!$C$33*(1-'1.설계입력'!$C$39*COS(B382)-SQRT(MAX(0,1-'1.설계입력'!$C$39^2))*SIN(B382))/SQRT(1+'1.설계입력'!$C$39^2-2*'1.설계입력'!$C$39*COS(B382)))</f>
        <v>1.2771063053143626E-3</v>
      </c>
    </row>
    <row r="383" spans="1:11" x14ac:dyDescent="0.3">
      <c r="A383" s="40">
        <f>A382+'1.설계입력'!$C$12</f>
        <v>75.400000000000531</v>
      </c>
      <c r="B383" s="40">
        <f t="shared" si="15"/>
        <v>1.3159782560037339</v>
      </c>
      <c r="C383" s="40">
        <f>ATAN2('1.설계입력'!$C$6/('1.설계입력'!$C$8*'1.설계입력'!$C$15)-COS((1-'1.설계입력'!$C$15)*B383),SIN((1-'1.설계입력'!$C$15)*B383))</f>
        <v>-0.78279418385583255</v>
      </c>
      <c r="D383" s="40">
        <f>'1.설계입력'!$C$6*COS(B383)-'1.설계입력'!$C$7*COS(B383+C383)-'1.설계입력'!$C$8*COS('1.설계입력'!$C$15*B383)</f>
        <v>18.303924896836424</v>
      </c>
      <c r="E383" s="40">
        <f>-'1.설계입력'!$C$6*SIN(B383)+'1.설계입력'!$C$7*SIN(B383+C383)+'1.설계입력'!$C$8*SIN('1.설계입력'!$C$15*B383)</f>
        <v>-76.277052368237946</v>
      </c>
      <c r="F383" s="40">
        <f>ATAN2(('1.설계입력'!$C$6+'1.설계입력'!$C$33)/('1.설계입력'!$C$8*'1.설계입력'!$C$15)-COS((1-'1.설계입력'!$C$15)*B383),SIN((1-'1.설계입력'!$C$15)*B383))</f>
        <v>-0.78282368242059241</v>
      </c>
      <c r="G383" s="40">
        <f>('1.설계입력'!$C$6+'1.설계입력'!$C$33)*COS(B383)-('1.설계입력'!$C$7+'1.설계입력'!$C$34)*COS(B383+F383)-'1.설계입력'!$C$8*COS('1.설계입력'!$C$15*B383)</f>
        <v>18.296107724329211</v>
      </c>
      <c r="H383" s="40">
        <f>-('1.설계입력'!$C$6+'1.설계입력'!$C$33)*SIN(B383)+('1.설계입력'!$C$7+'1.설계입력'!$C$34)*SIN(B383+F383)+'1.설계입력'!$C$8*SIN('1.설계입력'!$C$15*B383)</f>
        <v>-76.270037240390508</v>
      </c>
      <c r="I383" s="40">
        <f t="shared" si="16"/>
        <v>78.442478190174128</v>
      </c>
      <c r="J383" s="40">
        <f t="shared" si="17"/>
        <v>78.433832868927254</v>
      </c>
      <c r="K383" s="38">
        <f>IF(OR(A383&gt;180,'1.설계입력'!$C$39&gt;=1),"",'1.설계입력'!$C$34*(1-SIN(B383)/SQRT(1+'1.설계입력'!$C$39^2-2*'1.설계입력'!$C$39*COS(B383)))-'1.설계입력'!$C$33*(1-'1.설계입력'!$C$39*COS(B383)-SQRT(MAX(0,1-'1.설계입력'!$C$39^2))*SIN(B383))/SQRT(1+'1.설계입력'!$C$39^2-2*'1.설계입력'!$C$39*COS(B383)))</f>
        <v>1.290287310551386E-3</v>
      </c>
    </row>
    <row r="384" spans="1:11" x14ac:dyDescent="0.3">
      <c r="A384" s="40">
        <f>A383+'1.설계입력'!$C$12</f>
        <v>75.600000000000534</v>
      </c>
      <c r="B384" s="40">
        <f t="shared" si="15"/>
        <v>1.3194689145077225</v>
      </c>
      <c r="C384" s="40">
        <f>ATAN2('1.설계입력'!$C$6/('1.설계입력'!$C$8*'1.설계입력'!$C$15)-COS((1-'1.설계입력'!$C$15)*B384),SIN((1-'1.설계입력'!$C$15)*B384))</f>
        <v>-0.74975234193836104</v>
      </c>
      <c r="D384" s="40">
        <f>'1.설계입력'!$C$6*COS(B384)-'1.설계입력'!$C$7*COS(B384+C384)-'1.설계입력'!$C$8*COS('1.설계입력'!$C$15*B384)</f>
        <v>18.237880687600644</v>
      </c>
      <c r="E384" s="40">
        <f>-'1.설계입력'!$C$6*SIN(B384)+'1.설계입력'!$C$7*SIN(B384+C384)+'1.설계입력'!$C$8*SIN('1.설계입력'!$C$15*B384)</f>
        <v>-76.384567697180486</v>
      </c>
      <c r="F384" s="40">
        <f>ATAN2(('1.설계입력'!$C$6+'1.설계입력'!$C$33)/('1.설계입력'!$C$8*'1.설계입력'!$C$15)-COS((1-'1.설계입력'!$C$15)*B384),SIN((1-'1.설계입력'!$C$15)*B384))</f>
        <v>-0.7497781479869724</v>
      </c>
      <c r="G384" s="40">
        <f>('1.설계입력'!$C$6+'1.설계입력'!$C$33)*COS(B384)-('1.설계입력'!$C$7+'1.설계입력'!$C$34)*COS(B384+F384)-'1.설계입력'!$C$8*COS('1.설계입력'!$C$15*B384)</f>
        <v>18.23023332238348</v>
      </c>
      <c r="H384" s="40">
        <f>-('1.설계입력'!$C$6+'1.설계입력'!$C$33)*SIN(B384)+('1.설계입력'!$C$7+'1.설계입력'!$C$34)*SIN(B384+F384)+'1.설계입력'!$C$8*SIN('1.설계입력'!$C$15*B384)</f>
        <v>-76.377283099833988</v>
      </c>
      <c r="I384" s="40">
        <f t="shared" si="16"/>
        <v>78.531665423956881</v>
      </c>
      <c r="J384" s="40">
        <f t="shared" si="17"/>
        <v>78.522804208081666</v>
      </c>
      <c r="K384" s="38">
        <f>IF(OR(A384&gt;180,'1.설계입력'!$C$39&gt;=1),"",'1.설계입력'!$C$34*(1-SIN(B384)/SQRT(1+'1.설계입력'!$C$39^2-2*'1.설계입력'!$C$39*COS(B384)))-'1.설계입력'!$C$33*(1-'1.설계입력'!$C$39*COS(B384)-SQRT(MAX(0,1-'1.설계입력'!$C$39^2))*SIN(B384))/SQRT(1+'1.설계입력'!$C$39^2-2*'1.설계입력'!$C$39*COS(B384)))</f>
        <v>1.3035128565250294E-3</v>
      </c>
    </row>
    <row r="385" spans="1:11" x14ac:dyDescent="0.3">
      <c r="A385" s="40">
        <f>A384+'1.설계입력'!$C$12</f>
        <v>75.800000000000537</v>
      </c>
      <c r="B385" s="40">
        <f t="shared" si="15"/>
        <v>1.3229595730117112</v>
      </c>
      <c r="C385" s="40">
        <f>ATAN2('1.설계입력'!$C$6/('1.설계입력'!$C$8*'1.설계입력'!$C$15)-COS((1-'1.설계입력'!$C$15)*B385),SIN((1-'1.설계입력'!$C$15)*B385))</f>
        <v>-0.71074964848021827</v>
      </c>
      <c r="D385" s="40">
        <f>'1.설계입력'!$C$6*COS(B385)-'1.설계입력'!$C$7*COS(B385+C385)-'1.설계입력'!$C$8*COS('1.설계입력'!$C$15*B385)</f>
        <v>18.166106937195103</v>
      </c>
      <c r="E385" s="40">
        <f>-'1.설계입력'!$C$6*SIN(B385)+'1.설계입력'!$C$7*SIN(B385+C385)+'1.설계입력'!$C$8*SIN('1.설계입력'!$C$15*B385)</f>
        <v>-76.491601667170983</v>
      </c>
      <c r="F385" s="40">
        <f>ATAN2(('1.설계입력'!$C$6+'1.설계입력'!$C$33)/('1.설계입력'!$C$8*'1.설계입력'!$C$15)-COS((1-'1.설계입력'!$C$15)*B385),SIN((1-'1.설계입력'!$C$15)*B385))</f>
        <v>-0.7107722935297055</v>
      </c>
      <c r="G385" s="40">
        <f>('1.설계입력'!$C$6+'1.설계입력'!$C$33)*COS(B385)-('1.설계입력'!$C$7+'1.설계입력'!$C$34)*COS(B385+F385)-'1.설계입력'!$C$8*COS('1.설계입력'!$C$15*B385)</f>
        <v>18.158665447144632</v>
      </c>
      <c r="H385" s="40">
        <f>-('1.설계입력'!$C$6+'1.설계입력'!$C$33)*SIN(B385)+('1.설계입력'!$C$7+'1.설계입력'!$C$34)*SIN(B385+F385)+'1.설계입력'!$C$8*SIN('1.설계입력'!$C$15*B385)</f>
        <v>-76.484015779210566</v>
      </c>
      <c r="I385" s="40">
        <f t="shared" si="16"/>
        <v>78.619161575679257</v>
      </c>
      <c r="J385" s="40">
        <f t="shared" si="17"/>
        <v>78.610061700369215</v>
      </c>
      <c r="K385" s="38">
        <f>IF(OR(A385&gt;180,'1.설계입력'!$C$39&gt;=1),"",'1.설계입력'!$C$34*(1-SIN(B385)/SQRT(1+'1.설계입력'!$C$39^2-2*'1.설계입력'!$C$39*COS(B385)))-'1.설계입력'!$C$33*(1-'1.설계입력'!$C$39*COS(B385)-SQRT(MAX(0,1-'1.설계입력'!$C$39^2))*SIN(B385))/SQRT(1+'1.설계입력'!$C$39^2-2*'1.설계입력'!$C$39*COS(B385)))</f>
        <v>1.3167827126760831E-3</v>
      </c>
    </row>
    <row r="386" spans="1:11" x14ac:dyDescent="0.3">
      <c r="A386" s="40">
        <f>A385+'1.설계입력'!$C$12</f>
        <v>76.00000000000054</v>
      </c>
      <c r="B386" s="40">
        <f t="shared" si="15"/>
        <v>1.3264502315156999</v>
      </c>
      <c r="C386" s="40">
        <f>ATAN2('1.설계입력'!$C$6/('1.설계입력'!$C$8*'1.설계입력'!$C$15)-COS((1-'1.설계입력'!$C$15)*B386),SIN((1-'1.설계입력'!$C$15)*B386))</f>
        <v>-0.66735989529977591</v>
      </c>
      <c r="D386" s="40">
        <f>'1.설계입력'!$C$6*COS(B386)-'1.설계입력'!$C$7*COS(B386+C386)-'1.설계입력'!$C$8*COS('1.설계입력'!$C$15*B386)</f>
        <v>18.084935831305099</v>
      </c>
      <c r="E386" s="40">
        <f>-'1.설계입력'!$C$6*SIN(B386)+'1.설계입력'!$C$7*SIN(B386+C386)+'1.설계입력'!$C$8*SIN('1.설계입력'!$C$15*B386)</f>
        <v>-76.601627455338388</v>
      </c>
      <c r="F386" s="40">
        <f>ATAN2(('1.설계입력'!$C$6+'1.설계입력'!$C$33)/('1.설계입력'!$C$8*'1.설계입력'!$C$15)-COS((1-'1.설계입력'!$C$15)*B386),SIN((1-'1.설계입력'!$C$15)*B386))</f>
        <v>-0.66737979599795905</v>
      </c>
      <c r="G386" s="40">
        <f>('1.설계입력'!$C$6+'1.설계입력'!$C$33)*COS(B386)-('1.설계입력'!$C$7+'1.설계입력'!$C$34)*COS(B386+F386)-'1.설계입력'!$C$8*COS('1.설계입력'!$C$15*B386)</f>
        <v>18.077733574709967</v>
      </c>
      <c r="H386" s="40">
        <f>-('1.설계입력'!$C$6+'1.설계입력'!$C$33)*SIN(B386)+('1.설계입력'!$C$7+'1.설계입력'!$C$34)*SIN(B386+F386)+'1.설계입력'!$C$8*SIN('1.설계입력'!$C$15*B386)</f>
        <v>-76.593722172899135</v>
      </c>
      <c r="I386" s="40">
        <f t="shared" si="16"/>
        <v>78.707523355959282</v>
      </c>
      <c r="J386" s="40">
        <f t="shared" si="17"/>
        <v>78.698174867638812</v>
      </c>
      <c r="K386" s="38">
        <f>IF(OR(A386&gt;180,'1.설계입력'!$C$39&gt;=1),"",'1.설계입력'!$C$34*(1-SIN(B386)/SQRT(1+'1.설계입력'!$C$39^2-2*'1.설계입력'!$C$39*COS(B386)))-'1.설계입력'!$C$33*(1-'1.설계입력'!$C$39*COS(B386)-SQRT(MAX(0,1-'1.설계입력'!$C$39^2))*SIN(B386))/SQRT(1+'1.설계입력'!$C$39^2-2*'1.설계입력'!$C$39*COS(B386)))</f>
        <v>1.3300966503871723E-3</v>
      </c>
    </row>
    <row r="387" spans="1:11" x14ac:dyDescent="0.3">
      <c r="A387" s="40">
        <f>A386+'1.설계입력'!$C$12</f>
        <v>76.200000000000543</v>
      </c>
      <c r="B387" s="40">
        <f t="shared" si="15"/>
        <v>1.3299408900196885</v>
      </c>
      <c r="C387" s="40">
        <f>ATAN2('1.설계입력'!$C$6/('1.설계입력'!$C$8*'1.설계입력'!$C$15)-COS((1-'1.설계입력'!$C$15)*B387),SIN((1-'1.설계입력'!$C$15)*B387))</f>
        <v>-0.62066606893229759</v>
      </c>
      <c r="D387" s="40">
        <f>'1.설계입력'!$C$6*COS(B387)-'1.설계입력'!$C$7*COS(B387+C387)-'1.설계입력'!$C$8*COS('1.설계입력'!$C$15*B387)</f>
        <v>17.991627431947727</v>
      </c>
      <c r="E387" s="40">
        <f>-'1.설계입력'!$C$6*SIN(B387)+'1.설계입력'!$C$7*SIN(B387+C387)+'1.설계입력'!$C$8*SIN('1.설계입력'!$C$15*B387)</f>
        <v>-76.71600880982615</v>
      </c>
      <c r="F387" s="40">
        <f>ATAN2(('1.설계입력'!$C$6+'1.설계입력'!$C$33)/('1.설계입력'!$C$8*'1.설계입력'!$C$15)-COS((1-'1.설계입력'!$C$15)*B387),SIN((1-'1.설계입력'!$C$15)*B387))</f>
        <v>-0.62068355330504787</v>
      </c>
      <c r="G387" s="40">
        <f>('1.설계입력'!$C$6+'1.설계입력'!$C$33)*COS(B387)-('1.설계입력'!$C$7+'1.설계입력'!$C$34)*COS(B387+F387)-'1.설계입력'!$C$8*COS('1.설계입력'!$C$15*B387)</f>
        <v>17.984695778894128</v>
      </c>
      <c r="H387" s="40">
        <f>-('1.설계입력'!$C$6+'1.설계입력'!$C$33)*SIN(B387)+('1.설계입력'!$C$7+'1.설계입력'!$C$34)*SIN(B387+F387)+'1.설계입력'!$C$8*SIN('1.설계입력'!$C$15*B387)</f>
        <v>-76.707776074820018</v>
      </c>
      <c r="I387" s="40">
        <f t="shared" si="16"/>
        <v>78.797491491540114</v>
      </c>
      <c r="J387" s="40">
        <f t="shared" si="17"/>
        <v>78.78789369315632</v>
      </c>
      <c r="K387" s="38">
        <f>IF(OR(A387&gt;180,'1.설계입력'!$C$39&gt;=1),"",'1.설계입력'!$C$34*(1-SIN(B387)/SQRT(1+'1.설계입력'!$C$39^2-2*'1.설계입력'!$C$39*COS(B387)))-'1.설계입력'!$C$33*(1-'1.설계입력'!$C$39*COS(B387)-SQRT(MAX(0,1-'1.설계입력'!$C$39^2))*SIN(B387))/SQRT(1+'1.설계입력'!$C$39^2-2*'1.설계입력'!$C$39*COS(B387)))</f>
        <v>1.3434544429559473E-3</v>
      </c>
    </row>
    <row r="388" spans="1:11" x14ac:dyDescent="0.3">
      <c r="A388" s="40">
        <f>A387+'1.설계입력'!$C$12</f>
        <v>76.400000000000546</v>
      </c>
      <c r="B388" s="40">
        <f t="shared" si="15"/>
        <v>1.3334315485236774</v>
      </c>
      <c r="C388" s="40">
        <f>ATAN2('1.설계입력'!$C$6/('1.설계입력'!$C$8*'1.설계입력'!$C$15)-COS((1-'1.설계입력'!$C$15)*B388),SIN((1-'1.설계입력'!$C$15)*B388))</f>
        <v>-0.57143720274353704</v>
      </c>
      <c r="D388" s="40">
        <f>'1.설계입력'!$C$6*COS(B388)-'1.설계입력'!$C$7*COS(B388+C388)-'1.설계입력'!$C$8*COS('1.설계입력'!$C$15*B388)</f>
        <v>17.884156859447682</v>
      </c>
      <c r="E388" s="40">
        <f>-'1.설계입력'!$C$6*SIN(B388)+'1.설계입력'!$C$7*SIN(B388+C388)+'1.설계입력'!$C$8*SIN('1.설계입력'!$C$15*B388)</f>
        <v>-76.834704745910273</v>
      </c>
      <c r="F388" s="40">
        <f>ATAN2(('1.설계입력'!$C$6+'1.설계입력'!$C$33)/('1.설계입력'!$C$8*'1.설계입력'!$C$15)-COS((1-'1.설계입력'!$C$15)*B388),SIN((1-'1.설계입력'!$C$15)*B388))</f>
        <v>-0.57145253074740143</v>
      </c>
      <c r="G388" s="40">
        <f>('1.설계입력'!$C$6+'1.설계입력'!$C$33)*COS(B388)-('1.설계입력'!$C$7+'1.설계입력'!$C$34)*COS(B388+F388)-'1.설계입력'!$C$8*COS('1.설계입력'!$C$15*B388)</f>
        <v>17.877525474771861</v>
      </c>
      <c r="H388" s="40">
        <f>-('1.설계입력'!$C$6+'1.설계입력'!$C$33)*SIN(B388)+('1.설계입력'!$C$7+'1.설계입력'!$C$34)*SIN(B388+F388)+'1.설계입력'!$C$8*SIN('1.설계입력'!$C$15*B388)</f>
        <v>-76.826144152038395</v>
      </c>
      <c r="I388" s="40">
        <f t="shared" si="16"/>
        <v>78.888623514195857</v>
      </c>
      <c r="J388" s="40">
        <f t="shared" si="17"/>
        <v>78.878782586769802</v>
      </c>
      <c r="K388" s="38">
        <f>IF(OR(A388&gt;180,'1.설계입력'!$C$39&gt;=1),"",'1.설계입력'!$C$34*(1-SIN(B388)/SQRT(1+'1.설계입력'!$C$39^2-2*'1.설계입력'!$C$39*COS(B388)))-'1.설계입력'!$C$33*(1-'1.설계입력'!$C$39*COS(B388)-SQRT(MAX(0,1-'1.설계입력'!$C$39^2))*SIN(B388))/SQRT(1+'1.설계입력'!$C$39^2-2*'1.설계입력'!$C$39*COS(B388)))</f>
        <v>1.3568558655687049E-3</v>
      </c>
    </row>
    <row r="389" spans="1:11" x14ac:dyDescent="0.3">
      <c r="A389" s="40">
        <f>A388+'1.설계입력'!$C$12</f>
        <v>76.600000000000549</v>
      </c>
      <c r="B389" s="40">
        <f t="shared" si="15"/>
        <v>1.3369222070276661</v>
      </c>
      <c r="C389" s="40">
        <f>ATAN2('1.설계입력'!$C$6/('1.설계입력'!$C$8*'1.설계입력'!$C$15)-COS((1-'1.설계입력'!$C$15)*B389),SIN((1-'1.설계입력'!$C$15)*B389))</f>
        <v>-0.52023499138158147</v>
      </c>
      <c r="D389" s="40">
        <f>'1.설계입력'!$C$6*COS(B389)-'1.설계입력'!$C$7*COS(B389+C389)-'1.설계입력'!$C$8*COS('1.설계입력'!$C$15*B389)</f>
        <v>17.761115810734331</v>
      </c>
      <c r="E389" s="40">
        <f>-'1.설계입력'!$C$6*SIN(B389)+'1.설계입력'!$C$7*SIN(B389+C389)+'1.설계입력'!$C$8*SIN('1.설계입력'!$C$15*B389)</f>
        <v>-76.956729643274087</v>
      </c>
      <c r="F389" s="40">
        <f>ATAN2(('1.설계입력'!$C$6+'1.설계입력'!$C$33)/('1.설계입력'!$C$8*'1.설계입력'!$C$15)-COS((1-'1.설계입력'!$C$15)*B389),SIN((1-'1.설계입력'!$C$15)*B389))</f>
        <v>-0.52024837034549609</v>
      </c>
      <c r="G389" s="40">
        <f>('1.설계입력'!$C$6+'1.설계입력'!$C$33)*COS(B389)-('1.설계입력'!$C$7+'1.설계입력'!$C$34)*COS(B389+F389)-'1.설계입력'!$C$8*COS('1.설계입력'!$C$15*B389)</f>
        <v>17.754812726097729</v>
      </c>
      <c r="H389" s="40">
        <f>-('1.설계입력'!$C$6+'1.설계입력'!$C$33)*SIN(B389)+('1.설계입력'!$C$7+'1.설계입력'!$C$34)*SIN(B389+F389)+'1.설계입력'!$C$8*SIN('1.설계입력'!$C$15*B389)</f>
        <v>-76.947846809242535</v>
      </c>
      <c r="I389" s="40">
        <f t="shared" si="16"/>
        <v>78.979715574508731</v>
      </c>
      <c r="J389" s="40">
        <f t="shared" si="17"/>
        <v>78.969642923831543</v>
      </c>
      <c r="K389" s="38">
        <f>IF(OR(A389&gt;180,'1.설계입력'!$C$39&gt;=1),"",'1.설계입력'!$C$34*(1-SIN(B389)/SQRT(1+'1.설계입력'!$C$39^2-2*'1.설계입력'!$C$39*COS(B389)))-'1.설계입력'!$C$33*(1-'1.설계입력'!$C$39*COS(B389)-SQRT(MAX(0,1-'1.설계입력'!$C$39^2))*SIN(B389))/SQRT(1+'1.설계입력'!$C$39^2-2*'1.설계입력'!$C$39*COS(B389)))</f>
        <v>1.370300695274403E-3</v>
      </c>
    </row>
    <row r="390" spans="1:11" x14ac:dyDescent="0.3">
      <c r="A390" s="40">
        <f>A389+'1.설계입력'!$C$12</f>
        <v>76.800000000000551</v>
      </c>
      <c r="B390" s="40">
        <f t="shared" ref="B390:B453" si="18">RADIANS(A390)</f>
        <v>1.3404128655316547</v>
      </c>
      <c r="C390" s="40">
        <f>ATAN2('1.설계입력'!$C$6/('1.설계입력'!$C$8*'1.설계입력'!$C$15)-COS((1-'1.설계입력'!$C$15)*B390),SIN((1-'1.설계입력'!$C$15)*B390))</f>
        <v>-0.46748037950500376</v>
      </c>
      <c r="D390" s="40">
        <f>'1.설계입력'!$C$6*COS(B390)-'1.설계입력'!$C$7*COS(B390+C390)-'1.설계입력'!$C$8*COS('1.설계입력'!$C$15*B390)</f>
        <v>17.621663174404837</v>
      </c>
      <c r="E390" s="40">
        <f>-'1.설계입력'!$C$6*SIN(B390)+'1.설계입력'!$C$7*SIN(B390+C390)+'1.설계입력'!$C$8*SIN('1.설계입력'!$C$15*B390)</f>
        <v>-77.080471200852358</v>
      </c>
      <c r="F390" s="40">
        <f>ATAN2(('1.설계입력'!$C$6+'1.설계입력'!$C$33)/('1.설계입력'!$C$8*'1.설계입력'!$C$15)-COS((1-'1.설계입력'!$C$15)*B390),SIN((1-'1.설계입력'!$C$15)*B390))</f>
        <v>-0.46749197558775629</v>
      </c>
      <c r="G390" s="40">
        <f>('1.설계입력'!$C$6+'1.설계입력'!$C$33)*COS(B390)-('1.설계입력'!$C$7+'1.설계입력'!$C$34)*COS(B390+F390)-'1.설계입력'!$C$8*COS('1.설계입력'!$C$15*B390)</f>
        <v>17.615714757076265</v>
      </c>
      <c r="H390" s="40">
        <f>-('1.설계입력'!$C$6+'1.설계입력'!$C$33)*SIN(B390)+('1.설계입력'!$C$7+'1.설계입력'!$C$34)*SIN(B390+F390)+'1.설계입력'!$C$8*SIN('1.설계입력'!$C$15*B390)</f>
        <v>-77.071276618169833</v>
      </c>
      <c r="I390" s="40">
        <f t="shared" ref="I390:I453" si="19">SQRT(D390^2+E390^2)</f>
        <v>79.069096703943728</v>
      </c>
      <c r="J390" s="40">
        <f t="shared" ref="J390:J453" si="20">SQRT(G390^2+H390^2)</f>
        <v>79.05880776964149</v>
      </c>
      <c r="K390" s="38">
        <f>IF(OR(A390&gt;180,'1.설계입력'!$C$39&gt;=1),"",'1.설계입력'!$C$34*(1-SIN(B390)/SQRT(1+'1.설계입력'!$C$39^2-2*'1.설계입력'!$C$39*COS(B390)))-'1.설계입력'!$C$33*(1-'1.설계입력'!$C$39*COS(B390)-SQRT(MAX(0,1-'1.설계입력'!$C$39^2))*SIN(B390))/SQRT(1+'1.설계입력'!$C$39^2-2*'1.설계입력'!$C$39*COS(B390)))</f>
        <v>1.3837887109591027E-3</v>
      </c>
    </row>
    <row r="391" spans="1:11" x14ac:dyDescent="0.3">
      <c r="A391" s="40">
        <f>A390+'1.설계입력'!$C$12</f>
        <v>77.000000000000554</v>
      </c>
      <c r="B391" s="40">
        <f t="shared" si="18"/>
        <v>1.3439035240356434</v>
      </c>
      <c r="C391" s="40">
        <f>ATAN2('1.설계입력'!$C$6/('1.설계입력'!$C$8*'1.설계입력'!$C$15)-COS((1-'1.설계입력'!$C$15)*B391),SIN((1-'1.설계입력'!$C$15)*B391))</f>
        <v>-0.41349651671767651</v>
      </c>
      <c r="D391" s="40">
        <f>'1.설계입력'!$C$6*COS(B391)-'1.설계입력'!$C$7*COS(B391+C391)-'1.설계입력'!$C$8*COS('1.설계입력'!$C$15*B391)</f>
        <v>17.465494716986594</v>
      </c>
      <c r="E391" s="40">
        <f>-'1.설계입력'!$C$6*SIN(B391)+'1.설계입력'!$C$7*SIN(B391+C391)+'1.설계입력'!$C$8*SIN('1.설계입력'!$C$15*B391)</f>
        <v>-77.203922738232023</v>
      </c>
      <c r="F391" s="40">
        <f>ATAN2(('1.설계입력'!$C$6+'1.설계입력'!$C$33)/('1.설계입력'!$C$8*'1.설계입력'!$C$15)-COS((1-'1.설계입력'!$C$15)*B391),SIN((1-'1.설계입력'!$C$15)*B391))</f>
        <v>-0.41350646339840663</v>
      </c>
      <c r="G391" s="40">
        <f>('1.설계입력'!$C$6+'1.설계입력'!$C$33)*COS(B391)-('1.설계입력'!$C$7+'1.설계입력'!$C$34)*COS(B391+F391)-'1.설계입력'!$C$8*COS('1.설계입력'!$C$15*B391)</f>
        <v>17.459925588615608</v>
      </c>
      <c r="H391" s="40">
        <f>-('1.설계입력'!$C$6+'1.설계입력'!$C$33)*SIN(B391)+('1.설계입력'!$C$7+'1.설계입력'!$C$34)*SIN(B391+F391)+'1.설계입력'!$C$8*SIN('1.설계입력'!$C$15*B391)</f>
        <v>-77.194430920304214</v>
      </c>
      <c r="I391" s="40">
        <f t="shared" si="19"/>
        <v>79.154843135969799</v>
      </c>
      <c r="J391" s="40">
        <f t="shared" si="20"/>
        <v>79.144356505499573</v>
      </c>
      <c r="K391" s="38">
        <f>IF(OR(A391&gt;180,'1.설계입력'!$C$39&gt;=1),"",'1.설계입력'!$C$34*(1-SIN(B391)/SQRT(1+'1.설계입력'!$C$39^2-2*'1.설계입력'!$C$39*COS(B391)))-'1.설계입력'!$C$33*(1-'1.설계입력'!$C$39*COS(B391)-SQRT(MAX(0,1-'1.설계입력'!$C$39^2))*SIN(B391))/SQRT(1+'1.설계입력'!$C$39^2-2*'1.설계입력'!$C$39*COS(B391)))</f>
        <v>1.3973196933207801E-3</v>
      </c>
    </row>
    <row r="392" spans="1:11" x14ac:dyDescent="0.3">
      <c r="A392" s="40">
        <f>A391+'1.설계입력'!$C$12</f>
        <v>77.200000000000557</v>
      </c>
      <c r="B392" s="40">
        <f t="shared" si="18"/>
        <v>1.3473941825396321</v>
      </c>
      <c r="C392" s="40">
        <f>ATAN2('1.설계입력'!$C$6/('1.설계입력'!$C$8*'1.설계입력'!$C$15)-COS((1-'1.설계입력'!$C$15)*B392),SIN((1-'1.설계입력'!$C$15)*B392))</f>
        <v>-0.35853730218348751</v>
      </c>
      <c r="D392" s="40">
        <f>'1.설계입력'!$C$6*COS(B392)-'1.설계입력'!$C$7*COS(B392+C392)-'1.설계입력'!$C$8*COS('1.설계입력'!$C$15*B392)</f>
        <v>17.292817475684849</v>
      </c>
      <c r="E392" s="40">
        <f>-'1.설계입력'!$C$6*SIN(B392)+'1.설계입력'!$C$7*SIN(B392+C392)+'1.설계입력'!$C$8*SIN('1.설계입력'!$C$15*B392)</f>
        <v>-77.324861539826983</v>
      </c>
      <c r="F392" s="40">
        <f>ATAN2(('1.설계입력'!$C$6+'1.설계입력'!$C$33)/('1.설계입력'!$C$8*'1.설계입력'!$C$15)-COS((1-'1.설계입력'!$C$15)*B392),SIN((1-'1.설계입력'!$C$15)*B392))</f>
        <v>-0.35854570657087176</v>
      </c>
      <c r="G392" s="40">
        <f>('1.설계입력'!$C$6+'1.설계입력'!$C$33)*COS(B392)-('1.설계입력'!$C$7+'1.설계입력'!$C$34)*COS(B392+F392)-'1.설계입력'!$C$8*COS('1.설계입력'!$C$15*B392)</f>
        <v>17.287650408554239</v>
      </c>
      <c r="H392" s="40">
        <f>-('1.설계입력'!$C$6+'1.설계입력'!$C$33)*SIN(B392)+('1.설계입력'!$C$7+'1.설계입력'!$C$34)*SIN(B392+F392)+'1.설계입력'!$C$8*SIN('1.설계입력'!$C$15*B392)</f>
        <v>-77.315090366552084</v>
      </c>
      <c r="I392" s="40">
        <f t="shared" si="19"/>
        <v>79.234940199389087</v>
      </c>
      <c r="J392" s="40">
        <f t="shared" si="20"/>
        <v>79.224276929717078</v>
      </c>
      <c r="K392" s="38">
        <f>IF(OR(A392&gt;180,'1.설계입력'!$C$39&gt;=1),"",'1.설계입력'!$C$34*(1-SIN(B392)/SQRT(1+'1.설계입력'!$C$39^2-2*'1.설계입력'!$C$39*COS(B392)))-'1.설계입력'!$C$33*(1-'1.설계입력'!$C$39*COS(B392)-SQRT(MAX(0,1-'1.설계입력'!$C$39^2))*SIN(B392))/SQRT(1+'1.설계입력'!$C$39^2-2*'1.설계입력'!$C$39*COS(B392)))</f>
        <v>1.4108934248445479E-3</v>
      </c>
    </row>
    <row r="393" spans="1:11" x14ac:dyDescent="0.3">
      <c r="A393" s="40">
        <f>A392+'1.설계입력'!$C$12</f>
        <v>77.40000000000056</v>
      </c>
      <c r="B393" s="40">
        <f t="shared" si="18"/>
        <v>1.3508848410436209</v>
      </c>
      <c r="C393" s="40">
        <f>ATAN2('1.설계입력'!$C$6/('1.설계입력'!$C$8*'1.설계입력'!$C$15)-COS((1-'1.설계입력'!$C$15)*B393),SIN((1-'1.설계입력'!$C$15)*B393))</f>
        <v>-0.30280689026966146</v>
      </c>
      <c r="D393" s="40">
        <f>'1.설계입력'!$C$6*COS(B393)-'1.설계입력'!$C$7*COS(B393+C393)-'1.설계입력'!$C$8*COS('1.설계입력'!$C$15*B393)</f>
        <v>17.104321854385063</v>
      </c>
      <c r="E393" s="40">
        <f>-'1.설계입력'!$C$6*SIN(B393)+'1.설계입력'!$C$7*SIN(B393+C393)+'1.설계입력'!$C$8*SIN('1.설계입력'!$C$15*B393)</f>
        <v>-77.440991285870055</v>
      </c>
      <c r="F393" s="40">
        <f>ATAN2(('1.설계입력'!$C$6+'1.설계입력'!$C$33)/('1.설계입력'!$C$8*'1.설계입력'!$C$15)-COS((1-'1.설계입력'!$C$15)*B393),SIN((1-'1.설계입력'!$C$15)*B393))</f>
        <v>-0.30281383780407184</v>
      </c>
      <c r="G393" s="40">
        <f>('1.설계입력'!$C$6+'1.설계입력'!$C$33)*COS(B393)-('1.설계입력'!$C$7+'1.설계입력'!$C$34)*COS(B393+F393)-'1.설계입력'!$C$8*COS('1.설계입력'!$C$15*B393)</f>
        <v>17.099577659836431</v>
      </c>
      <c r="H393" s="40">
        <f>-('1.설계입력'!$C$6+'1.설계입력'!$C$33)*SIN(B393)+('1.설계입력'!$C$7+'1.설계입력'!$C$34)*SIN(B393+F393)+'1.설계입력'!$C$8*SIN('1.설계입력'!$C$15*B393)</f>
        <v>-77.430961477291461</v>
      </c>
      <c r="I393" s="40">
        <f t="shared" si="19"/>
        <v>79.307407960647637</v>
      </c>
      <c r="J393" s="40">
        <f t="shared" si="20"/>
        <v>79.296591045533418</v>
      </c>
      <c r="K393" s="38">
        <f>IF(OR(A393&gt;180,'1.설계입력'!$C$39&gt;=1),"",'1.설계입력'!$C$34*(1-SIN(B393)/SQRT(1+'1.설계입력'!$C$39^2-2*'1.설계입력'!$C$39*COS(B393)))-'1.설계입력'!$C$33*(1-'1.설계입력'!$C$39*COS(B393)-SQRT(MAX(0,1-'1.설계입력'!$C$39^2))*SIN(B393))/SQRT(1+'1.설계입력'!$C$39^2-2*'1.설계입력'!$C$39*COS(B393)))</f>
        <v>1.4245096897782541E-3</v>
      </c>
    </row>
    <row r="394" spans="1:11" x14ac:dyDescent="0.3">
      <c r="A394" s="40">
        <f>A393+'1.설계입력'!$C$12</f>
        <v>77.600000000000563</v>
      </c>
      <c r="B394" s="40">
        <f t="shared" si="18"/>
        <v>1.3543754995476096</v>
      </c>
      <c r="C394" s="40">
        <f>ATAN2('1.설계입력'!$C$6/('1.설계입력'!$C$8*'1.설계입력'!$C$15)-COS((1-'1.설계입력'!$C$15)*B394),SIN((1-'1.설계입력'!$C$15)*B394))</f>
        <v>-0.24647338757746351</v>
      </c>
      <c r="D394" s="40">
        <f>'1.설계입력'!$C$6*COS(B394)-'1.설계입력'!$C$7*COS(B394+C394)-'1.설계입력'!$C$8*COS('1.설계입력'!$C$15*B394)</f>
        <v>16.901148078576899</v>
      </c>
      <c r="E394" s="40">
        <f>-'1.설계입력'!$C$6*SIN(B394)+'1.설계입력'!$C$7*SIN(B394+C394)+'1.설계입력'!$C$8*SIN('1.설계입력'!$C$15*B394)</f>
        <v>-77.55005891810417</v>
      </c>
      <c r="F394" s="40">
        <f>ATAN2(('1.설계입력'!$C$6+'1.설계입력'!$C$33)/('1.설계입력'!$C$8*'1.설계입력'!$C$15)-COS((1-'1.설계입력'!$C$15)*B394),SIN((1-'1.설계입력'!$C$15)*B394))</f>
        <v>-0.24647894553684196</v>
      </c>
      <c r="G394" s="40">
        <f>('1.설계입력'!$C$6+'1.설계입력'!$C$33)*COS(B394)-('1.설계입력'!$C$7+'1.설계입력'!$C$34)*COS(B394+F394)-'1.설계입력'!$C$8*COS('1.설계입력'!$C$15*B394)</f>
        <v>16.896845495703168</v>
      </c>
      <c r="H394" s="40">
        <f>-('1.설계입력'!$C$6+'1.설계입력'!$C$33)*SIN(B394)+('1.설계입력'!$C$7+'1.설계입력'!$C$34)*SIN(B394+F394)+'1.설계입력'!$C$8*SIN('1.설계입력'!$C$15*B394)</f>
        <v>-77.539793594287303</v>
      </c>
      <c r="I394" s="40">
        <f t="shared" si="19"/>
        <v>79.37040030499665</v>
      </c>
      <c r="J394" s="40">
        <f t="shared" si="20"/>
        <v>79.359454246802528</v>
      </c>
      <c r="K394" s="38">
        <f>IF(OR(A394&gt;180,'1.설계입력'!$C$39&gt;=1),"",'1.설계입력'!$C$34*(1-SIN(B394)/SQRT(1+'1.설계입력'!$C$39^2-2*'1.설계입력'!$C$39*COS(B394)))-'1.설계입력'!$C$33*(1-'1.설계입력'!$C$39*COS(B394)-SQRT(MAX(0,1-'1.설계입력'!$C$39^2))*SIN(B394))/SQRT(1+'1.설계입력'!$C$39^2-2*'1.설계입력'!$C$39*COS(B394)))</f>
        <v>1.4381682741084474E-3</v>
      </c>
    </row>
    <row r="395" spans="1:11" x14ac:dyDescent="0.3">
      <c r="A395" s="40">
        <f>A394+'1.설계입력'!$C$12</f>
        <v>77.800000000000566</v>
      </c>
      <c r="B395" s="40">
        <f t="shared" si="18"/>
        <v>1.3578661580515983</v>
      </c>
      <c r="C395" s="40">
        <f>ATAN2('1.설계입력'!$C$6/('1.설계입력'!$C$8*'1.설계입력'!$C$15)-COS((1-'1.설계입력'!$C$15)*B395),SIN((1-'1.설계입력'!$C$15)*B395))</f>
        <v>-0.18967874449235089</v>
      </c>
      <c r="D395" s="40">
        <f>'1.설계입력'!$C$6*COS(B395)-'1.설계입력'!$C$7*COS(B395+C395)-'1.설계입력'!$C$8*COS('1.설계입력'!$C$15*B395)</f>
        <v>16.684845592218895</v>
      </c>
      <c r="E395" s="40">
        <f>-'1.설계입력'!$C$6*SIN(B395)+'1.설계입력'!$C$7*SIN(B395+C395)+'1.설계입력'!$C$8*SIN('1.설계입력'!$C$15*B395)</f>
        <v>-77.649951854182788</v>
      </c>
      <c r="F395" s="40">
        <f>ATAN2(('1.설계입력'!$C$6+'1.설계입력'!$C$33)/('1.설계입력'!$C$8*'1.설계입력'!$C$15)-COS((1-'1.설계입력'!$C$15)*B395),SIN((1-'1.설계입력'!$C$15)*B395))</f>
        <v>-0.18968296459280415</v>
      </c>
      <c r="G395" s="40">
        <f>('1.설계입력'!$C$6+'1.설계입력'!$C$33)*COS(B395)-('1.설계입력'!$C$7+'1.설계입력'!$C$34)*COS(B395+F395)-'1.설계입력'!$C$8*COS('1.설계입력'!$C$15*B395)</f>
        <v>16.681001181378786</v>
      </c>
      <c r="H395" s="40">
        <f>-('1.설계입력'!$C$6+'1.설계입력'!$C$33)*SIN(B395)+('1.설계입력'!$C$7+'1.설계입력'!$C$34)*SIN(B395+F395)+'1.설계입력'!$C$8*SIN('1.설계입력'!$C$15*B395)</f>
        <v>-77.639476153010023</v>
      </c>
      <c r="I395" s="40">
        <f t="shared" si="19"/>
        <v>79.422283368039047</v>
      </c>
      <c r="J395" s="40">
        <f t="shared" si="20"/>
        <v>79.411233825743906</v>
      </c>
      <c r="K395" s="38">
        <f>IF(OR(A395&gt;180,'1.설계입력'!$C$39&gt;=1),"",'1.설계입력'!$C$34*(1-SIN(B395)/SQRT(1+'1.설계입력'!$C$39^2-2*'1.설계입력'!$C$39*COS(B395)))-'1.설계입력'!$C$33*(1-'1.설계입력'!$C$39*COS(B395)-SQRT(MAX(0,1-'1.설계입력'!$C$39^2))*SIN(B395))/SQRT(1+'1.설계입력'!$C$39^2-2*'1.설계입력'!$C$39*COS(B395)))</f>
        <v>1.4518689655367263E-3</v>
      </c>
    </row>
    <row r="396" spans="1:11" x14ac:dyDescent="0.3">
      <c r="A396" s="40">
        <f>A395+'1.설계입력'!$C$12</f>
        <v>78.000000000000568</v>
      </c>
      <c r="B396" s="40">
        <f t="shared" si="18"/>
        <v>1.3613568165555869</v>
      </c>
      <c r="C396" s="40">
        <f>ATAN2('1.설계입력'!$C$6/('1.설계입력'!$C$8*'1.설계입력'!$C$15)-COS((1-'1.설계입력'!$C$15)*B396),SIN((1-'1.설계입력'!$C$15)*B396))</f>
        <v>-0.13254612163238969</v>
      </c>
      <c r="D396" s="40">
        <f>'1.설계입력'!$C$6*COS(B396)-'1.설계입력'!$C$7*COS(B396+C396)-'1.설계입력'!$C$8*COS('1.설계입력'!$C$15*B396)</f>
        <v>16.457325058268761</v>
      </c>
      <c r="E396" s="40">
        <f>-'1.설계입력'!$C$6*SIN(B396)+'1.설계입력'!$C$7*SIN(B396+C396)+'1.설계입력'!$C$8*SIN('1.설계입력'!$C$15*B396)</f>
        <v>-77.738778866450261</v>
      </c>
      <c r="F396" s="40">
        <f>ATAN2(('1.설계입력'!$C$6+'1.설계입력'!$C$33)/('1.설계입력'!$C$8*'1.설계입력'!$C$15)-COS((1-'1.설계입력'!$C$15)*B396),SIN((1-'1.설계입력'!$C$15)*B396))</f>
        <v>-0.13254904192824857</v>
      </c>
      <c r="G396" s="40">
        <f>('1.설계입력'!$C$6+'1.설계입력'!$C$33)*COS(B396)-('1.설계입력'!$C$7+'1.설계입력'!$C$34)*COS(B396+F396)-'1.설계입력'!$C$8*COS('1.설계입력'!$C$15*B396)</f>
        <v>16.453953101997676</v>
      </c>
      <c r="H396" s="40">
        <f>-('1.설계입력'!$C$6+'1.설계입력'!$C$33)*SIN(B396)+('1.설계입력'!$C$7+'1.설계입력'!$C$34)*SIN(B396+F396)+'1.설계입력'!$C$8*SIN('1.설계입력'!$C$15*B396)</f>
        <v>-77.72811960015845</v>
      </c>
      <c r="I396" s="40">
        <f t="shared" si="19"/>
        <v>79.461696984901948</v>
      </c>
      <c r="J396" s="40">
        <f t="shared" si="20"/>
        <v>79.450570477871807</v>
      </c>
      <c r="K396" s="38">
        <f>IF(OR(A396&gt;180,'1.설계입력'!$C$39&gt;=1),"",'1.설계입력'!$C$34*(1-SIN(B396)/SQRT(1+'1.설계입력'!$C$39^2-2*'1.설계입력'!$C$39*COS(B396)))-'1.설계입력'!$C$33*(1-'1.설계입력'!$C$39*COS(B396)-SQRT(MAX(0,1-'1.설계입력'!$C$39^2))*SIN(B396))/SQRT(1+'1.설계입력'!$C$39^2-2*'1.설계입력'!$C$39*COS(B396)))</f>
        <v>1.4656115534564459E-3</v>
      </c>
    </row>
    <row r="397" spans="1:11" x14ac:dyDescent="0.3">
      <c r="A397" s="40">
        <f>A396+'1.설계입력'!$C$12</f>
        <v>78.200000000000571</v>
      </c>
      <c r="B397" s="40">
        <f t="shared" si="18"/>
        <v>1.3648474750595756</v>
      </c>
      <c r="C397" s="40">
        <f>ATAN2('1.설계입력'!$C$6/('1.설계입력'!$C$8*'1.설계입력'!$C$15)-COS((1-'1.설계입력'!$C$15)*B397),SIN((1-'1.설계입력'!$C$15)*B397))</f>
        <v>-7.5185576522014602E-2</v>
      </c>
      <c r="D397" s="40">
        <f>'1.설계입력'!$C$6*COS(B397)-'1.설계입력'!$C$7*COS(B397+C397)-'1.설계입력'!$C$8*COS('1.설계입력'!$C$15*B397)</f>
        <v>16.220803265343189</v>
      </c>
      <c r="E397" s="40">
        <f>-'1.설계입력'!$C$6*SIN(B397)+'1.설계입력'!$C$7*SIN(B397+C397)+'1.설계입력'!$C$8*SIN('1.설계입력'!$C$15*B397)</f>
        <v>-77.814936403040932</v>
      </c>
      <c r="F397" s="40">
        <f>ATAN2(('1.설계입력'!$C$6+'1.설계입력'!$C$33)/('1.설계입력'!$C$8*'1.설계입력'!$C$15)-COS((1-'1.설계입력'!$C$15)*B397),SIN((1-'1.설계입력'!$C$15)*B397))</f>
        <v>-7.5187222747697707E-2</v>
      </c>
      <c r="G397" s="40">
        <f>('1.설계입력'!$C$6+'1.설계입력'!$C$33)*COS(B397)-('1.설계입력'!$C$7+'1.설계입력'!$C$34)*COS(B397+F397)-'1.설계입력'!$C$8*COS('1.설계입력'!$C$15*B397)</f>
        <v>16.217915678061438</v>
      </c>
      <c r="H397" s="40">
        <f>-('1.설계입력'!$C$6+'1.설계입력'!$C$33)*SIN(B397)+('1.설계입력'!$C$7+'1.설계입력'!$C$34)*SIN(B397+F397)+'1.설계입력'!$C$8*SIN('1.설계입력'!$C$15*B397)</f>
        <v>-77.804121740147679</v>
      </c>
      <c r="I397" s="40">
        <f t="shared" si="19"/>
        <v>79.487601460745267</v>
      </c>
      <c r="J397" s="40">
        <f t="shared" si="20"/>
        <v>79.476425112711453</v>
      </c>
      <c r="K397" s="38">
        <f>IF(OR(A397&gt;180,'1.설계입력'!$C$39&gt;=1),"",'1.설계입력'!$C$34*(1-SIN(B397)/SQRT(1+'1.설계입력'!$C$39^2-2*'1.설계입력'!$C$39*COS(B397)))-'1.설계입력'!$C$33*(1-'1.설계입력'!$C$39*COS(B397)-SQRT(MAX(0,1-'1.설계입력'!$C$39^2))*SIN(B397))/SQRT(1+'1.설계입력'!$C$39^2-2*'1.설계입력'!$C$39*COS(B397)))</f>
        <v>1.479395828929775E-3</v>
      </c>
    </row>
    <row r="398" spans="1:11" x14ac:dyDescent="0.3">
      <c r="A398" s="40">
        <f>A397+'1.설계입력'!$C$12</f>
        <v>78.400000000000574</v>
      </c>
      <c r="B398" s="40">
        <f t="shared" si="18"/>
        <v>1.3683381335635645</v>
      </c>
      <c r="C398" s="40">
        <f>ATAN2('1.설계입력'!$C$6/('1.설계입력'!$C$8*'1.설계입력'!$C$15)-COS((1-'1.설계입력'!$C$15)*B398),SIN((1-'1.설계입력'!$C$15)*B398))</f>
        <v>-1.7698650402783324E-2</v>
      </c>
      <c r="D398" s="40">
        <f>'1.설계입력'!$C$6*COS(B398)-'1.설계입력'!$C$7*COS(B398+C398)-'1.설계입력'!$C$8*COS('1.설계입력'!$C$15*B398)</f>
        <v>15.977741642573196</v>
      </c>
      <c r="E398" s="40">
        <f>-'1.설계입력'!$C$6*SIN(B398)+'1.설계입력'!$C$7*SIN(B398+C398)+'1.설계입력'!$C$8*SIN('1.설계입력'!$C$15*B398)</f>
        <v>-77.877161218960168</v>
      </c>
      <c r="F398" s="40">
        <f>ATAN2(('1.설계입력'!$C$6+'1.설계입력'!$C$33)/('1.설계입력'!$C$8*'1.설계입력'!$C$15)-COS((1-'1.설계입력'!$C$15)*B398),SIN((1-'1.설계입력'!$C$15)*B398))</f>
        <v>-1.7699036852755128E-2</v>
      </c>
      <c r="G398" s="40">
        <f>('1.설계입력'!$C$6+'1.설계입력'!$C$33)*COS(B398)-('1.설계입력'!$C$7+'1.설계입력'!$C$34)*COS(B398+F398)-'1.설계입력'!$C$8*COS('1.설계입력'!$C$15*B398)</f>
        <v>15.975347889735822</v>
      </c>
      <c r="H398" s="40">
        <f>-('1.설계입력'!$C$6+'1.설계입력'!$C$33)*SIN(B398)+('1.설계입력'!$C$7+'1.설계입력'!$C$34)*SIN(B398+F398)+'1.설계입력'!$C$8*SIN('1.설계입력'!$C$15*B398)</f>
        <v>-77.866220381950086</v>
      </c>
      <c r="I398" s="40">
        <f t="shared" si="19"/>
        <v>79.49931111349791</v>
      </c>
      <c r="J398" s="40">
        <f t="shared" si="20"/>
        <v>79.48811242423929</v>
      </c>
      <c r="K398" s="38">
        <f>IF(OR(A398&gt;180,'1.설계입력'!$C$39&gt;=1),"",'1.설계입력'!$C$34*(1-SIN(B398)/SQRT(1+'1.설계입력'!$C$39^2-2*'1.설계입력'!$C$39*COS(B398)))-'1.설계입력'!$C$33*(1-'1.설계입력'!$C$39*COS(B398)-SQRT(MAX(0,1-'1.설계입력'!$C$39^2))*SIN(B398))/SQRT(1+'1.설계입력'!$C$39^2-2*'1.설계입력'!$C$39*COS(B398)))</f>
        <v>1.4932215846651157E-3</v>
      </c>
    </row>
    <row r="399" spans="1:11" x14ac:dyDescent="0.3">
      <c r="A399" s="40">
        <f>A398+'1.설계입력'!$C$12</f>
        <v>78.600000000000577</v>
      </c>
      <c r="B399" s="40">
        <f t="shared" si="18"/>
        <v>1.3718287920675531</v>
      </c>
      <c r="C399" s="40">
        <f>ATAN2('1.설계입력'!$C$6/('1.설계입력'!$C$8*'1.설계입력'!$C$15)-COS((1-'1.설계입력'!$C$15)*B399),SIN((1-'1.설계입력'!$C$15)*B399))</f>
        <v>3.9817726404295428E-2</v>
      </c>
      <c r="D399" s="40">
        <f>'1.설계입력'!$C$6*COS(B399)-'1.설계입력'!$C$7*COS(B399+C399)-'1.설계입력'!$C$8*COS('1.설계입력'!$C$15*B399)</f>
        <v>15.730779339123938</v>
      </c>
      <c r="E399" s="40">
        <f>-'1.설계입력'!$C$6*SIN(B399)+'1.설계입력'!$C$7*SIN(B399+C399)+'1.설계입력'!$C$8*SIN('1.설계입력'!$C$15*B399)</f>
        <v>-77.92456965173038</v>
      </c>
      <c r="F399" s="40">
        <f>ATAN2(('1.설계입력'!$C$6+'1.설계입력'!$C$33)/('1.설계입력'!$C$8*'1.설계입력'!$C$15)-COS((1-'1.설계입력'!$C$15)*B399),SIN((1-'1.설계입력'!$C$15)*B399))</f>
        <v>3.9818596396425932E-2</v>
      </c>
      <c r="G399" s="40">
        <f>('1.설계입력'!$C$6+'1.설계입력'!$C$33)*COS(B399)-('1.설계입력'!$C$7+'1.설계입력'!$C$34)*COS(B399+F399)-'1.설계입력'!$C$8*COS('1.설계입력'!$C$15*B399)</f>
        <v>15.728886365901474</v>
      </c>
      <c r="H399" s="40">
        <f>-('1.설계입력'!$C$6+'1.설계입력'!$C$33)*SIN(B399)+('1.설계입력'!$C$7+'1.설계입력'!$C$34)*SIN(B399+F399)+'1.설계입력'!$C$8*SIN('1.설계입력'!$C$15*B399)</f>
        <v>-77.91353262321411</v>
      </c>
      <c r="I399" s="40">
        <f t="shared" si="19"/>
        <v>79.496515483532903</v>
      </c>
      <c r="J399" s="40">
        <f t="shared" si="20"/>
        <v>79.485322117609172</v>
      </c>
      <c r="K399" s="38">
        <f>IF(OR(A399&gt;180,'1.설계입력'!$C$39&gt;=1),"",'1.설계입력'!$C$34*(1-SIN(B399)/SQRT(1+'1.설계입력'!$C$39^2-2*'1.설계입력'!$C$39*COS(B399)))-'1.설계입력'!$C$33*(1-'1.설계입력'!$C$39*COS(B399)-SQRT(MAX(0,1-'1.설계입력'!$C$39^2))*SIN(B399))/SQRT(1+'1.설계입력'!$C$39^2-2*'1.설계입력'!$C$39*COS(B399)))</f>
        <v>1.5070886149948571E-3</v>
      </c>
    </row>
    <row r="400" spans="1:11" x14ac:dyDescent="0.3">
      <c r="A400" s="40">
        <f>A399+'1.설계입력'!$C$12</f>
        <v>78.80000000000058</v>
      </c>
      <c r="B400" s="40">
        <f t="shared" si="18"/>
        <v>1.3753194505715418</v>
      </c>
      <c r="C400" s="40">
        <f>ATAN2('1.설계입력'!$C$6/('1.설계입력'!$C$8*'1.설계입력'!$C$15)-COS((1-'1.설계입력'!$C$15)*B400),SIN((1-'1.설계입력'!$C$15)*B400))</f>
        <v>9.7267686648140395E-2</v>
      </c>
      <c r="D400" s="40">
        <f>'1.설계입력'!$C$6*COS(B400)-'1.설계입력'!$C$7*COS(B400+C400)-'1.설계입력'!$C$8*COS('1.설계입력'!$C$15*B400)</f>
        <v>15.482661980244888</v>
      </c>
      <c r="E400" s="40">
        <f>-'1.설계입력'!$C$6*SIN(B400)+'1.설계입력'!$C$7*SIN(B400+C400)+'1.설계입력'!$C$8*SIN('1.설계입력'!$C$15*B400)</f>
        <v>-77.95668356949848</v>
      </c>
      <c r="F400" s="40">
        <f>ATAN2(('1.설계입력'!$C$6+'1.설계입력'!$C$33)/('1.설계입력'!$C$8*'1.설계입력'!$C$15)-COS((1-'1.설계입력'!$C$15)*B400),SIN((1-'1.설계입력'!$C$15)*B400))</f>
        <v>9.7269820598889639E-2</v>
      </c>
      <c r="G400" s="40">
        <f>('1.설계입력'!$C$6+'1.설계입력'!$C$33)*COS(B400)-('1.설계입력'!$C$7+'1.설계입력'!$C$34)*COS(B400+F400)-'1.설계입력'!$C$8*COS('1.설계입력'!$C$15*B400)</f>
        <v>15.481274149341838</v>
      </c>
      <c r="H400" s="40">
        <f>-('1.설계입력'!$C$6+'1.설계입력'!$C$33)*SIN(B400)+('1.설계입력'!$C$7+'1.설계입력'!$C$34)*SIN(B400+F400)+'1.설계입력'!$C$8*SIN('1.설계입력'!$C$15*B400)</f>
        <v>-77.945580800929207</v>
      </c>
      <c r="I400" s="40">
        <f t="shared" si="19"/>
        <v>79.47928871819019</v>
      </c>
      <c r="J400" s="40">
        <f t="shared" si="20"/>
        <v>79.468128301107384</v>
      </c>
      <c r="K400" s="38">
        <f>IF(OR(A400&gt;180,'1.설계입력'!$C$39&gt;=1),"",'1.설계입력'!$C$34*(1-SIN(B400)/SQRT(1+'1.설계입력'!$C$39^2-2*'1.설계입력'!$C$39*COS(B400)))-'1.설계입력'!$C$33*(1-'1.설계입력'!$C$39*COS(B400)-SQRT(MAX(0,1-'1.설계입력'!$C$39^2))*SIN(B400))/SQRT(1+'1.설계입력'!$C$39^2-2*'1.설계입력'!$C$39*COS(B400)))</f>
        <v>1.5209967158534812E-3</v>
      </c>
    </row>
    <row r="401" spans="1:11" x14ac:dyDescent="0.3">
      <c r="A401" s="40">
        <f>A400+'1.설계입력'!$C$12</f>
        <v>79.000000000000583</v>
      </c>
      <c r="B401" s="40">
        <f t="shared" si="18"/>
        <v>1.3788101090755305</v>
      </c>
      <c r="C401" s="40">
        <f>ATAN2('1.설계입력'!$C$6/('1.설계입력'!$C$8*'1.설계입력'!$C$15)-COS((1-'1.설계입력'!$C$15)*B401),SIN((1-'1.설계입력'!$C$15)*B401))</f>
        <v>0.15455295955580006</v>
      </c>
      <c r="D401" s="40">
        <f>'1.설계입력'!$C$6*COS(B401)-'1.설계입력'!$C$7*COS(B401+C401)-'1.설계입력'!$C$8*COS('1.설계입력'!$C$15*B401)</f>
        <v>15.236167288143152</v>
      </c>
      <c r="E401" s="40">
        <f>-'1.설계입력'!$C$6*SIN(B401)+'1.설계입력'!$C$7*SIN(B401+C401)+'1.설계입력'!$C$8*SIN('1.설계입력'!$C$15*B401)</f>
        <v>-77.973442842625857</v>
      </c>
      <c r="F401" s="40">
        <f>ATAN2(('1.설계입력'!$C$6+'1.설계입력'!$C$33)/('1.설계입력'!$C$8*'1.설계입력'!$C$15)-COS((1-'1.설계입력'!$C$15)*B401),SIN((1-'1.설계입력'!$C$15)*B401))</f>
        <v>0.15455637608201658</v>
      </c>
      <c r="G401" s="40">
        <f>('1.설계입력'!$C$6+'1.설계입력'!$C$33)*COS(B401)-('1.설계입력'!$C$7+'1.설계입력'!$C$34)*COS(B401+F401)-'1.설계입력'!$C$8*COS('1.설계입력'!$C$15*B401)</f>
        <v>15.235286325859894</v>
      </c>
      <c r="H401" s="40">
        <f>-('1.설계입력'!$C$6+'1.설계입력'!$C$33)*SIN(B401)+('1.설계입력'!$C$7+'1.설계입력'!$C$34)*SIN(B401+F401)+'1.설계입력'!$C$8*SIN('1.설계입력'!$C$15*B401)</f>
        <v>-77.962304960292556</v>
      </c>
      <c r="I401" s="40">
        <f t="shared" si="19"/>
        <v>79.448087342393109</v>
      </c>
      <c r="J401" s="40">
        <f t="shared" si="20"/>
        <v>79.436987255009811</v>
      </c>
      <c r="K401" s="38">
        <f>IF(OR(A401&gt;180,'1.설계입력'!$C$39&gt;=1),"",'1.설계입력'!$C$34*(1-SIN(B401)/SQRT(1+'1.설계입력'!$C$39^2-2*'1.설계입력'!$C$39*COS(B401)))-'1.설계입력'!$C$33*(1-'1.설계입력'!$C$39*COS(B401)-SQRT(MAX(0,1-'1.설계입력'!$C$39^2))*SIN(B401))/SQRT(1+'1.설계입력'!$C$39^2-2*'1.설계입력'!$C$39*COS(B401)))</f>
        <v>1.5349456847559857E-3</v>
      </c>
    </row>
    <row r="402" spans="1:11" x14ac:dyDescent="0.3">
      <c r="A402" s="40">
        <f>A401+'1.설계입력'!$C$12</f>
        <v>79.200000000000585</v>
      </c>
      <c r="B402" s="40">
        <f t="shared" si="18"/>
        <v>1.3823007675795191</v>
      </c>
      <c r="C402" s="40">
        <f>ATAN2('1.설계입력'!$C$6/('1.설계입력'!$C$8*'1.설계입력'!$C$15)-COS((1-'1.설계입력'!$C$15)*B402),SIN((1-'1.설계입력'!$C$15)*B402))</f>
        <v>0.21156921989355526</v>
      </c>
      <c r="D402" s="40">
        <f>'1.설계입력'!$C$6*COS(B402)-'1.설계입력'!$C$7*COS(B402+C402)-'1.설계입력'!$C$8*COS('1.설계입력'!$C$15*B402)</f>
        <v>14.99402875788013</v>
      </c>
      <c r="E402" s="40">
        <f>-'1.설계입력'!$C$6*SIN(B402)+'1.설계입력'!$C$7*SIN(B402+C402)+'1.설계입력'!$C$8*SIN('1.설계입력'!$C$15*B402)</f>
        <v>-77.975204074589669</v>
      </c>
      <c r="F402" s="40">
        <f>ATAN2(('1.설계입력'!$C$6+'1.설계입력'!$C$33)/('1.설계입력'!$C$8*'1.설계입력'!$C$15)-COS((1-'1.설계입력'!$C$15)*B402),SIN((1-'1.설계입력'!$C$15)*B402))</f>
        <v>0.2115739493403978</v>
      </c>
      <c r="G402" s="40">
        <f>('1.설계입력'!$C$6+'1.설계입력'!$C$33)*COS(B402)-('1.설계입력'!$C$7+'1.설계입력'!$C$34)*COS(B402+F402)-'1.설계입력'!$C$8*COS('1.설계입력'!$C$15*B402)</f>
        <v>14.993653706922105</v>
      </c>
      <c r="H402" s="40">
        <f>-('1.설계입력'!$C$6+'1.설계입력'!$C$33)*SIN(B402)+('1.설계입력'!$C$7+'1.설계입력'!$C$34)*SIN(B402+F402)+'1.설계입력'!$C$8*SIN('1.설계입력'!$C$15*B402)</f>
        <v>-77.964061577604241</v>
      </c>
      <c r="I402" s="40">
        <f t="shared" si="19"/>
        <v>79.403736365904351</v>
      </c>
      <c r="J402" s="40">
        <f t="shared" si="20"/>
        <v>79.392723527786629</v>
      </c>
      <c r="K402" s="38">
        <f>IF(OR(A402&gt;180,'1.설계입력'!$C$39&gt;=1),"",'1.설계입력'!$C$34*(1-SIN(B402)/SQRT(1+'1.설계입력'!$C$39^2-2*'1.설계입력'!$C$39*COS(B402)))-'1.설계입력'!$C$33*(1-'1.설계입력'!$C$39*COS(B402)-SQRT(MAX(0,1-'1.설계입력'!$C$39^2))*SIN(B402))/SQRT(1+'1.설계입력'!$C$39^2-2*'1.설계입력'!$C$39*COS(B402)))</f>
        <v>1.5489353207766426E-3</v>
      </c>
    </row>
    <row r="403" spans="1:11" x14ac:dyDescent="0.3">
      <c r="A403" s="40">
        <f>A402+'1.설계입력'!$C$12</f>
        <v>79.400000000000588</v>
      </c>
      <c r="B403" s="40">
        <f t="shared" si="18"/>
        <v>1.385791426083508</v>
      </c>
      <c r="C403" s="40">
        <f>ATAN2('1.설계입력'!$C$6/('1.설계입력'!$C$8*'1.설계입력'!$C$15)-COS((1-'1.설계입력'!$C$15)*B403),SIN((1-'1.설계입력'!$C$15)*B403))</f>
        <v>0.26820196281775138</v>
      </c>
      <c r="D403" s="40">
        <f>'1.설계입력'!$C$6*COS(B403)-'1.설계입력'!$C$7*COS(B403+C403)-'1.설계입력'!$C$8*COS('1.설계입력'!$C$15*B403)</f>
        <v>14.758858498422589</v>
      </c>
      <c r="E403" s="40">
        <f>-'1.설계입력'!$C$6*SIN(B403)+'1.설계입력'!$C$7*SIN(B403+C403)+'1.설계입력'!$C$8*SIN('1.설계입력'!$C$15*B403)</f>
        <v>-77.962725218733993</v>
      </c>
      <c r="F403" s="40">
        <f>ATAN2(('1.설계입력'!$C$6+'1.설계입력'!$C$33)/('1.설계입력'!$C$8*'1.설계입력'!$C$15)-COS((1-'1.설계입력'!$C$15)*B403),SIN((1-'1.설계입력'!$C$15)*B403))</f>
        <v>0.26820804830733919</v>
      </c>
      <c r="G403" s="40">
        <f>('1.설계입력'!$C$6+'1.설계입력'!$C$33)*COS(B403)-('1.설계입력'!$C$7+'1.설계입력'!$C$34)*COS(B403+F403)-'1.설계입력'!$C$8*COS('1.설계입력'!$C$15*B403)</f>
        <v>14.758985675162371</v>
      </c>
      <c r="H403" s="40">
        <f>-('1.설계입력'!$C$6+'1.설계입력'!$C$33)*SIN(B403)+('1.설계입력'!$C$7+'1.설계입력'!$C$34)*SIN(B403+F403)+'1.설계입력'!$C$8*SIN('1.설계입력'!$C$15*B403)</f>
        <v>-77.951608163091791</v>
      </c>
      <c r="I403" s="40">
        <f t="shared" si="19"/>
        <v>79.347403408733427</v>
      </c>
      <c r="J403" s="40">
        <f t="shared" si="20"/>
        <v>79.336504040522527</v>
      </c>
      <c r="K403" s="38">
        <f>IF(OR(A403&gt;180,'1.설계입력'!$C$39&gt;=1),"",'1.설계입력'!$C$34*(1-SIN(B403)/SQRT(1+'1.설계입력'!$C$39^2-2*'1.설계입력'!$C$39*COS(B403)))-'1.설계입력'!$C$33*(1-'1.설계입력'!$C$39*COS(B403)-SQRT(MAX(0,1-'1.설계입력'!$C$39^2))*SIN(B403))/SQRT(1+'1.설계입력'!$C$39^2-2*'1.설계입력'!$C$39*COS(B403)))</f>
        <v>1.5629654245280882E-3</v>
      </c>
    </row>
    <row r="404" spans="1:11" x14ac:dyDescent="0.3">
      <c r="A404" s="40">
        <f>A403+'1.설계입력'!$C$12</f>
        <v>79.600000000000591</v>
      </c>
      <c r="B404" s="40">
        <f t="shared" si="18"/>
        <v>1.3892820845874967</v>
      </c>
      <c r="C404" s="40">
        <f>ATAN2('1.설계입력'!$C$6/('1.설계입력'!$C$8*'1.설계입력'!$C$15)-COS((1-'1.설계입력'!$C$15)*B404),SIN((1-'1.설계입력'!$C$15)*B404))</f>
        <v>0.32432155060641821</v>
      </c>
      <c r="D404" s="40">
        <f>'1.설계입력'!$C$6*COS(B404)-'1.설계입력'!$C$7*COS(B404+C404)-'1.설계입력'!$C$8*COS('1.설계입력'!$C$15*B404)</f>
        <v>14.533070166570514</v>
      </c>
      <c r="E404" s="40">
        <f>-'1.설계입력'!$C$6*SIN(B404)+'1.설계입력'!$C$7*SIN(B404+C404)+'1.설계입력'!$C$8*SIN('1.설계입력'!$C$15*B404)</f>
        <v>-77.937135548587889</v>
      </c>
      <c r="F404" s="40">
        <f>ATAN2(('1.설계입력'!$C$6+'1.설계입력'!$C$33)/('1.설계입력'!$C$8*'1.설계입력'!$C$15)-COS((1-'1.설계입력'!$C$15)*B404),SIN((1-'1.설계입력'!$C$15)*B404))</f>
        <v>0.3243290495807637</v>
      </c>
      <c r="G404" s="40">
        <f>('1.설계입력'!$C$6+'1.설계입력'!$C$33)*COS(B404)-('1.설계입력'!$C$7+'1.설계입력'!$C$34)*COS(B404+F404)-'1.설계입력'!$C$8*COS('1.설계입력'!$C$15*B404)</f>
        <v>14.533693119340079</v>
      </c>
      <c r="H404" s="40">
        <f>-('1.설계입력'!$C$6+'1.설계입력'!$C$33)*SIN(B404)+('1.설계입력'!$C$7+'1.설계입력'!$C$34)*SIN(B404+F404)+'1.설계입력'!$C$8*SIN('1.설계입력'!$C$15*B404)</f>
        <v>-77.926073210003693</v>
      </c>
      <c r="I404" s="40">
        <f t="shared" si="19"/>
        <v>79.280560202267893</v>
      </c>
      <c r="J404" s="40">
        <f t="shared" si="20"/>
        <v>79.269799555808191</v>
      </c>
      <c r="K404" s="38">
        <f>IF(OR(A404&gt;180,'1.설계입력'!$C$39&gt;=1),"",'1.설계입력'!$C$34*(1-SIN(B404)/SQRT(1+'1.설계입력'!$C$39^2-2*'1.설계입력'!$C$39*COS(B404)))-'1.설계입력'!$C$33*(1-'1.설계입력'!$C$39*COS(B404)-SQRT(MAX(0,1-'1.설계입력'!$C$39^2))*SIN(B404))/SQRT(1+'1.설계입력'!$C$39^2-2*'1.설계입력'!$C$39*COS(B404)))</f>
        <v>1.5770357981407105E-3</v>
      </c>
    </row>
    <row r="405" spans="1:11" x14ac:dyDescent="0.3">
      <c r="A405" s="40">
        <f>A404+'1.설계입력'!$C$12</f>
        <v>79.800000000000594</v>
      </c>
      <c r="B405" s="40">
        <f t="shared" si="18"/>
        <v>1.3927727430914854</v>
      </c>
      <c r="C405" s="40">
        <f>ATAN2('1.설계입력'!$C$6/('1.설계입력'!$C$8*'1.설계입력'!$C$15)-COS((1-'1.설계입력'!$C$15)*B405),SIN((1-'1.설계입력'!$C$15)*B405))</f>
        <v>0.37977696022954133</v>
      </c>
      <c r="D405" s="40">
        <f>'1.설계입력'!$C$6*COS(B405)-'1.설계입력'!$C$7*COS(B405+C405)-'1.설계입력'!$C$8*COS('1.설계입력'!$C$15*B405)</f>
        <v>14.318802597701461</v>
      </c>
      <c r="E405" s="40">
        <f>-'1.설계입력'!$C$6*SIN(B405)+'1.설계입력'!$C$7*SIN(B405+C405)+'1.설계입력'!$C$8*SIN('1.설계입력'!$C$15*B405)</f>
        <v>-77.899890174272201</v>
      </c>
      <c r="F405" s="40">
        <f>ATAN2(('1.설계입력'!$C$6+'1.설계입력'!$C$33)/('1.설계입력'!$C$8*'1.설계입력'!$C$15)-COS((1-'1.설계입력'!$C$15)*B405),SIN((1-'1.설계입력'!$C$15)*B405))</f>
        <v>0.3797859466002223</v>
      </c>
      <c r="G405" s="40">
        <f>('1.설계입력'!$C$6+'1.설계입력'!$C$33)*COS(B405)-('1.설계입력'!$C$7+'1.설계입력'!$C$34)*COS(B405+F405)-'1.설계입력'!$C$8*COS('1.설계입력'!$C$15*B405)</f>
        <v>14.319912061025097</v>
      </c>
      <c r="H405" s="40">
        <f>-('1.설계입력'!$C$6+'1.설계입력'!$C$33)*SIN(B405)+('1.설계입력'!$C$7+'1.설계입력'!$C$34)*SIN(B405+F405)+'1.설계입력'!$C$8*SIN('1.설계입력'!$C$15*B405)</f>
        <v>-77.88891068014803</v>
      </c>
      <c r="I405" s="40">
        <f t="shared" si="19"/>
        <v>79.204930383124591</v>
      </c>
      <c r="J405" s="40">
        <f t="shared" si="20"/>
        <v>79.194332425847051</v>
      </c>
      <c r="K405" s="38">
        <f>IF(OR(A405&gt;180,'1.설계입력'!$C$39&gt;=1),"",'1.설계입력'!$C$34*(1-SIN(B405)/SQRT(1+'1.설계입력'!$C$39^2-2*'1.설계입력'!$C$39*COS(B405)))-'1.설계입력'!$C$33*(1-'1.설계입력'!$C$39*COS(B405)-SQRT(MAX(0,1-'1.설계입력'!$C$39^2))*SIN(B405))/SQRT(1+'1.설계입력'!$C$39^2-2*'1.설계입력'!$C$39*COS(B405)))</f>
        <v>1.5911462452423567E-3</v>
      </c>
    </row>
    <row r="406" spans="1:11" x14ac:dyDescent="0.3">
      <c r="A406" s="40">
        <f>A405+'1.설계입력'!$C$12</f>
        <v>80.000000000000597</v>
      </c>
      <c r="B406" s="40">
        <f t="shared" si="18"/>
        <v>1.396263401595474</v>
      </c>
      <c r="C406" s="40">
        <f>ATAN2('1.설계입력'!$C$6/('1.설계입력'!$C$8*'1.설계입력'!$C$15)-COS((1-'1.설계입력'!$C$15)*B406),SIN((1-'1.설계입력'!$C$15)*B406))</f>
        <v>0.43438756483699409</v>
      </c>
      <c r="D406" s="40">
        <f>'1.설계입력'!$C$6*COS(B406)-'1.설계입력'!$C$7*COS(B406+C406)-'1.설계입력'!$C$8*COS('1.설계입력'!$C$15*B406)</f>
        <v>14.117844201525269</v>
      </c>
      <c r="E406" s="40">
        <f>-'1.설계입력'!$C$6*SIN(B406)+'1.설계입력'!$C$7*SIN(B406+C406)+'1.설계입력'!$C$8*SIN('1.설계입력'!$C$15*B406)</f>
        <v>-77.852707812543173</v>
      </c>
      <c r="F406" s="40">
        <f>ATAN2(('1.설계입력'!$C$6+'1.설계입력'!$C$33)/('1.설계입력'!$C$8*'1.설계입력'!$C$15)-COS((1-'1.설계입력'!$C$15)*B406),SIN((1-'1.설계입력'!$C$15)*B406))</f>
        <v>0.43439813190561027</v>
      </c>
      <c r="G406" s="40">
        <f>('1.설계입력'!$C$6+'1.설계입력'!$C$33)*COS(B406)-('1.설계입력'!$C$7+'1.설계입력'!$C$34)*COS(B406+F406)-'1.설계입력'!$C$8*COS('1.설계입력'!$C$15*B406)</f>
        <v>14.119428038655077</v>
      </c>
      <c r="H406" s="40">
        <f>-('1.설계입력'!$C$6+'1.설계입력'!$C$33)*SIN(B406)+('1.설계입력'!$C$7+'1.설계입력'!$C$34)*SIN(B406+F406)+'1.설계입력'!$C$8*SIN('1.설계입력'!$C$15*B406)</f>
        <v>-77.841837729699321</v>
      </c>
      <c r="I406" s="40">
        <f t="shared" si="19"/>
        <v>79.122421845161952</v>
      </c>
      <c r="J406" s="40">
        <f t="shared" si="20"/>
        <v>79.112008881557287</v>
      </c>
      <c r="K406" s="38">
        <f>IF(OR(A406&gt;180,'1.설계입력'!$C$39&gt;=1),"",'1.설계입력'!$C$34*(1-SIN(B406)/SQRT(1+'1.설계입력'!$C$39^2-2*'1.설계입력'!$C$39*COS(B406)))-'1.설계입력'!$C$33*(1-'1.설계입력'!$C$39*COS(B406)-SQRT(MAX(0,1-'1.설계입력'!$C$39^2))*SIN(B406))/SQRT(1+'1.설계입력'!$C$39^2-2*'1.설계입력'!$C$39*COS(B406)))</f>
        <v>1.6052965709383569E-3</v>
      </c>
    </row>
    <row r="407" spans="1:11" x14ac:dyDescent="0.3">
      <c r="A407" s="40">
        <f>A406+'1.설계입력'!$C$12</f>
        <v>80.2000000000006</v>
      </c>
      <c r="B407" s="40">
        <f t="shared" si="18"/>
        <v>1.3997540600994627</v>
      </c>
      <c r="C407" s="40">
        <f>ATAN2('1.설계입력'!$C$6/('1.설계입력'!$C$8*'1.설계입력'!$C$15)-COS((1-'1.설계입력'!$C$15)*B407),SIN((1-'1.설계입력'!$C$15)*B407))</f>
        <v>0.48793196153222168</v>
      </c>
      <c r="D407" s="40">
        <f>'1.설계입력'!$C$6*COS(B407)-'1.설계입력'!$C$7*COS(B407+C407)-'1.설계입력'!$C$8*COS('1.설계입력'!$C$15*B407)</f>
        <v>13.931557315368764</v>
      </c>
      <c r="E407" s="40">
        <f>-'1.설계입력'!$C$6*SIN(B407)+'1.설계입력'!$C$7*SIN(B407+C407)+'1.설계입력'!$C$8*SIN('1.설계입력'!$C$15*B407)</f>
        <v>-77.797489679773889</v>
      </c>
      <c r="F407" s="40">
        <f>ATAN2(('1.설계입력'!$C$6+'1.설계입력'!$C$33)/('1.설계입력'!$C$8*'1.설계입력'!$C$15)-COS((1-'1.설계입력'!$C$15)*B407),SIN((1-'1.설계입력'!$C$15)*B407))</f>
        <v>0.48794422591624981</v>
      </c>
      <c r="G407" s="40">
        <f>('1.설계입력'!$C$6+'1.설계입력'!$C$33)*COS(B407)-('1.설계입력'!$C$7+'1.설계입력'!$C$34)*COS(B407+F407)-'1.설계입력'!$C$8*COS('1.설계입력'!$C$15*B407)</f>
        <v>13.93360043746509</v>
      </c>
      <c r="H407" s="40">
        <f>-('1.설계입력'!$C$6+'1.설계입력'!$C$33)*SIN(B407)+('1.설계입력'!$C$7+'1.설계입력'!$C$34)*SIN(B407+F407)+'1.설계입력'!$C$8*SIN('1.설계입력'!$C$15*B407)</f>
        <v>-77.786753538772274</v>
      </c>
      <c r="I407" s="40">
        <f t="shared" si="19"/>
        <v>79.035040897730482</v>
      </c>
      <c r="J407" s="40">
        <f t="shared" si="20"/>
        <v>79.024833104870453</v>
      </c>
      <c r="K407" s="38">
        <f>IF(OR(A407&gt;180,'1.설계입력'!$C$39&gt;=1),"",'1.설계입력'!$C$34*(1-SIN(B407)/SQRT(1+'1.설계입력'!$C$39^2-2*'1.설계입력'!$C$39*COS(B407)))-'1.설계입력'!$C$33*(1-'1.설계입력'!$C$39*COS(B407)-SQRT(MAX(0,1-'1.설계입력'!$C$39^2))*SIN(B407))/SQRT(1+'1.설계입력'!$C$39^2-2*'1.설계입력'!$C$39*COS(B407)))</f>
        <v>1.6194865817918283E-3</v>
      </c>
    </row>
    <row r="408" spans="1:11" x14ac:dyDescent="0.3">
      <c r="A408" s="40">
        <f>A407+'1.설계입력'!$C$12</f>
        <v>80.400000000000603</v>
      </c>
      <c r="B408" s="40">
        <f t="shared" si="18"/>
        <v>1.4032447186034516</v>
      </c>
      <c r="C408" s="40">
        <f>ATAN2('1.설계입력'!$C$6/('1.설계입력'!$C$8*'1.설계입력'!$C$15)-COS((1-'1.설계입력'!$C$15)*B408),SIN((1-'1.설계입력'!$C$15)*B408))</f>
        <v>0.54013233009065742</v>
      </c>
      <c r="D408" s="40">
        <f>'1.설계입력'!$C$6*COS(B408)-'1.설계입력'!$C$7*COS(B408+C408)-'1.설계입력'!$C$8*COS('1.설계입력'!$C$15*B408)</f>
        <v>13.760800255018534</v>
      </c>
      <c r="E408" s="40">
        <f>-'1.설계입력'!$C$6*SIN(B408)+'1.설계입력'!$C$7*SIN(B408+C408)+'1.설계입력'!$C$8*SIN('1.설계입력'!$C$15*B408)</f>
        <v>-77.736215952111777</v>
      </c>
      <c r="F408" s="40">
        <f>ATAN2(('1.설계입력'!$C$6+'1.설계입력'!$C$33)/('1.설계입력'!$C$8*'1.설계입력'!$C$15)-COS((1-'1.설계입력'!$C$15)*B408),SIN((1-'1.설계입력'!$C$15)*B408))</f>
        <v>0.54014643698722087</v>
      </c>
      <c r="G408" s="40">
        <f>('1.설계입력'!$C$6+'1.설계입력'!$C$33)*COS(B408)-('1.설계입력'!$C$7+'1.설계입력'!$C$34)*COS(B408+F408)-'1.설계입력'!$C$8*COS('1.설계입력'!$C$15*B408)</f>
        <v>13.763284498783255</v>
      </c>
      <c r="H408" s="40">
        <f>-('1.설계입력'!$C$6+'1.설계입력'!$C$33)*SIN(B408)+('1.설계입력'!$C$7+'1.설계입력'!$C$34)*SIN(B408+F408)+'1.설계입력'!$C$8*SIN('1.설계입력'!$C$15*B408)</f>
        <v>-77.72563567994456</v>
      </c>
      <c r="I408" s="40">
        <f t="shared" si="19"/>
        <v>78.944783831560883</v>
      </c>
      <c r="J408" s="40">
        <f t="shared" si="20"/>
        <v>78.934798676160057</v>
      </c>
      <c r="K408" s="38">
        <f>IF(OR(A408&gt;180,'1.설계입력'!$C$39&gt;=1),"",'1.설계입력'!$C$34*(1-SIN(B408)/SQRT(1+'1.설계입력'!$C$39^2-2*'1.설계입력'!$C$39*COS(B408)))-'1.설계입력'!$C$33*(1-'1.설계입력'!$C$39*COS(B408)-SQRT(MAX(0,1-'1.설계입력'!$C$39^2))*SIN(B408))/SQRT(1+'1.설계입력'!$C$39^2-2*'1.설계입력'!$C$39*COS(B408)))</f>
        <v>1.633716085804295E-3</v>
      </c>
    </row>
    <row r="409" spans="1:11" x14ac:dyDescent="0.3">
      <c r="A409" s="40">
        <f>A408+'1.설계입력'!$C$12</f>
        <v>80.600000000000605</v>
      </c>
      <c r="B409" s="40">
        <f t="shared" si="18"/>
        <v>1.4067353771074402</v>
      </c>
      <c r="C409" s="40">
        <f>ATAN2('1.설계입력'!$C$6/('1.설계입력'!$C$8*'1.설계입력'!$C$15)-COS((1-'1.설계입력'!$C$15)*B409),SIN((1-'1.설계입력'!$C$15)*B409))</f>
        <v>0.59063192387528474</v>
      </c>
      <c r="D409" s="40">
        <f>'1.설계입력'!$C$6*COS(B409)-'1.설계입력'!$C$7*COS(B409+C409)-'1.설계입력'!$C$8*COS('1.설계입력'!$C$15*B409)</f>
        <v>13.605842322675862</v>
      </c>
      <c r="E409" s="40">
        <f>-'1.설계입력'!$C$6*SIN(B409)+'1.설계입력'!$C$7*SIN(B409+C409)+'1.설계입력'!$C$8*SIN('1.설계입력'!$C$15*B409)</f>
        <v>-77.670813830648754</v>
      </c>
      <c r="F409" s="40">
        <f>ATAN2(('1.설계입력'!$C$6+'1.설계입력'!$C$33)/('1.설계입력'!$C$8*'1.설계입력'!$C$15)-COS((1-'1.설계입력'!$C$15)*B409),SIN((1-'1.설계입력'!$C$15)*B409))</f>
        <v>0.59064805413080312</v>
      </c>
      <c r="G409" s="40">
        <f>('1.설계입력'!$C$6+'1.설계입력'!$C$33)*COS(B409)-('1.설계입력'!$C$7+'1.설계입력'!$C$34)*COS(B409+F409)-'1.설계입력'!$C$8*COS('1.설계입력'!$C$15*B409)</f>
        <v>13.608746257283325</v>
      </c>
      <c r="H409" s="40">
        <f>-('1.설계입력'!$C$6+'1.설계입력'!$C$33)*SIN(B409)+('1.설계입력'!$C$7+'1.설계입력'!$C$34)*SIN(B409+F409)+'1.설계입력'!$C$8*SIN('1.설계입력'!$C$15*B409)</f>
        <v>-77.660408049254201</v>
      </c>
      <c r="I409" s="40">
        <f t="shared" si="19"/>
        <v>78.853498758297434</v>
      </c>
      <c r="J409" s="40">
        <f t="shared" si="20"/>
        <v>78.843750247383525</v>
      </c>
      <c r="K409" s="38">
        <f>IF(OR(A409&gt;180,'1.설계입력'!$C$39&gt;=1),"",'1.설계입력'!$C$34*(1-SIN(B409)/SQRT(1+'1.설계입력'!$C$39^2-2*'1.설계입력'!$C$39*COS(B409)))-'1.설계입력'!$C$33*(1-'1.설계입력'!$C$39*COS(B409)-SQRT(MAX(0,1-'1.설계입력'!$C$39^2))*SIN(B409))/SQRT(1+'1.설계입력'!$C$39^2-2*'1.설계입력'!$C$39*COS(B409)))</f>
        <v>1.6479848923965762E-3</v>
      </c>
    </row>
    <row r="410" spans="1:11" x14ac:dyDescent="0.3">
      <c r="A410" s="40">
        <f>A409+'1.설계입력'!$C$12</f>
        <v>80.800000000000608</v>
      </c>
      <c r="B410" s="40">
        <f t="shared" si="18"/>
        <v>1.4102260356114289</v>
      </c>
      <c r="C410" s="40">
        <f>ATAN2('1.설계입력'!$C$6/('1.설계입력'!$C$8*'1.설계입력'!$C$15)-COS((1-'1.설계입력'!$C$15)*B410),SIN((1-'1.설계입력'!$C$15)*B410))</f>
        <v>0.6389617792738238</v>
      </c>
      <c r="D410" s="40">
        <f>'1.설계입력'!$C$6*COS(B410)-'1.설계입력'!$C$7*COS(B410+C410)-'1.설계입력'!$C$8*COS('1.설계입력'!$C$15*B410)</f>
        <v>13.46626263512394</v>
      </c>
      <c r="E410" s="40">
        <f>-'1.설계입력'!$C$6*SIN(B410)+'1.설계입력'!$C$7*SIN(B410+C410)+'1.설계입력'!$C$8*SIN('1.설계입력'!$C$15*B410)</f>
        <v>-77.602987178236418</v>
      </c>
      <c r="F410" s="40">
        <f>ATAN2(('1.설계입력'!$C$6+'1.설계입력'!$C$33)/('1.설계입력'!$C$8*'1.설계입력'!$C$15)-COS((1-'1.설계입력'!$C$15)*B410),SIN((1-'1.설계입력'!$C$15)*B410))</f>
        <v>0.63898015890980864</v>
      </c>
      <c r="G410" s="40">
        <f>('1.설계입력'!$C$6+'1.설계입력'!$C$33)*COS(B410)-('1.설계입력'!$C$7+'1.설계입력'!$C$34)*COS(B410+F410)-'1.설계입력'!$C$8*COS('1.설계입력'!$C$15*B410)</f>
        <v>13.46956125026969</v>
      </c>
      <c r="H410" s="40">
        <f>-('1.설계입력'!$C$6+'1.설계입력'!$C$33)*SIN(B410)+('1.설계입력'!$C$7+'1.설계입력'!$C$34)*SIN(B410+F410)+'1.설계입력'!$C$8*SIN('1.설계입력'!$C$15*B410)</f>
        <v>-77.592770303273724</v>
      </c>
      <c r="I410" s="40">
        <f t="shared" si="19"/>
        <v>78.762705948587495</v>
      </c>
      <c r="J410" s="40">
        <f t="shared" si="20"/>
        <v>78.753203640305088</v>
      </c>
      <c r="K410" s="38">
        <f>IF(OR(A410&gt;180,'1.설계입력'!$C$39&gt;=1),"",'1.설계입력'!$C$34*(1-SIN(B410)/SQRT(1+'1.설계입력'!$C$39^2-2*'1.설계입력'!$C$39*COS(B410)))-'1.설계입력'!$C$33*(1-'1.설계입력'!$C$39*COS(B410)-SQRT(MAX(0,1-'1.설계입력'!$C$39^2))*SIN(B410))/SQRT(1+'1.설계입력'!$C$39^2-2*'1.설계입력'!$C$39*COS(B410)))</f>
        <v>1.6622928123899894E-3</v>
      </c>
    </row>
    <row r="411" spans="1:11" x14ac:dyDescent="0.3">
      <c r="A411" s="40">
        <f>A410+'1.설계입력'!$C$12</f>
        <v>81.000000000000611</v>
      </c>
      <c r="B411" s="40">
        <f t="shared" si="18"/>
        <v>1.4137166941154176</v>
      </c>
      <c r="C411" s="40">
        <f>ATAN2('1.설계입력'!$C$6/('1.설계입력'!$C$8*'1.설계입력'!$C$15)-COS((1-'1.설계입력'!$C$15)*B411),SIN((1-'1.설계입력'!$C$15)*B411))</f>
        <v>0.6844900565891584</v>
      </c>
      <c r="D411" s="40">
        <f>'1.설계입력'!$C$6*COS(B411)-'1.설계입력'!$C$7*COS(B411+C411)-'1.설계입력'!$C$8*COS('1.설계입력'!$C$15*B411)</f>
        <v>13.340815509752037</v>
      </c>
      <c r="E411" s="40">
        <f>-'1.설계입력'!$C$6*SIN(B411)+'1.설계입력'!$C$7*SIN(B411+C411)+'1.설계입력'!$C$8*SIN('1.설계입력'!$C$15*B411)</f>
        <v>-77.533990756178184</v>
      </c>
      <c r="F411" s="40">
        <f>ATAN2(('1.설계입력'!$C$6+'1.설계입력'!$C$33)/('1.설계입력'!$C$8*'1.설계입력'!$C$15)-COS((1-'1.설계입력'!$C$15)*B411),SIN((1-'1.설계입력'!$C$15)*B411))</f>
        <v>0.68451096966023239</v>
      </c>
      <c r="G411" s="40">
        <f>('1.설계입력'!$C$6+'1.설계입력'!$C$33)*COS(B411)-('1.설계입력'!$C$7+'1.설계입력'!$C$34)*COS(B411+F411)-'1.설계입력'!$C$8*COS('1.설계입력'!$C$15*B411)</f>
        <v>13.344479702384684</v>
      </c>
      <c r="H411" s="40">
        <f>-('1.설계입력'!$C$6+'1.설계입력'!$C$33)*SIN(B411)+('1.설계입력'!$C$7+'1.설계입력'!$C$34)*SIN(B411+F411)+'1.설계입력'!$C$8*SIN('1.설계입력'!$C$15*B411)</f>
        <v>-77.523971792634171</v>
      </c>
      <c r="I411" s="40">
        <f t="shared" si="19"/>
        <v>78.673356869046614</v>
      </c>
      <c r="J411" s="40">
        <f t="shared" si="20"/>
        <v>78.664104526985469</v>
      </c>
      <c r="K411" s="38">
        <f>IF(OR(A411&gt;180,'1.설계입력'!$C$39&gt;=1),"",'1.설계입력'!$C$34*(1-SIN(B411)/SQRT(1+'1.설계입력'!$C$39^2-2*'1.설계입력'!$C$39*COS(B411)))-'1.설계입력'!$C$33*(1-'1.설계입력'!$C$39*COS(B411)-SQRT(MAX(0,1-'1.설계입력'!$C$39^2))*SIN(B411))/SQRT(1+'1.설계입력'!$C$39^2-2*'1.설계입력'!$C$39*COS(B411)))</f>
        <v>1.6766396579878016E-3</v>
      </c>
    </row>
    <row r="412" spans="1:11" x14ac:dyDescent="0.3">
      <c r="A412" s="40">
        <f>A411+'1.설계입력'!$C$12</f>
        <v>81.200000000000614</v>
      </c>
      <c r="B412" s="40">
        <f t="shared" si="18"/>
        <v>1.4172073526194062</v>
      </c>
      <c r="C412" s="40">
        <f>ATAN2('1.설계입력'!$C$6/('1.설계입력'!$C$8*'1.설계입력'!$C$15)-COS((1-'1.설계입력'!$C$15)*B412),SIN((1-'1.설계입력'!$C$15)*B412))</f>
        <v>0.72634255391291769</v>
      </c>
      <c r="D412" s="40">
        <f>'1.설계입력'!$C$6*COS(B412)-'1.설계입력'!$C$7*COS(B412+C412)-'1.설계입력'!$C$8*COS('1.설계입력'!$C$15*B412)</f>
        <v>13.227229438067587</v>
      </c>
      <c r="E412" s="40">
        <f>-'1.설계입력'!$C$6*SIN(B412)+'1.설계입력'!$C$7*SIN(B412+C412)+'1.설계입력'!$C$8*SIN('1.설계입력'!$C$15*B412)</f>
        <v>-77.464320165434259</v>
      </c>
      <c r="F412" s="40">
        <f>ATAN2(('1.설계입력'!$C$6+'1.설계입력'!$C$33)/('1.설계입력'!$C$8*'1.설계입력'!$C$15)-COS((1-'1.설계입력'!$C$15)*B412),SIN((1-'1.설계입력'!$C$15)*B412))</f>
        <v>0.72636635978633712</v>
      </c>
      <c r="G412" s="40">
        <f>('1.설계입력'!$C$6+'1.설계입력'!$C$33)*COS(B412)-('1.설계입력'!$C$7+'1.설계입력'!$C$34)*COS(B412+F412)-'1.설계입력'!$C$8*COS('1.설계입력'!$C$15*B412)</f>
        <v>13.231225151124052</v>
      </c>
      <c r="H412" s="40">
        <f>-('1.설계입력'!$C$6+'1.설계입력'!$C$33)*SIN(B412)+('1.설계입력'!$C$7+'1.설계입력'!$C$34)*SIN(B412+F412)+'1.설계입력'!$C$8*SIN('1.설계입력'!$C$15*B412)</f>
        <v>-77.454501033003737</v>
      </c>
      <c r="I412" s="40">
        <f t="shared" si="19"/>
        <v>78.585498008857755</v>
      </c>
      <c r="J412" s="40">
        <f t="shared" si="20"/>
        <v>78.576491708852174</v>
      </c>
      <c r="K412" s="38">
        <f>IF(OR(A412&gt;180,'1.설계입력'!$C$39&gt;=1),"",'1.설계입력'!$C$34*(1-SIN(B412)/SQRT(1+'1.설계입력'!$C$39^2-2*'1.설계입력'!$C$39*COS(B412)))-'1.설계입력'!$C$33*(1-'1.설계입력'!$C$39*COS(B412)-SQRT(MAX(0,1-'1.설계입력'!$C$39^2))*SIN(B412))/SQRT(1+'1.설계입력'!$C$39^2-2*'1.설계입력'!$C$39*COS(B412)))</f>
        <v>1.6910252427569891E-3</v>
      </c>
    </row>
    <row r="413" spans="1:11" x14ac:dyDescent="0.3">
      <c r="A413" s="40">
        <f>A412+'1.설계입력'!$C$12</f>
        <v>81.400000000000617</v>
      </c>
      <c r="B413" s="40">
        <f t="shared" si="18"/>
        <v>1.4206980111233951</v>
      </c>
      <c r="C413" s="40">
        <f>ATAN2('1.설계입력'!$C$6/('1.설계입력'!$C$8*'1.설계입력'!$C$15)-COS((1-'1.설계입력'!$C$15)*B413),SIN((1-'1.설계입력'!$C$15)*B413))</f>
        <v>0.7632737470505474</v>
      </c>
      <c r="D413" s="40">
        <f>'1.설계입력'!$C$6*COS(B413)-'1.설계입력'!$C$7*COS(B413+C413)-'1.설계입력'!$C$8*COS('1.설계입력'!$C$15*B413)</f>
        <v>13.121874832671223</v>
      </c>
      <c r="E413" s="40">
        <f>-'1.설계입력'!$C$6*SIN(B413)+'1.설계입력'!$C$7*SIN(B413+C413)+'1.설계입력'!$C$8*SIN('1.설계입력'!$C$15*B413)</f>
        <v>-77.39326806335896</v>
      </c>
      <c r="F413" s="40">
        <f>ATAN2(('1.설계입력'!$C$6+'1.설계입력'!$C$33)/('1.설계입력'!$C$8*'1.설계입력'!$C$15)-COS((1-'1.설계입력'!$C$15)*B413),SIN((1-'1.설계입력'!$C$15)*B413))</f>
        <v>0.76330090315672139</v>
      </c>
      <c r="G413" s="40">
        <f>('1.설계입력'!$C$6+'1.설계입력'!$C$33)*COS(B413)-('1.설계입력'!$C$7+'1.설계입력'!$C$34)*COS(B413+F413)-'1.설계입력'!$C$8*COS('1.설계입력'!$C$15*B413)</f>
        <v>13.126161573054199</v>
      </c>
      <c r="H413" s="40">
        <f>-('1.설계입력'!$C$6+'1.설계입력'!$C$33)*SIN(B413)+('1.설계입력'!$C$7+'1.설계입력'!$C$34)*SIN(B413+F413)+'1.설계입력'!$C$8*SIN('1.설계입력'!$C$15*B413)</f>
        <v>-77.38364117539723</v>
      </c>
      <c r="I413" s="40">
        <f t="shared" si="19"/>
        <v>78.497780482324643</v>
      </c>
      <c r="J413" s="40">
        <f t="shared" si="20"/>
        <v>78.489005849256102</v>
      </c>
      <c r="K413" s="38">
        <f>IF(OR(A413&gt;180,'1.설계입력'!$C$39&gt;=1),"",'1.설계입력'!$C$34*(1-SIN(B413)/SQRT(1+'1.설계입력'!$C$39^2-2*'1.설계입력'!$C$39*COS(B413)))-'1.설계입력'!$C$33*(1-'1.설계입력'!$C$39*COS(B413)-SQRT(MAX(0,1-'1.설계입력'!$C$39^2))*SIN(B413))/SQRT(1+'1.설계입력'!$C$39^2-2*'1.설계입력'!$C$39*COS(B413)))</f>
        <v>1.7054493816102418E-3</v>
      </c>
    </row>
    <row r="414" spans="1:11" x14ac:dyDescent="0.3">
      <c r="A414" s="40">
        <f>A413+'1.설계입력'!$C$12</f>
        <v>81.60000000000062</v>
      </c>
      <c r="B414" s="40">
        <f t="shared" si="18"/>
        <v>1.4241886696273838</v>
      </c>
      <c r="C414" s="40">
        <f>ATAN2('1.설계입력'!$C$6/('1.설계입력'!$C$8*'1.설계입력'!$C$15)-COS((1-'1.설계입력'!$C$15)*B414),SIN((1-'1.설계입력'!$C$15)*B414))</f>
        <v>0.79344975223984626</v>
      </c>
      <c r="D414" s="40">
        <f>'1.설계입력'!$C$6*COS(B414)-'1.설계입력'!$C$7*COS(B414+C414)-'1.설계입력'!$C$8*COS('1.설계입력'!$C$15*B414)</f>
        <v>13.019167897242031</v>
      </c>
      <c r="E414" s="40">
        <f>-'1.설계입력'!$C$6*SIN(B414)+'1.설계입력'!$C$7*SIN(B414+C414)+'1.설계입력'!$C$8*SIN('1.설계입력'!$C$15*B414)</f>
        <v>-77.318262549989811</v>
      </c>
      <c r="F414" s="40">
        <f>ATAN2(('1.설계입력'!$C$6+'1.설계입력'!$C$33)/('1.설계입력'!$C$8*'1.설계입력'!$C$15)-COS((1-'1.설계입력'!$C$15)*B414),SIN((1-'1.설계입력'!$C$15)*B414))</f>
        <v>0.79348084219478365</v>
      </c>
      <c r="G414" s="40">
        <f>('1.설계입력'!$C$6+'1.설계입력'!$C$33)*COS(B414)-('1.설계입력'!$C$7+'1.설계입력'!$C$34)*COS(B414+F414)-'1.설계입력'!$C$8*COS('1.설계입력'!$C$15*B414)</f>
        <v>13.023696100080079</v>
      </c>
      <c r="H414" s="40">
        <f>-('1.설계입력'!$C$6+'1.설계입력'!$C$33)*SIN(B414)+('1.설계입력'!$C$7+'1.설계입력'!$C$34)*SIN(B414+F414)+'1.설계입력'!$C$8*SIN('1.설계입력'!$C$15*B414)</f>
        <v>-77.308807180263727</v>
      </c>
      <c r="I414" s="40">
        <f t="shared" si="19"/>
        <v>78.406711807636313</v>
      </c>
      <c r="J414" s="40">
        <f t="shared" si="20"/>
        <v>78.398139823228192</v>
      </c>
      <c r="K414" s="38">
        <f>IF(OR(A414&gt;180,'1.설계입력'!$C$39&gt;=1),"",'1.설계입력'!$C$34*(1-SIN(B414)/SQRT(1+'1.설계입력'!$C$39^2-2*'1.설계입력'!$C$39*COS(B414)))-'1.설계입력'!$C$33*(1-'1.설계입력'!$C$39*COS(B414)-SQRT(MAX(0,1-'1.설계입력'!$C$39^2))*SIN(B414))/SQRT(1+'1.설계입력'!$C$39^2-2*'1.설계입력'!$C$39*COS(B414)))</f>
        <v>1.7199118907882476E-3</v>
      </c>
    </row>
    <row r="415" spans="1:11" x14ac:dyDescent="0.3">
      <c r="A415" s="40">
        <f>A414+'1.설계입력'!$C$12</f>
        <v>81.800000000000622</v>
      </c>
      <c r="B415" s="40">
        <f t="shared" si="18"/>
        <v>1.4276793281313724</v>
      </c>
      <c r="C415" s="40">
        <f>ATAN2('1.설계입력'!$C$6/('1.설계입력'!$C$8*'1.설계입력'!$C$15)-COS((1-'1.설계입력'!$C$15)*B415),SIN((1-'1.설계입력'!$C$15)*B415))</f>
        <v>0.81406835660748977</v>
      </c>
      <c r="D415" s="40">
        <f>'1.설계입력'!$C$6*COS(B415)-'1.설계입력'!$C$7*COS(B415+C415)-'1.설계입력'!$C$8*COS('1.설계입력'!$C$15*B415)</f>
        <v>12.910426023100714</v>
      </c>
      <c r="E415" s="40">
        <f>-'1.설계입력'!$C$6*SIN(B415)+'1.설계입력'!$C$7*SIN(B415+C415)+'1.설계입력'!$C$8*SIN('1.설계입력'!$C$15*B415)</f>
        <v>-77.233849912861601</v>
      </c>
      <c r="F415" s="40">
        <f>ATAN2(('1.설계입력'!$C$6+'1.설계입력'!$C$33)/('1.설계입력'!$C$8*'1.설계입력'!$C$15)-COS((1-'1.설계입력'!$C$15)*B415),SIN((1-'1.설계입력'!$C$15)*B415))</f>
        <v>0.81410411842916308</v>
      </c>
      <c r="G415" s="40">
        <f>('1.설계입력'!$C$6+'1.설계입력'!$C$33)*COS(B415)-('1.설계입력'!$C$7+'1.설계입력'!$C$34)*COS(B415+F415)-'1.설계입력'!$C$8*COS('1.설계입력'!$C$15*B415)</f>
        <v>12.9151321620411</v>
      </c>
      <c r="H415" s="40">
        <f>-('1.설계입력'!$C$6+'1.설계입력'!$C$33)*SIN(B415)+('1.설계입력'!$C$7+'1.설계입력'!$C$34)*SIN(B415+F415)+'1.설계입력'!$C$8*SIN('1.설계입력'!$C$15*B415)</f>
        <v>-77.224526558336947</v>
      </c>
      <c r="I415" s="40">
        <f t="shared" si="19"/>
        <v>78.305470258854768</v>
      </c>
      <c r="J415" s="40">
        <f t="shared" si="20"/>
        <v>78.297050652769016</v>
      </c>
      <c r="K415" s="38">
        <f>IF(OR(A415&gt;180,'1.설계입력'!$C$39&gt;=1),"",'1.설계입력'!$C$34*(1-SIN(B415)/SQRT(1+'1.설계입력'!$C$39^2-2*'1.설계입력'!$C$39*COS(B415)))-'1.설계입력'!$C$33*(1-'1.설계입력'!$C$39*COS(B415)-SQRT(MAX(0,1-'1.설계입력'!$C$39^2))*SIN(B415))/SQRT(1+'1.설계입력'!$C$39^2-2*'1.설계입력'!$C$39*COS(B415)))</f>
        <v>1.734412587842245E-3</v>
      </c>
    </row>
    <row r="416" spans="1:11" x14ac:dyDescent="0.3">
      <c r="A416" s="40">
        <f>A415+'1.설계입력'!$C$12</f>
        <v>82.000000000000625</v>
      </c>
      <c r="B416" s="40">
        <f t="shared" si="18"/>
        <v>1.4311699866353611</v>
      </c>
      <c r="C416" s="40">
        <f>ATAN2('1.설계입력'!$C$6/('1.설계입력'!$C$8*'1.설계입력'!$C$15)-COS((1-'1.설계입력'!$C$15)*B416),SIN((1-'1.설계입력'!$C$15)*B416))</f>
        <v>0.82066661728321577</v>
      </c>
      <c r="D416" s="40">
        <f>'1.설계입력'!$C$6*COS(B416)-'1.설계입력'!$C$7*COS(B416+C416)-'1.설계입력'!$C$8*COS('1.설계입력'!$C$15*B416)</f>
        <v>12.781533913052051</v>
      </c>
      <c r="E416" s="40">
        <f>-'1.설계입력'!$C$6*SIN(B416)+'1.설계입력'!$C$7*SIN(B416+C416)+'1.설계입력'!$C$8*SIN('1.설계입력'!$C$15*B416)</f>
        <v>-77.130127505738301</v>
      </c>
      <c r="F416" s="40">
        <f>ATAN2(('1.설계입력'!$C$6+'1.설계입력'!$C$33)/('1.설계입력'!$C$8*'1.설계입력'!$C$15)-COS((1-'1.설계입력'!$C$15)*B416),SIN((1-'1.설계입력'!$C$15)*B416))</f>
        <v>0.8207079471683929</v>
      </c>
      <c r="G416" s="40">
        <f>('1.설계입력'!$C$6+'1.설계입력'!$C$33)*COS(B416)-('1.설계입력'!$C$7+'1.설계입력'!$C$34)*COS(B416+F416)-'1.설계입력'!$C$8*COS('1.설계입력'!$C$15*B416)</f>
        <v>12.786330946886299</v>
      </c>
      <c r="H416" s="40">
        <f>-('1.설계입력'!$C$6+'1.설계입력'!$C$33)*SIN(B416)+('1.설계입력'!$C$7+'1.설계입력'!$C$34)*SIN(B416+F416)+'1.설계입력'!$C$8*SIN('1.설계입력'!$C$15*B416)</f>
        <v>-77.12086893634995</v>
      </c>
      <c r="I416" s="40">
        <f t="shared" si="19"/>
        <v>78.181993951433256</v>
      </c>
      <c r="J416" s="40">
        <f t="shared" si="20"/>
        <v>78.173644437118114</v>
      </c>
      <c r="K416" s="38">
        <f>IF(OR(A416&gt;180,'1.설계입력'!$C$39&gt;=1),"",'1.설계입력'!$C$34*(1-SIN(B416)/SQRT(1+'1.설계입력'!$C$39^2-2*'1.설계입력'!$C$39*COS(B416)))-'1.설계입력'!$C$33*(1-'1.설계입력'!$C$39*COS(B416)-SQRT(MAX(0,1-'1.설계입력'!$C$39^2))*SIN(B416))/SQRT(1+'1.설계입력'!$C$39^2-2*'1.설계입력'!$C$39*COS(B416)))</f>
        <v>1.7489512916168187E-3</v>
      </c>
    </row>
    <row r="417" spans="1:11" x14ac:dyDescent="0.3">
      <c r="A417" s="40">
        <f>A416+'1.설계입력'!$C$12</f>
        <v>82.200000000000628</v>
      </c>
      <c r="B417" s="40">
        <f t="shared" si="18"/>
        <v>1.4346606451393498</v>
      </c>
      <c r="C417" s="40">
        <f>ATAN2('1.설계입력'!$C$6/('1.설계입력'!$C$8*'1.설계입력'!$C$15)-COS((1-'1.설계입력'!$C$15)*B417),SIN((1-'1.설계입력'!$C$15)*B417))</f>
        <v>0.80581641004206639</v>
      </c>
      <c r="D417" s="40">
        <f>'1.설계입력'!$C$6*COS(B417)-'1.설계입력'!$C$7*COS(B417+C417)-'1.설계입력'!$C$8*COS('1.설계입력'!$C$15*B417)</f>
        <v>12.607923843606113</v>
      </c>
      <c r="E417" s="40">
        <f>-'1.설계입력'!$C$6*SIN(B417)+'1.설계입력'!$C$7*SIN(B417+C417)+'1.설계입력'!$C$8*SIN('1.설계입력'!$C$15*B417)</f>
        <v>-76.990526123936647</v>
      </c>
      <c r="F417" s="40">
        <f>ATAN2(('1.설계입력'!$C$6+'1.설계입력'!$C$33)/('1.설계입력'!$C$8*'1.설계입력'!$C$15)-COS((1-'1.설계입력'!$C$15)*B417),SIN((1-'1.설계입력'!$C$15)*B417))</f>
        <v>0.80586424852783267</v>
      </c>
      <c r="G417" s="40">
        <f>('1.설계입력'!$C$6+'1.설계입력'!$C$33)*COS(B417)-('1.설계입력'!$C$7+'1.설계입력'!$C$34)*COS(B417+F417)-'1.설계입력'!$C$8*COS('1.설계입력'!$C$15*B417)</f>
        <v>12.612681410780478</v>
      </c>
      <c r="H417" s="40">
        <f>-('1.설계입력'!$C$6+'1.설계입력'!$C$33)*SIN(B417)+('1.설계입력'!$C$7+'1.설계입력'!$C$34)*SIN(B417+F417)+'1.설계입력'!$C$8*SIN('1.설계입력'!$C$15*B417)</f>
        <v>-76.981223268879361</v>
      </c>
      <c r="I417" s="40">
        <f t="shared" si="19"/>
        <v>78.016029484246005</v>
      </c>
      <c r="J417" s="40">
        <f t="shared" si="20"/>
        <v>78.007618014799689</v>
      </c>
      <c r="K417" s="38">
        <f>IF(OR(A417&gt;180,'1.설계입력'!$C$39&gt;=1),"",'1.설계입력'!$C$34*(1-SIN(B417)/SQRT(1+'1.설계입력'!$C$39^2-2*'1.설계입력'!$C$39*COS(B417)))-'1.설계입력'!$C$33*(1-'1.설계입력'!$C$39*COS(B417)-SQRT(MAX(0,1-'1.설계입력'!$C$39^2))*SIN(B417))/SQRT(1+'1.설계입력'!$C$39^2-2*'1.설계입력'!$C$39*COS(B417)))</f>
        <v>1.7635278222329657E-3</v>
      </c>
    </row>
    <row r="418" spans="1:11" x14ac:dyDescent="0.3">
      <c r="A418" s="40">
        <f>A417+'1.설계입력'!$C$12</f>
        <v>82.400000000000631</v>
      </c>
      <c r="B418" s="40">
        <f t="shared" si="18"/>
        <v>1.4381513036433387</v>
      </c>
      <c r="C418" s="40">
        <f>ATAN2('1.설계입력'!$C$6/('1.설계입력'!$C$8*'1.설계입력'!$C$15)-COS((1-'1.설계입력'!$C$15)*B418),SIN((1-'1.설계입력'!$C$15)*B418))</f>
        <v>0.7566598868076696</v>
      </c>
      <c r="D418" s="40">
        <f>'1.설계입력'!$C$6*COS(B418)-'1.설계입력'!$C$7*COS(B418+C418)-'1.설계입력'!$C$8*COS('1.설계입력'!$C$15*B418)</f>
        <v>12.343426965519752</v>
      </c>
      <c r="E418" s="40">
        <f>-'1.설계입력'!$C$6*SIN(B418)+'1.설계입력'!$C$7*SIN(B418+C418)+'1.설계입력'!$C$8*SIN('1.설계입력'!$C$15*B418)</f>
        <v>-76.789961435861457</v>
      </c>
      <c r="F418" s="40">
        <f>ATAN2(('1.설계입력'!$C$6+'1.설계입력'!$C$33)/('1.설계입력'!$C$8*'1.설계입력'!$C$15)-COS((1-'1.설계입력'!$C$15)*B418),SIN((1-'1.설계입력'!$C$15)*B418))</f>
        <v>0.75671465249722025</v>
      </c>
      <c r="G418" s="40">
        <f>('1.설계입력'!$C$6+'1.설계입력'!$C$33)*COS(B418)-('1.설계입력'!$C$7+'1.설계입력'!$C$34)*COS(B418+F418)-'1.설계입력'!$C$8*COS('1.설계입력'!$C$15*B418)</f>
        <v>12.347927919644979</v>
      </c>
      <c r="H418" s="40">
        <f>-('1.설계입력'!$C$6+'1.설계입력'!$C$33)*SIN(B418)+('1.설계입력'!$C$7+'1.설계입력'!$C$34)*SIN(B418+F418)+'1.설계입력'!$C$8*SIN('1.설계입력'!$C$15*B418)</f>
        <v>-76.780443462784874</v>
      </c>
      <c r="I418" s="40">
        <f t="shared" si="19"/>
        <v>77.775692646058843</v>
      </c>
      <c r="J418" s="40">
        <f t="shared" si="20"/>
        <v>77.767009857976745</v>
      </c>
      <c r="K418" s="38">
        <f>IF(OR(A418&gt;180,'1.설계입력'!$C$39&gt;=1),"",'1.설계입력'!$C$34*(1-SIN(B418)/SQRT(1+'1.설계입력'!$C$39^2-2*'1.설계입력'!$C$39*COS(B418)))-'1.설계입력'!$C$33*(1-'1.설계입력'!$C$39*COS(B418)-SQRT(MAX(0,1-'1.설계입력'!$C$39^2))*SIN(B418))/SQRT(1+'1.설계입력'!$C$39^2-2*'1.설계입력'!$C$39*COS(B418)))</f>
        <v>1.7781420010713964E-3</v>
      </c>
    </row>
    <row r="419" spans="1:11" x14ac:dyDescent="0.3">
      <c r="A419" s="40">
        <f>A418+'1.설계입력'!$C$12</f>
        <v>82.600000000000634</v>
      </c>
      <c r="B419" s="40">
        <f t="shared" si="18"/>
        <v>1.4416419621473273</v>
      </c>
      <c r="C419" s="40">
        <f>ATAN2('1.설계입력'!$C$6/('1.설계입력'!$C$8*'1.설계입력'!$C$15)-COS((1-'1.설계입력'!$C$15)*B419),SIN((1-'1.설계입력'!$C$15)*B419))</f>
        <v>0.65077265334630685</v>
      </c>
      <c r="D419" s="40">
        <f>'1.설계입력'!$C$6*COS(B419)-'1.설계입력'!$C$7*COS(B419+C419)-'1.설계입력'!$C$8*COS('1.설계입력'!$C$15*B419)</f>
        <v>11.896817673466552</v>
      </c>
      <c r="E419" s="40">
        <f>-'1.설계입력'!$C$6*SIN(B419)+'1.설계입력'!$C$7*SIN(B419+C419)+'1.설계입력'!$C$8*SIN('1.설계입력'!$C$15*B419)</f>
        <v>-76.500788453286773</v>
      </c>
      <c r="F419" s="40">
        <f>ATAN2(('1.설계입력'!$C$6+'1.설계입력'!$C$33)/('1.설계입력'!$C$8*'1.설계입력'!$C$15)-COS((1-'1.설계입력'!$C$15)*B419),SIN((1-'1.설계입력'!$C$15)*B419))</f>
        <v>0.65083210576157058</v>
      </c>
      <c r="G419" s="40">
        <f>('1.설계입력'!$C$6+'1.설계입력'!$C$33)*COS(B419)-('1.설계입력'!$C$7+'1.설계입력'!$C$34)*COS(B419+F419)-'1.설계입력'!$C$8*COS('1.설계입력'!$C$15*B419)</f>
        <v>11.900661104739223</v>
      </c>
      <c r="H419" s="40">
        <f>-('1.설계입력'!$C$6+'1.설계입력'!$C$33)*SIN(B419)+('1.설계입력'!$C$7+'1.설계입력'!$C$34)*SIN(B419+F419)+'1.설계입력'!$C$8*SIN('1.설계입력'!$C$15*B419)</f>
        <v>-76.490810202518375</v>
      </c>
      <c r="I419" s="40">
        <f t="shared" si="19"/>
        <v>77.420313256471914</v>
      </c>
      <c r="J419" s="40">
        <f t="shared" si="20"/>
        <v>77.411044303558796</v>
      </c>
      <c r="K419" s="38">
        <f>IF(OR(A419&gt;180,'1.설계입력'!$C$39&gt;=1),"",'1.설계입력'!$C$34*(1-SIN(B419)/SQRT(1+'1.설계입력'!$C$39^2-2*'1.설계입력'!$C$39*COS(B419)))-'1.설계입력'!$C$33*(1-'1.설계입력'!$C$39*COS(B419)-SQRT(MAX(0,1-'1.설계입력'!$C$39^2))*SIN(B419))/SQRT(1+'1.설계입력'!$C$39^2-2*'1.설계입력'!$C$39*COS(B419)))</f>
        <v>1.7927936507560931E-3</v>
      </c>
    </row>
    <row r="420" spans="1:11" x14ac:dyDescent="0.3">
      <c r="A420" s="40">
        <f>A419+'1.설계입력'!$C$12</f>
        <v>82.800000000000637</v>
      </c>
      <c r="B420" s="40">
        <f t="shared" si="18"/>
        <v>1.445132620651316</v>
      </c>
      <c r="C420" s="40">
        <f>ATAN2('1.설계입력'!$C$6/('1.설계입력'!$C$8*'1.설계입력'!$C$15)-COS((1-'1.설계입력'!$C$15)*B420),SIN((1-'1.설계입력'!$C$15)*B420))</f>
        <v>0.45359002221447448</v>
      </c>
      <c r="D420" s="40">
        <f>'1.설계입력'!$C$6*COS(B420)-'1.설계입력'!$C$7*COS(B420+C420)-'1.설계입력'!$C$8*COS('1.설계입력'!$C$15*B420)</f>
        <v>11.102121821821633</v>
      </c>
      <c r="E420" s="40">
        <f>-'1.설계입력'!$C$6*SIN(B420)+'1.설계입력'!$C$7*SIN(B420+C420)+'1.설계입력'!$C$8*SIN('1.설계입력'!$C$15*B420)</f>
        <v>-76.139971646149391</v>
      </c>
      <c r="F420" s="40">
        <f>ATAN2(('1.설계입력'!$C$6+'1.설계입력'!$C$33)/('1.설계입력'!$C$8*'1.설계입력'!$C$15)-COS((1-'1.설계입력'!$C$15)*B420),SIN((1-'1.설계입력'!$C$15)*B420))</f>
        <v>0.453642972323542</v>
      </c>
      <c r="G420" s="40">
        <f>('1.설계입력'!$C$6+'1.설계입력'!$C$33)*COS(B420)-('1.설계입력'!$C$7+'1.설계입력'!$C$34)*COS(B420+F420)-'1.설계입력'!$C$8*COS('1.설계입력'!$C$15*B420)</f>
        <v>11.104543059477226</v>
      </c>
      <c r="H420" s="40">
        <f>-('1.설계입력'!$C$6+'1.설계입력'!$C$33)*SIN(B420)+('1.설계입력'!$C$7+'1.설계입력'!$C$34)*SIN(B420+F420)+'1.설계입력'!$C$8*SIN('1.설계입력'!$C$15*B420)</f>
        <v>-76.129296081431036</v>
      </c>
      <c r="I420" s="40">
        <f t="shared" si="19"/>
        <v>76.945125844480884</v>
      </c>
      <c r="J420" s="40">
        <f t="shared" si="20"/>
        <v>76.934911440866529</v>
      </c>
      <c r="K420" s="38">
        <f>IF(OR(A420&gt;180,'1.설계입력'!$C$39&gt;=1),"",'1.설계입력'!$C$34*(1-SIN(B420)/SQRT(1+'1.설계입력'!$C$39^2-2*'1.설계입력'!$C$39*COS(B420)))-'1.설계입력'!$C$33*(1-'1.설계입력'!$C$39*COS(B420)-SQRT(MAX(0,1-'1.설계입력'!$C$39^2))*SIN(B420))/SQRT(1+'1.설계입력'!$C$39^2-2*'1.설계입력'!$C$39*COS(B420)))</f>
        <v>1.8074825951381007E-3</v>
      </c>
    </row>
    <row r="421" spans="1:11" x14ac:dyDescent="0.3">
      <c r="A421" s="40">
        <f>A420+'1.설계입력'!$C$12</f>
        <v>83.000000000000639</v>
      </c>
      <c r="B421" s="40">
        <f t="shared" si="18"/>
        <v>1.4486232791553046</v>
      </c>
      <c r="C421" s="40">
        <f>ATAN2('1.설계입력'!$C$6/('1.설계입력'!$C$8*'1.설계입력'!$C$15)-COS((1-'1.설계입력'!$C$15)*B421),SIN((1-'1.설계입력'!$C$15)*B421))</f>
        <v>0.14125586133571158</v>
      </c>
      <c r="D421" s="40">
        <f>'1.설계입력'!$C$6*COS(B421)-'1.설계입력'!$C$7*COS(B421+C421)-'1.설계입력'!$C$8*COS('1.설계입력'!$C$15*B421)</f>
        <v>9.809140514871137</v>
      </c>
      <c r="E421" s="40">
        <f>-'1.설계입력'!$C$6*SIN(B421)+'1.설계입력'!$C$7*SIN(B421+C421)+'1.설계입력'!$C$8*SIN('1.설계입력'!$C$15*B421)</f>
        <v>-75.912301090526157</v>
      </c>
      <c r="F421" s="40">
        <f>ATAN2(('1.설계입력'!$C$6+'1.설계입력'!$C$33)/('1.설계입력'!$C$8*'1.설계입력'!$C$15)-COS((1-'1.설계입력'!$C$15)*B421),SIN((1-'1.설계입력'!$C$15)*B421))</f>
        <v>0.14127543141346258</v>
      </c>
      <c r="G421" s="40">
        <f>('1.설계입력'!$C$6+'1.설계입력'!$C$33)*COS(B421)-('1.설계입력'!$C$7+'1.설계입력'!$C$34)*COS(B421+F421)-'1.설계입력'!$C$8*COS('1.설계입력'!$C$15*B421)</f>
        <v>9.8089957058489521</v>
      </c>
      <c r="H421" s="40">
        <f>-('1.설계입력'!$C$6+'1.설계입력'!$C$33)*SIN(B421)+('1.설계입력'!$C$7+'1.설계입력'!$C$34)*SIN(B421+F421)+'1.설계입력'!$C$8*SIN('1.설계입력'!$C$15*B421)</f>
        <v>-75.901127169744214</v>
      </c>
      <c r="I421" s="40">
        <f t="shared" si="19"/>
        <v>76.54343011976394</v>
      </c>
      <c r="J421" s="40">
        <f t="shared" si="20"/>
        <v>76.532329785490305</v>
      </c>
      <c r="K421" s="38">
        <f>IF(OR(A421&gt;180,'1.설계입력'!$C$39&gt;=1),"",'1.설계입력'!$C$34*(1-SIN(B421)/SQRT(1+'1.설계입력'!$C$39^2-2*'1.설계입력'!$C$39*COS(B421)))-'1.설계입력'!$C$33*(1-'1.설계입력'!$C$39*COS(B421)-SQRT(MAX(0,1-'1.설계입력'!$C$39^2))*SIN(B421))/SQRT(1+'1.설계입력'!$C$39^2-2*'1.설계입력'!$C$39*COS(B421)))</f>
        <v>1.8222086592795672E-3</v>
      </c>
    </row>
    <row r="422" spans="1:11" x14ac:dyDescent="0.3">
      <c r="A422" s="40">
        <f>A421+'1.설계입력'!$C$12</f>
        <v>83.200000000000642</v>
      </c>
      <c r="B422" s="40">
        <f t="shared" si="18"/>
        <v>1.4521139376592933</v>
      </c>
      <c r="C422" s="40">
        <f>ATAN2('1.설계입력'!$C$6/('1.설계입력'!$C$8*'1.설계입력'!$C$15)-COS((1-'1.설계입력'!$C$15)*B422),SIN((1-'1.설계입력'!$C$15)*B422))</f>
        <v>-0.22231376166195008</v>
      </c>
      <c r="D422" s="40">
        <f>'1.설계입력'!$C$6*COS(B422)-'1.설계입력'!$C$7*COS(B422+C422)-'1.설계입력'!$C$8*COS('1.설계입력'!$C$15*B422)</f>
        <v>8.3190719467386227</v>
      </c>
      <c r="E422" s="40">
        <f>-'1.설계입력'!$C$6*SIN(B422)+'1.설계입력'!$C$7*SIN(B422+C422)+'1.설계입력'!$C$8*SIN('1.설계입력'!$C$15*B422)</f>
        <v>-76.154397446627257</v>
      </c>
      <c r="F422" s="40">
        <f>ATAN2(('1.설계입력'!$C$6+'1.설계입력'!$C$33)/('1.설계입력'!$C$8*'1.설계입력'!$C$15)-COS((1-'1.설계입력'!$C$15)*B422),SIN((1-'1.설계입력'!$C$15)*B422))</f>
        <v>-0.22234378256397541</v>
      </c>
      <c r="G422" s="40">
        <f>('1.설계입력'!$C$6+'1.설계입력'!$C$33)*COS(B422)-('1.설계입력'!$C$7+'1.설계입력'!$C$34)*COS(B422+F422)-'1.설계입력'!$C$8*COS('1.설계입력'!$C$15*B422)</f>
        <v>8.3158826454154582</v>
      </c>
      <c r="H422" s="40">
        <f>-('1.설계입력'!$C$6+'1.설계입력'!$C$33)*SIN(B422)+('1.설계입력'!$C$7+'1.설계입력'!$C$34)*SIN(B422+F422)+'1.설계입력'!$C$8*SIN('1.설계입력'!$C$15*B422)</f>
        <v>-76.143725877508842</v>
      </c>
      <c r="I422" s="40">
        <f t="shared" si="19"/>
        <v>76.607435726004312</v>
      </c>
      <c r="J422" s="40">
        <f t="shared" si="20"/>
        <v>76.596480954946827</v>
      </c>
      <c r="K422" s="38">
        <f>IF(OR(A422&gt;180,'1.설계입력'!$C$39&gt;=1),"",'1.설계입력'!$C$34*(1-SIN(B422)/SQRT(1+'1.설계입력'!$C$39^2-2*'1.설계입력'!$C$39*COS(B422)))-'1.설계입력'!$C$33*(1-'1.설계입력'!$C$39*COS(B422)-SQRT(MAX(0,1-'1.설계입력'!$C$39^2))*SIN(B422))/SQRT(1+'1.설계입력'!$C$39^2-2*'1.설계입력'!$C$39*COS(B422)))</f>
        <v>1.8369716694380037E-3</v>
      </c>
    </row>
    <row r="423" spans="1:11" x14ac:dyDescent="0.3">
      <c r="A423" s="40">
        <f>A422+'1.설계입력'!$C$12</f>
        <v>83.400000000000645</v>
      </c>
      <c r="B423" s="40">
        <f t="shared" si="18"/>
        <v>1.4556045961632822</v>
      </c>
      <c r="C423" s="40">
        <f>ATAN2('1.설계입력'!$C$6/('1.설계입력'!$C$8*'1.설계입력'!$C$15)-COS((1-'1.설계입력'!$C$15)*B423),SIN((1-'1.설계입력'!$C$15)*B423))</f>
        <v>-0.50916897797754324</v>
      </c>
      <c r="D423" s="40">
        <f>'1.설계입력'!$C$6*COS(B423)-'1.설계입력'!$C$7*COS(B423+C423)-'1.설계입력'!$C$8*COS('1.설계입력'!$C$15*B423)</f>
        <v>7.2433241886264206</v>
      </c>
      <c r="E423" s="40">
        <f>-'1.설계입력'!$C$6*SIN(B423)+'1.설계입력'!$C$7*SIN(B423+C423)+'1.설계입력'!$C$8*SIN('1.설계입력'!$C$15*B423)</f>
        <v>-76.719435930534402</v>
      </c>
      <c r="F423" s="40">
        <f>ATAN2(('1.설계입력'!$C$6+'1.설계입력'!$C$33)/('1.설계입력'!$C$8*'1.설계입력'!$C$15)-COS((1-'1.설계입력'!$C$15)*B423),SIN((1-'1.설계입력'!$C$15)*B423))</f>
        <v>-0.50922526079568931</v>
      </c>
      <c r="G423" s="40">
        <f>('1.설계입력'!$C$6+'1.설계입력'!$C$33)*COS(B423)-('1.설계입력'!$C$7+'1.설계입력'!$C$34)*COS(B423+F423)-'1.설계입력'!$C$8*COS('1.설계입력'!$C$15*B423)</f>
        <v>7.2380497723938308</v>
      </c>
      <c r="H423" s="40">
        <f>-('1.설계입력'!$C$6+'1.설계입력'!$C$33)*SIN(B423)+('1.설계입력'!$C$7+'1.설계입력'!$C$34)*SIN(B423+F423)+'1.설계입력'!$C$8*SIN('1.설계입력'!$C$15*B423)</f>
        <v>-76.709916523853536</v>
      </c>
      <c r="I423" s="40">
        <f t="shared" si="19"/>
        <v>77.060609878205042</v>
      </c>
      <c r="J423" s="40">
        <f t="shared" si="20"/>
        <v>77.050636970788432</v>
      </c>
      <c r="K423" s="38">
        <f>IF(OR(A423&gt;180,'1.설계입력'!$C$39&gt;=1),"",'1.설계입력'!$C$34*(1-SIN(B423)/SQRT(1+'1.설계입력'!$C$39^2-2*'1.설계입력'!$C$39*COS(B423)))-'1.설계입력'!$C$33*(1-'1.설계입력'!$C$39*COS(B423)-SQRT(MAX(0,1-'1.설계입력'!$C$39^2))*SIN(B423))/SQRT(1+'1.설계입력'!$C$39^2-2*'1.설계입력'!$C$39*COS(B423)))</f>
        <v>1.8517714530507877E-3</v>
      </c>
    </row>
    <row r="424" spans="1:11" x14ac:dyDescent="0.3">
      <c r="A424" s="40">
        <f>A423+'1.설계입력'!$C$12</f>
        <v>83.600000000000648</v>
      </c>
      <c r="B424" s="40">
        <f t="shared" si="18"/>
        <v>1.4590952546672709</v>
      </c>
      <c r="C424" s="40">
        <f>ATAN2('1.설계입력'!$C$6/('1.설계입력'!$C$8*'1.설계입력'!$C$15)-COS((1-'1.설계입력'!$C$15)*B424),SIN((1-'1.설계입력'!$C$15)*B424))</f>
        <v>-0.68189134705639498</v>
      </c>
      <c r="D424" s="40">
        <f>'1.설계입력'!$C$6*COS(B424)-'1.설계입력'!$C$7*COS(B424+C424)-'1.설계입력'!$C$8*COS('1.설계입력'!$C$15*B424)</f>
        <v>6.6518265216176671</v>
      </c>
      <c r="E424" s="40">
        <f>-'1.설계입력'!$C$6*SIN(B424)+'1.설계입력'!$C$7*SIN(B424+C424)+'1.설계입력'!$C$8*SIN('1.설계입력'!$C$15*B424)</f>
        <v>-77.228370210981311</v>
      </c>
      <c r="F424" s="40">
        <f>ATAN2(('1.설계입력'!$C$6+'1.설계입력'!$C$33)/('1.설계입력'!$C$8*'1.설계입력'!$C$15)-COS((1-'1.설계입력'!$C$15)*B424),SIN((1-'1.설계입력'!$C$15)*B424))</f>
        <v>-0.68195023039176184</v>
      </c>
      <c r="G424" s="40">
        <f>('1.설계입력'!$C$6+'1.설계입력'!$C$33)*COS(B424)-('1.설계입력'!$C$7+'1.설계입력'!$C$34)*COS(B424+F424)-'1.설계입력'!$C$8*COS('1.설계입력'!$C$15*B424)</f>
        <v>6.6455411562374227</v>
      </c>
      <c r="H424" s="40">
        <f>-('1.설계입력'!$C$6+'1.설계입력'!$C$33)*SIN(B424)+('1.설계입력'!$C$7+'1.설계입력'!$C$34)*SIN(B424+F424)+'1.설계입력'!$C$8*SIN('1.설계입력'!$C$15*B424)</f>
        <v>-77.219777341631058</v>
      </c>
      <c r="I424" s="40">
        <f t="shared" si="19"/>
        <v>77.514308108362044</v>
      </c>
      <c r="J424" s="40">
        <f t="shared" si="20"/>
        <v>77.505207760190686</v>
      </c>
      <c r="K424" s="38">
        <f>IF(OR(A424&gt;180,'1.설계입력'!$C$39&gt;=1),"",'1.설계입력'!$C$34*(1-SIN(B424)/SQRT(1+'1.설계입력'!$C$39^2-2*'1.설계입력'!$C$39*COS(B424)))-'1.설계입력'!$C$33*(1-'1.설계입력'!$C$39*COS(B424)-SQRT(MAX(0,1-'1.설계입력'!$C$39^2))*SIN(B424))/SQRT(1+'1.설계입력'!$C$39^2-2*'1.설계입력'!$C$39*COS(B424)))</f>
        <v>1.8666078387198793E-3</v>
      </c>
    </row>
    <row r="425" spans="1:11" x14ac:dyDescent="0.3">
      <c r="A425" s="40">
        <f>A424+'1.설계입력'!$C$12</f>
        <v>83.800000000000651</v>
      </c>
      <c r="B425" s="40">
        <f t="shared" si="18"/>
        <v>1.4625859131712595</v>
      </c>
      <c r="C425" s="40">
        <f>ATAN2('1.설계입력'!$C$6/('1.설계입력'!$C$8*'1.설계입력'!$C$15)-COS((1-'1.설계입력'!$C$15)*B425),SIN((1-'1.설계입력'!$C$15)*B425))</f>
        <v>-0.77202359528571218</v>
      </c>
      <c r="D425" s="40">
        <f>'1.설계입력'!$C$6*COS(B425)-'1.설계입력'!$C$7*COS(B425+C425)-'1.설계입력'!$C$8*COS('1.설계입력'!$C$15*B425)</f>
        <v>6.3343052306612169</v>
      </c>
      <c r="E425" s="40">
        <f>-'1.설계입력'!$C$6*SIN(B425)+'1.설계입력'!$C$7*SIN(B425+C425)+'1.설계입력'!$C$8*SIN('1.설계입력'!$C$15*B425)</f>
        <v>-77.581720195917924</v>
      </c>
      <c r="F425" s="40">
        <f>ATAN2(('1.설계입력'!$C$6+'1.설계입력'!$C$33)/('1.설계입력'!$C$8*'1.설계입력'!$C$15)-COS((1-'1.설계입력'!$C$15)*B425),SIN((1-'1.설계입력'!$C$15)*B425))</f>
        <v>-0.77207680389797895</v>
      </c>
      <c r="G425" s="40">
        <f>('1.설계입력'!$C$6+'1.설계입력'!$C$33)*COS(B425)-('1.설계입력'!$C$7+'1.설계입력'!$C$34)*COS(B425+F425)-'1.설계입력'!$C$8*COS('1.설계입력'!$C$15*B425)</f>
        <v>6.3275904007319035</v>
      </c>
      <c r="H425" s="40">
        <f>-('1.설계입력'!$C$6+'1.설계입력'!$C$33)*SIN(B425)+('1.설계입력'!$C$7+'1.설계입력'!$C$34)*SIN(B425+F425)+'1.설계입력'!$C$8*SIN('1.설계입력'!$C$15*B425)</f>
        <v>-77.573643272089328</v>
      </c>
      <c r="I425" s="40">
        <f t="shared" si="19"/>
        <v>77.839878798164122</v>
      </c>
      <c r="J425" s="40">
        <f t="shared" si="20"/>
        <v>77.831282469099818</v>
      </c>
      <c r="K425" s="38">
        <f>IF(OR(A425&gt;180,'1.설계입력'!$C$39&gt;=1),"",'1.설계입력'!$C$34*(1-SIN(B425)/SQRT(1+'1.설계입력'!$C$39^2-2*'1.설계입력'!$C$39*COS(B425)))-'1.설계입력'!$C$33*(1-'1.설계입력'!$C$39*COS(B425)-SQRT(MAX(0,1-'1.설계입력'!$C$39^2))*SIN(B425))/SQRT(1+'1.설계입력'!$C$39^2-2*'1.설계입력'!$C$39*COS(B425)))</f>
        <v>1.881480656196771E-3</v>
      </c>
    </row>
    <row r="426" spans="1:11" x14ac:dyDescent="0.3">
      <c r="A426" s="40">
        <f>A425+'1.설계입력'!$C$12</f>
        <v>84.000000000000654</v>
      </c>
      <c r="B426" s="40">
        <f t="shared" si="18"/>
        <v>1.4660765716752482</v>
      </c>
      <c r="C426" s="40">
        <f>ATAN2('1.설계입력'!$C$6/('1.설계입력'!$C$8*'1.설계입력'!$C$15)-COS((1-'1.설계입력'!$C$15)*B426),SIN((1-'1.설계입력'!$C$15)*B426))</f>
        <v>-0.81170138601706265</v>
      </c>
      <c r="D426" s="40">
        <f>'1.설계입력'!$C$6*COS(B426)-'1.설계입력'!$C$7*COS(B426+C426)-'1.설계입력'!$C$8*COS('1.설계입력'!$C$15*B426)</f>
        <v>6.147620449113588</v>
      </c>
      <c r="E426" s="40">
        <f>-'1.설계입력'!$C$6*SIN(B426)+'1.설계입력'!$C$7*SIN(B426+C426)+'1.설계입력'!$C$8*SIN('1.설계입력'!$C$15*B426)</f>
        <v>-77.817102847575413</v>
      </c>
      <c r="F426" s="40">
        <f>ATAN2(('1.설계입력'!$C$6+'1.설계입력'!$C$33)/('1.설계입력'!$C$8*'1.설계입력'!$C$15)-COS((1-'1.설계입력'!$C$15)*B426),SIN((1-'1.설계입력'!$C$15)*B426))</f>
        <v>-0.81174764934161503</v>
      </c>
      <c r="G426" s="40">
        <f>('1.설계입력'!$C$6+'1.설계입력'!$C$33)*COS(B426)-('1.설계입력'!$C$7+'1.설계입력'!$C$34)*COS(B426+F426)-'1.설계입력'!$C$8*COS('1.설계입력'!$C$15*B426)</f>
        <v>6.1407567810685029</v>
      </c>
      <c r="H426" s="40">
        <f>-('1.설계입력'!$C$6+'1.설계입력'!$C$33)*SIN(B426)+('1.설계입력'!$C$7+'1.설계입력'!$C$34)*SIN(B426+F426)+'1.설계입력'!$C$8*SIN('1.설계입력'!$C$15*B426)</f>
        <v>-77.809236780878081</v>
      </c>
      <c r="I426" s="40">
        <f t="shared" si="19"/>
        <v>78.05955888151361</v>
      </c>
      <c r="J426" s="40">
        <f t="shared" si="20"/>
        <v>78.051176943509248</v>
      </c>
      <c r="K426" s="38">
        <f>IF(OR(A426&gt;180,'1.설계입력'!$C$39&gt;=1),"",'1.설계입력'!$C$34*(1-SIN(B426)/SQRT(1+'1.설계입력'!$C$39^2-2*'1.설계입력'!$C$39*COS(B426)))-'1.설계입력'!$C$33*(1-'1.설계입력'!$C$39*COS(B426)-SQRT(MAX(0,1-'1.설계입력'!$C$39^2))*SIN(B426))/SQRT(1+'1.설계입력'!$C$39^2-2*'1.설계입력'!$C$39*COS(B426)))</f>
        <v>1.8963897363676535E-3</v>
      </c>
    </row>
    <row r="427" spans="1:11" x14ac:dyDescent="0.3">
      <c r="A427" s="40">
        <f>A426+'1.설계입력'!$C$12</f>
        <v>84.200000000000657</v>
      </c>
      <c r="B427" s="40">
        <f t="shared" si="18"/>
        <v>1.4695672301792368</v>
      </c>
      <c r="C427" s="40">
        <f>ATAN2('1.설계입력'!$C$6/('1.설계입력'!$C$8*'1.설계입력'!$C$15)-COS((1-'1.설계입력'!$C$15)*B427),SIN((1-'1.설계입력'!$C$15)*B427))</f>
        <v>-0.82071255773081864</v>
      </c>
      <c r="D427" s="40">
        <f>'1.설계입력'!$C$6*COS(B427)-'1.설계입력'!$C$7*COS(B427+C427)-'1.설계입력'!$C$8*COS('1.설계입력'!$C$15*B427)</f>
        <v>6.0230029303080483</v>
      </c>
      <c r="E427" s="40">
        <f>-'1.설계입력'!$C$6*SIN(B427)+'1.설계입력'!$C$7*SIN(B427+C427)+'1.설계입력'!$C$8*SIN('1.설계입력'!$C$15*B427)</f>
        <v>-77.981105064377786</v>
      </c>
      <c r="F427" s="40">
        <f>ATAN2(('1.설계입력'!$C$6+'1.설계입력'!$C$33)/('1.설계입력'!$C$8*'1.설계입력'!$C$15)-COS((1-'1.설계입력'!$C$15)*B427),SIN((1-'1.설계입력'!$C$15)*B427))</f>
        <v>-0.82075251683830353</v>
      </c>
      <c r="G427" s="40">
        <f>('1.설계입력'!$C$6+'1.설계입력'!$C$33)*COS(B427)-('1.설계입력'!$C$7+'1.설계입력'!$C$34)*COS(B427+F427)-'1.설계입력'!$C$8*COS('1.설계입력'!$C$15*B427)</f>
        <v>6.016138988771087</v>
      </c>
      <c r="H427" s="40">
        <f>-('1.설계입력'!$C$6+'1.설계입력'!$C$33)*SIN(B427)+('1.설계입력'!$C$7+'1.설계입력'!$C$34)*SIN(B427+F427)+'1.설계입력'!$C$8*SIN('1.설계입력'!$C$15*B427)</f>
        <v>-77.973253926621382</v>
      </c>
      <c r="I427" s="40">
        <f t="shared" si="19"/>
        <v>78.213357627454059</v>
      </c>
      <c r="J427" s="40">
        <f t="shared" si="20"/>
        <v>78.205001478406658</v>
      </c>
      <c r="K427" s="38">
        <f>IF(OR(A427&gt;180,'1.설계입력'!$C$39&gt;=1),"",'1.설계입력'!$C$34*(1-SIN(B427)/SQRT(1+'1.설계입력'!$C$39^2-2*'1.설계입력'!$C$39*COS(B427)))-'1.설계입력'!$C$33*(1-'1.설계입력'!$C$39*COS(B427)-SQRT(MAX(0,1-'1.설계입력'!$C$39^2))*SIN(B427))/SQRT(1+'1.설계입력'!$C$39^2-2*'1.설계입력'!$C$39*COS(B427)))</f>
        <v>1.9113349112387971E-3</v>
      </c>
    </row>
    <row r="428" spans="1:11" x14ac:dyDescent="0.3">
      <c r="A428" s="40">
        <f>A427+'1.설계입력'!$C$12</f>
        <v>84.400000000000659</v>
      </c>
      <c r="B428" s="40">
        <f t="shared" si="18"/>
        <v>1.4730578886832257</v>
      </c>
      <c r="C428" s="40">
        <f>ATAN2('1.설계입력'!$C$6/('1.설계입력'!$C$8*'1.설계입력'!$C$15)-COS((1-'1.설계입력'!$C$15)*B428),SIN((1-'1.설계입력'!$C$15)*B428))</f>
        <v>-0.8103565311451576</v>
      </c>
      <c r="D428" s="40">
        <f>'1.설계입력'!$C$6*COS(B428)-'1.설계입력'!$C$7*COS(B428+C428)-'1.설계입력'!$C$8*COS('1.설계입력'!$C$15*B428)</f>
        <v>5.9274750676950685</v>
      </c>
      <c r="E428" s="40">
        <f>-'1.설계입력'!$C$6*SIN(B428)+'1.설계입력'!$C$7*SIN(B428+C428)+'1.설계입력'!$C$8*SIN('1.설계입력'!$C$15*B428)</f>
        <v>-78.105664587661835</v>
      </c>
      <c r="F428" s="40">
        <f>ATAN2(('1.설계입력'!$C$6+'1.설계입력'!$C$33)/('1.설계입력'!$C$8*'1.설계입력'!$C$15)-COS((1-'1.설계입력'!$C$15)*B428),SIN((1-'1.설계입력'!$C$15)*B428))</f>
        <v>-0.81039114060406858</v>
      </c>
      <c r="G428" s="40">
        <f>('1.설계입력'!$C$6+'1.설계입력'!$C$33)*COS(B428)-('1.설계입력'!$C$7+'1.설계입력'!$C$34)*COS(B428+F428)-'1.설계입력'!$C$8*COS('1.설계입력'!$C$15*B428)</f>
        <v>5.9207017182916317</v>
      </c>
      <c r="H428" s="40">
        <f>-('1.설계입력'!$C$6+'1.설계입력'!$C$33)*SIN(B428)+('1.설계입력'!$C$7+'1.설계입력'!$C$34)*SIN(B428+F428)+'1.설계입력'!$C$8*SIN('1.설계입력'!$C$15*B428)</f>
        <v>-78.097705226149273</v>
      </c>
      <c r="I428" s="40">
        <f t="shared" si="19"/>
        <v>78.330261083175756</v>
      </c>
      <c r="J428" s="40">
        <f t="shared" si="20"/>
        <v>78.321812226400155</v>
      </c>
      <c r="K428" s="38">
        <f>IF(OR(A428&gt;180,'1.설계입력'!$C$39&gt;=1),"",'1.설계입력'!$C$34*(1-SIN(B428)/SQRT(1+'1.설계입력'!$C$39^2-2*'1.설계입력'!$C$39*COS(B428)))-'1.설계입력'!$C$33*(1-'1.설계입력'!$C$39*COS(B428)-SQRT(MAX(0,1-'1.설계입력'!$C$39^2))*SIN(B428))/SQRT(1+'1.설계입력'!$C$39^2-2*'1.설계입력'!$C$39*COS(B428)))</f>
        <v>1.9263160139221364E-3</v>
      </c>
    </row>
    <row r="429" spans="1:11" x14ac:dyDescent="0.3">
      <c r="A429" s="40">
        <f>A428+'1.설계입력'!$C$12</f>
        <v>84.600000000000662</v>
      </c>
      <c r="B429" s="40">
        <f t="shared" si="18"/>
        <v>1.4765485471872144</v>
      </c>
      <c r="C429" s="40">
        <f>ATAN2('1.설계입력'!$C$6/('1.설계입력'!$C$8*'1.설계입력'!$C$15)-COS((1-'1.설계입력'!$C$15)*B429),SIN((1-'1.설계입력'!$C$15)*B429))</f>
        <v>-0.78721196229225454</v>
      </c>
      <c r="D429" s="40">
        <f>'1.설계입력'!$C$6*COS(B429)-'1.설계입력'!$C$7*COS(B429+C429)-'1.설계입력'!$C$8*COS('1.설계입력'!$C$15*B429)</f>
        <v>5.8437346491700648</v>
      </c>
      <c r="E429" s="40">
        <f>-'1.설계입력'!$C$6*SIN(B429)+'1.설계입력'!$C$7*SIN(B429+C429)+'1.설계입력'!$C$8*SIN('1.설계입력'!$C$15*B429)</f>
        <v>-78.210301675305658</v>
      </c>
      <c r="F429" s="40">
        <f>ATAN2(('1.설계입력'!$C$6+'1.설계입력'!$C$33)/('1.설계입력'!$C$8*'1.설계입력'!$C$15)-COS((1-'1.설계입력'!$C$15)*B429),SIN((1-'1.설계입력'!$C$15)*B429))</f>
        <v>-0.78724208493459402</v>
      </c>
      <c r="G429" s="40">
        <f>('1.설계입력'!$C$6+'1.설계입력'!$C$33)*COS(B429)-('1.설계입력'!$C$7+'1.설계입력'!$C$34)*COS(B429+F429)-'1.설계입력'!$C$8*COS('1.설계입력'!$C$15*B429)</f>
        <v>5.8371156126727488</v>
      </c>
      <c r="H429" s="40">
        <f>-('1.설계입력'!$C$6+'1.설계입력'!$C$33)*SIN(B429)+('1.설계입력'!$C$7+'1.설계입력'!$C$34)*SIN(B429+F429)+'1.설계입력'!$C$8*SIN('1.설계입력'!$C$15*B429)</f>
        <v>-78.202156795760644</v>
      </c>
      <c r="I429" s="40">
        <f t="shared" si="19"/>
        <v>78.42831454769528</v>
      </c>
      <c r="J429" s="40">
        <f t="shared" si="20"/>
        <v>78.419699350255357</v>
      </c>
      <c r="K429" s="38">
        <f>IF(OR(A429&gt;180,'1.설계입력'!$C$39&gt;=1),"",'1.설계입력'!$C$34*(1-SIN(B429)/SQRT(1+'1.설계입력'!$C$39^2-2*'1.설계입력'!$C$39*COS(B429)))-'1.설계입력'!$C$33*(1-'1.설계입력'!$C$39*COS(B429)-SQRT(MAX(0,1-'1.설계입력'!$C$39^2))*SIN(B429))/SQRT(1+'1.설계입력'!$C$39^2-2*'1.설계입력'!$C$39*COS(B429)))</f>
        <v>1.9413328786210757E-3</v>
      </c>
    </row>
    <row r="430" spans="1:11" x14ac:dyDescent="0.3">
      <c r="A430" s="40">
        <f>A429+'1.설계입력'!$C$12</f>
        <v>84.800000000000665</v>
      </c>
      <c r="B430" s="40">
        <f t="shared" si="18"/>
        <v>1.4800392056912031</v>
      </c>
      <c r="C430" s="40">
        <f>ATAN2('1.설계입력'!$C$6/('1.설계입력'!$C$8*'1.설계입력'!$C$15)-COS((1-'1.설계입력'!$C$15)*B430),SIN((1-'1.설계입력'!$C$15)*B430))</f>
        <v>-0.75527182600139586</v>
      </c>
      <c r="D430" s="40">
        <f>'1.설계입력'!$C$6*COS(B430)-'1.설계입력'!$C$7*COS(B430+C430)-'1.설계입력'!$C$8*COS('1.설계입력'!$C$15*B430)</f>
        <v>5.7616783235630731</v>
      </c>
      <c r="E430" s="40">
        <f>-'1.설계입력'!$C$6*SIN(B430)+'1.설계입력'!$C$7*SIN(B430+C430)+'1.설계입력'!$C$8*SIN('1.설계입력'!$C$15*B430)</f>
        <v>-78.306468108110067</v>
      </c>
      <c r="F430" s="40">
        <f>ATAN2(('1.설계입력'!$C$6+'1.설계입력'!$C$33)/('1.설계입력'!$C$8*'1.설계입력'!$C$15)-COS((1-'1.설계입력'!$C$15)*B430),SIN((1-'1.설계입력'!$C$15)*B430))</f>
        <v>-0.75529816226030866</v>
      </c>
      <c r="G430" s="40">
        <f>('1.설계입력'!$C$6+'1.설계입력'!$C$33)*COS(B430)-('1.설계입력'!$C$7+'1.설계입력'!$C$34)*COS(B430+F430)-'1.설계입력'!$C$8*COS('1.설계입력'!$C$15*B430)</f>
        <v>5.755263287847125</v>
      </c>
      <c r="H430" s="40">
        <f>-('1.설계입력'!$C$6+'1.설계입력'!$C$33)*SIN(B430)+('1.설계입력'!$C$7+'1.설계입력'!$C$34)*SIN(B430+F430)+'1.설계입력'!$C$8*SIN('1.설계입력'!$C$15*B430)</f>
        <v>-78.298089907448698</v>
      </c>
      <c r="I430" s="40">
        <f t="shared" si="19"/>
        <v>78.518150033420142</v>
      </c>
      <c r="J430" s="40">
        <f t="shared" si="20"/>
        <v>78.509323896384188</v>
      </c>
      <c r="K430" s="38">
        <f>IF(OR(A430&gt;180,'1.설계입력'!$C$39&gt;=1),"",'1.설계입력'!$C$34*(1-SIN(B430)/SQRT(1+'1.설계입력'!$C$39^2-2*'1.설계입력'!$C$39*COS(B430)))-'1.설계입력'!$C$33*(1-'1.설계입력'!$C$39*COS(B430)-SQRT(MAX(0,1-'1.설계입력'!$C$39^2))*SIN(B430))/SQRT(1+'1.설계입력'!$C$39^2-2*'1.설계입력'!$C$39*COS(B430)))</f>
        <v>1.9563853406164996E-3</v>
      </c>
    </row>
    <row r="431" spans="1:11" x14ac:dyDescent="0.3">
      <c r="A431" s="40">
        <f>A430+'1.설계입력'!$C$12</f>
        <v>85.000000000000668</v>
      </c>
      <c r="B431" s="40">
        <f t="shared" si="18"/>
        <v>1.4835298641951917</v>
      </c>
      <c r="C431" s="40">
        <f>ATAN2('1.설계입력'!$C$6/('1.설계입력'!$C$8*'1.설계입력'!$C$15)-COS((1-'1.설계입력'!$C$15)*B431),SIN((1-'1.설계입력'!$C$15)*B431))</f>
        <v>-0.7170682068030384</v>
      </c>
      <c r="D431" s="40">
        <f>'1.설계입력'!$C$6*COS(B431)-'1.설계입력'!$C$7*COS(B431+C431)-'1.설계입력'!$C$8*COS('1.설계입력'!$C$15*B431)</f>
        <v>5.6748324949741775</v>
      </c>
      <c r="E431" s="40">
        <f>-'1.설계입력'!$C$6*SIN(B431)+'1.설계입력'!$C$7*SIN(B431+C431)+'1.설계입력'!$C$8*SIN('1.설계입력'!$C$15*B431)</f>
        <v>-78.400572339492498</v>
      </c>
      <c r="F431" s="40">
        <f>ATAN2(('1.설계입력'!$C$6+'1.설계입력'!$C$33)/('1.설계입력'!$C$8*'1.설계입력'!$C$15)-COS((1-'1.설계입력'!$C$15)*B431),SIN((1-'1.설계입력'!$C$15)*B431))</f>
        <v>-0.71709130849621572</v>
      </c>
      <c r="G431" s="40">
        <f>('1.설계입력'!$C$6+'1.설계입력'!$C$33)*COS(B431)-('1.설계입력'!$C$7+'1.설계입력'!$C$34)*COS(B431+F431)-'1.설계입력'!$C$8*COS('1.설계입력'!$C$15*B431)</f>
        <v>5.6686630990626972</v>
      </c>
      <c r="H431" s="40">
        <f>-('1.설계입력'!$C$6+'1.설계입력'!$C$33)*SIN(B431)+('1.설계입력'!$C$7+'1.설계입력'!$C$34)*SIN(B431+F431)+'1.설계입력'!$C$8*SIN('1.설계입력'!$C$15*B431)</f>
        <v>-78.391932754028531</v>
      </c>
      <c r="I431" s="40">
        <f t="shared" si="19"/>
        <v>78.605683426874492</v>
      </c>
      <c r="J431" s="40">
        <f t="shared" si="20"/>
        <v>78.596621188463359</v>
      </c>
      <c r="K431" s="38">
        <f>IF(OR(A431&gt;180,'1.설계입력'!$C$39&gt;=1),"",'1.설계입력'!$C$34*(1-SIN(B431)/SQRT(1+'1.설계입력'!$C$39^2-2*'1.설계입력'!$C$39*COS(B431)))-'1.설계입력'!$C$33*(1-'1.설계입력'!$C$39*COS(B431)-SQRT(MAX(0,1-'1.설계입력'!$C$39^2))*SIN(B431))/SQRT(1+'1.설계입력'!$C$39^2-2*'1.설계입력'!$C$39*COS(B431)))</f>
        <v>1.9714732362529708E-3</v>
      </c>
    </row>
    <row r="432" spans="1:11" x14ac:dyDescent="0.3">
      <c r="A432" s="40">
        <f>A431+'1.설계입력'!$C$12</f>
        <v>85.200000000000671</v>
      </c>
      <c r="B432" s="40">
        <f t="shared" si="18"/>
        <v>1.4870205226991804</v>
      </c>
      <c r="C432" s="40">
        <f>ATAN2('1.설계입력'!$C$6/('1.설계입력'!$C$8*'1.설계입력'!$C$15)-COS((1-'1.설계입력'!$C$15)*B432),SIN((1-'1.설계입력'!$C$15)*B432))</f>
        <v>-0.67427311258635969</v>
      </c>
      <c r="D432" s="40">
        <f>'1.설계입력'!$C$6*COS(B432)-'1.설계입력'!$C$7*COS(B432+C432)-'1.설계입력'!$C$8*COS('1.설계입력'!$C$15*B432)</f>
        <v>5.5787808771825453</v>
      </c>
      <c r="E432" s="40">
        <f>-'1.설계입력'!$C$6*SIN(B432)+'1.설계입력'!$C$7*SIN(B432+C432)+'1.설계입력'!$C$8*SIN('1.설계입력'!$C$15*B432)</f>
        <v>-78.495831828627971</v>
      </c>
      <c r="F432" s="40">
        <f>ATAN2(('1.설계입력'!$C$6+'1.설계입력'!$C$33)/('1.설계입력'!$C$8*'1.설계입력'!$C$15)-COS((1-'1.설계입력'!$C$15)*B432),SIN((1-'1.설계입력'!$C$15)*B432))</f>
        <v>-0.67429341218874828</v>
      </c>
      <c r="G432" s="40">
        <f>('1.설계입력'!$C$6+'1.설계입력'!$C$33)*COS(B432)-('1.설계입력'!$C$7+'1.설계입력'!$C$34)*COS(B432+F432)-'1.설계입력'!$C$8*COS('1.설계입력'!$C$15*B432)</f>
        <v>5.57289359452502</v>
      </c>
      <c r="H432" s="40">
        <f>-('1.설계입력'!$C$6+'1.설계입력'!$C$33)*SIN(B432)+('1.설계입력'!$C$7+'1.설계입력'!$C$34)*SIN(B432+F432)+'1.설계입력'!$C$8*SIN('1.설계입력'!$C$15*B432)</f>
        <v>-78.486916590731028</v>
      </c>
      <c r="I432" s="40">
        <f t="shared" si="19"/>
        <v>78.693827016760736</v>
      </c>
      <c r="J432" s="40">
        <f t="shared" si="20"/>
        <v>78.684517021687739</v>
      </c>
      <c r="K432" s="38">
        <f>IF(OR(A432&gt;180,'1.설계입력'!$C$39&gt;=1),"",'1.설계입력'!$C$34*(1-SIN(B432)/SQRT(1+'1.설계입력'!$C$39^2-2*'1.설계입력'!$C$39*COS(B432)))-'1.설계입력'!$C$33*(1-'1.설계입력'!$C$39*COS(B432)-SQRT(MAX(0,1-'1.설계입력'!$C$39^2))*SIN(B432))/SQRT(1+'1.설계입력'!$C$39^2-2*'1.설계입력'!$C$39*COS(B432)))</f>
        <v>1.9865964029251383E-3</v>
      </c>
    </row>
    <row r="433" spans="1:11" x14ac:dyDescent="0.3">
      <c r="A433" s="40">
        <f>A432+'1.설계입력'!$C$12</f>
        <v>85.400000000000674</v>
      </c>
      <c r="B433" s="40">
        <f t="shared" si="18"/>
        <v>1.4905111812031693</v>
      </c>
      <c r="C433" s="40">
        <f>ATAN2('1.설계입력'!$C$6/('1.설계입력'!$C$8*'1.설계입력'!$C$15)-COS((1-'1.설계입력'!$C$15)*B433),SIN((1-'1.설계입력'!$C$15)*B433))</f>
        <v>-0.62803118034658245</v>
      </c>
      <c r="D433" s="40">
        <f>'1.설계입력'!$C$6*COS(B433)-'1.설계입력'!$C$7*COS(B433+C433)-'1.설계입력'!$C$8*COS('1.설계입력'!$C$15*B433)</f>
        <v>5.4704338163175859</v>
      </c>
      <c r="E433" s="40">
        <f>-'1.설계입력'!$C$6*SIN(B433)+'1.설계입력'!$C$7*SIN(B433+C433)+'1.설계입력'!$C$8*SIN('1.설계입력'!$C$15*B433)</f>
        <v>-78.593400218001975</v>
      </c>
      <c r="F433" s="40">
        <f>ATAN2(('1.설계입력'!$C$6+'1.설계입력'!$C$33)/('1.설계입력'!$C$8*'1.설계입력'!$C$15)-COS((1-'1.설계입력'!$C$15)*B433),SIN((1-'1.설계입력'!$C$15)*B433))</f>
        <v>-0.62804901803863566</v>
      </c>
      <c r="G433" s="40">
        <f>('1.설계입력'!$C$6+'1.설계입력'!$C$33)*COS(B433)-('1.설계입력'!$C$7+'1.설계입력'!$C$34)*COS(B433+F433)-'1.설계입력'!$C$8*COS('1.설계입력'!$C$15*B433)</f>
        <v>5.4648613986955796</v>
      </c>
      <c r="H433" s="40">
        <f>-('1.설계입력'!$C$6+'1.설계입력'!$C$33)*SIN(B433)+('1.설계입력'!$C$7+'1.설계입력'!$C$34)*SIN(B433+F433)+'1.설계입력'!$C$8*SIN('1.설계입력'!$C$15*B433)</f>
        <v>-78.58420510359295</v>
      </c>
      <c r="I433" s="40">
        <f t="shared" si="19"/>
        <v>78.783552877270921</v>
      </c>
      <c r="J433" s="40">
        <f t="shared" si="20"/>
        <v>78.773993182207775</v>
      </c>
      <c r="K433" s="38">
        <f>IF(OR(A433&gt;180,'1.설계입력'!$C$39&gt;=1),"",'1.설계입력'!$C$34*(1-SIN(B433)/SQRT(1+'1.설계입력'!$C$39^2-2*'1.설계입력'!$C$39*COS(B433)))-'1.설계입력'!$C$33*(1-'1.설계입력'!$C$39*COS(B433)-SQRT(MAX(0,1-'1.설계입력'!$C$39^2))*SIN(B433))/SQRT(1+'1.설계입력'!$C$39^2-2*'1.설계입력'!$C$39*COS(B433)))</f>
        <v>2.0017546790643444E-3</v>
      </c>
    </row>
    <row r="434" spans="1:11" x14ac:dyDescent="0.3">
      <c r="A434" s="40">
        <f>A433+'1.설계입력'!$C$12</f>
        <v>85.600000000000676</v>
      </c>
      <c r="B434" s="40">
        <f t="shared" si="18"/>
        <v>1.4940018397071579</v>
      </c>
      <c r="C434" s="40">
        <f>ATAN2('1.설계입력'!$C$6/('1.설계입력'!$C$8*'1.설계입력'!$C$15)-COS((1-'1.설계입력'!$C$15)*B434),SIN((1-'1.설계입력'!$C$15)*B434))</f>
        <v>-0.57915148942017691</v>
      </c>
      <c r="D434" s="40">
        <f>'1.설계입력'!$C$6*COS(B434)-'1.설계입력'!$C$7*COS(B434+C434)-'1.설계입력'!$C$8*COS('1.설계입력'!$C$15*B434)</f>
        <v>5.347669680317682</v>
      </c>
      <c r="E434" s="40">
        <f>-'1.설계입력'!$C$6*SIN(B434)+'1.설계입력'!$C$7*SIN(B434+C434)+'1.설계입력'!$C$8*SIN('1.설계입력'!$C$15*B434)</f>
        <v>-78.693075101161043</v>
      </c>
      <c r="F434" s="40">
        <f>ATAN2(('1.설계입력'!$C$6+'1.설계입력'!$C$33)/('1.설계입력'!$C$8*'1.설계입력'!$C$15)-COS((1-'1.설계입력'!$C$15)*B434),SIN((1-'1.설계입력'!$C$15)*B434))</f>
        <v>-0.57916713451040513</v>
      </c>
      <c r="G434" s="40">
        <f>('1.설계입력'!$C$6+'1.설계입력'!$C$33)*COS(B434)-('1.설계입력'!$C$7+'1.설계입력'!$C$34)*COS(B434+F434)-'1.설계입력'!$C$8*COS('1.설계입력'!$C$15*B434)</f>
        <v>5.3424418937416727</v>
      </c>
      <c r="H434" s="40">
        <f>-('1.설계입력'!$C$6+'1.설계입력'!$C$33)*SIN(B434)+('1.설계입력'!$C$7+'1.설계입력'!$C$34)*SIN(B434+F434)+'1.설계입력'!$C$8*SIN('1.설계입력'!$C$15*B434)</f>
        <v>-78.683603465928627</v>
      </c>
      <c r="I434" s="40">
        <f t="shared" si="19"/>
        <v>78.874569031385278</v>
      </c>
      <c r="J434" s="40">
        <f t="shared" si="20"/>
        <v>78.864764881228808</v>
      </c>
      <c r="K434" s="38">
        <f>IF(OR(A434&gt;180,'1.설계입력'!$C$39&gt;=1),"",'1.설계입력'!$C$34*(1-SIN(B434)/SQRT(1+'1.설계입력'!$C$39^2-2*'1.설계입력'!$C$39*COS(B434)))-'1.설계입력'!$C$33*(1-'1.설계입력'!$C$39*COS(B434)-SQRT(MAX(0,1-'1.설계입력'!$C$39^2))*SIN(B434))/SQRT(1+'1.설계입력'!$C$39^2-2*'1.설계입력'!$C$39*COS(B434)))</f>
        <v>2.0169479041254072E-3</v>
      </c>
    </row>
    <row r="435" spans="1:11" x14ac:dyDescent="0.3">
      <c r="A435" s="40">
        <f>A434+'1.설계입력'!$C$12</f>
        <v>85.800000000000679</v>
      </c>
      <c r="B435" s="40">
        <f t="shared" si="18"/>
        <v>1.4974924982111466</v>
      </c>
      <c r="C435" s="40">
        <f>ATAN2('1.설계입력'!$C$6/('1.설계입력'!$C$8*'1.설계입력'!$C$15)-COS((1-'1.설계입력'!$C$15)*B435),SIN((1-'1.설계입력'!$C$15)*B435))</f>
        <v>-0.52822253405878949</v>
      </c>
      <c r="D435" s="40">
        <f>'1.설계입력'!$C$6*COS(B435)-'1.설계입력'!$C$7*COS(B435+C435)-'1.설계입력'!$C$8*COS('1.설계입력'!$C$15*B435)</f>
        <v>5.2091472591295425</v>
      </c>
      <c r="E435" s="40">
        <f>-'1.설계입력'!$C$6*SIN(B435)+'1.설계입력'!$C$7*SIN(B435+C435)+'1.설계입력'!$C$8*SIN('1.설계입력'!$C$15*B435)</f>
        <v>-78.793763450071637</v>
      </c>
      <c r="F435" s="40">
        <f>ATAN2(('1.설계입력'!$C$6+'1.설계입력'!$C$33)/('1.설계입력'!$C$8*'1.설계입력'!$C$15)-COS((1-'1.설계입력'!$C$15)*B435),SIN((1-'1.설계입력'!$C$15)*B435))</f>
        <v>-0.52823620114003977</v>
      </c>
      <c r="G435" s="40">
        <f>('1.설계입력'!$C$6+'1.설계입력'!$C$33)*COS(B435)-('1.설계입력'!$C$7+'1.설계입력'!$C$34)*COS(B435+F435)-'1.설계입력'!$C$8*COS('1.설계입력'!$C$15*B435)</f>
        <v>5.204291254340605</v>
      </c>
      <c r="H435" s="40">
        <f>-('1.설계입력'!$C$6+'1.설계입력'!$C$33)*SIN(B435)+('1.설계입력'!$C$7+'1.설계입력'!$C$34)*SIN(B435+F435)+'1.설계입력'!$C$8*SIN('1.설계입력'!$C$15*B435)</f>
        <v>-78.784024545321799</v>
      </c>
      <c r="I435" s="40">
        <f t="shared" si="19"/>
        <v>78.965767100643944</v>
      </c>
      <c r="J435" s="40">
        <f t="shared" si="20"/>
        <v>78.955729184257891</v>
      </c>
      <c r="K435" s="38">
        <f>IF(OR(A435&gt;180,'1.설계입력'!$C$39&gt;=1),"",'1.설계입력'!$C$34*(1-SIN(B435)/SQRT(1+'1.설계입력'!$C$39^2-2*'1.설계입력'!$C$39*COS(B435)))-'1.설계입력'!$C$33*(1-'1.설계입력'!$C$39*COS(B435)-SQRT(MAX(0,1-'1.설계입력'!$C$39^2))*SIN(B435))/SQRT(1+'1.설계입력'!$C$39^2-2*'1.설계입력'!$C$39*COS(B435)))</f>
        <v>2.0321759185736154E-3</v>
      </c>
    </row>
    <row r="436" spans="1:11" x14ac:dyDescent="0.3">
      <c r="A436" s="40">
        <f>A435+'1.설계입력'!$C$12</f>
        <v>86.000000000000682</v>
      </c>
      <c r="B436" s="40">
        <f t="shared" si="18"/>
        <v>1.5009831567151353</v>
      </c>
      <c r="C436" s="40">
        <f>ATAN2('1.설계입력'!$C$6/('1.설계입력'!$C$8*'1.설계입력'!$C$15)-COS((1-'1.설계입력'!$C$15)*B436),SIN((1-'1.설계입력'!$C$15)*B436))</f>
        <v>-0.47568365729418821</v>
      </c>
      <c r="D436" s="40">
        <f>'1.설계입력'!$C$6*COS(B436)-'1.설계입력'!$C$7*COS(B436+C436)-'1.설계입력'!$C$8*COS('1.설계입력'!$C$15*B436)</f>
        <v>5.0541982695926713</v>
      </c>
      <c r="E436" s="40">
        <f>-'1.설계입력'!$C$6*SIN(B436)+'1.설계입력'!$C$7*SIN(B436+C436)+'1.설계입력'!$C$8*SIN('1.설계입력'!$C$15*B436)</f>
        <v>-78.893803852479238</v>
      </c>
      <c r="F436" s="40">
        <f>ATAN2(('1.설계입력'!$C$6+'1.설계입력'!$C$33)/('1.설계입력'!$C$8*'1.설계입력'!$C$15)-COS((1-'1.설계입력'!$C$15)*B436),SIN((1-'1.설계입력'!$C$15)*B436))</f>
        <v>-0.47569551824244971</v>
      </c>
      <c r="G436" s="40">
        <f>('1.설계입력'!$C$6+'1.설계입력'!$C$33)*COS(B436)-('1.설계입력'!$C$7+'1.설계입력'!$C$34)*COS(B436+F436)-'1.설계입력'!$C$8*COS('1.설계입력'!$C$15*B436)</f>
        <v>5.0497387569775736</v>
      </c>
      <c r="H436" s="40">
        <f>-('1.설계입력'!$C$6+'1.설계입력'!$C$33)*SIN(B436)+('1.설계입력'!$C$7+'1.설계입력'!$C$34)*SIN(B436+F436)+'1.설계입력'!$C$8*SIN('1.설계입력'!$C$15*B436)</f>
        <v>-78.883811625955929</v>
      </c>
      <c r="I436" s="40">
        <f t="shared" si="19"/>
        <v>79.055532421594762</v>
      </c>
      <c r="J436" s="40">
        <f t="shared" si="20"/>
        <v>79.045275621968841</v>
      </c>
      <c r="K436" s="38">
        <f>IF(OR(A436&gt;180,'1.설계입력'!$C$39&gt;=1),"",'1.설계입력'!$C$34*(1-SIN(B436)/SQRT(1+'1.설계입력'!$C$39^2-2*'1.설계입력'!$C$39*COS(B436)))-'1.설계입력'!$C$33*(1-'1.설계입력'!$C$39*COS(B436)-SQRT(MAX(0,1-'1.설계입력'!$C$39^2))*SIN(B436))/SQRT(1+'1.설계입력'!$C$39^2-2*'1.설계입력'!$C$39*COS(B436)))</f>
        <v>2.0474385638718862E-3</v>
      </c>
    </row>
    <row r="437" spans="1:11" x14ac:dyDescent="0.3">
      <c r="A437" s="40">
        <f>A436+'1.설계입력'!$C$12</f>
        <v>86.200000000000685</v>
      </c>
      <c r="B437" s="40">
        <f t="shared" si="18"/>
        <v>1.5044738152191239</v>
      </c>
      <c r="C437" s="40">
        <f>ATAN2('1.설계입력'!$C$6/('1.설계입력'!$C$8*'1.설계입력'!$C$15)-COS((1-'1.설계입력'!$C$15)*B437),SIN((1-'1.설계입력'!$C$15)*B437))</f>
        <v>-0.42187091147905803</v>
      </c>
      <c r="D437" s="40">
        <f>'1.설계입력'!$C$6*COS(B437)-'1.설계입력'!$C$7*COS(B437+C437)-'1.설계입력'!$C$8*COS('1.설계입력'!$C$15*B437)</f>
        <v>4.8827567467171935</v>
      </c>
      <c r="E437" s="40">
        <f>-'1.설계입력'!$C$6*SIN(B437)+'1.설계입력'!$C$7*SIN(B437+C437)+'1.설계입력'!$C$8*SIN('1.설계입력'!$C$15*B437)</f>
        <v>-78.991201183393272</v>
      </c>
      <c r="F437" s="40">
        <f>ATAN2(('1.설계입력'!$C$6+'1.설계입력'!$C$33)/('1.설계입력'!$C$8*'1.설계입력'!$C$15)-COS((1-'1.설계입력'!$C$15)*B437),SIN((1-'1.설계입력'!$C$15)*B437))</f>
        <v>-0.42188110434342219</v>
      </c>
      <c r="G437" s="40">
        <f>('1.설계입력'!$C$6+'1.설계입력'!$C$33)*COS(B437)-('1.설계입력'!$C$7+'1.설계입력'!$C$34)*COS(B437+F437)-'1.설계입력'!$C$8*COS('1.설계입력'!$C$15*B437)</f>
        <v>4.878716064140896</v>
      </c>
      <c r="H437" s="40">
        <f>-('1.설계입력'!$C$6+'1.설계입력'!$C$33)*SIN(B437)+('1.설계입력'!$C$7+'1.설계입력'!$C$34)*SIN(B437+F437)+'1.설계입력'!$C$8*SIN('1.설계입력'!$C$15*B437)</f>
        <v>-78.980973389546506</v>
      </c>
      <c r="I437" s="40">
        <f t="shared" si="19"/>
        <v>79.141968498660205</v>
      </c>
      <c r="J437" s="40">
        <f t="shared" si="20"/>
        <v>79.131510967469595</v>
      </c>
      <c r="K437" s="38">
        <f>IF(OR(A437&gt;180,'1.설계입력'!$C$39&gt;=1),"",'1.설계입력'!$C$34*(1-SIN(B437)/SQRT(1+'1.설계입력'!$C$39^2-2*'1.설계입력'!$C$39*COS(B437)))-'1.설계입력'!$C$33*(1-'1.설계입력'!$C$39*COS(B437)-SQRT(MAX(0,1-'1.설계입력'!$C$39^2))*SIN(B437))/SQRT(1+'1.설계입력'!$C$39^2-2*'1.설계입력'!$C$39*COS(B437)))</f>
        <v>2.0627356824681224E-3</v>
      </c>
    </row>
    <row r="438" spans="1:11" x14ac:dyDescent="0.3">
      <c r="A438" s="40">
        <f>A437+'1.설계입력'!$C$12</f>
        <v>86.400000000000688</v>
      </c>
      <c r="B438" s="40">
        <f t="shared" si="18"/>
        <v>1.5079644737231128</v>
      </c>
      <c r="C438" s="40">
        <f>ATAN2('1.설계입력'!$C$6/('1.설계입력'!$C$8*'1.설계입력'!$C$15)-COS((1-'1.설계입력'!$C$15)*B438),SIN((1-'1.설계입력'!$C$15)*B438))</f>
        <v>-0.36704739904760875</v>
      </c>
      <c r="D438" s="40">
        <f>'1.설계입력'!$C$6*COS(B438)-'1.설계입력'!$C$7*COS(B438+C438)-'1.설계입력'!$C$8*COS('1.설계입력'!$C$15*B438)</f>
        <v>4.6953039181540639</v>
      </c>
      <c r="E438" s="40">
        <f>-'1.설계입력'!$C$6*SIN(B438)+'1.설계입력'!$C$7*SIN(B438+C438)+'1.설계입력'!$C$8*SIN('1.설계입력'!$C$15*B438)</f>
        <v>-79.083805292300582</v>
      </c>
      <c r="F438" s="40">
        <f>ATAN2(('1.설계입력'!$C$6+'1.설계입력'!$C$33)/('1.설계입력'!$C$8*'1.설계입력'!$C$15)-COS((1-'1.설계입력'!$C$15)*B438),SIN((1-'1.설계입력'!$C$15)*B438))</f>
        <v>-0.36705603465290437</v>
      </c>
      <c r="G438" s="40">
        <f>('1.설계입력'!$C$6+'1.설계입력'!$C$33)*COS(B438)-('1.설계입력'!$C$7+'1.설계입력'!$C$34)*COS(B438+F438)-'1.설계입력'!$C$8*COS('1.설계입력'!$C$15*B438)</f>
        <v>4.6917020399513198</v>
      </c>
      <c r="H438" s="40">
        <f>-('1.설계입력'!$C$6+'1.설계입력'!$C$33)*SIN(B438)+('1.설계입력'!$C$7+'1.설계입력'!$C$34)*SIN(B438+F438)+'1.설계입력'!$C$8*SIN('1.설계입력'!$C$15*B438)</f>
        <v>-79.073362804423141</v>
      </c>
      <c r="I438" s="40">
        <f t="shared" si="19"/>
        <v>79.22306569676752</v>
      </c>
      <c r="J438" s="40">
        <f t="shared" si="20"/>
        <v>79.212428148817736</v>
      </c>
      <c r="K438" s="38">
        <f>IF(OR(A438&gt;180,'1.설계입력'!$C$39&gt;=1),"",'1.설계입력'!$C$34*(1-SIN(B438)/SQRT(1+'1.설계입력'!$C$39^2-2*'1.설계입력'!$C$39*COS(B438)))-'1.설계입력'!$C$33*(1-'1.설계입력'!$C$39*COS(B438)-SQRT(MAX(0,1-'1.설계입력'!$C$39^2))*SIN(B438))/SQRT(1+'1.설계입력'!$C$39^2-2*'1.설계입력'!$C$39*COS(B438)))</f>
        <v>2.07806711778274E-3</v>
      </c>
    </row>
    <row r="439" spans="1:11" x14ac:dyDescent="0.3">
      <c r="A439" s="40">
        <f>A438+'1.설계입력'!$C$12</f>
        <v>86.600000000000691</v>
      </c>
      <c r="B439" s="40">
        <f t="shared" si="18"/>
        <v>1.5114551322271015</v>
      </c>
      <c r="C439" s="40">
        <f>ATAN2('1.설계입력'!$C$6/('1.설계입력'!$C$8*'1.설계입력'!$C$15)-COS((1-'1.설계입력'!$C$15)*B439),SIN((1-'1.설계입력'!$C$15)*B439))</f>
        <v>-0.31142391823162202</v>
      </c>
      <c r="D439" s="40">
        <f>'1.설계입력'!$C$6*COS(B439)-'1.설계입력'!$C$7*COS(B439+C439)-'1.설계입력'!$C$8*COS('1.설계입력'!$C$15*B439)</f>
        <v>4.4928176871899863</v>
      </c>
      <c r="E439" s="40">
        <f>-'1.설계입력'!$C$6*SIN(B439)+'1.설계입력'!$C$7*SIN(B439+C439)+'1.설계입력'!$C$8*SIN('1.설계입력'!$C$15*B439)</f>
        <v>-79.169451860851879</v>
      </c>
      <c r="F439" s="40">
        <f>ATAN2(('1.설계입력'!$C$6+'1.설계입력'!$C$33)/('1.설계입력'!$C$8*'1.설계입력'!$C$15)-COS((1-'1.설계입력'!$C$15)*B439),SIN((1-'1.설계입력'!$C$15)*B439))</f>
        <v>-0.31143108509753337</v>
      </c>
      <c r="G439" s="40">
        <f>('1.설계입력'!$C$6+'1.설계입력'!$C$33)*COS(B439)-('1.설계입력'!$C$7+'1.설계입력'!$C$34)*COS(B439+F439)-'1.설계입력'!$C$8*COS('1.설계입력'!$C$15*B439)</f>
        <v>4.4896722016820672</v>
      </c>
      <c r="H439" s="40">
        <f>-('1.설계입력'!$C$6+'1.설계입력'!$C$33)*SIN(B439)+('1.설계입력'!$C$7+'1.설계입력'!$C$34)*SIN(B439+F439)+'1.설계입력'!$C$8*SIN('1.설계입력'!$C$15*B439)</f>
        <v>-79.158818117349981</v>
      </c>
      <c r="I439" s="40">
        <f t="shared" si="19"/>
        <v>79.296831706683406</v>
      </c>
      <c r="J439" s="40">
        <f t="shared" si="20"/>
        <v>79.286036867876376</v>
      </c>
      <c r="K439" s="38">
        <f>IF(OR(A439&gt;180,'1.설계입력'!$C$39&gt;=1),"",'1.설계입력'!$C$34*(1-SIN(B439)/SQRT(1+'1.설계입력'!$C$39^2-2*'1.설계입력'!$C$39*COS(B439)))-'1.설계입력'!$C$33*(1-'1.설계입력'!$C$39*COS(B439)-SQRT(MAX(0,1-'1.설계입력'!$C$39^2))*SIN(B439))/SQRT(1+'1.설계입력'!$C$39^2-2*'1.설계입력'!$C$39*COS(B439)))</f>
        <v>2.0934327141963801E-3</v>
      </c>
    </row>
    <row r="440" spans="1:11" x14ac:dyDescent="0.3">
      <c r="A440" s="40">
        <f>A439+'1.설계입력'!$C$12</f>
        <v>86.800000000000693</v>
      </c>
      <c r="B440" s="40">
        <f t="shared" si="18"/>
        <v>1.5149457907310901</v>
      </c>
      <c r="C440" s="40">
        <f>ATAN2('1.설계입력'!$C$6/('1.설계입력'!$C$8*'1.설계입력'!$C$15)-COS((1-'1.설계입력'!$C$15)*B440),SIN((1-'1.설계입력'!$C$15)*B440))</f>
        <v>-0.25517339989343835</v>
      </c>
      <c r="D440" s="40">
        <f>'1.설계입력'!$C$6*COS(B440)-'1.설계입력'!$C$7*COS(B440+C440)-'1.설계입력'!$C$8*COS('1.설계입력'!$C$15*B440)</f>
        <v>4.2767212026664279</v>
      </c>
      <c r="E440" s="40">
        <f>-'1.설계입력'!$C$6*SIN(B440)+'1.설계입력'!$C$7*SIN(B440+C440)+'1.설계입력'!$C$8*SIN('1.설계입력'!$C$15*B440)</f>
        <v>-79.246075952537808</v>
      </c>
      <c r="F440" s="40">
        <f>ATAN2(('1.설계입력'!$C$6+'1.설계입력'!$C$33)/('1.설계입력'!$C$8*'1.설계입력'!$C$15)-COS((1-'1.설계입력'!$C$15)*B440),SIN((1-'1.설계입력'!$C$15)*B440))</f>
        <v>-0.25517916790292461</v>
      </c>
      <c r="G440" s="40">
        <f>('1.설계입력'!$C$6+'1.설계입력'!$C$33)*COS(B440)-('1.설계입력'!$C$7+'1.설계입력'!$C$34)*COS(B440+F440)-'1.설계입력'!$C$8*COS('1.설계입력'!$C$15*B440)</f>
        <v>4.274047274284146</v>
      </c>
      <c r="H440" s="40">
        <f>-('1.설계입력'!$C$6+'1.설계입력'!$C$33)*SIN(B440)+('1.설계입력'!$C$7+'1.설계입력'!$C$34)*SIN(B440+F440)+'1.설계입력'!$C$8*SIN('1.설계입력'!$C$15*B440)</f>
        <v>-79.235276493596814</v>
      </c>
      <c r="I440" s="40">
        <f t="shared" si="19"/>
        <v>79.361394255146038</v>
      </c>
      <c r="J440" s="40">
        <f t="shared" si="20"/>
        <v>79.350466420302482</v>
      </c>
      <c r="K440" s="38">
        <f>IF(OR(A440&gt;180,'1.설계입력'!$C$39&gt;=1),"",'1.설계입력'!$C$34*(1-SIN(B440)/SQRT(1+'1.설계입력'!$C$39^2-2*'1.설계입력'!$C$39*COS(B440)))-'1.설계입력'!$C$33*(1-'1.설계입력'!$C$39*COS(B440)-SQRT(MAX(0,1-'1.설계입력'!$C$39^2))*SIN(B440))/SQRT(1+'1.설계입력'!$C$39^2-2*'1.설계입력'!$C$39*COS(B440)))</f>
        <v>2.1088323170377929E-3</v>
      </c>
    </row>
    <row r="441" spans="1:11" x14ac:dyDescent="0.3">
      <c r="A441" s="40">
        <f>A440+'1.설계입력'!$C$12</f>
        <v>87.000000000000696</v>
      </c>
      <c r="B441" s="40">
        <f t="shared" si="18"/>
        <v>1.5184364492350788</v>
      </c>
      <c r="C441" s="40">
        <f>ATAN2('1.설계입력'!$C$6/('1.설계입력'!$C$8*'1.설계입력'!$C$15)-COS((1-'1.설계입력'!$C$15)*B441),SIN((1-'1.설계입력'!$C$15)*B441))</f>
        <v>-0.19844128720558626</v>
      </c>
      <c r="D441" s="40">
        <f>'1.설계입력'!$C$6*COS(B441)-'1.설계입력'!$C$7*COS(B441+C441)-'1.설계입력'!$C$8*COS('1.설계입력'!$C$15*B441)</f>
        <v>4.0488278588615652</v>
      </c>
      <c r="E441" s="40">
        <f>-'1.설계입력'!$C$6*SIN(B441)+'1.설계입력'!$C$7*SIN(B441+C441)+'1.설계입력'!$C$8*SIN('1.설계입력'!$C$15*B441)</f>
        <v>-79.311804357786485</v>
      </c>
      <c r="F441" s="40">
        <f>ATAN2(('1.설계입력'!$C$6+'1.설계입력'!$C$33)/('1.설계입력'!$C$8*'1.설계입력'!$C$15)-COS((1-'1.설계입력'!$C$15)*B441),SIN((1-'1.설계입력'!$C$15)*B441))</f>
        <v>-0.19844571032958244</v>
      </c>
      <c r="G441" s="40">
        <f>('1.설계입력'!$C$6+'1.설계입력'!$C$33)*COS(B441)-('1.설계입력'!$C$7+'1.설계입력'!$C$34)*COS(B441+F441)-'1.설계입력'!$C$8*COS('1.설계입력'!$C$15*B441)</f>
        <v>4.0466381846138155</v>
      </c>
      <c r="H441" s="40">
        <f>-('1.설계입력'!$C$6+'1.설계입력'!$C$33)*SIN(B441)+('1.설계입력'!$C$7+'1.설계입력'!$C$34)*SIN(B441+F441)+'1.설계입력'!$C$8*SIN('1.설계입력'!$C$15*B441)</f>
        <v>-79.300866423498974</v>
      </c>
      <c r="I441" s="40">
        <f t="shared" si="19"/>
        <v>79.415082430974621</v>
      </c>
      <c r="J441" s="40">
        <f t="shared" si="20"/>
        <v>79.404047101610644</v>
      </c>
      <c r="K441" s="38">
        <f>IF(OR(A441&gt;180,'1.설계입력'!$C$39&gt;=1),"",'1.설계입력'!$C$34*(1-SIN(B441)/SQRT(1+'1.설계입력'!$C$39^2-2*'1.설계입력'!$C$39*COS(B441)))-'1.설계입력'!$C$33*(1-'1.설계입력'!$C$39*COS(B441)-SQRT(MAX(0,1-'1.설계입력'!$C$39^2))*SIN(B441))/SQRT(1+'1.설계입력'!$C$39^2-2*'1.설계입력'!$C$39*COS(B441)))</f>
        <v>2.1242657725718886E-3</v>
      </c>
    </row>
    <row r="442" spans="1:11" x14ac:dyDescent="0.3">
      <c r="A442" s="40">
        <f>A441+'1.설계입력'!$C$12</f>
        <v>87.200000000000699</v>
      </c>
      <c r="B442" s="40">
        <f t="shared" si="18"/>
        <v>1.5219271077390675</v>
      </c>
      <c r="C442" s="40">
        <f>ATAN2('1.설계입력'!$C$6/('1.설계입력'!$C$8*'1.설계입력'!$C$15)-COS((1-'1.설계입력'!$C$15)*B442),SIN((1-'1.설계입력'!$C$15)*B442))</f>
        <v>-0.1413532270541219</v>
      </c>
      <c r="D442" s="40">
        <f>'1.설계입력'!$C$6*COS(B442)-'1.설계입력'!$C$7*COS(B442+C442)-'1.설계입력'!$C$8*COS('1.설계입력'!$C$15*B442)</f>
        <v>3.8112816800658047</v>
      </c>
      <c r="E442" s="40">
        <f>-'1.설계입력'!$C$6*SIN(B442)+'1.설계입력'!$C$7*SIN(B442+C442)+'1.설계입력'!$C$8*SIN('1.설계입력'!$C$15*B442)</f>
        <v>-79.365030244267288</v>
      </c>
      <c r="F442" s="40">
        <f>ATAN2(('1.설계입력'!$C$6+'1.설계입력'!$C$33)/('1.설계입력'!$C$8*'1.설계입력'!$C$15)-COS((1-'1.설계입력'!$C$15)*B442),SIN((1-'1.설계입력'!$C$15)*B442))</f>
        <v>-0.14135634534876754</v>
      </c>
      <c r="G442" s="40">
        <f>('1.설계입력'!$C$6+'1.설계입력'!$C$33)*COS(B442)-('1.설계입력'!$C$7+'1.설계입력'!$C$34)*COS(B442+F442)-'1.설계입력'!$C$8*COS('1.설계입력'!$C$15*B442)</f>
        <v>3.8095864463907319</v>
      </c>
      <c r="H442" s="40">
        <f>-('1.설계입력'!$C$6+'1.설계입력'!$C$33)*SIN(B442)+('1.설계입력'!$C$7+'1.설계입력'!$C$34)*SIN(B442+F442)+'1.설계입력'!$C$8*SIN('1.설계입력'!$C$15*B442)</f>
        <v>-79.353982414612616</v>
      </c>
      <c r="I442" s="40">
        <f t="shared" si="19"/>
        <v>79.456490570111811</v>
      </c>
      <c r="J442" s="40">
        <f t="shared" si="20"/>
        <v>79.445374150740662</v>
      </c>
      <c r="K442" s="38">
        <f>IF(OR(A442&gt;180,'1.설계입력'!$C$39&gt;=1),"",'1.설계입력'!$C$34*(1-SIN(B442)/SQRT(1+'1.설계입력'!$C$39^2-2*'1.설계입력'!$C$39*COS(B442)))-'1.설계입력'!$C$33*(1-'1.설계입력'!$C$39*COS(B442)-SQRT(MAX(0,1-'1.설계입력'!$C$39^2))*SIN(B442))/SQRT(1+'1.설계입력'!$C$39^2-2*'1.설계입력'!$C$39*COS(B442)))</f>
        <v>2.1397329279879652E-3</v>
      </c>
    </row>
    <row r="443" spans="1:11" x14ac:dyDescent="0.3">
      <c r="A443" s="40">
        <f>A442+'1.설계입력'!$C$12</f>
        <v>87.400000000000702</v>
      </c>
      <c r="B443" s="40">
        <f t="shared" si="18"/>
        <v>1.5254177662430564</v>
      </c>
      <c r="C443" s="40">
        <f>ATAN2('1.설계입력'!$C$6/('1.설계입력'!$C$8*'1.설계입력'!$C$15)-COS((1-'1.설계입력'!$C$15)*B443),SIN((1-'1.설계입력'!$C$15)*B443))</f>
        <v>-8.4020972191398355E-2</v>
      </c>
      <c r="D443" s="40">
        <f>'1.설계입력'!$C$6*COS(B443)-'1.설계입력'!$C$7*COS(B443+C443)-'1.설계입력'!$C$8*COS('1.설계입력'!$C$15*B443)</f>
        <v>3.5664929946576089</v>
      </c>
      <c r="E443" s="40">
        <f>-'1.설계입력'!$C$6*SIN(B443)+'1.설계입력'!$C$7*SIN(B443+C443)+'1.설계입력'!$C$8*SIN('1.설계입력'!$C$15*B443)</f>
        <v>-79.404472088217304</v>
      </c>
      <c r="F443" s="40">
        <f>ATAN2(('1.설계입력'!$C$6+'1.설계입력'!$C$33)/('1.설계입력'!$C$8*'1.설계입력'!$C$15)-COS((1-'1.설계입력'!$C$15)*B443),SIN((1-'1.설계입력'!$C$15)*B443))</f>
        <v>-8.4022813218505563E-2</v>
      </c>
      <c r="G443" s="40">
        <f>('1.설계입력'!$C$6+'1.설계입력'!$C$33)*COS(B443)-('1.설계입력'!$C$7+'1.설계입력'!$C$34)*COS(B443+F443)-'1.설계입력'!$C$8*COS('1.설계입력'!$C$15*B443)</f>
        <v>3.5652998384438646</v>
      </c>
      <c r="H443" s="40">
        <f>-('1.설계입력'!$C$6+'1.설계입력'!$C$33)*SIN(B443)+('1.설계입력'!$C$7+'1.설계입력'!$C$34)*SIN(B443+F443)+'1.설계입력'!$C$8*SIN('1.설계입력'!$C$15*B443)</f>
        <v>-79.393343951233405</v>
      </c>
      <c r="I443" s="40">
        <f t="shared" si="19"/>
        <v>79.484527172836749</v>
      </c>
      <c r="J443" s="40">
        <f t="shared" si="20"/>
        <v>79.473356709634828</v>
      </c>
      <c r="K443" s="38">
        <f>IF(OR(A443&gt;180,'1.설계입력'!$C$39&gt;=1),"",'1.설계입력'!$C$34*(1-SIN(B443)/SQRT(1+'1.설계입력'!$C$39^2-2*'1.설계입력'!$C$39*COS(B443)))-'1.설계입력'!$C$33*(1-'1.설계입력'!$C$39*COS(B443)-SQRT(MAX(0,1-'1.설계입력'!$C$39^2))*SIN(B443))/SQRT(1+'1.설계입력'!$C$39^2-2*'1.설계입력'!$C$39*COS(B443)))</f>
        <v>2.1552336313880971E-3</v>
      </c>
    </row>
    <row r="444" spans="1:11" x14ac:dyDescent="0.3">
      <c r="A444" s="40">
        <f>A443+'1.설계입력'!$C$12</f>
        <v>87.600000000000705</v>
      </c>
      <c r="B444" s="40">
        <f t="shared" si="18"/>
        <v>1.528908424747045</v>
      </c>
      <c r="C444" s="40">
        <f>ATAN2('1.설계입력'!$C$6/('1.설계입력'!$C$8*'1.설계입력'!$C$15)-COS((1-'1.설계입력'!$C$15)*B444),SIN((1-'1.설계입력'!$C$15)*B444))</f>
        <v>-2.6547106889113818E-2</v>
      </c>
      <c r="D444" s="40">
        <f>'1.설계입력'!$C$6*COS(B444)-'1.설계입력'!$C$7*COS(B444+C444)-'1.설계입력'!$C$8*COS('1.설계입력'!$C$15*B444)</f>
        <v>3.3170698850037468</v>
      </c>
      <c r="E444" s="40">
        <f>-'1.설계입력'!$C$6*SIN(B444)+'1.설계입력'!$C$7*SIN(B444+C444)+'1.설계입력'!$C$8*SIN('1.설계입력'!$C$15*B444)</f>
        <v>-79.429217956997377</v>
      </c>
      <c r="F444" s="40">
        <f>ATAN2(('1.설계입력'!$C$6+'1.설계입력'!$C$33)/('1.설계입력'!$C$8*'1.설계입력'!$C$15)-COS((1-'1.설계입력'!$C$15)*B444),SIN((1-'1.설계입력'!$C$15)*B444))</f>
        <v>-2.6547686662427138E-2</v>
      </c>
      <c r="G444" s="40">
        <f>('1.설계입력'!$C$6+'1.설계입력'!$C$33)*COS(B444)-('1.설계입력'!$C$7+'1.설계입력'!$C$34)*COS(B444+F444)-'1.설계입력'!$C$8*COS('1.설계입력'!$C$15*B444)</f>
        <v>3.3163838611354786</v>
      </c>
      <c r="H444" s="40">
        <f>-('1.설계입력'!$C$6+'1.설계입력'!$C$33)*SIN(B444)+('1.설계입력'!$C$7+'1.설계입력'!$C$34)*SIN(B444+F444)+'1.설계입력'!$C$8*SIN('1.설계입력'!$C$15*B444)</f>
        <v>-79.41803979529702</v>
      </c>
      <c r="I444" s="40">
        <f t="shared" si="19"/>
        <v>79.498450411829992</v>
      </c>
      <c r="J444" s="40">
        <f t="shared" si="20"/>
        <v>79.487253360785971</v>
      </c>
      <c r="K444" s="38">
        <f>IF(OR(A444&gt;180,'1.설계입력'!$C$39&gt;=1),"",'1.설계입력'!$C$34*(1-SIN(B444)/SQRT(1+'1.설계입력'!$C$39^2-2*'1.설계입력'!$C$39*COS(B444)))-'1.설계입력'!$C$33*(1-'1.설계입력'!$C$39*COS(B444)-SQRT(MAX(0,1-'1.설계입력'!$C$39^2))*SIN(B444))/SQRT(1+'1.설계입력'!$C$39^2-2*'1.설계입력'!$C$39*COS(B444)))</f>
        <v>2.1707677317756875E-3</v>
      </c>
    </row>
    <row r="445" spans="1:11" x14ac:dyDescent="0.3">
      <c r="A445" s="40">
        <f>A444+'1.설계입력'!$C$12</f>
        <v>87.800000000000708</v>
      </c>
      <c r="B445" s="40">
        <f t="shared" si="18"/>
        <v>1.5323990832510337</v>
      </c>
      <c r="C445" s="40">
        <f>ATAN2('1.설계입력'!$C$6/('1.설계입력'!$C$8*'1.설계입력'!$C$15)-COS((1-'1.설계입력'!$C$15)*B445),SIN((1-'1.설계입력'!$C$15)*B445))</f>
        <v>3.0970965698847365E-2</v>
      </c>
      <c r="D445" s="40">
        <f>'1.설계입력'!$C$6*COS(B445)-'1.설계입력'!$C$7*COS(B445+C445)-'1.설계입력'!$C$8*COS('1.설계입력'!$C$15*B445)</f>
        <v>3.0657462617778375</v>
      </c>
      <c r="E445" s="40">
        <f>-'1.설계입력'!$C$6*SIN(B445)+'1.설계입력'!$C$7*SIN(B445+C445)+'1.설계입력'!$C$8*SIN('1.설계입력'!$C$15*B445)</f>
        <v>-79.438755684897941</v>
      </c>
      <c r="F445" s="40">
        <f>ATAN2(('1.설계입력'!$C$6+'1.설계입력'!$C$33)/('1.설계입력'!$C$8*'1.설계입력'!$C$15)-COS((1-'1.설계입력'!$C$15)*B445),SIN((1-'1.설계입력'!$C$15)*B445))</f>
        <v>3.0971642175656566E-2</v>
      </c>
      <c r="G445" s="40">
        <f>('1.설계입력'!$C$6+'1.설계입력'!$C$33)*COS(B445)-('1.설계입력'!$C$7+'1.설계입력'!$C$34)*COS(B445+F445)-'1.설계입력'!$C$8*COS('1.설계입력'!$C$15*B445)</f>
        <v>3.0655698185839606</v>
      </c>
      <c r="H445" s="40">
        <f>-('1.설계입력'!$C$6+'1.설계입력'!$C$33)*SIN(B445)+('1.설계입력'!$C$7+'1.설계입력'!$C$34)*SIN(B445+F445)+'1.설계입력'!$C$8*SIN('1.설계입력'!$C$15*B445)</f>
        <v>-79.427558173077529</v>
      </c>
      <c r="I445" s="40">
        <f t="shared" si="19"/>
        <v>79.497891197858252</v>
      </c>
      <c r="J445" s="40">
        <f t="shared" si="20"/>
        <v>79.486695211527248</v>
      </c>
      <c r="K445" s="38">
        <f>IF(OR(A445&gt;180,'1.설계입력'!$C$39&gt;=1),"",'1.설계입력'!$C$34*(1-SIN(B445)/SQRT(1+'1.설계입력'!$C$39^2-2*'1.설계입력'!$C$39*COS(B445)))-'1.설계입력'!$C$33*(1-'1.설계입력'!$C$39*COS(B445)-SQRT(MAX(0,1-'1.설계입력'!$C$39^2))*SIN(B445))/SQRT(1+'1.설계입력'!$C$39^2-2*'1.설계입력'!$C$39*COS(B445)))</f>
        <v>2.1863350790441889E-3</v>
      </c>
    </row>
    <row r="446" spans="1:11" x14ac:dyDescent="0.3">
      <c r="A446" s="40">
        <f>A445+'1.설계입력'!$C$12</f>
        <v>88.000000000000711</v>
      </c>
      <c r="B446" s="40">
        <f t="shared" si="18"/>
        <v>1.5358897417550224</v>
      </c>
      <c r="C446" s="40">
        <f>ATAN2('1.설계입력'!$C$6/('1.설계입력'!$C$8*'1.설계입력'!$C$15)-COS((1-'1.설계입력'!$C$15)*B446),SIN((1-'1.설계입력'!$C$15)*B446))</f>
        <v>8.8437439401886808E-2</v>
      </c>
      <c r="D446" s="40">
        <f>'1.설계입력'!$C$6*COS(B446)-'1.설계입력'!$C$7*COS(B446+C446)-'1.설계입력'!$C$8*COS('1.설계입력'!$C$15*B446)</f>
        <v>2.8153076315577374</v>
      </c>
      <c r="E446" s="40">
        <f>-'1.설계입력'!$C$6*SIN(B446)+'1.설계입력'!$C$7*SIN(B446+C446)+'1.설계입력'!$C$8*SIN('1.설계입력'!$C$15*B446)</f>
        <v>-79.432989181387185</v>
      </c>
      <c r="F446" s="40">
        <f>ATAN2(('1.설계입력'!$C$6+'1.설계입력'!$C$33)/('1.설계입력'!$C$8*'1.설계입력'!$C$15)-COS((1-'1.설계입력'!$C$15)*B446),SIN((1-'1.설계입력'!$C$15)*B446))</f>
        <v>8.8439377968907273E-2</v>
      </c>
      <c r="G446" s="40">
        <f>('1.설계입력'!$C$6+'1.설계입력'!$C$33)*COS(B446)-('1.설계입력'!$C$7+'1.설계입력'!$C$34)*COS(B446+F446)-'1.설계입력'!$C$8*COS('1.설계입력'!$C$15*B446)</f>
        <v>2.8156405948241816</v>
      </c>
      <c r="H446" s="40">
        <f>-('1.설계입력'!$C$6+'1.설계입력'!$C$33)*SIN(B446)+('1.설계입력'!$C$7+'1.설계입력'!$C$34)*SIN(B446+F446)+'1.설계입력'!$C$8*SIN('1.설계입력'!$C$15*B446)</f>
        <v>-79.421803088281479</v>
      </c>
      <c r="I446" s="40">
        <f t="shared" si="19"/>
        <v>79.482864363022799</v>
      </c>
      <c r="J446" s="40">
        <f t="shared" si="20"/>
        <v>79.471697086151238</v>
      </c>
      <c r="K446" s="38">
        <f>IF(OR(A446&gt;180,'1.설계입력'!$C$39&gt;=1),"",'1.설계입력'!$C$34*(1-SIN(B446)/SQRT(1+'1.설계입력'!$C$39^2-2*'1.설계입력'!$C$39*COS(B446)))-'1.설계입력'!$C$33*(1-'1.설계입력'!$C$39*COS(B446)-SQRT(MAX(0,1-'1.설계입력'!$C$39^2))*SIN(B446))/SQRT(1+'1.설계입력'!$C$39^2-2*'1.설계입력'!$C$39*COS(B446)))</f>
        <v>2.2019355239659725E-3</v>
      </c>
    </row>
    <row r="447" spans="1:11" x14ac:dyDescent="0.3">
      <c r="A447" s="40">
        <f>A446+'1.설계입력'!$C$12</f>
        <v>88.200000000000713</v>
      </c>
      <c r="B447" s="40">
        <f t="shared" si="18"/>
        <v>1.539380400259011</v>
      </c>
      <c r="C447" s="40">
        <f>ATAN2('1.설계입력'!$C$6/('1.설계입력'!$C$8*'1.설계입력'!$C$15)-COS((1-'1.설계입력'!$C$15)*B447),SIN((1-'1.설계입력'!$C$15)*B447))</f>
        <v>0.14575464309635638</v>
      </c>
      <c r="D447" s="40">
        <f>'1.설계입력'!$C$6*COS(B447)-'1.설계입력'!$C$7*COS(B447+C447)-'1.설계입력'!$C$8*COS('1.설계입력'!$C$15*B447)</f>
        <v>2.5685157441729385</v>
      </c>
      <c r="E447" s="40">
        <f>-'1.설계입력'!$C$6*SIN(B447)+'1.설계입력'!$C$7*SIN(B447+C447)+'1.설계입력'!$C$8*SIN('1.설계입력'!$C$15*B447)</f>
        <v>-79.412240935673353</v>
      </c>
      <c r="F447" s="40">
        <f>ATAN2(('1.설계입력'!$C$6+'1.설계입력'!$C$33)/('1.설계입력'!$C$8*'1.설계입력'!$C$15)-COS((1-'1.설계입력'!$C$15)*B447),SIN((1-'1.설계입력'!$C$15)*B447))</f>
        <v>0.14575786063163437</v>
      </c>
      <c r="G447" s="40">
        <f>('1.설계입력'!$C$6+'1.설계입력'!$C$33)*COS(B447)-('1.설계입력'!$C$7+'1.설계입력'!$C$34)*COS(B447+F447)-'1.설계입력'!$C$8*COS('1.설계입력'!$C$15*B447)</f>
        <v>2.5693553097715816</v>
      </c>
      <c r="H447" s="40">
        <f>-('1.설계입력'!$C$6+'1.설계입력'!$C$33)*SIN(B447)+('1.설계입력'!$C$7+'1.설계입력'!$C$34)*SIN(B447+F447)+'1.설계입력'!$C$8*SIN('1.설계입력'!$C$15*B447)</f>
        <v>-79.40109682605916</v>
      </c>
      <c r="I447" s="40">
        <f t="shared" si="19"/>
        <v>79.453768214940553</v>
      </c>
      <c r="J447" s="40">
        <f t="shared" si="20"/>
        <v>79.442657079739433</v>
      </c>
      <c r="K447" s="38">
        <f>IF(OR(A447&gt;180,'1.설계입력'!$C$39&gt;=1),"",'1.설계입력'!$C$34*(1-SIN(B447)/SQRT(1+'1.설계입력'!$C$39^2-2*'1.설계입력'!$C$39*COS(B447)))-'1.설계입력'!$C$33*(1-'1.설계입력'!$C$39*COS(B447)-SQRT(MAX(0,1-'1.설계입력'!$C$39^2))*SIN(B447))/SQRT(1+'1.설계입력'!$C$39^2-2*'1.설계입력'!$C$39*COS(B447)))</f>
        <v>2.217568918181357E-3</v>
      </c>
    </row>
    <row r="448" spans="1:11" x14ac:dyDescent="0.3">
      <c r="A448" s="40">
        <f>A447+'1.설계입력'!$C$12</f>
        <v>88.400000000000716</v>
      </c>
      <c r="B448" s="40">
        <f t="shared" si="18"/>
        <v>1.5428710587629999</v>
      </c>
      <c r="C448" s="40">
        <f>ATAN2('1.설계입력'!$C$6/('1.설계입력'!$C$8*'1.설계입력'!$C$15)-COS((1-'1.설계입력'!$C$15)*B448),SIN((1-'1.설계입력'!$C$15)*B448))</f>
        <v>0.20281943596921348</v>
      </c>
      <c r="D448" s="40">
        <f>'1.설계입력'!$C$6*COS(B448)-'1.설계입력'!$C$7*COS(B448+C448)-'1.설계입력'!$C$8*COS('1.설계입력'!$C$15*B448)</f>
        <v>2.328033339059155</v>
      </c>
      <c r="E448" s="40">
        <f>-'1.설계입력'!$C$6*SIN(B448)+'1.설계입력'!$C$7*SIN(B448+C448)+'1.설계입력'!$C$8*SIN('1.설계입력'!$C$15*B448)</f>
        <v>-79.377240664303287</v>
      </c>
      <c r="F448" s="40">
        <f>ATAN2(('1.설계입력'!$C$6+'1.설계입력'!$C$33)/('1.설계입력'!$C$8*'1.설계입력'!$C$15)-COS((1-'1.설계입력'!$C$15)*B448),SIN((1-'1.설계입력'!$C$15)*B448))</f>
        <v>0.20282396095651073</v>
      </c>
      <c r="G448" s="40">
        <f>('1.설계입력'!$C$6+'1.설계입력'!$C$33)*COS(B448)-('1.설계입력'!$C$7+'1.설계입력'!$C$34)*COS(B448+F448)-'1.설계입력'!$C$8*COS('1.설계입력'!$C$15*B448)</f>
        <v>2.3293740736588893</v>
      </c>
      <c r="H448" s="40">
        <f>-('1.설계입력'!$C$6+'1.설계입력'!$C$33)*SIN(B448)+('1.설계입력'!$C$7+'1.설계입력'!$C$34)*SIN(B448+F448)+'1.설계입력'!$C$8*SIN('1.설계입력'!$C$15*B448)</f>
        <v>-79.366168594653985</v>
      </c>
      <c r="I448" s="40">
        <f t="shared" si="19"/>
        <v>79.411372451976263</v>
      </c>
      <c r="J448" s="40">
        <f t="shared" si="20"/>
        <v>79.400344463799868</v>
      </c>
      <c r="K448" s="38">
        <f>IF(OR(A448&gt;180,'1.설계입력'!$C$39&gt;=1),"",'1.설계입력'!$C$34*(1-SIN(B448)/SQRT(1+'1.설계입력'!$C$39^2-2*'1.설계입력'!$C$39*COS(B448)))-'1.설계입력'!$C$33*(1-'1.설계입력'!$C$39*COS(B448)-SQRT(MAX(0,1-'1.설계입력'!$C$39^2))*SIN(B448))/SQRT(1+'1.설계입력'!$C$39^2-2*'1.설계입력'!$C$39*COS(B448)))</f>
        <v>2.2332351141877973E-3</v>
      </c>
    </row>
    <row r="449" spans="1:11" x14ac:dyDescent="0.3">
      <c r="A449" s="40">
        <f>A448+'1.설계입력'!$C$12</f>
        <v>88.600000000000719</v>
      </c>
      <c r="B449" s="40">
        <f t="shared" si="18"/>
        <v>1.5463617172669886</v>
      </c>
      <c r="C449" s="40">
        <f>ATAN2('1.설계입력'!$C$6/('1.설계입력'!$C$8*'1.설계입력'!$C$15)-COS((1-'1.설계입력'!$C$15)*B449),SIN((1-'1.설계입력'!$C$15)*B449))</f>
        <v>0.25951917623263354</v>
      </c>
      <c r="D449" s="40">
        <f>'1.설계입력'!$C$6*COS(B449)-'1.설계입력'!$C$7*COS(B449+C449)-'1.설계입력'!$C$8*COS('1.설계입력'!$C$15*B449)</f>
        <v>2.0963501613612756</v>
      </c>
      <c r="E449" s="40">
        <f>-'1.설계입력'!$C$6*SIN(B449)+'1.설계입력'!$C$7*SIN(B449+C449)+'1.설계입력'!$C$8*SIN('1.설계입력'!$C$15*B449)</f>
        <v>-79.329099932524457</v>
      </c>
      <c r="F449" s="40">
        <f>ATAN2(('1.설계입력'!$C$6+'1.설계입력'!$C$33)/('1.설계입력'!$C$8*'1.설계입력'!$C$15)-COS((1-'1.설계입력'!$C$15)*B449),SIN((1-'1.설계입력'!$C$15)*B449))</f>
        <v>0.25952504974141088</v>
      </c>
      <c r="G449" s="40">
        <f>('1.설계입력'!$C$6+'1.설계입력'!$C$33)*COS(B449)-('1.설계입력'!$C$7+'1.설계입력'!$C$34)*COS(B449+F449)-'1.설계입력'!$C$8*COS('1.설계입력'!$C$15*B449)</f>
        <v>2.0981840100219284</v>
      </c>
      <c r="H449" s="40">
        <f>-('1.설계입력'!$C$6+'1.설계입력'!$C$33)*SIN(B449)+('1.설계입력'!$C$7+'1.설계입력'!$C$34)*SIN(B449+F449)+'1.설계입력'!$C$8*SIN('1.설계입력'!$C$15*B449)</f>
        <v>-79.318129134766892</v>
      </c>
      <c r="I449" s="40">
        <f t="shared" si="19"/>
        <v>79.356794164731042</v>
      </c>
      <c r="J449" s="40">
        <f t="shared" si="20"/>
        <v>79.345875668363945</v>
      </c>
      <c r="K449" s="38">
        <f>IF(OR(A449&gt;180,'1.설계입력'!$C$39&gt;=1),"",'1.설계입력'!$C$34*(1-SIN(B449)/SQRT(1+'1.설계입력'!$C$39^2-2*'1.설계입력'!$C$39*COS(B449)))-'1.설계입력'!$C$33*(1-'1.설계입력'!$C$39*COS(B449)-SQRT(MAX(0,1-'1.설계입력'!$C$39^2))*SIN(B449))/SQRT(1+'1.설계입력'!$C$39^2-2*'1.설계입력'!$C$39*COS(B449)))</f>
        <v>2.2489339653292131E-3</v>
      </c>
    </row>
    <row r="450" spans="1:11" x14ac:dyDescent="0.3">
      <c r="A450" s="40">
        <f>A449+'1.설계입력'!$C$12</f>
        <v>88.800000000000722</v>
      </c>
      <c r="B450" s="40">
        <f t="shared" si="18"/>
        <v>1.5498523757709772</v>
      </c>
      <c r="C450" s="40">
        <f>ATAN2('1.설계입력'!$C$6/('1.설계입력'!$C$8*'1.설계입력'!$C$15)-COS((1-'1.설계입력'!$C$15)*B450),SIN((1-'1.설계입력'!$C$15)*B450))</f>
        <v>0.31572692224057031</v>
      </c>
      <c r="D450" s="40">
        <f>'1.설계입력'!$C$6*COS(B450)-'1.설계입력'!$C$7*COS(B450+C450)-'1.설계입력'!$C$8*COS('1.설계입력'!$C$15*B450)</f>
        <v>1.8757112795885056</v>
      </c>
      <c r="E450" s="40">
        <f>-'1.설계입력'!$C$6*SIN(B450)+'1.설계입력'!$C$7*SIN(B450+C450)+'1.설계입력'!$C$8*SIN('1.설계입력'!$C$15*B450)</f>
        <v>-79.269272408340711</v>
      </c>
      <c r="F450" s="40">
        <f>ATAN2(('1.설계입력'!$C$6+'1.설계입력'!$C$33)/('1.설계입력'!$C$8*'1.설계입력'!$C$15)-COS((1-'1.설계입력'!$C$15)*B450),SIN((1-'1.설계입력'!$C$15)*B450))</f>
        <v>0.31573419938665093</v>
      </c>
      <c r="G450" s="40">
        <f>('1.설계입력'!$C$6+'1.설계입력'!$C$33)*COS(B450)-('1.설계입력'!$C$7+'1.설계입력'!$C$34)*COS(B450+F450)-'1.설계입력'!$C$8*COS('1.설계입력'!$C$15*B450)</f>
        <v>1.8780275781865994</v>
      </c>
      <c r="H450" s="40">
        <f>-('1.설계입력'!$C$6+'1.설계입력'!$C$33)*SIN(B450)+('1.설계입력'!$C$7+'1.설계입력'!$C$34)*SIN(B450+F450)+'1.설계입력'!$C$8*SIN('1.설계입력'!$C$15*B450)</f>
        <v>-79.258430954158115</v>
      </c>
      <c r="I450" s="40">
        <f t="shared" si="19"/>
        <v>79.291461336969334</v>
      </c>
      <c r="J450" s="40">
        <f t="shared" si="20"/>
        <v>79.28067775252353</v>
      </c>
      <c r="K450" s="38">
        <f>IF(OR(A450&gt;180,'1.설계입력'!$C$39&gt;=1),"",'1.설계입력'!$C$34*(1-SIN(B450)/SQRT(1+'1.설계입력'!$C$39^2-2*'1.설계입력'!$C$39*COS(B450)))-'1.설계입력'!$C$33*(1-'1.설계입력'!$C$39*COS(B450)-SQRT(MAX(0,1-'1.설계입력'!$C$39^2))*SIN(B450))/SQRT(1+'1.설계입력'!$C$39^2-2*'1.설계입력'!$C$39*COS(B450)))</f>
        <v>2.2646653257854762E-3</v>
      </c>
    </row>
    <row r="451" spans="1:11" x14ac:dyDescent="0.3">
      <c r="A451" s="40">
        <f>A450+'1.설계입력'!$C$12</f>
        <v>89.000000000000725</v>
      </c>
      <c r="B451" s="40">
        <f t="shared" si="18"/>
        <v>1.5533430342749659</v>
      </c>
      <c r="C451" s="40">
        <f>ATAN2('1.설계입력'!$C$6/('1.설계입력'!$C$8*'1.설계입력'!$C$15)-COS((1-'1.설계입력'!$C$15)*B451),SIN((1-'1.설계입력'!$C$15)*B451))</f>
        <v>0.37129541728569604</v>
      </c>
      <c r="D451" s="40">
        <f>'1.설계입력'!$C$6*COS(B451)-'1.설계입력'!$C$7*COS(B451+C451)-'1.설계입력'!$C$8*COS('1.설계입력'!$C$15*B451)</f>
        <v>1.6680484824879172</v>
      </c>
      <c r="E451" s="40">
        <f>-'1.설계입력'!$C$6*SIN(B451)+'1.설계입력'!$C$7*SIN(B451+C451)+'1.설계입력'!$C$8*SIN('1.설계입력'!$C$15*B451)</f>
        <v>-79.199499111491647</v>
      </c>
      <c r="F451" s="40">
        <f>ATAN2(('1.설계입력'!$C$6+'1.설계입력'!$C$33)/('1.설계입력'!$C$8*'1.설계입력'!$C$15)-COS((1-'1.설계입력'!$C$15)*B451),SIN((1-'1.설계입력'!$C$15)*B451))</f>
        <v>0.37130416927839072</v>
      </c>
      <c r="G451" s="40">
        <f>('1.설계입력'!$C$6+'1.설계입력'!$C$33)*COS(B451)-('1.설계입력'!$C$7+'1.설계입력'!$C$34)*COS(B451+F451)-'1.설계입력'!$C$8*COS('1.설계입력'!$C$15*B451)</f>
        <v>1.6708339717265928</v>
      </c>
      <c r="H451" s="40">
        <f>-('1.설계입력'!$C$6+'1.설계입력'!$C$33)*SIN(B451)+('1.설계입력'!$C$7+'1.설계입력'!$C$34)*SIN(B451+F451)+'1.설계입력'!$C$8*SIN('1.설계입력'!$C$15*B451)</f>
        <v>-79.18881354731819</v>
      </c>
      <c r="I451" s="40">
        <f t="shared" si="19"/>
        <v>79.217062841606889</v>
      </c>
      <c r="J451" s="40">
        <f t="shared" si="20"/>
        <v>79.206438356947984</v>
      </c>
      <c r="K451" s="38">
        <f>IF(OR(A451&gt;180,'1.설계입력'!$C$39&gt;=1),"",'1.설계입력'!$C$34*(1-SIN(B451)/SQRT(1+'1.설계입력'!$C$39^2-2*'1.설계입력'!$C$39*COS(B451)))-'1.설계입력'!$C$33*(1-'1.설계입력'!$C$39*COS(B451)-SQRT(MAX(0,1-'1.설계입력'!$C$39^2))*SIN(B451))/SQRT(1+'1.설계입력'!$C$39^2-2*'1.설계입력'!$C$39*COS(B451)))</f>
        <v>2.2804290505620429E-3</v>
      </c>
    </row>
    <row r="452" spans="1:11" x14ac:dyDescent="0.3">
      <c r="A452" s="40">
        <f>A451+'1.설계입력'!$C$12</f>
        <v>89.200000000000728</v>
      </c>
      <c r="B452" s="40">
        <f t="shared" si="18"/>
        <v>1.5568336927789546</v>
      </c>
      <c r="C452" s="40">
        <f>ATAN2('1.설계입력'!$C$6/('1.설계입력'!$C$8*'1.설계입력'!$C$15)-COS((1-'1.설계입력'!$C$15)*B452),SIN((1-'1.설계입력'!$C$15)*B452))</f>
        <v>0.42604922794802685</v>
      </c>
      <c r="D452" s="40">
        <f>'1.설계입력'!$C$6*COS(B452)-'1.설계입력'!$C$7*COS(B452+C452)-'1.설계입력'!$C$8*COS('1.설계입력'!$C$15*B452)</f>
        <v>1.474915113943986</v>
      </c>
      <c r="E452" s="40">
        <f>-'1.설계입력'!$C$6*SIN(B452)+'1.설계입력'!$C$7*SIN(B452+C452)+'1.설계입력'!$C$8*SIN('1.설계입력'!$C$15*B452)</f>
        <v>-79.121737500706246</v>
      </c>
      <c r="F452" s="40">
        <f>ATAN2(('1.설계입력'!$C$6+'1.설계입력'!$C$33)/('1.설계입력'!$C$8*'1.설계입력'!$C$15)-COS((1-'1.설계입력'!$C$15)*B452),SIN((1-'1.설계입력'!$C$15)*B452))</f>
        <v>0.42605954487877262</v>
      </c>
      <c r="G452" s="40">
        <f>('1.설계입력'!$C$6+'1.설계입력'!$C$33)*COS(B452)-('1.설계입력'!$C$7+'1.설계입력'!$C$34)*COS(B452+F452)-'1.설계입력'!$C$8*COS('1.설계입력'!$C$15*B452)</f>
        <v>1.4781539499053373</v>
      </c>
      <c r="H452" s="40">
        <f>-('1.설계입력'!$C$6+'1.설계입력'!$C$33)*SIN(B452)+('1.설계입력'!$C$7+'1.설계입력'!$C$34)*SIN(B452+F452)+'1.설계입력'!$C$8*SIN('1.설계입력'!$C$15*B452)</f>
        <v>-79.111232439745649</v>
      </c>
      <c r="I452" s="40">
        <f t="shared" si="19"/>
        <v>79.135483316423901</v>
      </c>
      <c r="J452" s="40">
        <f t="shared" si="20"/>
        <v>79.12504051964261</v>
      </c>
      <c r="K452" s="38">
        <f>IF(OR(A452&gt;180,'1.설계입력'!$C$39&gt;=1),"",'1.설계입력'!$C$34*(1-SIN(B452)/SQRT(1+'1.설계입력'!$C$39^2-2*'1.설계입력'!$C$39*COS(B452)))-'1.설계입력'!$C$33*(1-'1.설계입력'!$C$39*COS(B452)-SQRT(MAX(0,1-'1.설계입력'!$C$39^2))*SIN(B452))/SQRT(1+'1.설계입력'!$C$39^2-2*'1.설계입력'!$C$39*COS(B452)))</f>
        <v>2.2962249954797233E-3</v>
      </c>
    </row>
    <row r="453" spans="1:11" x14ac:dyDescent="0.3">
      <c r="A453" s="40">
        <f>A452+'1.설계입력'!$C$12</f>
        <v>89.40000000000073</v>
      </c>
      <c r="B453" s="40">
        <f t="shared" si="18"/>
        <v>1.5603243512829434</v>
      </c>
      <c r="C453" s="40">
        <f>ATAN2('1.설계입력'!$C$6/('1.설계입력'!$C$8*'1.설계입력'!$C$15)-COS((1-'1.설계입력'!$C$15)*B453),SIN((1-'1.설계입력'!$C$15)*B453))</f>
        <v>0.47977410855147351</v>
      </c>
      <c r="D453" s="40">
        <f>'1.설계입력'!$C$6*COS(B453)-'1.설계입력'!$C$7*COS(B453+C453)-'1.설계입력'!$C$8*COS('1.설계입력'!$C$15*B453)</f>
        <v>1.2974240274520117</v>
      </c>
      <c r="E453" s="40">
        <f>-'1.설계입력'!$C$6*SIN(B453)+'1.설계입력'!$C$7*SIN(B453+C453)+'1.설계입력'!$C$8*SIN('1.설계입력'!$C$15*B453)</f>
        <v>-79.03807235082472</v>
      </c>
      <c r="F453" s="40">
        <f>ATAN2(('1.설계입력'!$C$6+'1.설계입력'!$C$33)/('1.설계입력'!$C$8*'1.설계입력'!$C$15)-COS((1-'1.설계입력'!$C$15)*B453),SIN((1-'1.설계입력'!$C$15)*B453))</f>
        <v>0.47978610314620052</v>
      </c>
      <c r="G453" s="40">
        <f>('1.설계입력'!$C$6+'1.설계입력'!$C$33)*COS(B453)-('1.설계입력'!$C$7+'1.설계입력'!$C$34)*COS(B453+F453)-'1.설계입력'!$C$8*COS('1.설계입력'!$C$15*B453)</f>
        <v>1.3010977808281314</v>
      </c>
      <c r="H453" s="40">
        <f>-('1.설계입력'!$C$6+'1.설계입력'!$C$33)*SIN(B453)+('1.설계입력'!$C$7+'1.설계입력'!$C$34)*SIN(B453+F453)+'1.설계입력'!$C$8*SIN('1.설계입력'!$C$15*B453)</f>
        <v>-79.027770002473588</v>
      </c>
      <c r="I453" s="40">
        <f t="shared" si="19"/>
        <v>79.048720356759816</v>
      </c>
      <c r="J453" s="40">
        <f t="shared" si="20"/>
        <v>79.038479786741476</v>
      </c>
      <c r="K453" s="38">
        <f>IF(OR(A453&gt;180,'1.설계입력'!$C$39&gt;=1),"",'1.설계입력'!$C$34*(1-SIN(B453)/SQRT(1+'1.설계입력'!$C$39^2-2*'1.설계입력'!$C$39*COS(B453)))-'1.설계입력'!$C$33*(1-'1.설계입력'!$C$39*COS(B453)-SQRT(MAX(0,1-'1.설계입력'!$C$39^2))*SIN(B453))/SQRT(1+'1.설계입력'!$C$39^2-2*'1.설계입력'!$C$39*COS(B453)))</f>
        <v>2.3120530171646019E-3</v>
      </c>
    </row>
    <row r="454" spans="1:11" x14ac:dyDescent="0.3">
      <c r="A454" s="40">
        <f>A453+'1.설계입력'!$C$12</f>
        <v>89.600000000000733</v>
      </c>
      <c r="B454" s="40">
        <f t="shared" ref="B454:B517" si="21">RADIANS(A454)</f>
        <v>1.5638150097869321</v>
      </c>
      <c r="C454" s="40">
        <f>ATAN2('1.설계입력'!$C$6/('1.설계입력'!$C$8*'1.설계입력'!$C$15)-COS((1-'1.설계입력'!$C$15)*B454),SIN((1-'1.설계입력'!$C$15)*B454))</f>
        <v>0.53220217593639896</v>
      </c>
      <c r="D454" s="40">
        <f>'1.설계입력'!$C$6*COS(B454)-'1.설계입력'!$C$7*COS(B454+C454)-'1.설계입력'!$C$8*COS('1.설계입력'!$C$15*B454)</f>
        <v>1.1361872283900625</v>
      </c>
      <c r="E454" s="40">
        <f>-'1.설계입력'!$C$6*SIN(B454)+'1.설계입력'!$C$7*SIN(B454+C454)+'1.설계입력'!$C$8*SIN('1.설계입력'!$C$15*B454)</f>
        <v>-78.950604858958997</v>
      </c>
      <c r="F454" s="40">
        <f>ATAN2(('1.설계입력'!$C$6+'1.설계입력'!$C$33)/('1.설계입력'!$C$8*'1.설계입력'!$C$15)-COS((1-'1.설계입력'!$C$15)*B454),SIN((1-'1.설계입력'!$C$15)*B454))</f>
        <v>0.53221598858690322</v>
      </c>
      <c r="G454" s="40">
        <f>('1.설계입력'!$C$6+'1.설계입력'!$C$33)*COS(B454)-('1.설계입력'!$C$7+'1.설계입력'!$C$34)*COS(B454+F454)-'1.설계입력'!$C$8*COS('1.설계입력'!$C$15*B454)</f>
        <v>1.1402748599114969</v>
      </c>
      <c r="H454" s="40">
        <f>-('1.설계입력'!$C$6+'1.설계입력'!$C$33)*SIN(B454)+('1.설계입력'!$C$7+'1.설계입력'!$C$34)*SIN(B454+F454)+'1.설계입력'!$C$8*SIN('1.설계입력'!$C$15*B454)</f>
        <v>-78.940524466704161</v>
      </c>
      <c r="I454" s="40">
        <f t="shared" ref="I454:I517" si="22">SQRT(D454^2+E454^2)</f>
        <v>78.958779936201111</v>
      </c>
      <c r="J454" s="40">
        <f t="shared" ref="J454:J517" si="23">SQRT(G454^2+H454^2)</f>
        <v>78.948759520555257</v>
      </c>
      <c r="K454" s="38">
        <f>IF(OR(A454&gt;180,'1.설계입력'!$C$39&gt;=1),"",'1.설계입력'!$C$34*(1-SIN(B454)/SQRT(1+'1.설계입력'!$C$39^2-2*'1.설계입력'!$C$39*COS(B454)))-'1.설계입력'!$C$33*(1-'1.설계입력'!$C$39*COS(B454)-SQRT(MAX(0,1-'1.설계입력'!$C$39^2))*SIN(B454))/SQRT(1+'1.설계입력'!$C$39^2-2*'1.설계입력'!$C$39*COS(B454)))</f>
        <v>2.3279129730380895E-3</v>
      </c>
    </row>
    <row r="455" spans="1:11" x14ac:dyDescent="0.3">
      <c r="A455" s="40">
        <f>A454+'1.설계입력'!$C$12</f>
        <v>89.800000000000736</v>
      </c>
      <c r="B455" s="40">
        <f t="shared" si="21"/>
        <v>1.5673056682909208</v>
      </c>
      <c r="C455" s="40">
        <f>ATAN2('1.설계입력'!$C$6/('1.설계입력'!$C$8*'1.설계입력'!$C$15)-COS((1-'1.설계입력'!$C$15)*B455),SIN((1-'1.설계입력'!$C$15)*B455))</f>
        <v>0.58299066384028098</v>
      </c>
      <c r="D455" s="40">
        <f>'1.설계입력'!$C$6*COS(B455)-'1.설계입력'!$C$7*COS(B455+C455)-'1.설계입력'!$C$8*COS('1.설계입력'!$C$15*B455)</f>
        <v>0.99125387872056558</v>
      </c>
      <c r="E455" s="40">
        <f>-'1.설계입력'!$C$6*SIN(B455)+'1.설계입력'!$C$7*SIN(B455+C455)+'1.설계입력'!$C$8*SIN('1.설계입력'!$C$15*B455)</f>
        <v>-78.861313861809563</v>
      </c>
      <c r="F455" s="40">
        <f>ATAN2(('1.설계입력'!$C$6+'1.설계입력'!$C$33)/('1.설계입력'!$C$8*'1.설계입력'!$C$15)-COS((1-'1.설계입력'!$C$15)*B455),SIN((1-'1.설계입력'!$C$15)*B455))</f>
        <v>0.58300646935886258</v>
      </c>
      <c r="G455" s="40">
        <f>('1.설계입력'!$C$6+'1.설계입력'!$C$33)*COS(B455)-('1.설계입력'!$C$7+'1.설계입력'!$C$34)*COS(B455+F455)-'1.설계입력'!$C$8*COS('1.설계입력'!$C$15*B455)</f>
        <v>0.9957316704663195</v>
      </c>
      <c r="H455" s="40">
        <f>-('1.설계입력'!$C$6+'1.설계입력'!$C$33)*SIN(B455)+('1.설계입력'!$C$7+'1.설계입력'!$C$34)*SIN(B455+F455)+'1.설계입력'!$C$8*SIN('1.설계입력'!$C$15*B455)</f>
        <v>-78.85147100589576</v>
      </c>
      <c r="I455" s="40">
        <f t="shared" si="22"/>
        <v>78.867543440016661</v>
      </c>
      <c r="J455" s="40">
        <f t="shared" si="23"/>
        <v>78.85775777533361</v>
      </c>
      <c r="K455" s="38">
        <f>IF(OR(A455&gt;180,'1.설계입력'!$C$39&gt;=1),"",'1.설계입력'!$C$34*(1-SIN(B455)/SQRT(1+'1.설계입력'!$C$39^2-2*'1.설계입력'!$C$39*COS(B455)))-'1.설계입력'!$C$33*(1-'1.설계입력'!$C$39*COS(B455)-SQRT(MAX(0,1-'1.설계입력'!$C$39^2))*SIN(B455))/SQRT(1+'1.설계입력'!$C$39^2-2*'1.설계입력'!$C$39*COS(B455)))</f>
        <v>2.3438047213071244E-3</v>
      </c>
    </row>
    <row r="456" spans="1:11" x14ac:dyDescent="0.3">
      <c r="A456" s="40">
        <f>A455+'1.설계입력'!$C$12</f>
        <v>90.000000000000739</v>
      </c>
      <c r="B456" s="40">
        <f t="shared" si="21"/>
        <v>1.5707963267949094</v>
      </c>
      <c r="C456" s="40">
        <f>ATAN2('1.설계입력'!$C$6/('1.설계입력'!$C$8*'1.설계입력'!$C$15)-COS((1-'1.설계입력'!$C$15)*B456),SIN((1-'1.설계입력'!$C$15)*B456))</f>
        <v>0.63169063433914374</v>
      </c>
      <c r="D456" s="40">
        <f>'1.설계입력'!$C$6*COS(B456)-'1.설계입력'!$C$7*COS(B456+C456)-'1.설계입력'!$C$8*COS('1.설계입력'!$C$15*B456)</f>
        <v>0.86203997753642225</v>
      </c>
      <c r="E456" s="40">
        <f>-'1.설계입력'!$C$6*SIN(B456)+'1.설계입력'!$C$7*SIN(B456+C456)+'1.설계입력'!$C$8*SIN('1.설계입력'!$C$15*B456)</f>
        <v>-78.771878697365949</v>
      </c>
      <c r="F456" s="40">
        <f>ATAN2(('1.설계입력'!$C$6+'1.설계입력'!$C$33)/('1.설계입력'!$C$8*'1.설계입력'!$C$15)-COS((1-'1.설계입력'!$C$15)*B456),SIN((1-'1.설계입력'!$C$15)*B456))</f>
        <v>0.63170865105551621</v>
      </c>
      <c r="G456" s="40">
        <f>('1.설계입력'!$C$6+'1.설계입력'!$C$33)*COS(B456)-('1.설계입력'!$C$7+'1.설계입력'!$C$34)*COS(B456+F456)-'1.설계입력'!$C$8*COS('1.설계입력'!$C$15*B456)</f>
        <v>0.86688138602701592</v>
      </c>
      <c r="H456" s="40">
        <f>-('1.설계입력'!$C$6+'1.설계입력'!$C$33)*SIN(B456)+('1.설계입력'!$C$7+'1.설계입력'!$C$34)*SIN(B456+F456)+'1.설계입력'!$C$8*SIN('1.설계입력'!$C$15*B456)</f>
        <v>-78.762284394633753</v>
      </c>
      <c r="I456" s="40">
        <f t="shared" si="22"/>
        <v>78.776595422977039</v>
      </c>
      <c r="J456" s="40">
        <f t="shared" si="23"/>
        <v>78.767054828770938</v>
      </c>
      <c r="K456" s="38">
        <f>IF(OR(A456&gt;180,'1.설계입력'!$C$39&gt;=1),"",'1.설계입력'!$C$34*(1-SIN(B456)/SQRT(1+'1.설계입력'!$C$39^2-2*'1.설계입력'!$C$39*COS(B456)))-'1.설계입력'!$C$33*(1-'1.설계입력'!$C$39*COS(B456)-SQRT(MAX(0,1-'1.설계입력'!$C$39^2))*SIN(B456))/SQRT(1+'1.설계입력'!$C$39^2-2*'1.설계입력'!$C$39*COS(B456)))</f>
        <v>2.3597281209544975E-3</v>
      </c>
    </row>
    <row r="457" spans="1:11" x14ac:dyDescent="0.3">
      <c r="A457" s="40">
        <f>A456+'1.설계입력'!$C$12</f>
        <v>90.200000000000742</v>
      </c>
      <c r="B457" s="40">
        <f t="shared" si="21"/>
        <v>1.5742869852988981</v>
      </c>
      <c r="C457" s="40">
        <f>ATAN2('1.설계입력'!$C$6/('1.설계입력'!$C$8*'1.설계입력'!$C$15)-COS((1-'1.설계입력'!$C$15)*B457),SIN((1-'1.설계입력'!$C$15)*B457))</f>
        <v>0.67769957902067568</v>
      </c>
      <c r="D457" s="40">
        <f>'1.설계입력'!$C$6*COS(B457)-'1.설계입력'!$C$7*COS(B457+C457)-'1.설계입력'!$C$8*COS('1.설계입력'!$C$15*B457)</f>
        <v>0.74723677937185262</v>
      </c>
      <c r="E457" s="40">
        <f>-'1.설계입력'!$C$6*SIN(B457)+'1.설계입력'!$C$7*SIN(B457+C457)+'1.설계입력'!$C$8*SIN('1.설계입력'!$C$15*B457)</f>
        <v>-78.683445756117578</v>
      </c>
      <c r="F457" s="40">
        <f>ATAN2(('1.설계입력'!$C$6+'1.설계입력'!$C$33)/('1.설계입력'!$C$8*'1.설계입력'!$C$15)-COS((1-'1.설계입력'!$C$15)*B457),SIN((1-'1.설계입력'!$C$15)*B457))</f>
        <v>0.67772008106078663</v>
      </c>
      <c r="G457" s="40">
        <f>('1.설계입력'!$C$6+'1.설계입력'!$C$33)*COS(B457)-('1.설계입력'!$C$7+'1.설계입력'!$C$34)*COS(B457+F457)-'1.설계입력'!$C$8*COS('1.설계입력'!$C$15*B457)</f>
        <v>0.75241215115687621</v>
      </c>
      <c r="H457" s="40">
        <f>-('1.설계입력'!$C$6+'1.설계입력'!$C$33)*SIN(B457)+('1.설계입력'!$C$7+'1.설계입력'!$C$34)*SIN(B457+F457)+'1.설계입력'!$C$8*SIN('1.설계입력'!$C$15*B457)</f>
        <v>-78.674105249837936</v>
      </c>
      <c r="I457" s="40">
        <f t="shared" si="22"/>
        <v>78.686993835451247</v>
      </c>
      <c r="J457" s="40">
        <f t="shared" si="23"/>
        <v>78.67770307341074</v>
      </c>
      <c r="K457" s="38">
        <f>IF(OR(A457&gt;180,'1.설계입력'!$C$39&gt;=1),"",'1.설계입력'!$C$34*(1-SIN(B457)/SQRT(1+'1.설계입력'!$C$39^2-2*'1.설계입력'!$C$39*COS(B457)))-'1.설계입력'!$C$33*(1-'1.설계입력'!$C$39*COS(B457)-SQRT(MAX(0,1-'1.설계입력'!$C$39^2))*SIN(B457))/SQRT(1+'1.설계입력'!$C$39^2-2*'1.설계입력'!$C$39*COS(B457)))</f>
        <v>2.3756830317293158E-3</v>
      </c>
    </row>
    <row r="458" spans="1:11" x14ac:dyDescent="0.3">
      <c r="A458" s="40">
        <f>A457+'1.설계입력'!$C$12</f>
        <v>90.400000000000745</v>
      </c>
      <c r="B458" s="40">
        <f t="shared" si="21"/>
        <v>1.577777643802887</v>
      </c>
      <c r="C458" s="40">
        <f>ATAN2('1.설계입력'!$C$6/('1.설계입력'!$C$8*'1.설계입력'!$C$15)-COS((1-'1.설계입력'!$C$15)*B458),SIN((1-'1.설계입력'!$C$15)*B458))</f>
        <v>0.72018741047270696</v>
      </c>
      <c r="D458" s="40">
        <f>'1.설계입력'!$C$6*COS(B458)-'1.설계입력'!$C$7*COS(B458+C458)-'1.설계입력'!$C$8*COS('1.설계입력'!$C$15*B458)</f>
        <v>0.64467280433303276</v>
      </c>
      <c r="E458" s="40">
        <f>-'1.설계입력'!$C$6*SIN(B458)+'1.설계입력'!$C$7*SIN(B458+C458)+'1.설계입력'!$C$8*SIN('1.설계입력'!$C$15*B458)</f>
        <v>-78.5963076729237</v>
      </c>
      <c r="F458" s="40">
        <f>ATAN2(('1.설계입력'!$C$6+'1.설계입력'!$C$33)/('1.설계입력'!$C$8*'1.설계입력'!$C$15)-COS((1-'1.설계입력'!$C$15)*B458),SIN((1-'1.설계입력'!$C$15)*B458))</f>
        <v>0.7202107442826321</v>
      </c>
      <c r="G458" s="40">
        <f>('1.설계입력'!$C$6+'1.설계입력'!$C$33)*COS(B458)-('1.설계입력'!$C$7+'1.설계입력'!$C$34)*COS(B458+F458)-'1.설계입력'!$C$8*COS('1.설계입력'!$C$15*B458)</f>
        <v>0.65014884679216745</v>
      </c>
      <c r="H458" s="40">
        <f>-('1.설계입력'!$C$6+'1.설계입력'!$C$33)*SIN(B458)+('1.설계입력'!$C$7+'1.설계입력'!$C$34)*SIN(B458+F458)+'1.설계입력'!$C$8*SIN('1.설계입력'!$C$15*B458)</f>
        <v>-78.587218738222759</v>
      </c>
      <c r="I458" s="40">
        <f t="shared" si="22"/>
        <v>78.59895153780063</v>
      </c>
      <c r="J458" s="40">
        <f t="shared" si="23"/>
        <v>78.589908019619514</v>
      </c>
      <c r="K458" s="38">
        <f>IF(OR(A458&gt;180,'1.설계입력'!$C$39&gt;=1),"",'1.설계입력'!$C$34*(1-SIN(B458)/SQRT(1+'1.설계입력'!$C$39^2-2*'1.설계입력'!$C$39*COS(B458)))-'1.설계입력'!$C$33*(1-'1.설계입력'!$C$39*COS(B458)-SQRT(MAX(0,1-'1.설계입력'!$C$39^2))*SIN(B458))/SQRT(1+'1.설계입력'!$C$39^2-2*'1.설계입력'!$C$39*COS(B458)))</f>
        <v>2.3916693141375961E-3</v>
      </c>
    </row>
    <row r="459" spans="1:11" x14ac:dyDescent="0.3">
      <c r="A459" s="40">
        <f>A458+'1.설계입력'!$C$12</f>
        <v>90.600000000000747</v>
      </c>
      <c r="B459" s="40">
        <f t="shared" si="21"/>
        <v>1.5812683023068757</v>
      </c>
      <c r="C459" s="40">
        <f>ATAN2('1.설계입력'!$C$6/('1.설계입력'!$C$8*'1.설계입력'!$C$15)-COS((1-'1.설계입력'!$C$15)*B459),SIN((1-'1.설계입력'!$C$15)*B459))</f>
        <v>0.75797703007965267</v>
      </c>
      <c r="D459" s="40">
        <f>'1.설계입력'!$C$6*COS(B459)-'1.설계입력'!$C$7*COS(B459+C459)-'1.설계입력'!$C$8*COS('1.설계입력'!$C$15*B459)</f>
        <v>0.55107922133879605</v>
      </c>
      <c r="E459" s="40">
        <f>-'1.설계입력'!$C$6*SIN(B459)+'1.설계입력'!$C$7*SIN(B459+C459)+'1.설계입력'!$C$8*SIN('1.설계입력'!$C$15*B459)</f>
        <v>-78.509440893182671</v>
      </c>
      <c r="F459" s="40">
        <f>ATAN2(('1.설계입력'!$C$6+'1.설계입력'!$C$33)/('1.설계입력'!$C$8*'1.설계입력'!$C$15)-COS((1-'1.설계입력'!$C$15)*B459),SIN((1-'1.설계입력'!$C$15)*B459))</f>
        <v>0.75800363628840151</v>
      </c>
      <c r="G459" s="40">
        <f>('1.설계입력'!$C$6+'1.설계입력'!$C$33)*COS(B459)-('1.설계입력'!$C$7+'1.설계입력'!$C$34)*COS(B459+F459)-'1.설계입력'!$C$8*COS('1.설계입력'!$C$15*B459)</f>
        <v>0.55681802567620431</v>
      </c>
      <c r="H459" s="40">
        <f>-('1.설계입력'!$C$6+'1.설계입력'!$C$33)*SIN(B459)+('1.설계입력'!$C$7+'1.설계입력'!$C$34)*SIN(B459+F459)+'1.설계입력'!$C$8*SIN('1.설계입력'!$C$15*B459)</f>
        <v>-78.500591366438087</v>
      </c>
      <c r="I459" s="40">
        <f t="shared" si="22"/>
        <v>78.511374957189062</v>
      </c>
      <c r="J459" s="40">
        <f t="shared" si="23"/>
        <v>78.502566144007119</v>
      </c>
      <c r="K459" s="38">
        <f>IF(OR(A459&gt;180,'1.설계입력'!$C$39&gt;=1),"",'1.설계입력'!$C$34*(1-SIN(B459)/SQRT(1+'1.설계입력'!$C$39^2-2*'1.설계입력'!$C$39*COS(B459)))-'1.설계입력'!$C$33*(1-'1.설계입력'!$C$39*COS(B459)-SQRT(MAX(0,1-'1.설계입력'!$C$39^2))*SIN(B459))/SQRT(1+'1.설계입력'!$C$39^2-2*'1.설계입력'!$C$39*COS(B459)))</f>
        <v>2.4076868294329945E-3</v>
      </c>
    </row>
    <row r="460" spans="1:11" x14ac:dyDescent="0.3">
      <c r="A460" s="40">
        <f>A459+'1.설계입력'!$C$12</f>
        <v>90.80000000000075</v>
      </c>
      <c r="B460" s="40">
        <f t="shared" si="21"/>
        <v>1.5847589608108643</v>
      </c>
      <c r="C460" s="40">
        <f>ATAN2('1.설계입력'!$C$6/('1.설계입력'!$C$8*'1.설계입력'!$C$15)-COS((1-'1.설계입력'!$C$15)*B460),SIN((1-'1.설계입력'!$C$15)*B460))</f>
        <v>0.78934449702355358</v>
      </c>
      <c r="D460" s="40">
        <f>'1.설계입력'!$C$6*COS(B460)-'1.설계입력'!$C$7*COS(B460+C460)-'1.설계입력'!$C$8*COS('1.설계입력'!$C$15*B460)</f>
        <v>0.46165412468960709</v>
      </c>
      <c r="E460" s="40">
        <f>-'1.설계입력'!$C$6*SIN(B460)+'1.설계입력'!$C$7*SIN(B460+C460)+'1.설계입력'!$C$8*SIN('1.설계입력'!$C$15*B460)</f>
        <v>-78.41980602001405</v>
      </c>
      <c r="F460" s="40">
        <f>ATAN2(('1.설계입력'!$C$6+'1.설계입력'!$C$33)/('1.설계입력'!$C$8*'1.설계입력'!$C$15)-COS((1-'1.설계입력'!$C$15)*B460),SIN((1-'1.설계입력'!$C$15)*B460))</f>
        <v>0.78937493786927193</v>
      </c>
      <c r="G460" s="40">
        <f>('1.설계입력'!$C$6+'1.설계입력'!$C$33)*COS(B460)-('1.설계입력'!$C$7+'1.설계입력'!$C$34)*COS(B460+F460)-'1.설계입력'!$C$8*COS('1.설계입력'!$C$15*B460)</f>
        <v>0.46761133708587299</v>
      </c>
      <c r="H460" s="40">
        <f>-('1.설계입력'!$C$6+'1.설계입력'!$C$33)*SIN(B460)+('1.설계입력'!$C$7+'1.설계입력'!$C$34)*SIN(B460+F460)+'1.설계입력'!$C$8*SIN('1.설계입력'!$C$15*B460)</f>
        <v>-78.4111700515504</v>
      </c>
      <c r="I460" s="40">
        <f t="shared" si="22"/>
        <v>78.421164877521903</v>
      </c>
      <c r="J460" s="40">
        <f t="shared" si="23"/>
        <v>78.412564358116271</v>
      </c>
      <c r="K460" s="38">
        <f>IF(OR(A460&gt;180,'1.설계입력'!$C$39&gt;=1),"",'1.설계입력'!$C$34*(1-SIN(B460)/SQRT(1+'1.설계입력'!$C$39^2-2*'1.설계입력'!$C$39*COS(B460)))-'1.설계입력'!$C$33*(1-'1.설계입력'!$C$39*COS(B460)-SQRT(MAX(0,1-'1.설계입력'!$C$39^2))*SIN(B460))/SQRT(1+'1.설계입력'!$C$39^2-2*'1.설계입력'!$C$39*COS(B460)))</f>
        <v>2.4237354396076513E-3</v>
      </c>
    </row>
    <row r="461" spans="1:11" x14ac:dyDescent="0.3">
      <c r="A461" s="40">
        <f>A460+'1.설계입력'!$C$12</f>
        <v>91.000000000000753</v>
      </c>
      <c r="B461" s="40">
        <f t="shared" si="21"/>
        <v>1.588249619314853</v>
      </c>
      <c r="C461" s="40">
        <f>ATAN2('1.설계입력'!$C$6/('1.설계입력'!$C$8*'1.설계입력'!$C$15)-COS((1-'1.설계입력'!$C$15)*B461),SIN((1-'1.설계입력'!$C$15)*B461))</f>
        <v>0.81167134380883654</v>
      </c>
      <c r="D461" s="40">
        <f>'1.설계입력'!$C$6*COS(B461)-'1.설계입력'!$C$7*COS(B461+C461)-'1.설계입력'!$C$8*COS('1.설계입력'!$C$15*B461)</f>
        <v>0.36919731441676484</v>
      </c>
      <c r="E461" s="40">
        <f>-'1.설계입력'!$C$6*SIN(B461)+'1.설계입력'!$C$7*SIN(B461+C461)+'1.설계입력'!$C$8*SIN('1.설계입력'!$C$15*B461)</f>
        <v>-78.321243749344745</v>
      </c>
      <c r="F461" s="40">
        <f>ATAN2(('1.설계입력'!$C$6+'1.설계입력'!$C$33)/('1.설계입력'!$C$8*'1.설계입력'!$C$15)-COS((1-'1.설계입력'!$C$15)*B461),SIN((1-'1.설계입력'!$C$15)*B461))</f>
        <v>0.81170633216411414</v>
      </c>
      <c r="G461" s="40">
        <f>('1.설계입력'!$C$6+'1.설계입력'!$C$33)*COS(B461)-('1.설계입력'!$C$7+'1.설계입력'!$C$34)*COS(B461+F461)-'1.설계입력'!$C$8*COS('1.설계입력'!$C$15*B461)</f>
        <v>0.37531860470028366</v>
      </c>
      <c r="H461" s="40">
        <f>-('1.설계입력'!$C$6+'1.설계입력'!$C$33)*SIN(B461)+('1.설계입력'!$C$7+'1.설계입력'!$C$34)*SIN(B461+F461)+'1.설계입력'!$C$8*SIN('1.설계입력'!$C$15*B461)</f>
        <v>-78.312775901590825</v>
      </c>
      <c r="I461" s="40">
        <f t="shared" si="22"/>
        <v>78.322113921300968</v>
      </c>
      <c r="J461" s="40">
        <f t="shared" si="23"/>
        <v>78.313675264718739</v>
      </c>
      <c r="K461" s="38">
        <f>IF(OR(A461&gt;180,'1.설계입력'!$C$39&gt;=1),"",'1.설계입력'!$C$34*(1-SIN(B461)/SQRT(1+'1.설계입력'!$C$39^2-2*'1.설계입력'!$C$39*COS(B461)))-'1.설계입력'!$C$33*(1-'1.설계입력'!$C$39*COS(B461)-SQRT(MAX(0,1-'1.설계입력'!$C$39^2))*SIN(B461))/SQRT(1+'1.설계입력'!$C$39^2-2*'1.설계입력'!$C$39*COS(B461)))</f>
        <v>2.4398150073831715E-3</v>
      </c>
    </row>
    <row r="462" spans="1:11" x14ac:dyDescent="0.3">
      <c r="A462" s="40">
        <f>A461+'1.설계입력'!$C$12</f>
        <v>91.200000000000756</v>
      </c>
      <c r="B462" s="40">
        <f t="shared" si="21"/>
        <v>1.5917402778188416</v>
      </c>
      <c r="C462" s="40">
        <f>ATAN2('1.설계입력'!$C$6/('1.설계입력'!$C$8*'1.설계입력'!$C$15)-COS((1-'1.설계입력'!$C$15)*B462),SIN((1-'1.설계입력'!$C$15)*B462))</f>
        <v>0.82081480079237901</v>
      </c>
      <c r="D462" s="40">
        <f>'1.설계입력'!$C$6*COS(B462)-'1.설계입력'!$C$7*COS(B462+C462)-'1.설계입력'!$C$8*COS('1.설계입력'!$C$15*B462)</f>
        <v>0.2622891366468989</v>
      </c>
      <c r="E462" s="40">
        <f>-'1.설계입력'!$C$6*SIN(B462)+'1.설계입력'!$C$7*SIN(B462+C462)+'1.설계입력'!$C$8*SIN('1.설계입력'!$C$15*B462)</f>
        <v>-78.202690199615418</v>
      </c>
      <c r="F462" s="40">
        <f>ATAN2(('1.설계입력'!$C$6+'1.설계입력'!$C$33)/('1.설계입력'!$C$8*'1.설계입력'!$C$15)-COS((1-'1.설계입력'!$C$15)*B462),SIN((1-'1.설계입력'!$C$15)*B462))</f>
        <v>0.8208552110201035</v>
      </c>
      <c r="G462" s="40">
        <f>('1.설계입력'!$C$6+'1.설계입력'!$C$33)*COS(B462)-('1.설계입력'!$C$7+'1.설계입력'!$C$34)*COS(B462+F462)-'1.설계입력'!$C$8*COS('1.설계입력'!$C$15*B462)</f>
        <v>0.26850305973534438</v>
      </c>
      <c r="H462" s="40">
        <f>-('1.설계입력'!$C$6+'1.설계입력'!$C$33)*SIN(B462)+('1.설계입력'!$C$7+'1.설계입력'!$C$34)*SIN(B462+F462)+'1.설계입력'!$C$8*SIN('1.설계입력'!$C$15*B462)</f>
        <v>-78.194315847726287</v>
      </c>
      <c r="I462" s="40">
        <f t="shared" si="22"/>
        <v>78.203130052755739</v>
      </c>
      <c r="J462" s="40">
        <f t="shared" si="23"/>
        <v>78.194776838271409</v>
      </c>
      <c r="K462" s="38">
        <f>IF(OR(A462&gt;180,'1.설계입력'!$C$39&gt;=1),"",'1.설계입력'!$C$34*(1-SIN(B462)/SQRT(1+'1.설계입력'!$C$39^2-2*'1.설계입력'!$C$39*COS(B462)))-'1.설계입력'!$C$33*(1-'1.설계입력'!$C$39*COS(B462)-SQRT(MAX(0,1-'1.설계입력'!$C$39^2))*SIN(B462))/SQRT(1+'1.설계입력'!$C$39^2-2*'1.설계입력'!$C$39*COS(B462)))</f>
        <v>2.4559253962017267E-3</v>
      </c>
    </row>
    <row r="463" spans="1:11" x14ac:dyDescent="0.3">
      <c r="A463" s="40">
        <f>A462+'1.설계입력'!$C$12</f>
        <v>91.400000000000759</v>
      </c>
      <c r="B463" s="40">
        <f t="shared" si="21"/>
        <v>1.5952309363228305</v>
      </c>
      <c r="C463" s="40">
        <f>ATAN2('1.설계입력'!$C$6/('1.설계입력'!$C$8*'1.설계입력'!$C$15)-COS((1-'1.설계입력'!$C$15)*B463),SIN((1-'1.설계입력'!$C$15)*B463))</f>
        <v>0.80992614898258974</v>
      </c>
      <c r="D463" s="40">
        <f>'1.설계입력'!$C$6*COS(B463)-'1.설계입력'!$C$7*COS(B463+C463)-'1.설계입력'!$C$8*COS('1.설계입력'!$C$15*B463)</f>
        <v>0.12124129898502611</v>
      </c>
      <c r="E463" s="40">
        <f>-'1.설계입력'!$C$6*SIN(B463)+'1.설계입력'!$C$7*SIN(B463+C463)+'1.설계입력'!$C$8*SIN('1.설계입력'!$C$15*B463)</f>
        <v>-78.04536015129473</v>
      </c>
      <c r="F463" s="40">
        <f>ATAN2(('1.설계입력'!$C$6+'1.설계입력'!$C$33)/('1.설계입력'!$C$8*'1.설계입력'!$C$15)-COS((1-'1.설계입력'!$C$15)*B463),SIN((1-'1.설계입력'!$C$15)*B463))</f>
        <v>0.80997293336431042</v>
      </c>
      <c r="G463" s="40">
        <f>('1.설계입력'!$C$6+'1.설계입력'!$C$33)*COS(B463)-('1.설계입력'!$C$7+'1.설계입력'!$C$34)*COS(B463+F463)-'1.설계입력'!$C$8*COS('1.설계입력'!$C$15*B463)</f>
        <v>0.12744400645348419</v>
      </c>
      <c r="H463" s="40">
        <f>-('1.설계입력'!$C$6+'1.설계입력'!$C$33)*SIN(B463)+('1.설계입력'!$C$7+'1.설계입력'!$C$34)*SIN(B463+F463)+'1.설계입력'!$C$8*SIN('1.설계입력'!$C$15*B463)</f>
        <v>-78.036959628008802</v>
      </c>
      <c r="I463" s="40">
        <f t="shared" si="22"/>
        <v>78.045454323732926</v>
      </c>
      <c r="J463" s="40">
        <f t="shared" si="23"/>
        <v>78.037063693851636</v>
      </c>
      <c r="K463" s="38">
        <f>IF(OR(A463&gt;180,'1.설계입력'!$C$39&gt;=1),"",'1.설계입력'!$C$34*(1-SIN(B463)/SQRT(1+'1.설계입력'!$C$39^2-2*'1.설계입력'!$C$39*COS(B463)))-'1.설계입력'!$C$33*(1-'1.설계입력'!$C$39*COS(B463)-SQRT(MAX(0,1-'1.설계입력'!$C$39^2))*SIN(B463))/SQRT(1+'1.설계입력'!$C$39^2-2*'1.설계입력'!$C$39*COS(B463)))</f>
        <v>2.4720664702172724E-3</v>
      </c>
    </row>
    <row r="464" spans="1:11" x14ac:dyDescent="0.3">
      <c r="A464" s="40">
        <f>A463+'1.설계입력'!$C$12</f>
        <v>91.600000000000762</v>
      </c>
      <c r="B464" s="40">
        <f t="shared" si="21"/>
        <v>1.5987215948268192</v>
      </c>
      <c r="C464" s="40">
        <f>ATAN2('1.설계입력'!$C$6/('1.설계입력'!$C$8*'1.설계입력'!$C$15)-COS((1-'1.설계입력'!$C$15)*B464),SIN((1-'1.설계입력'!$C$15)*B464))</f>
        <v>0.7672100909582148</v>
      </c>
      <c r="D464" s="40">
        <f>'1.설계입력'!$C$6*COS(B464)-'1.설계입력'!$C$7*COS(B464+C464)-'1.설계입력'!$C$8*COS('1.설계입력'!$C$15*B464)</f>
        <v>-9.1297542581586955E-2</v>
      </c>
      <c r="E464" s="40">
        <f>-'1.설계입력'!$C$6*SIN(B464)+'1.설계입력'!$C$7*SIN(B464+C464)+'1.설계입력'!$C$8*SIN('1.설계입력'!$C$15*B464)</f>
        <v>-77.819085836782534</v>
      </c>
      <c r="F464" s="40">
        <f>ATAN2(('1.설계입력'!$C$6+'1.설계입력'!$C$33)/('1.설계입력'!$C$8*'1.설계입력'!$C$15)-COS((1-'1.설계입력'!$C$15)*B464),SIN((1-'1.설계입력'!$C$15)*B464))</f>
        <v>0.76726382595443965</v>
      </c>
      <c r="G464" s="40">
        <f>('1.설계입력'!$C$6+'1.설계입력'!$C$33)*COS(B464)-('1.설계입력'!$C$7+'1.설계입력'!$C$34)*COS(B464+F464)-'1.설계입력'!$C$8*COS('1.설계입력'!$C$15*B464)</f>
        <v>-8.5277123502526697E-2</v>
      </c>
      <c r="H464" s="40">
        <f>-('1.설계입력'!$C$6+'1.설계입력'!$C$33)*SIN(B464)+('1.설계입력'!$C$7+'1.설계입력'!$C$34)*SIN(B464+F464)+'1.설계입력'!$C$8*SIN('1.설계입력'!$C$15*B464)</f>
        <v>-77.810469294568264</v>
      </c>
      <c r="I464" s="40">
        <f t="shared" si="22"/>
        <v>77.819139392014677</v>
      </c>
      <c r="J464" s="40">
        <f t="shared" si="23"/>
        <v>77.81051602469131</v>
      </c>
      <c r="K464" s="38">
        <f>IF(OR(A464&gt;180,'1.설계입력'!$C$39&gt;=1),"",'1.설계입력'!$C$34*(1-SIN(B464)/SQRT(1+'1.설계입력'!$C$39^2-2*'1.설계입력'!$C$39*COS(B464)))-'1.설계입력'!$C$33*(1-'1.설계입력'!$C$39*COS(B464)-SQRT(MAX(0,1-'1.설계입력'!$C$39^2))*SIN(B464))/SQRT(1+'1.설계입력'!$C$39^2-2*'1.설계입력'!$C$39*COS(B464)))</f>
        <v>2.488238094286895E-3</v>
      </c>
    </row>
    <row r="465" spans="1:11" x14ac:dyDescent="0.3">
      <c r="A465" s="40">
        <f>A464+'1.설계입력'!$C$12</f>
        <v>91.800000000000765</v>
      </c>
      <c r="B465" s="40">
        <f t="shared" si="21"/>
        <v>1.6022122533308079</v>
      </c>
      <c r="C465" s="40">
        <f>ATAN2('1.설계입력'!$C$6/('1.설계입력'!$C$8*'1.설계입력'!$C$15)-COS((1-'1.설계입력'!$C$15)*B465),SIN((1-'1.설계입력'!$C$15)*B465))</f>
        <v>0.67202731166061624</v>
      </c>
      <c r="D465" s="40">
        <f>'1.설계입력'!$C$6*COS(B465)-'1.설계입력'!$C$7*COS(B465+C465)-'1.설계입력'!$C$8*COS('1.설계입력'!$C$15*B465)</f>
        <v>-0.45181814803151132</v>
      </c>
      <c r="E465" s="40">
        <f>-'1.설계입력'!$C$6*SIN(B465)+'1.설계입력'!$C$7*SIN(B465+C465)+'1.설계입력'!$C$8*SIN('1.설계입력'!$C$15*B465)</f>
        <v>-77.48247532441755</v>
      </c>
      <c r="F465" s="40">
        <f>ATAN2(('1.설계입력'!$C$6+'1.설계입력'!$C$33)/('1.설계입력'!$C$8*'1.설계입력'!$C$15)-COS((1-'1.설계입력'!$C$15)*B465),SIN((1-'1.설계입력'!$C$15)*B465))</f>
        <v>0.67208643521374534</v>
      </c>
      <c r="G465" s="40">
        <f>('1.설계입력'!$C$6+'1.설계입력'!$C$33)*COS(B465)-('1.설계입력'!$C$7+'1.설계입력'!$C$34)*COS(B465+F465)-'1.설계입력'!$C$8*COS('1.설계입력'!$C$15*B465)</f>
        <v>-0.44630059498593333</v>
      </c>
      <c r="H465" s="40">
        <f>-('1.설계입력'!$C$6+'1.설계입력'!$C$33)*SIN(B465)+('1.설계입력'!$C$7+'1.설계입력'!$C$34)*SIN(B465+F465)+'1.설계입력'!$C$8*SIN('1.설계입력'!$C$15*B465)</f>
        <v>-77.473352927215686</v>
      </c>
      <c r="I465" s="40">
        <f t="shared" si="22"/>
        <v>77.483792641028259</v>
      </c>
      <c r="J465" s="40">
        <f t="shared" si="23"/>
        <v>77.474638418039774</v>
      </c>
      <c r="K465" s="38">
        <f>IF(OR(A465&gt;180,'1.설계입력'!$C$39&gt;=1),"",'1.설계입력'!$C$34*(1-SIN(B465)/SQRT(1+'1.설계입력'!$C$39^2-2*'1.설계입력'!$C$39*COS(B465)))-'1.설계입력'!$C$33*(1-'1.설계입력'!$C$39*COS(B465)-SQRT(MAX(0,1-'1.설계입력'!$C$39^2))*SIN(B465))/SQRT(1+'1.설계입력'!$C$39^2-2*'1.설계입력'!$C$39*COS(B465)))</f>
        <v>2.5044401339622711E-3</v>
      </c>
    </row>
    <row r="466" spans="1:11" x14ac:dyDescent="0.3">
      <c r="A466" s="40">
        <f>A465+'1.설계입력'!$C$12</f>
        <v>92.000000000000767</v>
      </c>
      <c r="B466" s="40">
        <f t="shared" si="21"/>
        <v>1.6057029118347965</v>
      </c>
      <c r="C466" s="40">
        <f>ATAN2('1.설계입력'!$C$6/('1.설계입력'!$C$8*'1.설계입력'!$C$15)-COS((1-'1.설계입력'!$C$15)*B466),SIN((1-'1.설계입력'!$C$15)*B466))</f>
        <v>0.49136204073494488</v>
      </c>
      <c r="D466" s="40">
        <f>'1.설계입력'!$C$6*COS(B466)-'1.설계입력'!$C$7*COS(B466+C466)-'1.설계입력'!$C$8*COS('1.설계입력'!$C$15*B466)</f>
        <v>-1.1129895028802821</v>
      </c>
      <c r="E466" s="40">
        <f>-'1.설계입력'!$C$6*SIN(B466)+'1.설계입력'!$C$7*SIN(B466+C466)+'1.설계입력'!$C$8*SIN('1.설계입력'!$C$15*B466)</f>
        <v>-77.014086611143014</v>
      </c>
      <c r="F466" s="40">
        <f>ATAN2(('1.설계입력'!$C$6+'1.설계입력'!$C$33)/('1.설계입력'!$C$8*'1.설계입력'!$C$15)-COS((1-'1.설계입력'!$C$15)*B466),SIN((1-'1.설계입력'!$C$15)*B466))</f>
        <v>0.49141736841041328</v>
      </c>
      <c r="G466" s="40">
        <f>('1.설계입력'!$C$6+'1.설계입력'!$C$33)*COS(B466)-('1.설계입력'!$C$7+'1.설계입력'!$C$34)*COS(B466+F466)-'1.설계입력'!$C$8*COS('1.설계입력'!$C$15*B466)</f>
        <v>-1.108620851411076</v>
      </c>
      <c r="H466" s="40">
        <f>-('1.설계입력'!$C$6+'1.설계입력'!$C$33)*SIN(B466)+('1.설계입력'!$C$7+'1.설계입력'!$C$34)*SIN(B466+F466)+'1.설계입력'!$C$8*SIN('1.설계입력'!$C$15*B466)</f>
        <v>-77.004095928768379</v>
      </c>
      <c r="I466" s="40">
        <f t="shared" si="22"/>
        <v>77.022128522796351</v>
      </c>
      <c r="J466" s="40">
        <f t="shared" si="23"/>
        <v>77.012075871249863</v>
      </c>
      <c r="K466" s="38">
        <f>IF(OR(A466&gt;180,'1.설계입력'!$C$39&gt;=1),"",'1.설계입력'!$C$34*(1-SIN(B466)/SQRT(1+'1.설계입력'!$C$39^2-2*'1.설계입력'!$C$39*COS(B466)))-'1.설계입력'!$C$33*(1-'1.설계입력'!$C$39*COS(B466)-SQRT(MAX(0,1-'1.설계입력'!$C$39^2))*SIN(B466))/SQRT(1+'1.설계입력'!$C$39^2-2*'1.설계입력'!$C$39*COS(B466)))</f>
        <v>2.520672455481242E-3</v>
      </c>
    </row>
    <row r="467" spans="1:11" x14ac:dyDescent="0.3">
      <c r="A467" s="40">
        <f>A466+'1.설계입력'!$C$12</f>
        <v>92.20000000000077</v>
      </c>
      <c r="B467" s="40">
        <f t="shared" si="21"/>
        <v>1.6091935703387852</v>
      </c>
      <c r="C467" s="40">
        <f>ATAN2('1.설계입력'!$C$6/('1.설계입력'!$C$8*'1.설계입력'!$C$15)-COS((1-'1.설계입력'!$C$15)*B467),SIN((1-'1.설계입력'!$C$15)*B467))</f>
        <v>0.19574910028794865</v>
      </c>
      <c r="D467" s="40">
        <f>'1.설계입력'!$C$6*COS(B467)-'1.설계입력'!$C$7*COS(B467+C467)-'1.설계입력'!$C$8*COS('1.설계입력'!$C$15*B467)</f>
        <v>-2.2720987586009014</v>
      </c>
      <c r="E467" s="40">
        <f>-'1.설계입력'!$C$6*SIN(B467)+'1.설계입력'!$C$7*SIN(B467+C467)+'1.설계입력'!$C$8*SIN('1.설계입력'!$C$15*B467)</f>
        <v>-76.549621885903477</v>
      </c>
      <c r="F467" s="40">
        <f>ATAN2(('1.설계입력'!$C$6+'1.설계입력'!$C$33)/('1.설계입력'!$C$8*'1.설계입력'!$C$15)-COS((1-'1.설계입력'!$C$15)*B467),SIN((1-'1.설계입력'!$C$15)*B467))</f>
        <v>0.19577579201317286</v>
      </c>
      <c r="G467" s="40">
        <f>('1.설계입력'!$C$6+'1.설계입력'!$C$33)*COS(B467)-('1.설계입력'!$C$7+'1.설계입력'!$C$34)*COS(B467+F467)-'1.설계입력'!$C$8*COS('1.설계입력'!$C$15*B467)</f>
        <v>-2.2699963899602706</v>
      </c>
      <c r="H467" s="40">
        <f>-('1.설계입력'!$C$6+'1.설계입력'!$C$33)*SIN(B467)+('1.설계입력'!$C$7+'1.설계입력'!$C$34)*SIN(B467+F467)+'1.설계입력'!$C$8*SIN('1.설계입력'!$C$15*B467)</f>
        <v>-76.538670020377083</v>
      </c>
      <c r="I467" s="40">
        <f t="shared" si="22"/>
        <v>76.583333980988513</v>
      </c>
      <c r="J467" s="40">
        <f t="shared" si="23"/>
        <v>76.572324583354543</v>
      </c>
      <c r="K467" s="38">
        <f>IF(OR(A467&gt;180,'1.설계입력'!$C$39&gt;=1),"",'1.설계입력'!$C$34*(1-SIN(B467)/SQRT(1+'1.설계입력'!$C$39^2-2*'1.설계입력'!$C$39*COS(B467)))-'1.설계입력'!$C$33*(1-'1.설계입력'!$C$39*COS(B467)-SQRT(MAX(0,1-'1.설계입력'!$C$39^2))*SIN(B467))/SQRT(1+'1.설계입력'!$C$39^2-2*'1.설계입력'!$C$39*COS(B467)))</f>
        <v>2.5369349257595058E-3</v>
      </c>
    </row>
    <row r="468" spans="1:11" x14ac:dyDescent="0.3">
      <c r="A468" s="40">
        <f>A467+'1.설계입력'!$C$12</f>
        <v>92.400000000000773</v>
      </c>
      <c r="B468" s="40">
        <f t="shared" si="21"/>
        <v>1.6126842288427741</v>
      </c>
      <c r="C468" s="40">
        <f>ATAN2('1.설계입력'!$C$6/('1.설계입력'!$C$8*'1.설계입력'!$C$15)-COS((1-'1.설계입력'!$C$15)*B468),SIN((1-'1.설계입력'!$C$15)*B468))</f>
        <v>-0.16871107839042501</v>
      </c>
      <c r="D468" s="40">
        <f>'1.설계입력'!$C$6*COS(B468)-'1.설계입력'!$C$7*COS(B468+C468)-'1.설계입력'!$C$8*COS('1.설계입력'!$C$15*B468)</f>
        <v>-3.7829448168511757</v>
      </c>
      <c r="E468" s="40">
        <f>-'1.설계입력'!$C$6*SIN(B468)+'1.설계입력'!$C$7*SIN(B468+C468)+'1.설계입력'!$C$8*SIN('1.설계입력'!$C$15*B468)</f>
        <v>-76.468414367803348</v>
      </c>
      <c r="F468" s="40">
        <f>ATAN2(('1.설계입력'!$C$6+'1.설계입력'!$C$33)/('1.설계입력'!$C$8*'1.설계입력'!$C$15)-COS((1-'1.설계입력'!$C$15)*B468),SIN((1-'1.설계입력'!$C$15)*B468))</f>
        <v>-0.16873428107875163</v>
      </c>
      <c r="G468" s="40">
        <f>('1.설계입력'!$C$6+'1.설계입력'!$C$33)*COS(B468)-('1.설계입력'!$C$7+'1.설계입력'!$C$34)*COS(B468+F468)-'1.설계입력'!$C$8*COS('1.설계입력'!$C$15*B468)</f>
        <v>-3.7839317701436999</v>
      </c>
      <c r="H468" s="40">
        <f>-('1.설계입력'!$C$6+'1.설계입력'!$C$33)*SIN(B468)+('1.설계입력'!$C$7+'1.설계입력'!$C$34)*SIN(B468+F468)+'1.설계입력'!$C$8*SIN('1.설계입력'!$C$15*B468)</f>
        <v>-76.457293904312607</v>
      </c>
      <c r="I468" s="40">
        <f t="shared" si="22"/>
        <v>76.561929621799734</v>
      </c>
      <c r="J468" s="40">
        <f t="shared" si="23"/>
        <v>76.550871522220703</v>
      </c>
      <c r="K468" s="38">
        <f>IF(OR(A468&gt;180,'1.설계입력'!$C$39&gt;=1),"",'1.설계입력'!$C$34*(1-SIN(B468)/SQRT(1+'1.설계입력'!$C$39^2-2*'1.설계입력'!$C$39*COS(B468)))-'1.설계입력'!$C$33*(1-'1.설계입력'!$C$39*COS(B468)-SQRT(MAX(0,1-'1.설계입력'!$C$39^2))*SIN(B468))/SQRT(1+'1.설계입력'!$C$39^2-2*'1.설계입력'!$C$39*COS(B468)))</f>
        <v>2.5532274123824237E-3</v>
      </c>
    </row>
    <row r="469" spans="1:11" x14ac:dyDescent="0.3">
      <c r="A469" s="40">
        <f>A468+'1.설계입력'!$C$12</f>
        <v>92.600000000000776</v>
      </c>
      <c r="B469" s="40">
        <f t="shared" si="21"/>
        <v>1.6161748873467627</v>
      </c>
      <c r="C469" s="40">
        <f>ATAN2('1.설계입력'!$C$6/('1.설계입력'!$C$8*'1.설계입력'!$C$15)-COS((1-'1.설계입력'!$C$15)*B469),SIN((1-'1.설계입력'!$C$15)*B469))</f>
        <v>-0.47283814224765436</v>
      </c>
      <c r="D469" s="40">
        <f>'1.설계입력'!$C$6*COS(B469)-'1.설계입력'!$C$7*COS(B469+C469)-'1.설계입력'!$C$8*COS('1.설계입력'!$C$15*B469)</f>
        <v>-5.0151234092017871</v>
      </c>
      <c r="E469" s="40">
        <f>-'1.설계입력'!$C$6*SIN(B469)+'1.설계입력'!$C$7*SIN(B469+C469)+'1.설계입력'!$C$8*SIN('1.설계입력'!$C$15*B469)</f>
        <v>-76.820055766837669</v>
      </c>
      <c r="F469" s="40">
        <f>ATAN2(('1.설계입력'!$C$6+'1.설계입력'!$C$33)/('1.설계입력'!$C$8*'1.설계입력'!$C$15)-COS((1-'1.설계입력'!$C$15)*B469),SIN((1-'1.설계입력'!$C$15)*B469))</f>
        <v>-0.4728923620477134</v>
      </c>
      <c r="G469" s="40">
        <f>('1.설계입력'!$C$6+'1.설계입력'!$C$33)*COS(B469)-('1.설계입력'!$C$7+'1.설계입력'!$C$34)*COS(B469+F469)-'1.설계입력'!$C$8*COS('1.설계입력'!$C$15*B469)</f>
        <v>-5.0185384844517227</v>
      </c>
      <c r="H469" s="40">
        <f>-('1.설계입력'!$C$6+'1.설계입력'!$C$33)*SIN(B469)+('1.설계입력'!$C$7+'1.설계입력'!$C$34)*SIN(B469+F469)+'1.설계입력'!$C$8*SIN('1.설계입력'!$C$15*B469)</f>
        <v>-76.809677878089772</v>
      </c>
      <c r="I469" s="40">
        <f t="shared" si="22"/>
        <v>76.983585463588099</v>
      </c>
      <c r="J469" s="40">
        <f t="shared" si="23"/>
        <v>76.973452204353137</v>
      </c>
      <c r="K469" s="38">
        <f>IF(OR(A469&gt;180,'1.설계입력'!$C$39&gt;=1),"",'1.설계입력'!$C$34*(1-SIN(B469)/SQRT(1+'1.설계입력'!$C$39^2-2*'1.설계입력'!$C$39*COS(B469)))-'1.설계입력'!$C$33*(1-'1.설계입력'!$C$39*COS(B469)-SQRT(MAX(0,1-'1.설계입력'!$C$39^2))*SIN(B469))/SQRT(1+'1.설계입력'!$C$39^2-2*'1.설계입력'!$C$39*COS(B469)))</f>
        <v>2.5695497835969252E-3</v>
      </c>
    </row>
    <row r="470" spans="1:11" x14ac:dyDescent="0.3">
      <c r="A470" s="40">
        <f>A469+'1.설계입력'!$C$12</f>
        <v>92.800000000000779</v>
      </c>
      <c r="B470" s="40">
        <f t="shared" si="21"/>
        <v>1.6196655458507514</v>
      </c>
      <c r="C470" s="40">
        <f>ATAN2('1.설계입력'!$C$6/('1.설계입력'!$C$8*'1.설계입력'!$C$15)-COS((1-'1.설계입력'!$C$15)*B470),SIN((1-'1.설계입력'!$C$15)*B470))</f>
        <v>-0.66166056082675251</v>
      </c>
      <c r="D470" s="40">
        <f>'1.설계입력'!$C$6*COS(B470)-'1.설계입력'!$C$7*COS(B470+C470)-'1.설계입력'!$C$8*COS('1.설계입력'!$C$15*B470)</f>
        <v>-5.7443838055432721</v>
      </c>
      <c r="E470" s="40">
        <f>-'1.설계입력'!$C$6*SIN(B470)+'1.설계입력'!$C$7*SIN(B470+C470)+'1.설계입력'!$C$8*SIN('1.설계입력'!$C$15*B470)</f>
        <v>-77.239144448654287</v>
      </c>
      <c r="F470" s="40">
        <f>ATAN2(('1.설계입력'!$C$6+'1.설계입력'!$C$33)/('1.설계입력'!$C$8*'1.설계입력'!$C$15)-COS((1-'1.설계입력'!$C$15)*B470),SIN((1-'1.설계입력'!$C$15)*B470))</f>
        <v>-0.66171987595250159</v>
      </c>
      <c r="G470" s="40">
        <f>('1.설계입력'!$C$6+'1.설계입력'!$C$33)*COS(B470)-('1.설계입력'!$C$7+'1.설계입력'!$C$34)*COS(B470+F470)-'1.설계입력'!$C$8*COS('1.설계입력'!$C$15*B470)</f>
        <v>-5.7490855906407869</v>
      </c>
      <c r="H470" s="40">
        <f>-('1.설계입력'!$C$6+'1.설계입력'!$C$33)*SIN(B470)+('1.설계입력'!$C$7+'1.설계입력'!$C$34)*SIN(B470+F470)+'1.설계입력'!$C$8*SIN('1.설계입력'!$C$15*B470)</f>
        <v>-77.229558722215373</v>
      </c>
      <c r="I470" s="40">
        <f t="shared" si="22"/>
        <v>77.452458840668641</v>
      </c>
      <c r="J470" s="40">
        <f t="shared" si="23"/>
        <v>77.443248418158618</v>
      </c>
      <c r="K470" s="38">
        <f>IF(OR(A470&gt;180,'1.설계입력'!$C$39&gt;=1),"",'1.설계입력'!$C$34*(1-SIN(B470)/SQRT(1+'1.설계입력'!$C$39^2-2*'1.설계입력'!$C$39*COS(B470)))-'1.설계입력'!$C$33*(1-'1.설계입력'!$C$39*COS(B470)-SQRT(MAX(0,1-'1.설계입력'!$C$39^2))*SIN(B470))/SQRT(1+'1.설계입력'!$C$39^2-2*'1.설계입력'!$C$39*COS(B470)))</f>
        <v>2.5859019083035437E-3</v>
      </c>
    </row>
    <row r="471" spans="1:11" x14ac:dyDescent="0.3">
      <c r="A471" s="40">
        <f>A470+'1.설계입력'!$C$12</f>
        <v>93.000000000000782</v>
      </c>
      <c r="B471" s="40">
        <f t="shared" si="21"/>
        <v>1.6231562043547401</v>
      </c>
      <c r="C471" s="40">
        <f>ATAN2('1.설계입력'!$C$6/('1.설계입력'!$C$8*'1.설계입력'!$C$15)-COS((1-'1.설계입력'!$C$15)*B471),SIN((1-'1.설계입력'!$C$15)*B471))</f>
        <v>-0.76209293620554797</v>
      </c>
      <c r="D471" s="40">
        <f>'1.설계입력'!$C$6*COS(B471)-'1.설계입력'!$C$7*COS(B471+C471)-'1.설계입력'!$C$8*COS('1.설계입력'!$C$15*B471)</f>
        <v>-6.1480736505363485</v>
      </c>
      <c r="E471" s="40">
        <f>-'1.설계입력'!$C$6*SIN(B471)+'1.설계입력'!$C$7*SIN(B471+C471)+'1.설계입력'!$C$8*SIN('1.설계입력'!$C$15*B471)</f>
        <v>-77.55444034276475</v>
      </c>
      <c r="F471" s="40">
        <f>ATAN2(('1.설계입력'!$C$6+'1.설계입력'!$C$33)/('1.설계입력'!$C$8*'1.설계입력'!$C$15)-COS((1-'1.설계입력'!$C$15)*B471),SIN((1-'1.설계입력'!$C$15)*B471))</f>
        <v>-0.76214719078999038</v>
      </c>
      <c r="G471" s="40">
        <f>('1.설계입력'!$C$6+'1.설계입력'!$C$33)*COS(B471)-('1.설계입력'!$C$7+'1.설계입력'!$C$34)*COS(B471+F471)-'1.설계입력'!$C$8*COS('1.설계입력'!$C$15*B471)</f>
        <v>-6.1533545683732749</v>
      </c>
      <c r="H471" s="40">
        <f>-('1.설계입력'!$C$6+'1.설계입력'!$C$33)*SIN(B471)+('1.설계입력'!$C$7+'1.설계입력'!$C$34)*SIN(B471+F471)+'1.설계입력'!$C$8*SIN('1.설계입력'!$C$15*B471)</f>
        <v>-77.545342157604608</v>
      </c>
      <c r="I471" s="40">
        <f t="shared" si="22"/>
        <v>77.797750780417005</v>
      </c>
      <c r="J471" s="40">
        <f t="shared" si="23"/>
        <v>77.789098611464127</v>
      </c>
      <c r="K471" s="38">
        <f>IF(OR(A471&gt;180,'1.설계입력'!$C$39&gt;=1),"",'1.설계입력'!$C$34*(1-SIN(B471)/SQRT(1+'1.설계입력'!$C$39^2-2*'1.설계입력'!$C$39*COS(B471)))-'1.설계입력'!$C$33*(1-'1.설계입력'!$C$39*COS(B471)-SQRT(MAX(0,1-'1.설계입력'!$C$39^2))*SIN(B471))/SQRT(1+'1.설계입력'!$C$39^2-2*'1.설계입력'!$C$39*COS(B471)))</f>
        <v>2.602283656048544E-3</v>
      </c>
    </row>
    <row r="472" spans="1:11" x14ac:dyDescent="0.3">
      <c r="A472" s="40">
        <f>A471+'1.설계입력'!$C$12</f>
        <v>93.200000000000784</v>
      </c>
      <c r="B472" s="40">
        <f t="shared" si="21"/>
        <v>1.6266468628587287</v>
      </c>
      <c r="C472" s="40">
        <f>ATAN2('1.설계입력'!$C$6/('1.설계입력'!$C$8*'1.설계입력'!$C$15)-COS((1-'1.설계입력'!$C$15)*B472),SIN((1-'1.설계입력'!$C$15)*B472))</f>
        <v>-0.80796681774111467</v>
      </c>
      <c r="D472" s="40">
        <f>'1.설계입력'!$C$6*COS(B472)-'1.설계입력'!$C$7*COS(B472+C472)-'1.설계입력'!$C$8*COS('1.설계입력'!$C$15*B472)</f>
        <v>-6.3866139652700458</v>
      </c>
      <c r="E472" s="40">
        <f>-'1.설계입력'!$C$6*SIN(B472)+'1.설계입력'!$C$7*SIN(B472+C472)+'1.설계입력'!$C$8*SIN('1.설계입력'!$C$15*B472)</f>
        <v>-77.769147765135429</v>
      </c>
      <c r="F472" s="40">
        <f>ATAN2(('1.설계입력'!$C$6+'1.설계입력'!$C$33)/('1.설계입력'!$C$8*'1.설계입력'!$C$15)-COS((1-'1.설계입력'!$C$15)*B472),SIN((1-'1.설계입력'!$C$15)*B472))</f>
        <v>-0.80801412729707411</v>
      </c>
      <c r="G472" s="40">
        <f>('1.설계입력'!$C$6+'1.설계입력'!$C$33)*COS(B472)-('1.설계입력'!$C$7+'1.설계입력'!$C$34)*COS(B472+F472)-'1.설계입력'!$C$8*COS('1.설계입력'!$C$15*B472)</f>
        <v>-6.3921131896905994</v>
      </c>
      <c r="H472" s="40">
        <f>-('1.설계입력'!$C$6+'1.설계입력'!$C$33)*SIN(B472)+('1.설계입력'!$C$7+'1.설계입력'!$C$34)*SIN(B472+F472)+'1.설계입력'!$C$8*SIN('1.설계입력'!$C$15*B472)</f>
        <v>-77.760267166686702</v>
      </c>
      <c r="I472" s="40">
        <f t="shared" si="22"/>
        <v>78.030950154774175</v>
      </c>
      <c r="J472" s="40">
        <f t="shared" si="23"/>
        <v>78.022549694715252</v>
      </c>
      <c r="K472" s="38">
        <f>IF(OR(A472&gt;180,'1.설계입력'!$C$39&gt;=1),"",'1.설계입력'!$C$34*(1-SIN(B472)/SQRT(1+'1.설계입력'!$C$39^2-2*'1.설계입력'!$C$39*COS(B472)))-'1.설계입력'!$C$33*(1-'1.설계입력'!$C$39*COS(B472)-SQRT(MAX(0,1-'1.설계입력'!$C$39^2))*SIN(B472))/SQRT(1+'1.설계입력'!$C$39^2-2*'1.설계입력'!$C$39*COS(B472)))</f>
        <v>2.6186948970161545E-3</v>
      </c>
    </row>
    <row r="473" spans="1:11" x14ac:dyDescent="0.3">
      <c r="A473" s="40">
        <f>A472+'1.설계입력'!$C$12</f>
        <v>93.400000000000787</v>
      </c>
      <c r="B473" s="40">
        <f t="shared" si="21"/>
        <v>1.6301375213627176</v>
      </c>
      <c r="C473" s="40">
        <f>ATAN2('1.설계입력'!$C$6/('1.설계입력'!$C$8*'1.설계입력'!$C$15)-COS((1-'1.설계입력'!$C$15)*B473),SIN((1-'1.설계입력'!$C$15)*B473))</f>
        <v>-0.82080081748156575</v>
      </c>
      <c r="D473" s="40">
        <f>'1.설계입력'!$C$6*COS(B473)-'1.설계입력'!$C$7*COS(B473+C473)-'1.설계입력'!$C$8*COS('1.설계입력'!$C$15*B473)</f>
        <v>-6.5440277251684389</v>
      </c>
      <c r="E473" s="40">
        <f>-'1.설계입력'!$C$6*SIN(B473)+'1.설계입력'!$C$7*SIN(B473+C473)+'1.설계입력'!$C$8*SIN('1.설계입력'!$C$15*B473)</f>
        <v>-77.918359640301446</v>
      </c>
      <c r="F473" s="40">
        <f>ATAN2(('1.설계입력'!$C$6+'1.설계입력'!$C$33)/('1.설계입력'!$C$8*'1.설계입력'!$C$15)-COS((1-'1.설계입력'!$C$15)*B473),SIN((1-'1.설계입력'!$C$15)*B473))</f>
        <v>-0.82084168463713603</v>
      </c>
      <c r="G473" s="40">
        <f>('1.설계입력'!$C$6+'1.설계입력'!$C$33)*COS(B473)-('1.설계입력'!$C$7+'1.설계입력'!$C$34)*COS(B473+F473)-'1.설계입력'!$C$8*COS('1.설계입력'!$C$15*B473)</f>
        <v>-6.5495512636001063</v>
      </c>
      <c r="H473" s="40">
        <f>-('1.설계입력'!$C$6+'1.설계입력'!$C$33)*SIN(B473)+('1.설계입력'!$C$7+'1.설계입력'!$C$34)*SIN(B473+F473)+'1.설계입력'!$C$8*SIN('1.설계입력'!$C$15*B473)</f>
        <v>-77.909515097169319</v>
      </c>
      <c r="I473" s="40">
        <f t="shared" si="22"/>
        <v>78.192679119615349</v>
      </c>
      <c r="J473" s="40">
        <f t="shared" si="23"/>
        <v>78.184328125466294</v>
      </c>
      <c r="K473" s="38">
        <f>IF(OR(A473&gt;180,'1.설계입력'!$C$39&gt;=1),"",'1.설계입력'!$C$34*(1-SIN(B473)/SQRT(1+'1.설계입력'!$C$39^2-2*'1.설계입력'!$C$39*COS(B473)))-'1.설계입력'!$C$33*(1-'1.설계입력'!$C$39*COS(B473)-SQRT(MAX(0,1-'1.설계입력'!$C$39^2))*SIN(B473))/SQRT(1+'1.설계입력'!$C$39^2-2*'1.설계입력'!$C$39*COS(B473)))</f>
        <v>2.6351355020209207E-3</v>
      </c>
    </row>
    <row r="474" spans="1:11" x14ac:dyDescent="0.3">
      <c r="A474" s="40">
        <f>A473+'1.설계입력'!$C$12</f>
        <v>93.60000000000079</v>
      </c>
      <c r="B474" s="40">
        <f t="shared" si="21"/>
        <v>1.6336281798667063</v>
      </c>
      <c r="C474" s="40">
        <f>ATAN2('1.설계입력'!$C$6/('1.설계입력'!$C$8*'1.설계입력'!$C$15)-COS((1-'1.설계입력'!$C$15)*B474),SIN((1-'1.설계입력'!$C$15)*B474))</f>
        <v>-0.81290940883302676</v>
      </c>
      <c r="D474" s="40">
        <f>'1.설계입력'!$C$6*COS(B474)-'1.설계입력'!$C$7*COS(B474+C474)-'1.설계입력'!$C$8*COS('1.설계입력'!$C$15*B474)</f>
        <v>-6.6620791284838523</v>
      </c>
      <c r="E474" s="40">
        <f>-'1.설계입력'!$C$6*SIN(B474)+'1.설계입력'!$C$7*SIN(B474+C474)+'1.설계입력'!$C$8*SIN('1.설계입력'!$C$15*B474)</f>
        <v>-78.029969846038369</v>
      </c>
      <c r="F474" s="40">
        <f>ATAN2(('1.설계입력'!$C$6+'1.설계입력'!$C$33)/('1.설계입력'!$C$8*'1.설계입력'!$C$15)-COS((1-'1.설계입력'!$C$15)*B474),SIN((1-'1.설계입력'!$C$15)*B474))</f>
        <v>-0.81294478128537995</v>
      </c>
      <c r="G474" s="40">
        <f>('1.설계입력'!$C$6+'1.설계입력'!$C$33)*COS(B474)-('1.설계입력'!$C$7+'1.설계입력'!$C$34)*COS(B474+F474)-'1.설계입력'!$C$8*COS('1.설계입력'!$C$15*B474)</f>
        <v>-6.6675099384161838</v>
      </c>
      <c r="H474" s="40">
        <f>-('1.설계입력'!$C$6+'1.설계입력'!$C$33)*SIN(B474)+('1.설계입력'!$C$7+'1.설계입력'!$C$34)*SIN(B474+F474)+'1.설계입력'!$C$8*SIN('1.설계입력'!$C$15*B474)</f>
        <v>-78.02104636168562</v>
      </c>
      <c r="I474" s="40">
        <f t="shared" si="22"/>
        <v>78.313852494228868</v>
      </c>
      <c r="J474" s="40">
        <f t="shared" si="23"/>
        <v>78.305423593459835</v>
      </c>
      <c r="K474" s="38">
        <f>IF(OR(A474&gt;180,'1.설계입력'!$C$39&gt;=1),"",'1.설계입력'!$C$34*(1-SIN(B474)/SQRT(1+'1.설계입력'!$C$39^2-2*'1.설계입력'!$C$39*COS(B474)))-'1.설계입력'!$C$33*(1-'1.설계입력'!$C$39*COS(B474)-SQRT(MAX(0,1-'1.설계입력'!$C$39^2))*SIN(B474))/SQRT(1+'1.설계입력'!$C$39^2-2*'1.설계입력'!$C$39*COS(B474)))</f>
        <v>2.6516053425001385E-3</v>
      </c>
    </row>
    <row r="475" spans="1:11" x14ac:dyDescent="0.3">
      <c r="A475" s="40">
        <f>A474+'1.설계입력'!$C$12</f>
        <v>93.800000000000793</v>
      </c>
      <c r="B475" s="40">
        <f t="shared" si="21"/>
        <v>1.6371188383706949</v>
      </c>
      <c r="C475" s="40">
        <f>ATAN2('1.설계입력'!$C$6/('1.설계입력'!$C$8*'1.설계입력'!$C$15)-COS((1-'1.설계입력'!$C$15)*B475),SIN((1-'1.설계입력'!$C$15)*B475))</f>
        <v>-0.79142425069138933</v>
      </c>
      <c r="D475" s="40">
        <f>'1.설계입력'!$C$6*COS(B475)-'1.설계입력'!$C$7*COS(B475+C475)-'1.설계입력'!$C$8*COS('1.설계입력'!$C$15*B475)</f>
        <v>-6.762884807114049</v>
      </c>
      <c r="E475" s="40">
        <f>-'1.설계입력'!$C$6*SIN(B475)+'1.설계입력'!$C$7*SIN(B475+C475)+'1.설계입력'!$C$8*SIN('1.설계입력'!$C$15*B475)</f>
        <v>-78.121785250653815</v>
      </c>
      <c r="F475" s="40">
        <f>ATAN2(('1.설계입력'!$C$6+'1.설계입력'!$C$33)/('1.설계입력'!$C$8*'1.설계입력'!$C$15)-COS((1-'1.설계입력'!$C$15)*B475),SIN((1-'1.설계입력'!$C$15)*B475))</f>
        <v>-0.79145501394951212</v>
      </c>
      <c r="G475" s="40">
        <f>('1.설계입력'!$C$6+'1.설계입력'!$C$33)*COS(B475)-('1.설계입력'!$C$7+'1.설계입력'!$C$34)*COS(B475+F475)-'1.설계입력'!$C$8*COS('1.설계입력'!$C$15*B475)</f>
        <v>-6.7681436539685285</v>
      </c>
      <c r="H475" s="40">
        <f>-('1.설계입력'!$C$6+'1.설계입력'!$C$33)*SIN(B475)+('1.설계입력'!$C$7+'1.설계입력'!$C$34)*SIN(B475+F475)+'1.설계입력'!$C$8*SIN('1.설계입력'!$C$15*B475)</f>
        <v>-78.112711544174289</v>
      </c>
      <c r="I475" s="40">
        <f t="shared" si="22"/>
        <v>78.413965220893942</v>
      </c>
      <c r="J475" s="40">
        <f t="shared" si="23"/>
        <v>78.405379109498185</v>
      </c>
      <c r="K475" s="38">
        <f>IF(OR(A475&gt;180,'1.설계입력'!$C$39&gt;=1),"",'1.설계입력'!$C$34*(1-SIN(B475)/SQRT(1+'1.설계입력'!$C$39^2-2*'1.설계입력'!$C$39*COS(B475)))-'1.설계입력'!$C$33*(1-'1.설계입력'!$C$39*COS(B475)-SQRT(MAX(0,1-'1.설계입력'!$C$39^2))*SIN(B475))/SQRT(1+'1.설계입력'!$C$39^2-2*'1.설계입력'!$C$39*COS(B475)))</f>
        <v>2.6681042905064107E-3</v>
      </c>
    </row>
    <row r="476" spans="1:11" x14ac:dyDescent="0.3">
      <c r="A476" s="40">
        <f>A475+'1.설계입력'!$C$12</f>
        <v>94.000000000000796</v>
      </c>
      <c r="B476" s="40">
        <f t="shared" si="21"/>
        <v>1.6406094968746836</v>
      </c>
      <c r="C476" s="40">
        <f>ATAN2('1.설계입력'!$C$6/('1.설계입력'!$C$8*'1.설계입력'!$C$15)-COS((1-'1.설계입력'!$C$15)*B476),SIN((1-'1.설계입력'!$C$15)*B476))</f>
        <v>-0.76064465464226128</v>
      </c>
      <c r="D476" s="40">
        <f>'1.설계입력'!$C$6*COS(B476)-'1.설계입력'!$C$7*COS(B476+C476)-'1.설계입력'!$C$8*COS('1.설계입력'!$C$15*B476)</f>
        <v>-6.8592048808929018</v>
      </c>
      <c r="E476" s="40">
        <f>-'1.설계입력'!$C$6*SIN(B476)+'1.설계입력'!$C$7*SIN(B476+C476)+'1.설계입력'!$C$8*SIN('1.설계입력'!$C$15*B476)</f>
        <v>-78.204355995874607</v>
      </c>
      <c r="F476" s="40">
        <f>ATAN2(('1.설계입력'!$C$6+'1.설계입력'!$C$33)/('1.설계입력'!$C$8*'1.설계입력'!$C$15)-COS((1-'1.설계입력'!$C$15)*B476),SIN((1-'1.설계입력'!$C$15)*B476))</f>
        <v>-0.76067153411250499</v>
      </c>
      <c r="G476" s="40">
        <f>('1.설계입력'!$C$6+'1.설계입력'!$C$33)*COS(B476)-('1.설계입력'!$C$7+'1.설계입력'!$C$34)*COS(B476+F476)-'1.설계입력'!$C$8*COS('1.설계입력'!$C$15*B476)</f>
        <v>-6.8642328122616778</v>
      </c>
      <c r="H476" s="40">
        <f>-('1.설계입력'!$C$6+'1.설계입력'!$C$33)*SIN(B476)+('1.설계입력'!$C$7+'1.설계입력'!$C$34)*SIN(B476+F476)+'1.설계입력'!$C$8*SIN('1.설계입력'!$C$15*B476)</f>
        <v>-78.195089391749207</v>
      </c>
      <c r="I476" s="40">
        <f t="shared" si="22"/>
        <v>78.504585778969329</v>
      </c>
      <c r="J476" s="40">
        <f t="shared" si="23"/>
        <v>78.495794136275734</v>
      </c>
      <c r="K476" s="38">
        <f>IF(OR(A476&gt;180,'1.설계입력'!$C$39&gt;=1),"",'1.설계입력'!$C$34*(1-SIN(B476)/SQRT(1+'1.설계입력'!$C$39^2-2*'1.설계입력'!$C$39*COS(B476)))-'1.설계입력'!$C$33*(1-'1.설계입력'!$C$39*COS(B476)-SQRT(MAX(0,1-'1.설계입력'!$C$39^2))*SIN(B476))/SQRT(1+'1.설계입력'!$C$39^2-2*'1.설계입력'!$C$39*COS(B476)))</f>
        <v>2.6846322187002872E-3</v>
      </c>
    </row>
    <row r="477" spans="1:11" x14ac:dyDescent="0.3">
      <c r="A477" s="40">
        <f>A476+'1.설계입력'!$C$12</f>
        <v>94.200000000000799</v>
      </c>
      <c r="B477" s="40">
        <f t="shared" si="21"/>
        <v>1.6441001553786723</v>
      </c>
      <c r="C477" s="40">
        <f>ATAN2('1.설계입력'!$C$6/('1.설계입력'!$C$8*'1.설계입력'!$C$15)-COS((1-'1.설계입력'!$C$15)*B477),SIN((1-'1.설계입력'!$C$15)*B477))</f>
        <v>-0.72327907311027562</v>
      </c>
      <c r="D477" s="40">
        <f>'1.설계입력'!$C$6*COS(B477)-'1.설계입력'!$C$7*COS(B477+C477)-'1.설계입력'!$C$8*COS('1.설계입력'!$C$15*B477)</f>
        <v>-6.9589775558429405</v>
      </c>
      <c r="E477" s="40">
        <f>-'1.설계입력'!$C$6*SIN(B477)+'1.설계입력'!$C$7*SIN(B477+C477)+'1.설계입력'!$C$8*SIN('1.설계입력'!$C$15*B477)</f>
        <v>-78.283524476255053</v>
      </c>
      <c r="F477" s="40">
        <f>ATAN2(('1.설계입력'!$C$6+'1.설계입력'!$C$33)/('1.설계입력'!$C$8*'1.설계입력'!$C$15)-COS((1-'1.설계입력'!$C$15)*B477),SIN((1-'1.설계입력'!$C$15)*B477))</f>
        <v>-0.72330264163061164</v>
      </c>
      <c r="G477" s="40">
        <f>('1.설계입력'!$C$6+'1.설계입력'!$C$33)*COS(B477)-('1.설계입력'!$C$7+'1.설계입력'!$C$34)*COS(B477+F477)-'1.설계입력'!$C$8*COS('1.설계입력'!$C$15*B477)</f>
        <v>-6.9637275704733224</v>
      </c>
      <c r="H477" s="40">
        <f>-('1.설계입력'!$C$6+'1.설계입력'!$C$33)*SIN(B477)+('1.설계입력'!$C$7+'1.설계입력'!$C$34)*SIN(B477+F477)+'1.설계입력'!$C$8*SIN('1.설계입력'!$C$15*B477)</f>
        <v>-78.274041569207895</v>
      </c>
      <c r="I477" s="40">
        <f t="shared" si="22"/>
        <v>78.592223362411318</v>
      </c>
      <c r="J477" s="40">
        <f t="shared" si="23"/>
        <v>78.58319849213224</v>
      </c>
      <c r="K477" s="38">
        <f>IF(OR(A477&gt;180,'1.설계입력'!$C$39&gt;=1),"",'1.설계입력'!$C$34*(1-SIN(B477)/SQRT(1+'1.설계입력'!$C$39^2-2*'1.설계입력'!$C$39*COS(B477)))-'1.설계입력'!$C$33*(1-'1.설계입력'!$C$39*COS(B477)-SQRT(MAX(0,1-'1.설계입력'!$C$39^2))*SIN(B477))/SQRT(1+'1.설계입력'!$C$39^2-2*'1.설계입력'!$C$39*COS(B477)))</f>
        <v>2.7011890003430157E-3</v>
      </c>
    </row>
    <row r="478" spans="1:11" x14ac:dyDescent="0.3">
      <c r="A478" s="40">
        <f>A477+'1.설계입력'!$C$12</f>
        <v>94.400000000000801</v>
      </c>
      <c r="B478" s="40">
        <f t="shared" si="21"/>
        <v>1.6475908138826612</v>
      </c>
      <c r="C478" s="40">
        <f>ATAN2('1.설계입력'!$C$6/('1.설계입력'!$C$8*'1.설계입력'!$C$15)-COS((1-'1.설계입력'!$C$15)*B478),SIN((1-'1.설계입력'!$C$15)*B478))</f>
        <v>-0.68110537562552242</v>
      </c>
      <c r="D478" s="40">
        <f>'1.설계입력'!$C$6*COS(B478)-'1.설계입력'!$C$7*COS(B478+C478)-'1.설계입력'!$C$8*COS('1.설계입력'!$C$15*B478)</f>
        <v>-7.0673948135514184</v>
      </c>
      <c r="E478" s="40">
        <f>-'1.설계입력'!$C$6*SIN(B478)+'1.설계입력'!$C$7*SIN(B478+C478)+'1.설계입력'!$C$8*SIN('1.설계입력'!$C$15*B478)</f>
        <v>-78.362115600893105</v>
      </c>
      <c r="F478" s="40">
        <f>ATAN2(('1.설계입력'!$C$6+'1.설계입력'!$C$33)/('1.설계입력'!$C$8*'1.설계입력'!$C$15)-COS((1-'1.설계입력'!$C$15)*B478),SIN((1-'1.설계입력'!$C$15)*B478))</f>
        <v>-0.68112608214265713</v>
      </c>
      <c r="G478" s="40">
        <f>('1.설계입력'!$C$6+'1.설계입력'!$C$33)*COS(B478)-('1.설계입력'!$C$7+'1.설계입력'!$C$34)*COS(B478+F478)-'1.설계입력'!$C$8*COS('1.설계입력'!$C$15*B478)</f>
        <v>-7.0718276598355132</v>
      </c>
      <c r="H478" s="40">
        <f>-('1.설계입력'!$C$6+'1.설계입력'!$C$33)*SIN(B478)+('1.설계입력'!$C$7+'1.설계입력'!$C$34)*SIN(B478+F478)+'1.설계입력'!$C$8*SIN('1.설계입력'!$C$15*B478)</f>
        <v>-78.352406454611156</v>
      </c>
      <c r="I478" s="40">
        <f t="shared" si="22"/>
        <v>78.6801705062867</v>
      </c>
      <c r="J478" s="40">
        <f t="shared" si="23"/>
        <v>78.670898963206255</v>
      </c>
      <c r="K478" s="38">
        <f>IF(OR(A478&gt;180,'1.설계입력'!$C$39&gt;=1),"",'1.설계입력'!$C$34*(1-SIN(B478)/SQRT(1+'1.설계입력'!$C$39^2-2*'1.설계입력'!$C$39*COS(B478)))-'1.설계입력'!$C$33*(1-'1.설계입력'!$C$39*COS(B478)-SQRT(MAX(0,1-'1.설계입력'!$C$39^2))*SIN(B478))/SQRT(1+'1.설계입력'!$C$39^2-2*'1.설계입력'!$C$39*COS(B478)))</f>
        <v>2.7177745092893781E-3</v>
      </c>
    </row>
    <row r="479" spans="1:11" x14ac:dyDescent="0.3">
      <c r="A479" s="40">
        <f>A478+'1.설계입력'!$C$12</f>
        <v>94.600000000000804</v>
      </c>
      <c r="B479" s="40">
        <f t="shared" si="21"/>
        <v>1.6510814723866498</v>
      </c>
      <c r="C479" s="40">
        <f>ATAN2('1.설계입력'!$C$6/('1.설계입력'!$C$8*'1.설계입력'!$C$15)-COS((1-'1.설계입력'!$C$15)*B479),SIN((1-'1.설계입력'!$C$15)*B479))</f>
        <v>-0.63533427384664043</v>
      </c>
      <c r="D479" s="40">
        <f>'1.설계입력'!$C$6*COS(B479)-'1.설계입력'!$C$7*COS(B479+C479)-'1.설계입력'!$C$8*COS('1.설계입력'!$C$15*B479)</f>
        <v>-7.187905934349228</v>
      </c>
      <c r="E479" s="40">
        <f>-'1.설계입력'!$C$6*SIN(B479)+'1.설계입력'!$C$7*SIN(B479+C479)+'1.설계입력'!$C$8*SIN('1.설계입력'!$C$15*B479)</f>
        <v>-78.441004538271514</v>
      </c>
      <c r="F479" s="40">
        <f>ATAN2(('1.설계입력'!$C$6+'1.설계입력'!$C$33)/('1.설계입력'!$C$8*'1.설계입력'!$C$15)-COS((1-'1.설계입력'!$C$15)*B479),SIN((1-'1.설계입력'!$C$15)*B479))</f>
        <v>-0.63535247120135796</v>
      </c>
      <c r="G479" s="40">
        <f>('1.설계입력'!$C$6+'1.설계입력'!$C$33)*COS(B479)-('1.설계입력'!$C$7+'1.설계입력'!$C$34)*COS(B479+F479)-'1.설계입력'!$C$8*COS('1.설계입력'!$C$15*B479)</f>
        <v>-7.1919878834140025</v>
      </c>
      <c r="H479" s="40">
        <f>-('1.설계입력'!$C$6+'1.설계입력'!$C$33)*SIN(B479)+('1.설계입력'!$C$7+'1.설계입력'!$C$34)*SIN(B479+F479)+'1.설계입력'!$C$8*SIN('1.설계입력'!$C$15*B479)</f>
        <v>-78.431068977058288</v>
      </c>
      <c r="I479" s="40">
        <f t="shared" si="22"/>
        <v>78.769646341050588</v>
      </c>
      <c r="J479" s="40">
        <f t="shared" si="23"/>
        <v>78.760124876737265</v>
      </c>
      <c r="K479" s="38">
        <f>IF(OR(A479&gt;180,'1.설계입력'!$C$39&gt;=1),"",'1.설계입력'!$C$34*(1-SIN(B479)/SQRT(1+'1.설계입력'!$C$39^2-2*'1.설계입력'!$C$39*COS(B479)))-'1.설계입력'!$C$33*(1-'1.설계입력'!$C$39*COS(B479)-SQRT(MAX(0,1-'1.설계입력'!$C$39^2))*SIN(B479))/SQRT(1+'1.설계입력'!$C$39^2-2*'1.설계입력'!$C$39*COS(B479)))</f>
        <v>2.7343886199806301E-3</v>
      </c>
    </row>
    <row r="480" spans="1:11" x14ac:dyDescent="0.3">
      <c r="A480" s="40">
        <f>A479+'1.설계입력'!$C$12</f>
        <v>94.800000000000807</v>
      </c>
      <c r="B480" s="40">
        <f t="shared" si="21"/>
        <v>1.6545721308906385</v>
      </c>
      <c r="C480" s="40">
        <f>ATAN2('1.설계입력'!$C$6/('1.설계입력'!$C$8*'1.설계입력'!$C$15)-COS((1-'1.설계입력'!$C$15)*B480),SIN((1-'1.설계입력'!$C$15)*B480))</f>
        <v>-0.58681755378948186</v>
      </c>
      <c r="D480" s="40">
        <f>'1.설계입력'!$C$6*COS(B480)-'1.설계입력'!$C$7*COS(B480+C480)-'1.설계입력'!$C$8*COS('1.설계입력'!$C$15*B480)</f>
        <v>-7.3227325645429442</v>
      </c>
      <c r="E480" s="40">
        <f>-'1.설계입력'!$C$6*SIN(B480)+'1.설계입력'!$C$7*SIN(B480+C480)+'1.설계입력'!$C$8*SIN('1.설계입력'!$C$15*B480)</f>
        <v>-78.519801147269675</v>
      </c>
      <c r="F480" s="40">
        <f>ATAN2(('1.설계입력'!$C$6+'1.설계입력'!$C$33)/('1.설계입력'!$C$8*'1.설계입력'!$C$15)-COS((1-'1.설계입력'!$C$15)*B480),SIN((1-'1.설계입력'!$C$15)*B480))</f>
        <v>-0.58683352102236042</v>
      </c>
      <c r="G480" s="40">
        <f>('1.설계입력'!$C$6+'1.설계입력'!$C$33)*COS(B480)-('1.설계입력'!$C$7+'1.설계입력'!$C$34)*COS(B480+F480)-'1.설계입력'!$C$8*COS('1.설계입력'!$C$15*B480)</f>
        <v>-7.3264341840518412</v>
      </c>
      <c r="H480" s="40">
        <f>-('1.설계입력'!$C$6+'1.설계입력'!$C$33)*SIN(B480)+('1.설계입력'!$C$7+'1.설계입력'!$C$34)*SIN(B480+F480)+'1.설계입력'!$C$8*SIN('1.설계입력'!$C$15*B480)</f>
        <v>-78.509646299234717</v>
      </c>
      <c r="I480" s="40">
        <f t="shared" si="22"/>
        <v>78.860519808194198</v>
      </c>
      <c r="J480" s="40">
        <f t="shared" si="23"/>
        <v>78.850752690663526</v>
      </c>
      <c r="K480" s="38">
        <f>IF(OR(A480&gt;180,'1.설계입력'!$C$39&gt;=1),"",'1.설계입력'!$C$34*(1-SIN(B480)/SQRT(1+'1.설계입력'!$C$39^2-2*'1.설계입력'!$C$39*COS(B480)))-'1.설계입력'!$C$33*(1-'1.설계입력'!$C$39*COS(B480)-SQRT(MAX(0,1-'1.설계입력'!$C$39^2))*SIN(B480))/SQRT(1+'1.설계입력'!$C$39^2-2*'1.설계입력'!$C$39*COS(B480)))</f>
        <v>2.7510312074375356E-3</v>
      </c>
    </row>
    <row r="481" spans="1:11" x14ac:dyDescent="0.3">
      <c r="A481" s="40">
        <f>A480+'1.설계입력'!$C$12</f>
        <v>95.00000000000081</v>
      </c>
      <c r="B481" s="40">
        <f t="shared" si="21"/>
        <v>1.6580627893946271</v>
      </c>
      <c r="C481" s="40">
        <f>ATAN2('1.설계입력'!$C$6/('1.설계입력'!$C$8*'1.설계입력'!$C$15)-COS((1-'1.설계입력'!$C$15)*B481),SIN((1-'1.설계입력'!$C$15)*B481))</f>
        <v>-0.53617216719452676</v>
      </c>
      <c r="D481" s="40">
        <f>'1.설계입력'!$C$6*COS(B481)-'1.설계입력'!$C$7*COS(B481+C481)-'1.설계입력'!$C$8*COS('1.설계입력'!$C$15*B481)</f>
        <v>-7.4731516491280905</v>
      </c>
      <c r="E481" s="40">
        <f>-'1.설계입력'!$C$6*SIN(B481)+'1.설계입력'!$C$7*SIN(B481+C481)+'1.설계입력'!$C$8*SIN('1.설계입력'!$C$15*B481)</f>
        <v>-78.597305282878978</v>
      </c>
      <c r="F481" s="40">
        <f>ATAN2(('1.설계입력'!$C$6+'1.설계입력'!$C$33)/('1.설계입력'!$C$8*'1.설계입력'!$C$15)-COS((1-'1.설계입력'!$C$15)*B481),SIN((1-'1.설계입력'!$C$15)*B481))</f>
        <v>-0.53618612644427277</v>
      </c>
      <c r="G481" s="40">
        <f>('1.설계입력'!$C$6+'1.설계입력'!$C$33)*COS(B481)-('1.설계입력'!$C$7+'1.설계입력'!$C$34)*COS(B481+F481)-'1.설계입력'!$C$8*COS('1.설계입력'!$C$15*B481)</f>
        <v>-7.4764471101763794</v>
      </c>
      <c r="H481" s="40">
        <f>-('1.설계입력'!$C$6+'1.설계입력'!$C$33)*SIN(B481)+('1.설계입력'!$C$7+'1.설계입력'!$C$34)*SIN(B481+F481)+'1.설계입력'!$C$8*SIN('1.설계입력'!$C$15*B481)</f>
        <v>-78.586943888267413</v>
      </c>
      <c r="I481" s="40">
        <f t="shared" si="22"/>
        <v>78.951785244546187</v>
      </c>
      <c r="J481" s="40">
        <f t="shared" si="23"/>
        <v>78.941782416467873</v>
      </c>
      <c r="K481" s="38">
        <f>IF(OR(A481&gt;180,'1.설계입력'!$C$39&gt;=1),"",'1.설계입력'!$C$34*(1-SIN(B481)/SQRT(1+'1.설계입력'!$C$39^2-2*'1.설계입력'!$C$39*COS(B481)))-'1.설계입력'!$C$33*(1-'1.설계입력'!$C$39*COS(B481)-SQRT(MAX(0,1-'1.설계입력'!$C$39^2))*SIN(B481))/SQRT(1+'1.설계입력'!$C$39^2-2*'1.설계입력'!$C$39*COS(B481)))</f>
        <v>2.7677021472534888E-3</v>
      </c>
    </row>
    <row r="482" spans="1:11" x14ac:dyDescent="0.3">
      <c r="A482" s="40">
        <f>A481+'1.설계입력'!$C$12</f>
        <v>95.200000000000813</v>
      </c>
      <c r="B482" s="40">
        <f t="shared" si="21"/>
        <v>1.6615534478986158</v>
      </c>
      <c r="C482" s="40">
        <f>ATAN2('1.설계입력'!$C$6/('1.설계입력'!$C$8*'1.설계입력'!$C$15)-COS((1-'1.설계입력'!$C$15)*B482),SIN((1-'1.설계입력'!$C$15)*B482))</f>
        <v>-0.48385692243172979</v>
      </c>
      <c r="D482" s="40">
        <f>'1.설계입력'!$C$6*COS(B482)-'1.설계입력'!$C$7*COS(B482+C482)-'1.설계입력'!$C$8*COS('1.설계입력'!$C$15*B482)</f>
        <v>-7.6396646601072309</v>
      </c>
      <c r="E482" s="40">
        <f>-'1.설계입력'!$C$6*SIN(B482)+'1.설계입력'!$C$7*SIN(B482+C482)+'1.설계입력'!$C$8*SIN('1.설계입력'!$C$15*B482)</f>
        <v>-78.671823592386261</v>
      </c>
      <c r="F482" s="40">
        <f>ATAN2(('1.설계입력'!$C$6+'1.설계입력'!$C$33)/('1.설계입력'!$C$8*'1.설계입력'!$C$15)-COS((1-'1.설계입력'!$C$15)*B482),SIN((1-'1.설계입력'!$C$15)*B482))</f>
        <v>-0.48386905150037174</v>
      </c>
      <c r="G482" s="40">
        <f>('1.설계입력'!$C$6+'1.설계입력'!$C$33)*COS(B482)-('1.설계입력'!$C$7+'1.설계입력'!$C$34)*COS(B482+F482)-'1.설계입력'!$C$8*COS('1.설계입력'!$C$15*B482)</f>
        <v>-7.6425313398053145</v>
      </c>
      <c r="H482" s="40">
        <f>-('1.설계입력'!$C$6+'1.설계입력'!$C$33)*SIN(B482)+('1.설계입력'!$C$7+'1.설계입력'!$C$34)*SIN(B482+F482)+'1.설계입력'!$C$8*SIN('1.설계입력'!$C$15*B482)</f>
        <v>-78.661272791503123</v>
      </c>
      <c r="I482" s="40">
        <f t="shared" si="22"/>
        <v>79.0418895489628</v>
      </c>
      <c r="J482" s="40">
        <f t="shared" si="23"/>
        <v>79.031665314981026</v>
      </c>
      <c r="K482" s="38">
        <f>IF(OR(A482&gt;180,'1.설계입력'!$C$39&gt;=1),"",'1.설계입력'!$C$34*(1-SIN(B482)/SQRT(1+'1.설계입력'!$C$39^2-2*'1.설계입력'!$C$39*COS(B482)))-'1.설계입력'!$C$33*(1-'1.설계입력'!$C$39*COS(B482)-SQRT(MAX(0,1-'1.설계입력'!$C$39^2))*SIN(B482))/SQRT(1+'1.설계입력'!$C$39^2-2*'1.설계입력'!$C$39*COS(B482)))</f>
        <v>2.7844013155877301E-3</v>
      </c>
    </row>
    <row r="483" spans="1:11" x14ac:dyDescent="0.3">
      <c r="A483" s="40">
        <f>A482+'1.설계입력'!$C$12</f>
        <v>95.400000000000816</v>
      </c>
      <c r="B483" s="40">
        <f t="shared" si="21"/>
        <v>1.6650441064026047</v>
      </c>
      <c r="C483" s="40">
        <f>ATAN2('1.설계입력'!$C$6/('1.설계입력'!$C$8*'1.설계입력'!$C$15)-COS((1-'1.설계입력'!$C$15)*B483),SIN((1-'1.설계입력'!$C$15)*B483))</f>
        <v>-0.43022148195939436</v>
      </c>
      <c r="D483" s="40">
        <f>'1.설계입력'!$C$6*COS(B483)-'1.설계입력'!$C$7*COS(B483+C483)-'1.설계입력'!$C$8*COS('1.설계입력'!$C$15*B483)</f>
        <v>-7.8221105542199947</v>
      </c>
      <c r="E483" s="40">
        <f>-'1.설계입력'!$C$6*SIN(B483)+'1.설계입력'!$C$7*SIN(B483+C483)+'1.설계입력'!$C$8*SIN('1.설계입력'!$C$15*B483)</f>
        <v>-78.741400021198061</v>
      </c>
      <c r="F483" s="40">
        <f>ATAN2(('1.설계입력'!$C$6+'1.설계입력'!$C$33)/('1.설계입력'!$C$8*'1.설계입력'!$C$15)-COS((1-'1.설계입력'!$C$15)*B483),SIN((1-'1.설계입력'!$C$15)*B483))</f>
        <v>-0.43023192362110135</v>
      </c>
      <c r="G483" s="40">
        <f>('1.설계입력'!$C$6+'1.설계입력'!$C$33)*COS(B483)-('1.설계입력'!$C$7+'1.설계입력'!$C$34)*COS(B483+F483)-'1.설계입력'!$C$8*COS('1.설계입력'!$C$15*B483)</f>
        <v>-7.8245288072542358</v>
      </c>
      <c r="H483" s="40">
        <f>-('1.설계입력'!$C$6+'1.설계입력'!$C$33)*SIN(B483)+('1.설계입력'!$C$7+'1.설계입력'!$C$34)*SIN(B483+F483)+'1.설계입력'!$C$8*SIN('1.설계입력'!$C$15*B483)</f>
        <v>-78.730680450301861</v>
      </c>
      <c r="I483" s="40">
        <f t="shared" si="22"/>
        <v>79.128967457061961</v>
      </c>
      <c r="J483" s="40">
        <f t="shared" si="23"/>
        <v>79.118539516494451</v>
      </c>
      <c r="K483" s="38">
        <f>IF(OR(A483&gt;180,'1.설계입력'!$C$39&gt;=1),"",'1.설계입력'!$C$34*(1-SIN(B483)/SQRT(1+'1.설계입력'!$C$39^2-2*'1.설계입력'!$C$39*COS(B483)))-'1.설계입력'!$C$33*(1-'1.설계입력'!$C$39*COS(B483)-SQRT(MAX(0,1-'1.설계입력'!$C$39^2))*SIN(B483))/SQRT(1+'1.설계입력'!$C$39^2-2*'1.설계입력'!$C$39*COS(B483)))</f>
        <v>2.8011285891586524E-3</v>
      </c>
    </row>
    <row r="484" spans="1:11" x14ac:dyDescent="0.3">
      <c r="A484" s="40">
        <f>A483+'1.설계입력'!$C$12</f>
        <v>95.600000000000819</v>
      </c>
      <c r="B484" s="40">
        <f t="shared" si="21"/>
        <v>1.6685347649065934</v>
      </c>
      <c r="C484" s="40">
        <f>ATAN2('1.설계입력'!$C$6/('1.설계입력'!$C$8*'1.설계입력'!$C$15)-COS((1-'1.설계입력'!$C$15)*B484),SIN((1-'1.설계입력'!$C$15)*B484))</f>
        <v>-0.37553863366495832</v>
      </c>
      <c r="D484" s="40">
        <f>'1.설계입력'!$C$6*COS(B484)-'1.설계입력'!$C$7*COS(B484+C484)-'1.설계입력'!$C$8*COS('1.설계입력'!$C$15*B484)</f>
        <v>-8.0197514700677992</v>
      </c>
      <c r="E484" s="40">
        <f>-'1.설계입력'!$C$6*SIN(B484)+'1.설계입력'!$C$7*SIN(B484+C484)+'1.설계입력'!$C$8*SIN('1.설계입력'!$C$15*B484)</f>
        <v>-78.803990190738034</v>
      </c>
      <c r="F484" s="40">
        <f>ATAN2(('1.설계입력'!$C$6+'1.설계입력'!$C$33)/('1.설계입력'!$C$8*'1.설계입력'!$C$15)-COS((1-'1.설계입력'!$C$15)*B484),SIN((1-'1.설계입력'!$C$15)*B484))</f>
        <v>-0.37554750257631841</v>
      </c>
      <c r="G484" s="40">
        <f>('1.설계입력'!$C$6+'1.설계입력'!$C$33)*COS(B484)-('1.설계입력'!$C$7+'1.설계입력'!$C$34)*COS(B484+F484)-'1.설계입력'!$C$8*COS('1.설계입력'!$C$15*B484)</f>
        <v>-8.0217044985308217</v>
      </c>
      <c r="H484" s="40">
        <f>-('1.설계입력'!$C$6+'1.설계입력'!$C$33)*SIN(B484)+('1.설계입력'!$C$7+'1.설계입력'!$C$34)*SIN(B484+F484)+'1.설계입력'!$C$8*SIN('1.설계입력'!$C$15*B484)</f>
        <v>-78.793125280090706</v>
      </c>
      <c r="I484" s="40">
        <f t="shared" si="22"/>
        <v>79.211017438381575</v>
      </c>
      <c r="J484" s="40">
        <f t="shared" si="23"/>
        <v>79.200406150889265</v>
      </c>
      <c r="K484" s="38">
        <f>IF(OR(A484&gt;180,'1.설계입력'!$C$39&gt;=1),"",'1.설계입력'!$C$34*(1-SIN(B484)/SQRT(1+'1.설계입력'!$C$39^2-2*'1.설계입력'!$C$39*COS(B484)))-'1.설계입력'!$C$33*(1-'1.설계입력'!$C$39*COS(B484)-SQRT(MAX(0,1-'1.설계입력'!$C$39^2))*SIN(B484))/SQRT(1+'1.설계입력'!$C$39^2-2*'1.설계입력'!$C$39*COS(B484)))</f>
        <v>2.8178838452371929E-3</v>
      </c>
    </row>
    <row r="485" spans="1:11" x14ac:dyDescent="0.3">
      <c r="A485" s="40">
        <f>A484+'1.설계입력'!$C$12</f>
        <v>95.800000000000821</v>
      </c>
      <c r="B485" s="40">
        <f t="shared" si="21"/>
        <v>1.672025423410582</v>
      </c>
      <c r="C485" s="40">
        <f>ATAN2('1.설계입력'!$C$6/('1.설계입력'!$C$8*'1.설계입력'!$C$15)-COS((1-'1.설계입력'!$C$15)*B485),SIN((1-'1.설계입력'!$C$15)*B485))</f>
        <v>-0.32002615733410616</v>
      </c>
      <c r="D485" s="40">
        <f>'1.설계입력'!$C$6*COS(B485)-'1.설계입력'!$C$7*COS(B485+C485)-'1.설계입력'!$C$8*COS('1.설계입력'!$C$15*B485)</f>
        <v>-8.2313462363806611</v>
      </c>
      <c r="E485" s="40">
        <f>-'1.설계입력'!$C$6*SIN(B485)+'1.설계입력'!$C$7*SIN(B485+C485)+'1.설계입력'!$C$8*SIN('1.설계입력'!$C$15*B485)</f>
        <v>-78.857597213727601</v>
      </c>
      <c r="F485" s="40">
        <f>ATAN2(('1.설계입력'!$C$6+'1.설계입력'!$C$33)/('1.설계입력'!$C$8*'1.설계입력'!$C$15)-COS((1-'1.설계입력'!$C$15)*B485),SIN((1-'1.설계입력'!$C$15)*B485))</f>
        <v>-0.32003354518036026</v>
      </c>
      <c r="G485" s="40">
        <f>('1.설계입력'!$C$6+'1.설계입력'!$C$33)*COS(B485)-('1.설계입력'!$C$7+'1.설계입력'!$C$34)*COS(B485+F485)-'1.설계입력'!$C$8*COS('1.설계입력'!$C$15*B485)</f>
        <v>-8.2328200168214138</v>
      </c>
      <c r="H485" s="40">
        <f>-('1.설계입력'!$C$6+'1.설계입력'!$C$33)*SIN(B485)+('1.설계입력'!$C$7+'1.설계입력'!$C$34)*SIN(B485+F485)+'1.설계입력'!$C$8*SIN('1.설계입력'!$C$15*B485)</f>
        <v>-78.846612620909866</v>
      </c>
      <c r="I485" s="40">
        <f t="shared" si="22"/>
        <v>79.286037227154182</v>
      </c>
      <c r="J485" s="40">
        <f t="shared" si="23"/>
        <v>79.275265040371821</v>
      </c>
      <c r="K485" s="38">
        <f>IF(OR(A485&gt;180,'1.설계입력'!$C$39&gt;=1),"",'1.설계입력'!$C$34*(1-SIN(B485)/SQRT(1+'1.설계입력'!$C$39^2-2*'1.설계입력'!$C$39*COS(B485)))-'1.설계입력'!$C$33*(1-'1.설계입력'!$C$39*COS(B485)-SQRT(MAX(0,1-'1.설계입력'!$C$39^2))*SIN(B485))/SQRT(1+'1.설계입력'!$C$39^2-2*'1.설계입력'!$C$39*COS(B485)))</f>
        <v>2.8346669616403216E-3</v>
      </c>
    </row>
    <row r="486" spans="1:11" x14ac:dyDescent="0.3">
      <c r="A486" s="40">
        <f>A485+'1.설계입력'!$C$12</f>
        <v>96.000000000000824</v>
      </c>
      <c r="B486" s="40">
        <f t="shared" si="21"/>
        <v>1.6755160819145707</v>
      </c>
      <c r="C486" s="40">
        <f>ATAN2('1.설계입력'!$C$6/('1.설계입력'!$C$8*'1.설계입력'!$C$15)-COS((1-'1.설계입력'!$C$15)*B486),SIN((1-'1.설계입력'!$C$15)*B486))</f>
        <v>-0.26386205120288286</v>
      </c>
      <c r="D486" s="40">
        <f>'1.설계입력'!$C$6*COS(B486)-'1.설계입력'!$C$7*COS(B486+C486)-'1.설계입력'!$C$8*COS('1.설계입력'!$C$15*B486)</f>
        <v>-8.455219585584123</v>
      </c>
      <c r="E486" s="40">
        <f>-'1.설계입력'!$C$6*SIN(B486)+'1.설계입력'!$C$7*SIN(B486+C486)+'1.설계입력'!$C$8*SIN('1.설계입력'!$C$15*B486)</f>
        <v>-78.900379253559848</v>
      </c>
      <c r="F486" s="40">
        <f>ATAN2(('1.설계입력'!$C$6+'1.설계입력'!$C$33)/('1.설계입력'!$C$8*'1.설계입력'!$C$15)-COS((1-'1.설계입력'!$C$15)*B486),SIN((1-'1.설계입력'!$C$15)*B486))</f>
        <v>-0.26386803053608709</v>
      </c>
      <c r="G486" s="40">
        <f>('1.설계입력'!$C$6+'1.설계입력'!$C$33)*COS(B486)-('1.설계입력'!$C$7+'1.설계입력'!$C$34)*COS(B486+F486)-'1.설계입력'!$C$8*COS('1.설계입력'!$C$15*B486)</f>
        <v>-8.4562028285955009</v>
      </c>
      <c r="H486" s="40">
        <f>-('1.설계입력'!$C$6+'1.설계입력'!$C$33)*SIN(B486)+('1.설계입력'!$C$7+'1.설계입력'!$C$34)*SIN(B486+F486)+'1.설계입력'!$C$8*SIN('1.설계입력'!$C$15*B486)</f>
        <v>-78.889302388741882</v>
      </c>
      <c r="I486" s="40">
        <f t="shared" si="22"/>
        <v>79.352130309122913</v>
      </c>
      <c r="J486" s="40">
        <f t="shared" si="23"/>
        <v>79.34122130179685</v>
      </c>
      <c r="K486" s="38">
        <f>IF(OR(A486&gt;180,'1.설계입력'!$C$39&gt;=1),"",'1.설계입력'!$C$34*(1-SIN(B486)/SQRT(1+'1.설계입력'!$C$39^2-2*'1.설계입력'!$C$39*COS(B486)))-'1.설계입력'!$C$33*(1-'1.설계입력'!$C$39*COS(B486)-SQRT(MAX(0,1-'1.설계입력'!$C$39^2))*SIN(B486))/SQRT(1+'1.설계입력'!$C$39^2-2*'1.설계입력'!$C$39*COS(B486)))</f>
        <v>2.8514778167246036E-3</v>
      </c>
    </row>
    <row r="487" spans="1:11" x14ac:dyDescent="0.3">
      <c r="A487" s="40">
        <f>A486+'1.설계입력'!$C$12</f>
        <v>96.200000000000827</v>
      </c>
      <c r="B487" s="40">
        <f t="shared" si="21"/>
        <v>1.6790067404185594</v>
      </c>
      <c r="C487" s="40">
        <f>ATAN2('1.설계입력'!$C$6/('1.설계입력'!$C$8*'1.설계입력'!$C$15)-COS((1-'1.설계입력'!$C$15)*B487),SIN((1-'1.설계입력'!$C$15)*B487))</f>
        <v>-0.20719543158933093</v>
      </c>
      <c r="D487" s="40">
        <f>'1.설계입력'!$C$6*COS(B487)-'1.설계입력'!$C$7*COS(B487+C487)-'1.설계입력'!$C$8*COS('1.설계입력'!$C$15*B487)</f>
        <v>-8.6893310939510364</v>
      </c>
      <c r="E487" s="40">
        <f>-'1.설계입력'!$C$6*SIN(B487)+'1.설계입력'!$C$7*SIN(B487+C487)+'1.설계입력'!$C$8*SIN('1.설계입력'!$C$15*B487)</f>
        <v>-78.930734900124008</v>
      </c>
      <c r="F487" s="40">
        <f>ATAN2(('1.설계입력'!$C$6+'1.설계입력'!$C$33)/('1.설계입력'!$C$8*'1.설계입력'!$C$15)-COS((1-'1.설계입력'!$C$15)*B487),SIN((1-'1.설계입력'!$C$15)*B487))</f>
        <v>-0.20720005868223465</v>
      </c>
      <c r="G487" s="40">
        <f>('1.설계입력'!$C$6+'1.설계입력'!$C$33)*COS(B487)-('1.설계입력'!$C$7+'1.설계입력'!$C$34)*COS(B487+F487)-'1.설계입력'!$C$8*COS('1.설계입력'!$C$15*B487)</f>
        <v>-8.6898152209906598</v>
      </c>
      <c r="H487" s="40">
        <f>-('1.설계입력'!$C$6+'1.설계입력'!$C$33)*SIN(B487)+('1.설계입력'!$C$7+'1.설계입력'!$C$34)*SIN(B487+F487)+'1.설계입력'!$C$8*SIN('1.설계입력'!$C$15*B487)</f>
        <v>-78.919594514590344</v>
      </c>
      <c r="I487" s="40">
        <f t="shared" si="22"/>
        <v>79.407590233767692</v>
      </c>
      <c r="J487" s="40">
        <f t="shared" si="23"/>
        <v>79.396569742793801</v>
      </c>
      <c r="K487" s="38">
        <f>IF(OR(A487&gt;180,'1.설계입력'!$C$39&gt;=1),"",'1.설계입력'!$C$34*(1-SIN(B487)/SQRT(1+'1.설계입력'!$C$39^2-2*'1.설계입력'!$C$39*COS(B487)))-'1.설계입력'!$C$33*(1-'1.설계입력'!$C$39*COS(B487)-SQRT(MAX(0,1-'1.설계입력'!$C$39^2))*SIN(B487))/SQRT(1+'1.설계입력'!$C$39^2-2*'1.설계입력'!$C$39*COS(B487)))</f>
        <v>2.8683162893798518E-3</v>
      </c>
    </row>
    <row r="488" spans="1:11" x14ac:dyDescent="0.3">
      <c r="A488" s="40">
        <f>A487+'1.설계입력'!$C$12</f>
        <v>96.40000000000083</v>
      </c>
      <c r="B488" s="40">
        <f t="shared" si="21"/>
        <v>1.6824973989225482</v>
      </c>
      <c r="C488" s="40">
        <f>ATAN2('1.설계입력'!$C$6/('1.설계입력'!$C$8*'1.설계입력'!$C$15)-COS((1-'1.설계입력'!$C$15)*B488),SIN((1-'1.설계입력'!$C$15)*B488))</f>
        <v>-0.15015457019076348</v>
      </c>
      <c r="D488" s="40">
        <f>'1.설계입력'!$C$6*COS(B488)-'1.설계입력'!$C$7*COS(B488+C488)-'1.설계입력'!$C$8*COS('1.설계입력'!$C$15*B488)</f>
        <v>-8.9313456858480382</v>
      </c>
      <c r="E488" s="40">
        <f>-'1.설계입력'!$C$6*SIN(B488)+'1.설계입력'!$C$7*SIN(B488+C488)+'1.설계입력'!$C$8*SIN('1.설계입력'!$C$15*B488)</f>
        <v>-78.947369939215932</v>
      </c>
      <c r="F488" s="40">
        <f>ATAN2(('1.설계입력'!$C$6+'1.설계입력'!$C$33)/('1.설계입력'!$C$8*'1.설계입력'!$C$15)-COS((1-'1.설계입력'!$C$15)*B488),SIN((1-'1.설계입력'!$C$15)*B488))</f>
        <v>-0.15015788713474076</v>
      </c>
      <c r="G488" s="40">
        <f>('1.설계입력'!$C$6+'1.설계입력'!$C$33)*COS(B488)-('1.설계입력'!$C$7+'1.설계입력'!$C$34)*COS(B488+F488)-'1.설계입력'!$C$8*COS('1.설계입력'!$C$15*B488)</f>
        <v>-8.9313248135513739</v>
      </c>
      <c r="H488" s="40">
        <f>-('1.설계입력'!$C$6+'1.설계입력'!$C$33)*SIN(B488)+('1.설계입력'!$C$7+'1.설계입력'!$C$34)*SIN(B488+F488)+'1.설계입력'!$C$8*SIN('1.설계입력'!$C$15*B488)</f>
        <v>-78.93619575766985</v>
      </c>
      <c r="I488" s="40">
        <f t="shared" si="22"/>
        <v>79.450966992727857</v>
      </c>
      <c r="J488" s="40">
        <f t="shared" si="23"/>
        <v>79.439861301605589</v>
      </c>
      <c r="K488" s="38">
        <f>IF(OR(A488&gt;180,'1.설계입력'!$C$39&gt;=1),"",'1.설계입력'!$C$34*(1-SIN(B488)/SQRT(1+'1.설계입력'!$C$39^2-2*'1.설계입력'!$C$39*COS(B488)))-'1.설계입력'!$C$33*(1-'1.설계입력'!$C$39*COS(B488)-SQRT(MAX(0,1-'1.설계입력'!$C$39^2))*SIN(B488))/SQRT(1+'1.설계입력'!$C$39^2-2*'1.설계입력'!$C$39*COS(B488)))</f>
        <v>2.8851822590228709E-3</v>
      </c>
    </row>
    <row r="489" spans="1:11" x14ac:dyDescent="0.3">
      <c r="A489" s="40">
        <f>A488+'1.설계입력'!$C$12</f>
        <v>96.600000000000833</v>
      </c>
      <c r="B489" s="40">
        <f t="shared" si="21"/>
        <v>1.6859880574265369</v>
      </c>
      <c r="C489" s="40">
        <f>ATAN2('1.설계입력'!$C$6/('1.설계입력'!$C$8*'1.설계입력'!$C$15)-COS((1-'1.설계입력'!$C$15)*B489),SIN((1-'1.설계입력'!$C$15)*B489))</f>
        <v>-9.2853026010909015E-2</v>
      </c>
      <c r="D489" s="40">
        <f>'1.설계입력'!$C$6*COS(B489)-'1.설계입력'!$C$7*COS(B489+C489)-'1.설계입력'!$C$8*COS('1.설계입력'!$C$15*B489)</f>
        <v>-9.178706258453639</v>
      </c>
      <c r="E489" s="40">
        <f>-'1.설계입력'!$C$6*SIN(B489)+'1.설계입력'!$C$7*SIN(B489+C489)+'1.설계입력'!$C$8*SIN('1.설계입력'!$C$15*B489)</f>
        <v>-78.949347616230725</v>
      </c>
      <c r="F489" s="40">
        <f>ATAN2(('1.설계입력'!$C$6+'1.설계입력'!$C$33)/('1.설계입력'!$C$8*'1.설계입력'!$C$15)-COS((1-'1.설계입력'!$C$15)*B489),SIN((1-'1.설계입력'!$C$15)*B489))</f>
        <v>-9.2855062217437029E-2</v>
      </c>
      <c r="G489" s="40">
        <f>('1.설계입력'!$C$6+'1.설계입력'!$C$33)*COS(B489)-('1.설계입력'!$C$7+'1.설계입력'!$C$34)*COS(B489+F489)-'1.설계입력'!$C$8*COS('1.설계입력'!$C$15*B489)</f>
        <v>-9.1781771841116431</v>
      </c>
      <c r="H489" s="40">
        <f>-('1.설계입력'!$C$6+'1.설계입력'!$C$33)*SIN(B489)+('1.설계입력'!$C$7+'1.설계입력'!$C$34)*SIN(B489+F489)+'1.설계입력'!$C$8*SIN('1.설계입력'!$C$15*B489)</f>
        <v>-78.938169999305259</v>
      </c>
      <c r="I489" s="40">
        <f t="shared" si="22"/>
        <v>79.481118120012709</v>
      </c>
      <c r="J489" s="40">
        <f t="shared" si="23"/>
        <v>79.469954191896733</v>
      </c>
      <c r="K489" s="38">
        <f>IF(OR(A489&gt;180,'1.설계입력'!$C$39&gt;=1),"",'1.설계입력'!$C$34*(1-SIN(B489)/SQRT(1+'1.설계입력'!$C$39^2-2*'1.설계입력'!$C$39*COS(B489)))-'1.설계입력'!$C$33*(1-'1.설계입력'!$C$39*COS(B489)-SQRT(MAX(0,1-'1.설계입력'!$C$39^2))*SIN(B489))/SQRT(1+'1.설계입력'!$C$39^2-2*'1.설계입력'!$C$39*COS(B489)))</f>
        <v>2.9020756055912604E-3</v>
      </c>
    </row>
    <row r="490" spans="1:11" x14ac:dyDescent="0.3">
      <c r="A490" s="40">
        <f>A489+'1.설계입력'!$C$12</f>
        <v>96.800000000000836</v>
      </c>
      <c r="B490" s="40">
        <f t="shared" si="21"/>
        <v>1.6894787159305256</v>
      </c>
      <c r="C490" s="40">
        <f>ATAN2('1.설계입력'!$C$6/('1.설계입력'!$C$8*'1.설계입력'!$C$15)-COS((1-'1.설계입력'!$C$15)*B490),SIN((1-'1.설계입력'!$C$15)*B490))</f>
        <v>-3.5394520093918178E-2</v>
      </c>
      <c r="D490" s="40">
        <f>'1.설계입력'!$C$6*COS(B490)-'1.설계입력'!$C$7*COS(B490+C490)-'1.설계입력'!$C$8*COS('1.설계입력'!$C$15*B490)</f>
        <v>-9.4287082078150171</v>
      </c>
      <c r="E490" s="40">
        <f>-'1.설계입력'!$C$6*SIN(B490)+'1.설계입력'!$C$7*SIN(B490+C490)+'1.설계입력'!$C$8*SIN('1.설계입력'!$C$15*B490)</f>
        <v>-78.936123625352195</v>
      </c>
      <c r="F490" s="40">
        <f>ATAN2(('1.설계입력'!$C$6+'1.설계입력'!$C$33)/('1.설계입력'!$C$8*'1.설계입력'!$C$15)-COS((1-'1.설계입력'!$C$15)*B490),SIN((1-'1.설계입력'!$C$15)*B490))</f>
        <v>-3.5395293308685634E-2</v>
      </c>
      <c r="G490" s="40">
        <f>('1.설계입력'!$C$6+'1.설계입력'!$C$33)*COS(B490)-('1.설계입력'!$C$7+'1.설계입력'!$C$34)*COS(B490+F490)-'1.설계입력'!$C$8*COS('1.설계입력'!$C$15*B490)</f>
        <v>-9.4276703918548783</v>
      </c>
      <c r="H490" s="40">
        <f>-('1.설계입력'!$C$6+'1.설계입력'!$C$33)*SIN(B490)+('1.설계입력'!$C$7+'1.설계입력'!$C$34)*SIN(B490+F490)+'1.설계입력'!$C$8*SIN('1.설계입력'!$C$15*B490)</f>
        <v>-78.924973252540482</v>
      </c>
      <c r="I490" s="40">
        <f t="shared" si="22"/>
        <v>79.49724618793411</v>
      </c>
      <c r="J490" s="40">
        <f t="shared" si="23"/>
        <v>79.486051429994234</v>
      </c>
      <c r="K490" s="38">
        <f>IF(OR(A490&gt;180,'1.설계입력'!$C$39&gt;=1),"",'1.설계입력'!$C$34*(1-SIN(B490)/SQRT(1+'1.설계입력'!$C$39^2-2*'1.설계입력'!$C$39*COS(B490)))-'1.설계입력'!$C$33*(1-'1.설계입력'!$C$39*COS(B490)-SQRT(MAX(0,1-'1.설계입력'!$C$39^2))*SIN(B490))/SQRT(1+'1.설계입력'!$C$39^2-2*'1.설계입력'!$C$39*COS(B490)))</f>
        <v>2.9189962095373372E-3</v>
      </c>
    </row>
    <row r="491" spans="1:11" x14ac:dyDescent="0.3">
      <c r="A491" s="40">
        <f>A490+'1.설계입력'!$C$12</f>
        <v>97.000000000000838</v>
      </c>
      <c r="B491" s="40">
        <f t="shared" si="21"/>
        <v>1.6929693744345142</v>
      </c>
      <c r="C491" s="40">
        <f>ATAN2('1.설계입력'!$C$6/('1.설계입력'!$C$8*'1.설계입력'!$C$15)-COS((1-'1.설계입력'!$C$15)*B491),SIN((1-'1.설계입력'!$C$15)*B491))</f>
        <v>2.2122987273651848E-2</v>
      </c>
      <c r="D491" s="40">
        <f>'1.설계입력'!$C$6*COS(B491)-'1.설계입력'!$C$7*COS(B491+C491)-'1.설계입력'!$C$8*COS('1.설계입력'!$C$15*B491)</f>
        <v>-9.6785751603070018</v>
      </c>
      <c r="E491" s="40">
        <f>-'1.설계입력'!$C$6*SIN(B491)+'1.설계입력'!$C$7*SIN(B491+C491)+'1.설계입력'!$C$8*SIN('1.설계입력'!$C$15*B491)</f>
        <v>-78.907566550879778</v>
      </c>
      <c r="F491" s="40">
        <f>ATAN2(('1.설계입력'!$C$6+'1.설계입력'!$C$33)/('1.설계입력'!$C$8*'1.설계입력'!$C$15)-COS((1-'1.설계입력'!$C$15)*B491),SIN((1-'1.설계입력'!$C$15)*B491))</f>
        <v>2.2123470372996015E-2</v>
      </c>
      <c r="G491" s="40">
        <f>('1.설계입력'!$C$6+'1.설계입력'!$C$33)*COS(B491)-('1.설계입력'!$C$7+'1.설계입력'!$C$34)*COS(B491+F491)-'1.설계입력'!$C$8*COS('1.설계입력'!$C$15*B491)</f>
        <v>-9.6770307030429041</v>
      </c>
      <c r="H491" s="40">
        <f>-('1.설계입력'!$C$6+'1.설계입력'!$C$33)*SIN(B491)+('1.설계입력'!$C$7+'1.설계입력'!$C$34)*SIN(B491+F491)+'1.설계입력'!$C$8*SIN('1.설계입력'!$C$15*B491)</f>
        <v>-78.896474116479226</v>
      </c>
      <c r="I491" s="40">
        <f t="shared" si="22"/>
        <v>79.498923741867301</v>
      </c>
      <c r="J491" s="40">
        <f t="shared" si="23"/>
        <v>79.487725789834442</v>
      </c>
      <c r="K491" s="38">
        <f>IF(OR(A491&gt;180,'1.설계입력'!$C$39&gt;=1),"",'1.설계입력'!$C$34*(1-SIN(B491)/SQRT(1+'1.설계입력'!$C$39^2-2*'1.설계입력'!$C$39*COS(B491)))-'1.설계입력'!$C$33*(1-'1.설계입력'!$C$39*COS(B491)-SQRT(MAX(0,1-'1.설계입력'!$C$39^2))*SIN(B491))/SQRT(1+'1.설계입력'!$C$39^2-2*'1.설계입력'!$C$39*COS(B491)))</f>
        <v>2.9359439518220967E-3</v>
      </c>
    </row>
    <row r="492" spans="1:11" x14ac:dyDescent="0.3">
      <c r="A492" s="40">
        <f>A491+'1.설계입력'!$C$12</f>
        <v>97.200000000000841</v>
      </c>
      <c r="B492" s="40">
        <f t="shared" si="21"/>
        <v>1.6964600329385029</v>
      </c>
      <c r="C492" s="40">
        <f>ATAN2('1.설계입력'!$C$6/('1.설계입력'!$C$8*'1.설계입력'!$C$15)-COS((1-'1.설계입력'!$C$15)*B492),SIN((1-'1.설계입력'!$C$15)*B492))</f>
        <v>7.9603669564065491E-2</v>
      </c>
      <c r="D492" s="40">
        <f>'1.설계입력'!$C$6*COS(B492)-'1.설계입력'!$C$7*COS(B492+C492)-'1.설계입력'!$C$8*COS('1.설계입력'!$C$15*B492)</f>
        <v>-9.9255349248423244</v>
      </c>
      <c r="E492" s="40">
        <f>-'1.설계입력'!$C$6*SIN(B492)+'1.설계입력'!$C$7*SIN(B492+C492)+'1.설계입력'!$C$8*SIN('1.설계입력'!$C$15*B492)</f>
        <v>-78.863964199788313</v>
      </c>
      <c r="F492" s="40">
        <f>ATAN2(('1.설계입력'!$C$6+'1.설계입력'!$C$33)/('1.설계입력'!$C$8*'1.설계입력'!$C$15)-COS((1-'1.설계입력'!$C$15)*B492),SIN((1-'1.설계입력'!$C$15)*B492))</f>
        <v>7.9605413145753964E-2</v>
      </c>
      <c r="G492" s="40">
        <f>('1.설계입력'!$C$6+'1.설계입력'!$C$33)*COS(B492)-('1.설계입력'!$C$7+'1.설계입력'!$C$34)*COS(B492+F492)-'1.설계입력'!$C$8*COS('1.설계입력'!$C$15*B492)</f>
        <v>-9.9234885357506606</v>
      </c>
      <c r="H492" s="40">
        <f>-('1.설계입력'!$C$6+'1.설계입력'!$C$33)*SIN(B492)+('1.설계입력'!$C$7+'1.설계입력'!$C$34)*SIN(B492+F492)+'1.설계입력'!$C$8*SIN('1.설계입력'!$C$15*B492)</f>
        <v>-78.852960115851502</v>
      </c>
      <c r="I492" s="40">
        <f t="shared" si="22"/>
        <v>79.486106288141684</v>
      </c>
      <c r="J492" s="40">
        <f t="shared" si="23"/>
        <v>79.474932801174745</v>
      </c>
      <c r="K492" s="38">
        <f>IF(OR(A492&gt;180,'1.설계입력'!$C$39&gt;=1),"",'1.설계입력'!$C$34*(1-SIN(B492)/SQRT(1+'1.설계입력'!$C$39^2-2*'1.설계입력'!$C$39*COS(B492)))-'1.설계입력'!$C$33*(1-'1.설계입력'!$C$39*COS(B492)-SQRT(MAX(0,1-'1.설계입력'!$C$39^2))*SIN(B492))/SQRT(1+'1.설계입력'!$C$39^2-2*'1.설계입력'!$C$39*COS(B492)))</f>
        <v>2.9529187139092821E-3</v>
      </c>
    </row>
    <row r="493" spans="1:11" x14ac:dyDescent="0.3">
      <c r="A493" s="40">
        <f>A492+'1.설계입력'!$C$12</f>
        <v>97.400000000000844</v>
      </c>
      <c r="B493" s="40">
        <f t="shared" si="21"/>
        <v>1.6999506914424918</v>
      </c>
      <c r="C493" s="40">
        <f>ATAN2('1.설계입력'!$C$6/('1.설계입력'!$C$8*'1.설계입력'!$C$15)-COS((1-'1.설계입력'!$C$15)*B493),SIN((1-'1.설계입력'!$C$15)*B493))</f>
        <v>0.1369503705206655</v>
      </c>
      <c r="D493" s="40">
        <f>'1.설계입력'!$C$6*COS(B493)-'1.설계입력'!$C$7*COS(B493+C493)-'1.설계입력'!$C$8*COS('1.설계입력'!$C$15*B493)</f>
        <v>-10.166894520598651</v>
      </c>
      <c r="E493" s="40">
        <f>-'1.설계입력'!$C$6*SIN(B493)+'1.설계입력'!$C$7*SIN(B493+C493)+'1.설계입력'!$C$8*SIN('1.설계입력'!$C$15*B493)</f>
        <v>-78.806016098292886</v>
      </c>
      <c r="F493" s="40">
        <f>ATAN2(('1.설계입력'!$C$6+'1.설계입력'!$C$33)/('1.설계입력'!$C$8*'1.설계입력'!$C$15)-COS((1-'1.설계입력'!$C$15)*B493),SIN((1-'1.설계입력'!$C$15)*B493))</f>
        <v>0.13695338973730684</v>
      </c>
      <c r="G493" s="40">
        <f>('1.설계입력'!$C$6+'1.설계입력'!$C$33)*COS(B493)-('1.설계입력'!$C$7+'1.설계입력'!$C$34)*COS(B493+F493)-'1.설계입력'!$C$8*COS('1.설계입력'!$C$15*B493)</f>
        <v>-10.164353479101399</v>
      </c>
      <c r="H493" s="40">
        <f>-('1.설계입력'!$C$6+'1.설계입력'!$C$33)*SIN(B493)+('1.설계입력'!$C$7+'1.설계입력'!$C$34)*SIN(B493+F493)+'1.설계입력'!$C$8*SIN('1.설계입력'!$C$15*B493)</f>
        <v>-78.795130199225426</v>
      </c>
      <c r="I493" s="40">
        <f t="shared" si="22"/>
        <v>79.459133631555389</v>
      </c>
      <c r="J493" s="40">
        <f t="shared" si="23"/>
        <v>79.448012088163722</v>
      </c>
      <c r="K493" s="38">
        <f>IF(OR(A493&gt;180,'1.설계입력'!$C$39&gt;=1),"",'1.설계입력'!$C$34*(1-SIN(B493)/SQRT(1+'1.설계입력'!$C$39^2-2*'1.설계입력'!$C$39*COS(B493)))-'1.설계입력'!$C$33*(1-'1.설계입력'!$C$39*COS(B493)-SQRT(MAX(0,1-'1.설계입력'!$C$39^2))*SIN(B493))/SQRT(1+'1.설계입력'!$C$39^2-2*'1.설계입력'!$C$39*COS(B493)))</f>
        <v>2.9699203777595164E-3</v>
      </c>
    </row>
    <row r="494" spans="1:11" x14ac:dyDescent="0.3">
      <c r="A494" s="40">
        <f>A493+'1.설계입력'!$C$12</f>
        <v>97.600000000000847</v>
      </c>
      <c r="B494" s="40">
        <f t="shared" si="21"/>
        <v>1.7034413499464804</v>
      </c>
      <c r="C494" s="40">
        <f>ATAN2('1.설계입력'!$C$6/('1.설계입력'!$C$8*'1.설계입력'!$C$15)-COS((1-'1.설계입력'!$C$15)*B494),SIN((1-'1.설계입력'!$C$15)*B494))</f>
        <v>0.19406103898038057</v>
      </c>
      <c r="D494" s="40">
        <f>'1.설계입력'!$C$6*COS(B494)-'1.설계입력'!$C$7*COS(B494+C494)-'1.설계입력'!$C$8*COS('1.설계입력'!$C$15*B494)</f>
        <v>-10.400113070717133</v>
      </c>
      <c r="E494" s="40">
        <f>-'1.설계입력'!$C$6*SIN(B494)+'1.설계입력'!$C$7*SIN(B494+C494)+'1.설계입력'!$C$8*SIN('1.설계입력'!$C$15*B494)</f>
        <v>-78.734812311807858</v>
      </c>
      <c r="F494" s="40">
        <f>ATAN2(('1.설계입력'!$C$6+'1.설계입력'!$C$33)/('1.설계입력'!$C$8*'1.설계입력'!$C$15)-COS((1-'1.설계입력'!$C$15)*B494),SIN((1-'1.설계입력'!$C$15)*B494))</f>
        <v>0.19406536047740452</v>
      </c>
      <c r="G494" s="40">
        <f>('1.설계입력'!$C$6+'1.설계입력'!$C$33)*COS(B494)-('1.설계입력'!$C$7+'1.설계입력'!$C$34)*COS(B494+F494)-'1.설계입력'!$C$8*COS('1.설계입력'!$C$15*B494)</f>
        <v>-10.397087178049876</v>
      </c>
      <c r="H494" s="40">
        <f>-('1.설계입력'!$C$6+'1.설계입력'!$C$33)*SIN(B494)+('1.설계입력'!$C$7+'1.설계입력'!$C$34)*SIN(B494+F494)+'1.설계입력'!$C$8*SIN('1.설계입력'!$C$15*B494)</f>
        <v>-78.724073555255188</v>
      </c>
      <c r="I494" s="40">
        <f t="shared" si="22"/>
        <v>79.418719592167378</v>
      </c>
      <c r="J494" s="40">
        <f t="shared" si="23"/>
        <v>79.407677077982825</v>
      </c>
      <c r="K494" s="38">
        <f>IF(OR(A494&gt;180,'1.설계입력'!$C$39&gt;=1),"",'1.설계입력'!$C$34*(1-SIN(B494)/SQRT(1+'1.설계입력'!$C$39^2-2*'1.설계입력'!$C$39*COS(B494)))-'1.설계입력'!$C$33*(1-'1.설계입력'!$C$39*COS(B494)-SQRT(MAX(0,1-'1.설계입력'!$C$39^2))*SIN(B494))/SQRT(1+'1.설계입력'!$C$39^2-2*'1.설계입력'!$C$39*COS(B494)))</f>
        <v>2.9869488258245152E-3</v>
      </c>
    </row>
    <row r="495" spans="1:11" x14ac:dyDescent="0.3">
      <c r="A495" s="40">
        <f>A494+'1.설계입력'!$C$12</f>
        <v>97.80000000000085</v>
      </c>
      <c r="B495" s="40">
        <f t="shared" si="21"/>
        <v>1.7069320084504691</v>
      </c>
      <c r="C495" s="40">
        <f>ATAN2('1.설계입력'!$C$6/('1.설계입력'!$C$8*'1.설계입력'!$C$15)-COS((1-'1.설계입력'!$C$15)*B495),SIN((1-'1.설계입력'!$C$15)*B495))</f>
        <v>0.25082478347419895</v>
      </c>
      <c r="D495" s="40">
        <f>'1.설계입력'!$C$6*COS(B495)-'1.설계입력'!$C$7*COS(B495+C495)-'1.설계입력'!$C$8*COS('1.설계입력'!$C$15*B495)</f>
        <v>-10.622871369645051</v>
      </c>
      <c r="E495" s="40">
        <f>-'1.설계입력'!$C$6*SIN(B495)+'1.설계입력'!$C$7*SIN(B495+C495)+'1.설계입력'!$C$8*SIN('1.설계입력'!$C$15*B495)</f>
        <v>-78.651798630816984</v>
      </c>
      <c r="F495" s="40">
        <f>ATAN2(('1.설계입력'!$C$6+'1.설계입력'!$C$33)/('1.설계입력'!$C$8*'1.설계입력'!$C$15)-COS((1-'1.설계입력'!$C$15)*B495),SIN((1-'1.설계입력'!$C$15)*B495))</f>
        <v>0.25083044630277923</v>
      </c>
      <c r="G495" s="40">
        <f>('1.설계입력'!$C$6+'1.설계입력'!$C$33)*COS(B495)-('1.설계입력'!$C$7+'1.설계입력'!$C$34)*COS(B495+F495)-'1.설계입력'!$C$8*COS('1.설계입력'!$C$15*B495)</f>
        <v>-10.619372891936587</v>
      </c>
      <c r="H495" s="40">
        <f>-('1.설계입력'!$C$6+'1.설계입력'!$C$33)*SIN(B495)+('1.설계입력'!$C$7+'1.설계입력'!$C$34)*SIN(B495+F495)+'1.설계입력'!$C$8*SIN('1.설계입력'!$C$15*B495)</f>
        <v>-78.641234788838688</v>
      </c>
      <c r="I495" s="40">
        <f t="shared" si="22"/>
        <v>79.365929869173769</v>
      </c>
      <c r="J495" s="40">
        <f t="shared" si="23"/>
        <v>79.354992846898114</v>
      </c>
      <c r="K495" s="38">
        <f>IF(OR(A495&gt;180,'1.설계입력'!$C$39&gt;=1),"",'1.설계입력'!$C$34*(1-SIN(B495)/SQRT(1+'1.설계입력'!$C$39^2-2*'1.설계입력'!$C$39*COS(B495)))-'1.설계입력'!$C$33*(1-'1.설계입력'!$C$39*COS(B495)-SQRT(MAX(0,1-'1.설계입력'!$C$39^2))*SIN(B495))/SQRT(1+'1.설계입력'!$C$39^2-2*'1.설계입력'!$C$39*COS(B495)))</f>
        <v>3.0040039410413845E-3</v>
      </c>
    </row>
    <row r="496" spans="1:11" x14ac:dyDescent="0.3">
      <c r="A496" s="40">
        <f>A495+'1.설계입력'!$C$12</f>
        <v>98.000000000000853</v>
      </c>
      <c r="B496" s="40">
        <f t="shared" si="21"/>
        <v>1.7104226669544578</v>
      </c>
      <c r="C496" s="40">
        <f>ATAN2('1.설계입력'!$C$6/('1.설계입력'!$C$8*'1.설계입력'!$C$15)-COS((1-'1.설계입력'!$C$15)*B496),SIN((1-'1.설계입력'!$C$15)*B496))</f>
        <v>0.30711721724544788</v>
      </c>
      <c r="D496" s="40">
        <f>'1.설계입력'!$C$6*COS(B496)-'1.설계입력'!$C$7*COS(B496+C496)-'1.설계입력'!$C$8*COS('1.설계입력'!$C$15*B496)</f>
        <v>-10.833137028530196</v>
      </c>
      <c r="E496" s="40">
        <f>-'1.설계입력'!$C$6*SIN(B496)+'1.설계입력'!$C$7*SIN(B496+C496)+'1.설계입력'!$C$8*SIN('1.설계입력'!$C$15*B496)</f>
        <v>-78.558727988188892</v>
      </c>
      <c r="F496" s="40">
        <f>ATAN2(('1.설계입력'!$C$6+'1.설계입력'!$C$33)/('1.설계입력'!$C$8*'1.설계입력'!$C$15)-COS((1-'1.설계입력'!$C$15)*B496),SIN((1-'1.설계입력'!$C$15)*B496))</f>
        <v>0.30712427424337685</v>
      </c>
      <c r="G496" s="40">
        <f>('1.설계입력'!$C$6+'1.설계입력'!$C$33)*COS(B496)-('1.설계입력'!$C$7+'1.설계입력'!$C$34)*COS(B496+F496)-'1.설계입력'!$C$8*COS('1.설계입력'!$C$15*B496)</f>
        <v>-10.829180631819177</v>
      </c>
      <c r="H496" s="40">
        <f>-('1.설계입력'!$C$6+'1.설계입력'!$C$33)*SIN(B496)+('1.설계입력'!$C$7+'1.설계입력'!$C$34)*SIN(B496+F496)+'1.설계입력'!$C$8*SIN('1.설계입력'!$C$15*B496)</f>
        <v>-78.54836532132542</v>
      </c>
      <c r="I496" s="40">
        <f t="shared" si="22"/>
        <v>79.302147518217723</v>
      </c>
      <c r="J496" s="40">
        <f t="shared" si="23"/>
        <v>79.291341568981949</v>
      </c>
      <c r="K496" s="38">
        <f>IF(OR(A496&gt;180,'1.설계입력'!$C$39&gt;=1),"",'1.설계입력'!$C$34*(1-SIN(B496)/SQRT(1+'1.설계입력'!$C$39^2-2*'1.설계입력'!$C$39*COS(B496)))-'1.설계입력'!$C$33*(1-'1.설계입력'!$C$39*COS(B496)-SQRT(MAX(0,1-'1.설계입력'!$C$39^2))*SIN(B496))/SQRT(1+'1.설계입력'!$C$39^2-2*'1.설계입력'!$C$39*COS(B496)))</f>
        <v>3.021085606826973E-3</v>
      </c>
    </row>
    <row r="497" spans="1:11" x14ac:dyDescent="0.3">
      <c r="A497" s="40">
        <f>A496+'1.설계입력'!$C$12</f>
        <v>98.200000000000855</v>
      </c>
      <c r="B497" s="40">
        <f t="shared" si="21"/>
        <v>1.7139133254584467</v>
      </c>
      <c r="C497" s="40">
        <f>ATAN2('1.설계입력'!$C$6/('1.설계입력'!$C$8*'1.설계입력'!$C$15)-COS((1-'1.설계입력'!$C$15)*B497),SIN((1-'1.설계입력'!$C$15)*B497))</f>
        <v>0.36279466557441115</v>
      </c>
      <c r="D497" s="40">
        <f>'1.설계입력'!$C$6*COS(B497)-'1.설계입력'!$C$7*COS(B497+C497)-'1.설계입력'!$C$8*COS('1.설계입력'!$C$15*B497)</f>
        <v>-11.029224290368617</v>
      </c>
      <c r="E497" s="40">
        <f>-'1.설계입력'!$C$6*SIN(B497)+'1.설계입력'!$C$7*SIN(B497+C497)+'1.설계입력'!$C$8*SIN('1.설계입력'!$C$15*B497)</f>
        <v>-78.457597667374344</v>
      </c>
      <c r="F497" s="40">
        <f>ATAN2(('1.설계입력'!$C$6+'1.설계입력'!$C$33)/('1.설계입력'!$C$8*'1.설계입력'!$C$15)-COS((1-'1.설계입력'!$C$15)*B497),SIN((1-'1.설계입력'!$C$15)*B497))</f>
        <v>0.36280318531431427</v>
      </c>
      <c r="G497" s="40">
        <f>('1.설계입력'!$C$6+'1.설계입력'!$C$33)*COS(B497)-('1.설계입력'!$C$7+'1.설계입력'!$C$34)*COS(B497+F497)-'1.설계입력'!$C$8*COS('1.설계입력'!$C$15*B497)</f>
        <v>-11.024826969041536</v>
      </c>
      <c r="H497" s="40">
        <f>-('1.설계입력'!$C$6+'1.설계입력'!$C$33)*SIN(B497)+('1.설계입력'!$C$7+'1.설계입력'!$C$34)*SIN(B497+F497)+'1.설계입력'!$C$8*SIN('1.설계입력'!$C$15*B497)</f>
        <v>-78.447460571835194</v>
      </c>
      <c r="I497" s="40">
        <f t="shared" si="22"/>
        <v>79.229025111904789</v>
      </c>
      <c r="J497" s="40">
        <f t="shared" si="23"/>
        <v>79.218374635351751</v>
      </c>
      <c r="K497" s="38">
        <f>IF(OR(A497&gt;180,'1.설계입력'!$C$39&gt;=1),"",'1.설계입력'!$C$34*(1-SIN(B497)/SQRT(1+'1.설계입력'!$C$39^2-2*'1.설계입력'!$C$39*COS(B497)))-'1.설계입력'!$C$33*(1-'1.설계입력'!$C$39*COS(B497)-SQRT(MAX(0,1-'1.설계입력'!$C$39^2))*SIN(B497))/SQRT(1+'1.설계입력'!$C$39^2-2*'1.설계입력'!$C$39*COS(B497)))</f>
        <v>3.0381937070723128E-3</v>
      </c>
    </row>
    <row r="498" spans="1:11" x14ac:dyDescent="0.3">
      <c r="A498" s="40">
        <f>A497+'1.설계입력'!$C$12</f>
        <v>98.400000000000858</v>
      </c>
      <c r="B498" s="40">
        <f t="shared" si="21"/>
        <v>1.7174039839624353</v>
      </c>
      <c r="C498" s="40">
        <f>ATAN2('1.설계입력'!$C$6/('1.설계입력'!$C$8*'1.설계입력'!$C$15)-COS((1-'1.설계입력'!$C$15)*B498),SIN((1-'1.설계입력'!$C$15)*B498))</f>
        <v>0.4176866393897713</v>
      </c>
      <c r="D498" s="40">
        <f>'1.설계입력'!$C$6*COS(B498)-'1.설계입력'!$C$7*COS(B498+C498)-'1.설계입력'!$C$8*COS('1.설계입력'!$C$15*B498)</f>
        <v>-11.209847913965227</v>
      </c>
      <c r="E498" s="40">
        <f>-'1.설계입력'!$C$6*SIN(B498)+'1.설계입력'!$C$7*SIN(B498+C498)+'1.설계입력'!$C$8*SIN('1.설계입력'!$C$15*B498)</f>
        <v>-78.35057132811076</v>
      </c>
      <c r="F498" s="40">
        <f>ATAN2(('1.설계입력'!$C$6+'1.설계입력'!$C$33)/('1.설계입력'!$C$8*'1.설계입력'!$C$15)-COS((1-'1.설계입력'!$C$15)*B498),SIN((1-'1.설계입력'!$C$15)*B498))</f>
        <v>0.41769670884113858</v>
      </c>
      <c r="G498" s="40">
        <f>('1.설계입력'!$C$6+'1.설계입력'!$C$33)*COS(B498)-('1.설계입력'!$C$7+'1.설계입력'!$C$34)*COS(B498+F498)-'1.설계입력'!$C$8*COS('1.설계입력'!$C$15*B498)</f>
        <v>-11.205028915187514</v>
      </c>
      <c r="H498" s="40">
        <f>-('1.설계입력'!$C$6+'1.설계입력'!$C$33)*SIN(B498)+('1.설계입력'!$C$7+'1.설계입력'!$C$34)*SIN(B498+F498)+'1.설계입력'!$C$8*SIN('1.설계입력'!$C$15*B498)</f>
        <v>-78.340681942531077</v>
      </c>
      <c r="I498" s="40">
        <f t="shared" si="22"/>
        <v>79.148422079632155</v>
      </c>
      <c r="J498" s="40">
        <f t="shared" si="23"/>
        <v>79.137949936872914</v>
      </c>
      <c r="K498" s="38">
        <f>IF(OR(A498&gt;180,'1.설계입력'!$C$39&gt;=1),"",'1.설계입력'!$C$34*(1-SIN(B498)/SQRT(1+'1.설계입력'!$C$39^2-2*'1.설계입력'!$C$39*COS(B498)))-'1.설계입력'!$C$33*(1-'1.설계입력'!$C$39*COS(B498)-SQRT(MAX(0,1-'1.설계입력'!$C$39^2))*SIN(B498))/SQRT(1+'1.설계입력'!$C$39^2-2*'1.설계입력'!$C$39*COS(B498)))</f>
        <v>3.0553281261371306E-3</v>
      </c>
    </row>
    <row r="499" spans="1:11" x14ac:dyDescent="0.3">
      <c r="A499" s="40">
        <f>A498+'1.설계입력'!$C$12</f>
        <v>98.600000000000861</v>
      </c>
      <c r="B499" s="40">
        <f t="shared" si="21"/>
        <v>1.720894642466424</v>
      </c>
      <c r="C499" s="40">
        <f>ATAN2('1.설계입력'!$C$6/('1.설계입력'!$C$8*'1.설계입력'!$C$15)-COS((1-'1.설계입력'!$C$15)*B499),SIN((1-'1.설계입력'!$C$15)*B499))</f>
        <v>0.47158570349981571</v>
      </c>
      <c r="D499" s="40">
        <f>'1.설계입력'!$C$6*COS(B499)-'1.설계입력'!$C$7*COS(B499+C499)-'1.설계입력'!$C$8*COS('1.설계입력'!$C$15*B499)</f>
        <v>-11.374171014576854</v>
      </c>
      <c r="E499" s="40">
        <f>-'1.설계입력'!$C$6*SIN(B499)+'1.설계입력'!$C$7*SIN(B499+C499)+'1.설계입력'!$C$8*SIN('1.설계입력'!$C$15*B499)</f>
        <v>-78.239883964665367</v>
      </c>
      <c r="F499" s="40">
        <f>ATAN2(('1.설계입력'!$C$6+'1.설계입력'!$C$33)/('1.설계입력'!$C$8*'1.설계입력'!$C$15)-COS((1-'1.설계입력'!$C$15)*B499),SIN((1-'1.설계입력'!$C$15)*B499))</f>
        <v>0.47159743161527279</v>
      </c>
      <c r="G499" s="40">
        <f>('1.설계입력'!$C$6+'1.설계입력'!$C$33)*COS(B499)-('1.설계입력'!$C$7+'1.설계입력'!$C$34)*COS(B499+F499)-'1.설계입력'!$C$8*COS('1.설계입력'!$C$15*B499)</f>
        <v>-11.368951762988175</v>
      </c>
      <c r="H499" s="40">
        <f>-('1.설계입력'!$C$6+'1.설계입력'!$C$33)*SIN(B499)+('1.설계입력'!$C$7+'1.설계입력'!$C$34)*SIN(B499+F499)+'1.설계입력'!$C$8*SIN('1.설계입력'!$C$15*B499)</f>
        <v>-78.23026171697137</v>
      </c>
      <c r="I499" s="40">
        <f t="shared" si="22"/>
        <v>79.062324839794215</v>
      </c>
      <c r="J499" s="40">
        <f t="shared" si="23"/>
        <v>79.052051918308791</v>
      </c>
      <c r="K499" s="38">
        <f>IF(OR(A499&gt;180,'1.설계입력'!$C$39&gt;=1),"",'1.설계입력'!$C$34*(1-SIN(B499)/SQRT(1+'1.설계입력'!$C$39^2-2*'1.설계입력'!$C$39*COS(B499)))-'1.설계입력'!$C$33*(1-'1.설계입력'!$C$39*COS(B499)-SQRT(MAX(0,1-'1.설계입력'!$C$39^2))*SIN(B499))/SQRT(1+'1.설계입력'!$C$39^2-2*'1.설계입력'!$C$39*COS(B499)))</f>
        <v>3.0724887488444265E-3</v>
      </c>
    </row>
    <row r="500" spans="1:11" x14ac:dyDescent="0.3">
      <c r="A500" s="40">
        <f>A499+'1.설계입력'!$C$12</f>
        <v>98.800000000000864</v>
      </c>
      <c r="B500" s="40">
        <f t="shared" si="21"/>
        <v>1.7243853009704126</v>
      </c>
      <c r="C500" s="40">
        <f>ATAN2('1.설계입력'!$C$6/('1.설계입력'!$C$8*'1.설계입력'!$C$15)-COS((1-'1.설계입력'!$C$15)*B500),SIN((1-'1.설계입력'!$C$15)*B500))</f>
        <v>0.52423341567918524</v>
      </c>
      <c r="D500" s="40">
        <f>'1.설계입력'!$C$6*COS(B500)-'1.설계입력'!$C$7*COS(B500+C500)-'1.설계입력'!$C$8*COS('1.설계입력'!$C$15*B500)</f>
        <v>-11.521847541395278</v>
      </c>
      <c r="E500" s="40">
        <f>-'1.설계입력'!$C$6*SIN(B500)+'1.설계입력'!$C$7*SIN(B500+C500)+'1.설계입력'!$C$8*SIN('1.설계입력'!$C$15*B500)</f>
        <v>-78.127726369582646</v>
      </c>
      <c r="F500" s="40">
        <f>ATAN2(('1.설계입력'!$C$6+'1.설계입력'!$C$33)/('1.설계입력'!$C$8*'1.설계입력'!$C$15)-COS((1-'1.설계입력'!$C$15)*B500),SIN((1-'1.설계입력'!$C$15)*B500))</f>
        <v>0.52424693820389501</v>
      </c>
      <c r="G500" s="40">
        <f>('1.설계입력'!$C$6+'1.설계입력'!$C$33)*COS(B500)-('1.설계입력'!$C$7+'1.설계입력'!$C$34)*COS(B500+F500)-'1.설계입력'!$C$8*COS('1.설계입력'!$C$15*B500)</f>
        <v>-11.516251571161769</v>
      </c>
      <c r="H500" s="40">
        <f>-('1.설계입력'!$C$6+'1.설계입력'!$C$33)*SIN(B500)+('1.설계입력'!$C$7+'1.설계입력'!$C$34)*SIN(B500+F500)+'1.설계입력'!$C$8*SIN('1.설계입력'!$C$15*B500)</f>
        <v>-78.118387435246447</v>
      </c>
      <c r="I500" s="40">
        <f t="shared" si="22"/>
        <v>78.972745921916228</v>
      </c>
      <c r="J500" s="40">
        <f t="shared" si="23"/>
        <v>78.962690593302071</v>
      </c>
      <c r="K500" s="38">
        <f>IF(OR(A500&gt;180,'1.설계입력'!$C$39&gt;=1),"",'1.설계입력'!$C$34*(1-SIN(B500)/SQRT(1+'1.설계입력'!$C$39^2-2*'1.설계입력'!$C$39*COS(B500)))-'1.설계입력'!$C$33*(1-'1.설계입력'!$C$39*COS(B500)-SQRT(MAX(0,1-'1.설계입력'!$C$39^2))*SIN(B500))/SQRT(1+'1.설계입력'!$C$39^2-2*'1.설계입력'!$C$39*COS(B500)))</f>
        <v>3.0896754604751229E-3</v>
      </c>
    </row>
    <row r="501" spans="1:11" x14ac:dyDescent="0.3">
      <c r="A501" s="40">
        <f>A500+'1.설계입력'!$C$12</f>
        <v>99.000000000000867</v>
      </c>
      <c r="B501" s="40">
        <f t="shared" si="21"/>
        <v>1.7278759594744013</v>
      </c>
      <c r="C501" s="40">
        <f>ATAN2('1.설계입력'!$C$6/('1.설계입력'!$C$8*'1.설계입력'!$C$15)-COS((1-'1.설계입력'!$C$15)*B501),SIN((1-'1.설계입력'!$C$15)*B501))</f>
        <v>0.57530026069428253</v>
      </c>
      <c r="D501" s="40">
        <f>'1.설계입력'!$C$6*COS(B501)-'1.설계입력'!$C$7*COS(B501+C501)-'1.설계입력'!$C$8*COS('1.설계입력'!$C$15*B501)</f>
        <v>-11.653061411644138</v>
      </c>
      <c r="E501" s="40">
        <f>-'1.설계입력'!$C$6*SIN(B501)+'1.설계입력'!$C$7*SIN(B501+C501)+'1.설계입력'!$C$8*SIN('1.설계입력'!$C$15*B501)</f>
        <v>-78.016103069101518</v>
      </c>
      <c r="F501" s="40">
        <f>ATAN2(('1.설계입력'!$C$6+'1.설계입력'!$C$33)/('1.설계입력'!$C$8*'1.설계입력'!$C$15)-COS((1-'1.설계입력'!$C$15)*B501),SIN((1-'1.설계입력'!$C$15)*B501))</f>
        <v>0.57531574662012575</v>
      </c>
      <c r="G501" s="40">
        <f>('1.설계입력'!$C$6+'1.설계입력'!$C$33)*COS(B501)-('1.설계입력'!$C$7+'1.설계입력'!$C$34)*COS(B501+F501)-'1.설계입력'!$C$8*COS('1.설계입력'!$C$15*B501)</f>
        <v>-11.647114317868173</v>
      </c>
      <c r="H501" s="40">
        <f>-('1.설계입력'!$C$6+'1.설계입력'!$C$33)*SIN(B501)+('1.설계입력'!$C$7+'1.설계입력'!$C$34)*SIN(B501+F501)+'1.설계입력'!$C$8*SIN('1.설계입력'!$C$15*B501)</f>
        <v>-78.007059697344758</v>
      </c>
      <c r="I501" s="40">
        <f t="shared" si="22"/>
        <v>78.881595941970019</v>
      </c>
      <c r="J501" s="40">
        <f t="shared" si="23"/>
        <v>78.871773370189914</v>
      </c>
      <c r="K501" s="38">
        <f>IF(OR(A501&gt;180,'1.설계입력'!$C$39&gt;=1),"",'1.설계입력'!$C$34*(1-SIN(B501)/SQRT(1+'1.설계입력'!$C$39^2-2*'1.설계입력'!$C$39*COS(B501)))-'1.설계입력'!$C$33*(1-'1.설계입력'!$C$39*COS(B501)-SQRT(MAX(0,1-'1.설계입력'!$C$39^2))*SIN(B501))/SQRT(1+'1.설계입력'!$C$39^2-2*'1.설계입력'!$C$39*COS(B501)))</f>
        <v>3.1068881467627889E-3</v>
      </c>
    </row>
    <row r="502" spans="1:11" x14ac:dyDescent="0.3">
      <c r="A502" s="40">
        <f>A501+'1.설계입력'!$C$12</f>
        <v>99.20000000000087</v>
      </c>
      <c r="B502" s="40">
        <f t="shared" si="21"/>
        <v>1.7313666179783902</v>
      </c>
      <c r="C502" s="40">
        <f>ATAN2('1.설계입력'!$C$6/('1.설계입력'!$C$8*'1.설계입력'!$C$15)-COS((1-'1.설계입력'!$C$15)*B502),SIN((1-'1.설계입력'!$C$15)*B502))</f>
        <v>0.62435622374740463</v>
      </c>
      <c r="D502" s="40">
        <f>'1.설계입력'!$C$6*COS(B502)-'1.설계입력'!$C$7*COS(B502+C502)-'1.설계입력'!$C$8*COS('1.설계입력'!$C$15*B502)</f>
        <v>-11.768566706959426</v>
      </c>
      <c r="E502" s="40">
        <f>-'1.설계입력'!$C$6*SIN(B502)+'1.설계입력'!$C$7*SIN(B502+C502)+'1.설계입력'!$C$8*SIN('1.설계입력'!$C$15*B502)</f>
        <v>-77.90665325112596</v>
      </c>
      <c r="F502" s="40">
        <f>ATAN2(('1.설계입력'!$C$6+'1.설계입력'!$C$33)/('1.설계입력'!$C$8*'1.설계입력'!$C$15)-COS((1-'1.설계입력'!$C$15)*B502),SIN((1-'1.설계입력'!$C$15)*B502))</f>
        <v>0.62437388400083926</v>
      </c>
      <c r="G502" s="40">
        <f>('1.설계입력'!$C$6+'1.설계입력'!$C$33)*COS(B502)-('1.설계입력'!$C$7+'1.설계입력'!$C$34)*COS(B502+F502)-'1.설계입력'!$C$8*COS('1.설계입력'!$C$15*B502)</f>
        <v>-11.762296137334477</v>
      </c>
      <c r="H502" s="40">
        <f>-('1.설계입력'!$C$6+'1.설계입력'!$C$33)*SIN(B502)+('1.설계입력'!$C$7+'1.설계입력'!$C$34)*SIN(B502+F502)+'1.설계입력'!$C$8*SIN('1.설계입력'!$C$15*B502)</f>
        <v>-77.897912891736368</v>
      </c>
      <c r="I502" s="40">
        <f t="shared" si="22"/>
        <v>78.79051835803169</v>
      </c>
      <c r="J502" s="40">
        <f t="shared" si="23"/>
        <v>78.780939593983646</v>
      </c>
      <c r="K502" s="38">
        <f>IF(OR(A502&gt;180,'1.설계입력'!$C$39&gt;=1),"",'1.설계입력'!$C$34*(1-SIN(B502)/SQRT(1+'1.설계입력'!$C$39^2-2*'1.설계입력'!$C$39*COS(B502)))-'1.설계입력'!$C$33*(1-'1.설계입력'!$C$39*COS(B502)-SQRT(MAX(0,1-'1.설계입력'!$C$39^2))*SIN(B502))/SQRT(1+'1.설계입력'!$C$39^2-2*'1.설계입력'!$C$39*COS(B502)))</f>
        <v>3.1241266938884216E-3</v>
      </c>
    </row>
    <row r="503" spans="1:11" x14ac:dyDescent="0.3">
      <c r="A503" s="40">
        <f>A502+'1.설계입력'!$C$12</f>
        <v>99.400000000000873</v>
      </c>
      <c r="B503" s="40">
        <f t="shared" si="21"/>
        <v>1.7348572764823789</v>
      </c>
      <c r="C503" s="40">
        <f>ATAN2('1.설계입력'!$C$6/('1.설계입력'!$C$8*'1.설계입력'!$C$15)-COS((1-'1.설계입력'!$C$15)*B503),SIN((1-'1.설계입력'!$C$15)*B503))</f>
        <v>0.67082641042367264</v>
      </c>
      <c r="D503" s="40">
        <f>'1.설계입력'!$C$6*COS(B503)-'1.설계입력'!$C$7*COS(B503+C503)-'1.설계입력'!$C$8*COS('1.설계입력'!$C$15*B503)</f>
        <v>-11.869737825139875</v>
      </c>
      <c r="E503" s="40">
        <f>-'1.설계입력'!$C$6*SIN(B503)+'1.설계입력'!$C$7*SIN(B503+C503)+'1.설계입력'!$C$8*SIN('1.설계입력'!$C$15*B503)</f>
        <v>-77.800416506210993</v>
      </c>
      <c r="F503" s="40">
        <f>ATAN2(('1.설계입력'!$C$6+'1.설계입력'!$C$33)/('1.설계입력'!$C$8*'1.설계입력'!$C$15)-COS((1-'1.설계입력'!$C$15)*B503),SIN((1-'1.설계입력'!$C$15)*B503))</f>
        <v>0.67084650959078751</v>
      </c>
      <c r="G503" s="40">
        <f>('1.설계입력'!$C$6+'1.설계입력'!$C$33)*COS(B503)-('1.설계입력'!$C$7+'1.설계입력'!$C$34)*COS(B503+F503)-'1.설계입력'!$C$8*COS('1.설계입력'!$C$15*B503)</f>
        <v>-11.863173549475409</v>
      </c>
      <c r="H503" s="40">
        <f>-('1.설계입력'!$C$6+'1.설계입력'!$C$33)*SIN(B503)+('1.설계입력'!$C$7+'1.설계입력'!$C$34)*SIN(B503+F503)+'1.설계입력'!$C$8*SIN('1.설계입력'!$C$15*B503)</f>
        <v>-77.791980629876548</v>
      </c>
      <c r="I503" s="40">
        <f t="shared" si="22"/>
        <v>78.700670165999639</v>
      </c>
      <c r="J503" s="40">
        <f t="shared" si="23"/>
        <v>78.691340927601814</v>
      </c>
      <c r="K503" s="38">
        <f>IF(OR(A503&gt;180,'1.설계입력'!$C$39&gt;=1),"",'1.설계입력'!$C$34*(1-SIN(B503)/SQRT(1+'1.설계입력'!$C$39^2-2*'1.설계입력'!$C$39*COS(B503)))-'1.설계입력'!$C$33*(1-'1.설계입력'!$C$39*COS(B503)-SQRT(MAX(0,1-'1.설계입력'!$C$39^2))*SIN(B503))/SQRT(1+'1.설계입력'!$C$39^2-2*'1.설계입력'!$C$39*COS(B503)))</f>
        <v>3.1413909884753068E-3</v>
      </c>
    </row>
    <row r="504" spans="1:11" x14ac:dyDescent="0.3">
      <c r="A504" s="40">
        <f>A503+'1.설계입력'!$C$12</f>
        <v>99.600000000000875</v>
      </c>
      <c r="B504" s="40">
        <f t="shared" si="21"/>
        <v>1.7383479349863675</v>
      </c>
      <c r="C504" s="40">
        <f>ATAN2('1.설계입력'!$C$6/('1.설계입력'!$C$8*'1.설계입력'!$C$15)-COS((1-'1.설계입력'!$C$15)*B504),SIN((1-'1.설계입력'!$C$15)*B504))</f>
        <v>0.7139220845564126</v>
      </c>
      <c r="D504" s="40">
        <f>'1.설계입력'!$C$6*COS(B504)-'1.설계입력'!$C$7*COS(B504+C504)-'1.설계입력'!$C$8*COS('1.설계입력'!$C$15*B504)</f>
        <v>-11.958647390601731</v>
      </c>
      <c r="E504" s="40">
        <f>-'1.설계입력'!$C$6*SIN(B504)+'1.설계입력'!$C$7*SIN(B504+C504)+'1.설계입력'!$C$8*SIN('1.설계입력'!$C$15*B504)</f>
        <v>-77.697511593404585</v>
      </c>
      <c r="F504" s="40">
        <f>ATAN2(('1.설계입력'!$C$6+'1.설계입력'!$C$33)/('1.설계입력'!$C$8*'1.설계입력'!$C$15)-COS((1-'1.설계입력'!$C$15)*B504),SIN((1-'1.설계입력'!$C$15)*B504))</f>
        <v>0.71394495667846947</v>
      </c>
      <c r="G504" s="40">
        <f>('1.설계입력'!$C$6+'1.설계입력'!$C$33)*COS(B504)-('1.설계입력'!$C$7+'1.설계입력'!$C$34)*COS(B504+F504)-'1.설계입력'!$C$8*COS('1.설계입력'!$C$15*B504)</f>
        <v>-11.951821518695253</v>
      </c>
      <c r="H504" s="40">
        <f>-('1.설계입력'!$C$6+'1.설계입력'!$C$33)*SIN(B504)+('1.설계입력'!$C$7+'1.설계입력'!$C$34)*SIN(B504+F504)+'1.설계입력'!$C$8*SIN('1.설계입력'!$C$15*B504)</f>
        <v>-77.689374030457728</v>
      </c>
      <c r="I504" s="40">
        <f t="shared" si="22"/>
        <v>78.612419853481072</v>
      </c>
      <c r="J504" s="40">
        <f t="shared" si="23"/>
        <v>78.603338827680261</v>
      </c>
      <c r="K504" s="38">
        <f>IF(OR(A504&gt;180,'1.설계입력'!$C$39&gt;=1),"",'1.설계입력'!$C$34*(1-SIN(B504)/SQRT(1+'1.설계입력'!$C$39^2-2*'1.설계입력'!$C$39*COS(B504)))-'1.설계입력'!$C$33*(1-'1.설계입력'!$C$39*COS(B504)-SQRT(MAX(0,1-'1.설계입력'!$C$39^2))*SIN(B504))/SQRT(1+'1.설계입력'!$C$39^2-2*'1.설계입력'!$C$39*COS(B504)))</f>
        <v>3.1586809175839395E-3</v>
      </c>
    </row>
    <row r="505" spans="1:11" x14ac:dyDescent="0.3">
      <c r="A505" s="40">
        <f>A504+'1.설계입력'!$C$12</f>
        <v>99.800000000000878</v>
      </c>
      <c r="B505" s="40">
        <f t="shared" si="21"/>
        <v>1.7418385934903562</v>
      </c>
      <c r="C505" s="40">
        <f>ATAN2('1.설계입력'!$C$6/('1.설계입력'!$C$8*'1.설계입력'!$C$15)-COS((1-'1.설계입력'!$C$15)*B505),SIN((1-'1.설계입력'!$C$15)*B505))</f>
        <v>0.75252996523775506</v>
      </c>
      <c r="D505" s="40">
        <f>'1.설계입력'!$C$6*COS(B505)-'1.설계입력'!$C$7*COS(B505+C505)-'1.설계입력'!$C$8*COS('1.설계입력'!$C$15*B505)</f>
        <v>-12.038208398747869</v>
      </c>
      <c r="E505" s="40">
        <f>-'1.설계입력'!$C$6*SIN(B505)+'1.설계입력'!$C$7*SIN(B505+C505)+'1.설계입력'!$C$8*SIN('1.설계입력'!$C$15*B505)</f>
        <v>-77.596671884129179</v>
      </c>
      <c r="F505" s="40">
        <f>ATAN2(('1.설계입력'!$C$6+'1.설계입력'!$C$33)/('1.설계입력'!$C$8*'1.설계입력'!$C$15)-COS((1-'1.설계입력'!$C$15)*B505),SIN((1-'1.설계입력'!$C$15)*B505))</f>
        <v>0.75255603479681432</v>
      </c>
      <c r="G505" s="40">
        <f>('1.설계입력'!$C$6+'1.설계입력'!$C$33)*COS(B505)-('1.설계입력'!$C$7+'1.설계입력'!$C$34)*COS(B505+F505)-'1.설계입력'!$C$8*COS('1.설계입력'!$C$15*B505)</f>
        <v>-12.03115588455122</v>
      </c>
      <c r="H505" s="40">
        <f>-('1.설계입력'!$C$6+'1.설계입력'!$C$33)*SIN(B505)+('1.설계입력'!$C$7+'1.설계입력'!$C$34)*SIN(B505+F505)+'1.설계입력'!$C$8*SIN('1.설계입력'!$C$15*B505)</f>
        <v>-77.588816386785794</v>
      </c>
      <c r="I505" s="40">
        <f t="shared" si="22"/>
        <v>78.524912919053193</v>
      </c>
      <c r="J505" s="40">
        <f t="shared" si="23"/>
        <v>78.516069312088788</v>
      </c>
      <c r="K505" s="38">
        <f>IF(OR(A505&gt;180,'1.설계입력'!$C$39&gt;=1),"",'1.설계입력'!$C$34*(1-SIN(B505)/SQRT(1+'1.설계입력'!$C$39^2-2*'1.설계입력'!$C$39*COS(B505)))-'1.설계입력'!$C$33*(1-'1.설계입력'!$C$39*COS(B505)-SQRT(MAX(0,1-'1.설계입력'!$C$39^2))*SIN(B505))/SQRT(1+'1.설계입력'!$C$39^2-2*'1.설계입력'!$C$39*COS(B505)))</f>
        <v>3.1759963687070089E-3</v>
      </c>
    </row>
    <row r="506" spans="1:11" x14ac:dyDescent="0.3">
      <c r="A506" s="40">
        <f>A505+'1.설계입력'!$C$12</f>
        <v>100.00000000000088</v>
      </c>
      <c r="B506" s="40">
        <f t="shared" si="21"/>
        <v>1.7453292519943449</v>
      </c>
      <c r="C506" s="40">
        <f>ATAN2('1.설계입력'!$C$6/('1.설계입력'!$C$8*'1.설계입력'!$C$15)-COS((1-'1.설계입력'!$C$15)*B506),SIN((1-'1.설계입력'!$C$15)*B506))</f>
        <v>0.78502806713876028</v>
      </c>
      <c r="D506" s="40">
        <f>'1.설계입력'!$C$6*COS(B506)-'1.설계입력'!$C$7*COS(B506+C506)-'1.설계입력'!$C$8*COS('1.설계입력'!$C$15*B506)</f>
        <v>-12.112458394565213</v>
      </c>
      <c r="E506" s="40">
        <f>-'1.설계입력'!$C$6*SIN(B506)+'1.설계입력'!$C$7*SIN(B506+C506)+'1.설계입력'!$C$8*SIN('1.설계입력'!$C$15*B506)</f>
        <v>-77.494536083793264</v>
      </c>
      <c r="F506" s="40">
        <f>ATAN2(('1.설계입력'!$C$6+'1.설계입력'!$C$33)/('1.설계입력'!$C$8*'1.설계입력'!$C$15)-COS((1-'1.설계입력'!$C$15)*B506),SIN((1-'1.설계입력'!$C$15)*B506))</f>
        <v>0.78505787571207608</v>
      </c>
      <c r="G506" s="40">
        <f>('1.설계입력'!$C$6+'1.설계입력'!$C$33)*COS(B506)-('1.설계입력'!$C$7+'1.설계입력'!$C$34)*COS(B506+F506)-'1.설계입력'!$C$8*COS('1.설계입력'!$C$15*B506)</f>
        <v>-12.105218110337253</v>
      </c>
      <c r="H506" s="40">
        <f>-('1.설계입력'!$C$6+'1.설계입력'!$C$33)*SIN(B506)+('1.설계입력'!$C$7+'1.설계입력'!$C$34)*SIN(B506+F506)+'1.설계입력'!$C$8*SIN('1.설계입력'!$C$15*B506)</f>
        <v>-77.486932599757296</v>
      </c>
      <c r="I506" s="40">
        <f t="shared" si="22"/>
        <v>78.435417836602426</v>
      </c>
      <c r="J506" s="40">
        <f t="shared" si="23"/>
        <v>78.426787701767864</v>
      </c>
      <c r="K506" s="38">
        <f>IF(OR(A506&gt;180,'1.설계입력'!$C$39&gt;=1),"",'1.설계입력'!$C$34*(1-SIN(B506)/SQRT(1+'1.설계입력'!$C$39^2-2*'1.설계입력'!$C$39*COS(B506)))-'1.설계입력'!$C$33*(1-'1.설계입력'!$C$39*COS(B506)-SQRT(MAX(0,1-'1.설계입력'!$C$39^2))*SIN(B506))/SQRT(1+'1.설계입력'!$C$39^2-2*'1.설계입력'!$C$39*COS(B506)))</f>
        <v>3.1933372297644541E-3</v>
      </c>
    </row>
    <row r="507" spans="1:11" x14ac:dyDescent="0.3">
      <c r="A507" s="40">
        <f>A506+'1.설계입력'!$C$12</f>
        <v>100.20000000000088</v>
      </c>
      <c r="B507" s="40">
        <f t="shared" si="21"/>
        <v>1.7488199104983337</v>
      </c>
      <c r="C507" s="40">
        <f>ATAN2('1.설계입력'!$C$6/('1.설계입력'!$C$8*'1.설계입력'!$C$15)-COS((1-'1.설계입력'!$C$15)*B507),SIN((1-'1.설계입력'!$C$15)*B507))</f>
        <v>0.80896725152972893</v>
      </c>
      <c r="D507" s="40">
        <f>'1.설계입력'!$C$6*COS(B507)-'1.설계입력'!$C$7*COS(B507+C507)-'1.설계입력'!$C$8*COS('1.설계입력'!$C$15*B507)</f>
        <v>-12.187160224701344</v>
      </c>
      <c r="E507" s="40">
        <f>-'1.설계입력'!$C$6*SIN(B507)+'1.설계입력'!$C$7*SIN(B507+C507)+'1.설계입력'!$C$8*SIN('1.설계입력'!$C$15*B507)</f>
        <v>-77.384510165291033</v>
      </c>
      <c r="F507" s="40">
        <f>ATAN2(('1.설계입력'!$C$6+'1.설계입력'!$C$33)/('1.설계입력'!$C$8*'1.설계입력'!$C$15)-COS((1-'1.설계입력'!$C$15)*B507),SIN((1-'1.설계입력'!$C$15)*B507))</f>
        <v>0.80900148721973797</v>
      </c>
      <c r="G507" s="40">
        <f>('1.설계입력'!$C$6+'1.설계입력'!$C$33)*COS(B507)-('1.설계입력'!$C$7+'1.설계입력'!$C$34)*COS(B507+F507)-'1.설계입력'!$C$8*COS('1.설계입력'!$C$15*B507)</f>
        <v>-12.179777221945171</v>
      </c>
      <c r="H507" s="40">
        <f>-('1.설계입력'!$C$6+'1.설계입력'!$C$33)*SIN(B507)+('1.설계입력'!$C$7+'1.설계입력'!$C$34)*SIN(B507+F507)+'1.설계입력'!$C$8*SIN('1.설계입력'!$C$15*B507)</f>
        <v>-77.377108907449553</v>
      </c>
      <c r="I507" s="40">
        <f t="shared" si="22"/>
        <v>78.338300261523244</v>
      </c>
      <c r="J507" s="40">
        <f t="shared" si="23"/>
        <v>78.329840776370304</v>
      </c>
      <c r="K507" s="38">
        <f>IF(OR(A507&gt;180,'1.설계입력'!$C$39&gt;=1),"",'1.설계입력'!$C$34*(1-SIN(B507)/SQRT(1+'1.설계입력'!$C$39^2-2*'1.설계입력'!$C$39*COS(B507)))-'1.설계입력'!$C$33*(1-'1.설계입력'!$C$39*COS(B507)-SQRT(MAX(0,1-'1.설계입력'!$C$39^2))*SIN(B507))/SQRT(1+'1.설계입력'!$C$39^2-2*'1.설계입력'!$C$39*COS(B507)))</f>
        <v>3.2107033890985733E-3</v>
      </c>
    </row>
    <row r="508" spans="1:11" x14ac:dyDescent="0.3">
      <c r="A508" s="40">
        <f>A507+'1.설계입력'!$C$12</f>
        <v>100.40000000000089</v>
      </c>
      <c r="B508" s="40">
        <f t="shared" si="21"/>
        <v>1.7523105690023224</v>
      </c>
      <c r="C508" s="40">
        <f>ATAN2('1.설계입력'!$C$6/('1.설계입력'!$C$8*'1.설계입력'!$C$15)-COS((1-'1.설계입력'!$C$15)*B508),SIN((1-'1.설계입력'!$C$15)*B508))</f>
        <v>0.8204979161203253</v>
      </c>
      <c r="D508" s="40">
        <f>'1.설계입력'!$C$6*COS(B508)-'1.설계입력'!$C$7*COS(B508+C508)-'1.설계입력'!$C$8*COS('1.설계입력'!$C$15*B508)</f>
        <v>-12.271133448179789</v>
      </c>
      <c r="E508" s="40">
        <f>-'1.설계입력'!$C$6*SIN(B508)+'1.설계입력'!$C$7*SIN(B508+C508)+'1.설계입력'!$C$8*SIN('1.설계입력'!$C$15*B508)</f>
        <v>-77.254872086350233</v>
      </c>
      <c r="F508" s="40">
        <f>ATAN2(('1.설계입력'!$C$6+'1.설계입력'!$C$33)/('1.설계입력'!$C$8*'1.설계입력'!$C$15)-COS((1-'1.설계입력'!$C$15)*B508),SIN((1-'1.설계입력'!$C$15)*B508))</f>
        <v>0.82053742990945699</v>
      </c>
      <c r="G508" s="40">
        <f>('1.설계입력'!$C$6+'1.설계입력'!$C$33)*COS(B508)-('1.설계입력'!$C$7+'1.설계입력'!$C$34)*COS(B508+F508)-'1.설계입력'!$C$8*COS('1.설계입력'!$C$15*B508)</f>
        <v>-12.263663832019382</v>
      </c>
      <c r="H508" s="40">
        <f>-('1.설계입력'!$C$6+'1.설계입력'!$C$33)*SIN(B508)+('1.설계입력'!$C$7+'1.설계입력'!$C$34)*SIN(B508+F508)+'1.설계입력'!$C$8*SIN('1.설계입력'!$C$15*B508)</f>
        <v>-77.247593731411243</v>
      </c>
      <c r="I508" s="40">
        <f t="shared" si="22"/>
        <v>78.223372320434848</v>
      </c>
      <c r="J508" s="40">
        <f t="shared" si="23"/>
        <v>78.215012547962587</v>
      </c>
      <c r="K508" s="38">
        <f>IF(OR(A508&gt;180,'1.설계입력'!$C$39&gt;=1),"",'1.설계입력'!$C$34*(1-SIN(B508)/SQRT(1+'1.설계입력'!$C$39^2-2*'1.설계입력'!$C$39*COS(B508)))-'1.설계입력'!$C$33*(1-'1.설계입력'!$C$39*COS(B508)-SQRT(MAX(0,1-'1.설계입력'!$C$39^2))*SIN(B508))/SQRT(1+'1.설계입력'!$C$39^2-2*'1.설계입력'!$C$39*COS(B508)))</f>
        <v>3.2280947354692085E-3</v>
      </c>
    </row>
    <row r="509" spans="1:11" x14ac:dyDescent="0.3">
      <c r="A509" s="40">
        <f>A508+'1.설계입력'!$C$12</f>
        <v>100.60000000000089</v>
      </c>
      <c r="B509" s="40">
        <f t="shared" si="21"/>
        <v>1.7558012275063111</v>
      </c>
      <c r="C509" s="40">
        <f>ATAN2('1.설계입력'!$C$6/('1.설계입력'!$C$8*'1.설계입력'!$C$15)-COS((1-'1.설계입력'!$C$15)*B509),SIN((1-'1.설계입력'!$C$15)*B509))</f>
        <v>0.81329921113285986</v>
      </c>
      <c r="D509" s="40">
        <f>'1.설계입력'!$C$6*COS(B509)-'1.설계입력'!$C$7*COS(B509+C509)-'1.설계입력'!$C$8*COS('1.설계입력'!$C$15*B509)</f>
        <v>-12.379353538764375</v>
      </c>
      <c r="E509" s="40">
        <f>-'1.설계입력'!$C$6*SIN(B509)+'1.설계입력'!$C$7*SIN(B509+C509)+'1.설계입력'!$C$8*SIN('1.설계입력'!$C$15*B509)</f>
        <v>-77.085593285229265</v>
      </c>
      <c r="F509" s="40">
        <f>ATAN2(('1.설계입력'!$C$6+'1.설계입력'!$C$33)/('1.설계입력'!$C$8*'1.설계입력'!$C$15)-COS((1-'1.설계입력'!$C$15)*B509),SIN((1-'1.설계입력'!$C$15)*B509))</f>
        <v>0.81334495783099847</v>
      </c>
      <c r="G509" s="40">
        <f>('1.설계입력'!$C$6+'1.설계입력'!$C$33)*COS(B509)-('1.설계입력'!$C$7+'1.설계입력'!$C$34)*COS(B509+F509)-'1.설계입력'!$C$8*COS('1.설계입력'!$C$15*B509)</f>
        <v>-12.371875479981339</v>
      </c>
      <c r="H509" s="40">
        <f>-('1.설계입력'!$C$6+'1.설계입력'!$C$33)*SIN(B509)+('1.설계입력'!$C$7+'1.설계입력'!$C$34)*SIN(B509+F509)+'1.설계입력'!$C$8*SIN('1.설계입력'!$C$15*B509)</f>
        <v>-77.078312308162225</v>
      </c>
      <c r="I509" s="40">
        <f t="shared" si="22"/>
        <v>78.073280231930184</v>
      </c>
      <c r="J509" s="40">
        <f t="shared" si="23"/>
        <v>78.064905887131872</v>
      </c>
      <c r="K509" s="38">
        <f>IF(OR(A509&gt;180,'1.설계입력'!$C$39&gt;=1),"",'1.설계입력'!$C$34*(1-SIN(B509)/SQRT(1+'1.설계입력'!$C$39^2-2*'1.설계입력'!$C$39*COS(B509)))-'1.설계입력'!$C$33*(1-'1.설계입력'!$C$39*COS(B509)-SQRT(MAX(0,1-'1.설계입력'!$C$39^2))*SIN(B509))/SQRT(1+'1.설계입력'!$C$39^2-2*'1.설계입력'!$C$39*COS(B509)))</f>
        <v>3.2455111580489793E-3</v>
      </c>
    </row>
    <row r="510" spans="1:11" x14ac:dyDescent="0.3">
      <c r="A510" s="40">
        <f>A509+'1.설계입력'!$C$12</f>
        <v>100.80000000000089</v>
      </c>
      <c r="B510" s="40">
        <f t="shared" si="21"/>
        <v>1.7592918860102997</v>
      </c>
      <c r="C510" s="40">
        <f>ATAN2('1.설계입력'!$C$6/('1.설계입력'!$C$8*'1.설계입력'!$C$15)-COS((1-'1.설계입력'!$C$15)*B510),SIN((1-'1.설계입력'!$C$15)*B510))</f>
        <v>0.77654519894688334</v>
      </c>
      <c r="D510" s="40">
        <f>'1.설계입력'!$C$6*COS(B510)-'1.설계입력'!$C$7*COS(B510+C510)-'1.설계입력'!$C$8*COS('1.설계입력'!$C$15*B510)</f>
        <v>-12.540504791142547</v>
      </c>
      <c r="E510" s="40">
        <f>-'1.설계입력'!$C$6*SIN(B510)+'1.설계입력'!$C$7*SIN(B510+C510)+'1.설계입력'!$C$8*SIN('1.설계입력'!$C$15*B510)</f>
        <v>-76.843436302763479</v>
      </c>
      <c r="F510" s="40">
        <f>ATAN2(('1.설계입력'!$C$6+'1.설계입력'!$C$33)/('1.설계입력'!$C$8*'1.설계입력'!$C$15)-COS((1-'1.설계입력'!$C$15)*B510),SIN((1-'1.설계입력'!$C$15)*B510))</f>
        <v>0.77659787589781859</v>
      </c>
      <c r="G510" s="40">
        <f>('1.설계입력'!$C$6+'1.설계입력'!$C$33)*COS(B510)-('1.설계입력'!$C$7+'1.설계입력'!$C$34)*COS(B510+F510)-'1.설계입력'!$C$8*COS('1.설계입력'!$C$15*B510)</f>
        <v>-12.533144912967696</v>
      </c>
      <c r="H510" s="40">
        <f>-('1.설계입력'!$C$6+'1.설계입력'!$C$33)*SIN(B510)+('1.설계입력'!$C$7+'1.설계입력'!$C$34)*SIN(B510+F510)+'1.설계입력'!$C$8*SIN('1.설계입력'!$C$15*B510)</f>
        <v>-76.835952777926551</v>
      </c>
      <c r="I510" s="40">
        <f t="shared" si="22"/>
        <v>77.859989489040757</v>
      </c>
      <c r="J510" s="40">
        <f t="shared" si="23"/>
        <v>77.851418488690413</v>
      </c>
      <c r="K510" s="38">
        <f>IF(OR(A510&gt;180,'1.설계입력'!$C$39&gt;=1),"",'1.설계입력'!$C$34*(1-SIN(B510)/SQRT(1+'1.설계입력'!$C$39^2-2*'1.설계입력'!$C$39*COS(B510)))-'1.설계입력'!$C$33*(1-'1.설계입력'!$C$39*COS(B510)-SQRT(MAX(0,1-'1.설계입력'!$C$39^2))*SIN(B510))/SQRT(1+'1.설계입력'!$C$39^2-2*'1.설계입력'!$C$39*COS(B510)))</f>
        <v>3.262952546418587E-3</v>
      </c>
    </row>
    <row r="511" spans="1:11" x14ac:dyDescent="0.3">
      <c r="A511" s="40">
        <f>A510+'1.설계입력'!$C$12</f>
        <v>101.0000000000009</v>
      </c>
      <c r="B511" s="40">
        <f t="shared" si="21"/>
        <v>1.7627825445142884</v>
      </c>
      <c r="C511" s="40">
        <f>ATAN2('1.설계입력'!$C$6/('1.설계입력'!$C$8*'1.설계입력'!$C$15)-COS((1-'1.설계입력'!$C$15)*B511),SIN((1-'1.설계입력'!$C$15)*B511))</f>
        <v>0.69127080375408501</v>
      </c>
      <c r="D511" s="40">
        <f>'1.설계입력'!$C$6*COS(B511)-'1.설계입력'!$C$7*COS(B511+C511)-'1.설계입력'!$C$8*COS('1.설계입력'!$C$15*B511)</f>
        <v>-12.815569878896442</v>
      </c>
      <c r="E511" s="40">
        <f>-'1.설계입력'!$C$6*SIN(B511)+'1.설계입력'!$C$7*SIN(B511+C511)+'1.설계입력'!$C$8*SIN('1.설계입력'!$C$15*B511)</f>
        <v>-76.477667588985639</v>
      </c>
      <c r="F511" s="40">
        <f>ATAN2(('1.설계입력'!$C$6+'1.설계입력'!$C$33)/('1.설계입력'!$C$8*'1.설계입력'!$C$15)-COS((1-'1.설계입력'!$C$15)*B511),SIN((1-'1.설계입력'!$C$15)*B511))</f>
        <v>0.69132940343659122</v>
      </c>
      <c r="G511" s="40">
        <f>('1.설계입력'!$C$6+'1.설계입력'!$C$33)*COS(B511)-('1.설계입력'!$C$7+'1.설계입력'!$C$34)*COS(B511+F511)-'1.설계입력'!$C$8*COS('1.설계입력'!$C$15*B511)</f>
        <v>-12.808569555862862</v>
      </c>
      <c r="H511" s="40">
        <f>-('1.설계입력'!$C$6+'1.설계입력'!$C$33)*SIN(B511)+('1.설계입력'!$C$7+'1.설계입력'!$C$34)*SIN(B511+F511)+'1.설계입력'!$C$8*SIN('1.설계입력'!$C$15*B511)</f>
        <v>-76.469665498193308</v>
      </c>
      <c r="I511" s="40">
        <f t="shared" si="22"/>
        <v>77.544003450765047</v>
      </c>
      <c r="J511" s="40">
        <f t="shared" si="23"/>
        <v>77.53495466867156</v>
      </c>
      <c r="K511" s="38">
        <f>IF(OR(A511&gt;180,'1.설계입력'!$C$39&gt;=1),"",'1.설계입력'!$C$34*(1-SIN(B511)/SQRT(1+'1.설계입력'!$C$39^2-2*'1.설계입력'!$C$39*COS(B511)))-'1.설계입력'!$C$33*(1-'1.설계입력'!$C$39*COS(B511)-SQRT(MAX(0,1-'1.설계입력'!$C$39^2))*SIN(B511))/SQRT(1+'1.설계입력'!$C$39^2-2*'1.설계입력'!$C$39*COS(B511)))</f>
        <v>3.2804187905621724E-3</v>
      </c>
    </row>
    <row r="512" spans="1:11" x14ac:dyDescent="0.3">
      <c r="A512" s="40">
        <f>A511+'1.설계입력'!$C$12</f>
        <v>101.2000000000009</v>
      </c>
      <c r="B512" s="40">
        <f t="shared" si="21"/>
        <v>1.7662732030182773</v>
      </c>
      <c r="C512" s="40">
        <f>ATAN2('1.설계입력'!$C$6/('1.설계입력'!$C$8*'1.설계입력'!$C$15)-COS((1-'1.설계입력'!$C$15)*B512),SIN((1-'1.설계입력'!$C$15)*B512))</f>
        <v>0.52626875194556433</v>
      </c>
      <c r="D512" s="40">
        <f>'1.설계입력'!$C$6*COS(B512)-'1.설계입력'!$C$7*COS(B512+C512)-'1.설계입력'!$C$8*COS('1.설계입력'!$C$15*B512)</f>
        <v>-13.336781885414757</v>
      </c>
      <c r="E512" s="40">
        <f>-'1.설계입력'!$C$6*SIN(B512)+'1.설계입력'!$C$7*SIN(B512+C512)+'1.설계입력'!$C$8*SIN('1.설계입력'!$C$15*B512)</f>
        <v>-75.936622322863428</v>
      </c>
      <c r="F512" s="40">
        <f>ATAN2(('1.설계입력'!$C$6+'1.설계입력'!$C$33)/('1.설계입력'!$C$8*'1.설계입력'!$C$15)-COS((1-'1.설계입력'!$C$15)*B512),SIN((1-'1.설계입력'!$C$15)*B512))</f>
        <v>0.52632584653269043</v>
      </c>
      <c r="G512" s="40">
        <f>('1.설계입력'!$C$6+'1.설계입력'!$C$33)*COS(B512)-('1.설계입력'!$C$7+'1.설계입력'!$C$34)*COS(B512+F512)-'1.설계입력'!$C$8*COS('1.설계입력'!$C$15*B512)</f>
        <v>-13.330656345150414</v>
      </c>
      <c r="H512" s="40">
        <f>-('1.설계입력'!$C$6+'1.설계입력'!$C$33)*SIN(B512)+('1.설계입력'!$C$7+'1.설계입력'!$C$34)*SIN(B512+F512)+'1.설계입력'!$C$8*SIN('1.설계입력'!$C$15*B512)</f>
        <v>-75.927652267300786</v>
      </c>
      <c r="I512" s="40">
        <f t="shared" si="22"/>
        <v>77.098899868054716</v>
      </c>
      <c r="J512" s="40">
        <f t="shared" si="23"/>
        <v>77.089005554726441</v>
      </c>
      <c r="K512" s="38">
        <f>IF(OR(A512&gt;180,'1.설계입력'!$C$39&gt;=1),"",'1.설계입력'!$C$34*(1-SIN(B512)/SQRT(1+'1.설계입력'!$C$39^2-2*'1.설계입력'!$C$39*COS(B512)))-'1.설계입력'!$C$33*(1-'1.설계입력'!$C$39*COS(B512)-SQRT(MAX(0,1-'1.설계입력'!$C$39^2))*SIN(B512))/SQRT(1+'1.설계입력'!$C$39^2-2*'1.설계입력'!$C$39*COS(B512)))</f>
        <v>3.2979097808627407E-3</v>
      </c>
    </row>
    <row r="513" spans="1:11" x14ac:dyDescent="0.3">
      <c r="A513" s="40">
        <f>A512+'1.설계입력'!$C$12</f>
        <v>101.4000000000009</v>
      </c>
      <c r="B513" s="40">
        <f t="shared" si="21"/>
        <v>1.7697638615222659</v>
      </c>
      <c r="C513" s="40">
        <f>ATAN2('1.설계입력'!$C$6/('1.설계입력'!$C$8*'1.설계입력'!$C$15)-COS((1-'1.설계입력'!$C$15)*B513),SIN((1-'1.설계입력'!$C$15)*B513))</f>
        <v>0.24835429785357113</v>
      </c>
      <c r="D513" s="40">
        <f>'1.설계입력'!$C$6*COS(B513)-'1.설계입력'!$C$7*COS(B513+C513)-'1.설계입력'!$C$8*COS('1.설계입력'!$C$15*B513)</f>
        <v>-14.320899500226444</v>
      </c>
      <c r="E513" s="40">
        <f>-'1.설계입력'!$C$6*SIN(B513)+'1.설계입력'!$C$7*SIN(B513+C513)+'1.설계입력'!$C$8*SIN('1.설계입력'!$C$15*B513)</f>
        <v>-75.284018347052069</v>
      </c>
      <c r="F513" s="40">
        <f>ATAN2(('1.설계입력'!$C$6+'1.설계입력'!$C$33)/('1.설계입력'!$C$8*'1.설계입력'!$C$15)-COS((1-'1.설계입력'!$C$15)*B513),SIN((1-'1.설계입력'!$C$15)*B513))</f>
        <v>0.24838747470163319</v>
      </c>
      <c r="G513" s="40">
        <f>('1.설계입력'!$C$6+'1.설계입력'!$C$33)*COS(B513)-('1.설계입력'!$C$7+'1.설계입력'!$C$34)*COS(B513+F513)-'1.설계입력'!$C$8*COS('1.설계입력'!$C$15*B513)</f>
        <v>-14.316663196308751</v>
      </c>
      <c r="H513" s="40">
        <f>-('1.설계입력'!$C$6+'1.설계입력'!$C$33)*SIN(B513)+('1.설계입력'!$C$7+'1.설계입력'!$C$34)*SIN(B513+F513)+'1.설계입력'!$C$8*SIN('1.설계입력'!$C$15*B513)</f>
        <v>-75.273733996409305</v>
      </c>
      <c r="I513" s="40">
        <f t="shared" si="22"/>
        <v>76.634010602178833</v>
      </c>
      <c r="J513" s="40">
        <f t="shared" si="23"/>
        <v>76.623115799598793</v>
      </c>
      <c r="K513" s="38">
        <f>IF(OR(A513&gt;180,'1.설계입력'!$C$39&gt;=1),"",'1.설계입력'!$C$34*(1-SIN(B513)/SQRT(1+'1.설계입력'!$C$39^2-2*'1.설계입력'!$C$39*COS(B513)))-'1.설계입력'!$C$33*(1-'1.설계입력'!$C$39*COS(B513)-SQRT(MAX(0,1-'1.설계입력'!$C$39^2))*SIN(B513))/SQRT(1+'1.설계입력'!$C$39^2-2*'1.설계입력'!$C$39*COS(B513)))</f>
        <v>3.315425408097632E-3</v>
      </c>
    </row>
    <row r="514" spans="1:11" x14ac:dyDescent="0.3">
      <c r="A514" s="40">
        <f>A513+'1.설계입력'!$C$12</f>
        <v>101.6000000000009</v>
      </c>
      <c r="B514" s="40">
        <f t="shared" si="21"/>
        <v>1.7732545200262546</v>
      </c>
      <c r="C514" s="40">
        <f>ATAN2('1.설계입력'!$C$6/('1.설계입력'!$C$8*'1.설계입력'!$C$15)-COS((1-'1.설계입력'!$C$15)*B514),SIN((1-'1.설계입력'!$C$15)*B514))</f>
        <v>-0.11344458338377027</v>
      </c>
      <c r="D514" s="40">
        <f>'1.설계입력'!$C$6*COS(B514)-'1.설계입력'!$C$7*COS(B514+C514)-'1.설계입력'!$C$8*COS('1.설계입력'!$C$15*B514)</f>
        <v>-15.769922259910571</v>
      </c>
      <c r="E514" s="40">
        <f>-'1.설계입력'!$C$6*SIN(B514)+'1.설계입력'!$C$7*SIN(B514+C514)+'1.설계입력'!$C$8*SIN('1.설계입력'!$C$15*B514)</f>
        <v>-74.885563262533552</v>
      </c>
      <c r="F514" s="40">
        <f>ATAN2(('1.설계입력'!$C$6+'1.설계입력'!$C$33)/('1.설계입력'!$C$8*'1.설계입력'!$C$15)-COS((1-'1.설계입력'!$C$15)*B514),SIN((1-'1.설계입력'!$C$15)*B514))</f>
        <v>-0.11346039632906298</v>
      </c>
      <c r="G514" s="40">
        <f>('1.설계입력'!$C$6+'1.설계입력'!$C$33)*COS(B514)-('1.설계입력'!$C$7+'1.설계입력'!$C$34)*COS(B514+F514)-'1.설계입력'!$C$8*COS('1.설계입력'!$C$15*B514)</f>
        <v>-15.768641988866518</v>
      </c>
      <c r="H514" s="40">
        <f>-('1.설계입력'!$C$6+'1.설계입력'!$C$33)*SIN(B514)+('1.설계입력'!$C$7+'1.설계입력'!$C$34)*SIN(B514+F514)+'1.설계입력'!$C$8*SIN('1.설계입력'!$C$15*B514)</f>
        <v>-74.874453014214751</v>
      </c>
      <c r="I514" s="40">
        <f t="shared" si="22"/>
        <v>76.528021229027857</v>
      </c>
      <c r="J514" s="40">
        <f t="shared" si="23"/>
        <v>76.516885615861909</v>
      </c>
      <c r="K514" s="38">
        <f>IF(OR(A514&gt;180,'1.설계입력'!$C$39&gt;=1),"",'1.설계입력'!$C$34*(1-SIN(B514)/SQRT(1+'1.설계입력'!$C$39^2-2*'1.설계입력'!$C$39*COS(B514)))-'1.설계입력'!$C$33*(1-'1.설계입력'!$C$39*COS(B514)-SQRT(MAX(0,1-'1.설계입력'!$C$39^2))*SIN(B514))/SQRT(1+'1.설계입력'!$C$39^2-2*'1.설계입력'!$C$39*COS(B514)))</f>
        <v>3.3329655634340653E-3</v>
      </c>
    </row>
    <row r="515" spans="1:11" x14ac:dyDescent="0.3">
      <c r="A515" s="40">
        <f>A514+'1.설계입력'!$C$12</f>
        <v>101.80000000000091</v>
      </c>
      <c r="B515" s="40">
        <f t="shared" si="21"/>
        <v>1.7767451785302433</v>
      </c>
      <c r="C515" s="40">
        <f>ATAN2('1.설계입력'!$C$6/('1.설계입력'!$C$8*'1.설계입력'!$C$15)-COS((1-'1.설계입력'!$C$15)*B515),SIN((1-'1.설계입력'!$C$15)*B515))</f>
        <v>-0.43361336162870989</v>
      </c>
      <c r="D515" s="40">
        <f>'1.설계입력'!$C$6*COS(B515)-'1.설계입력'!$C$7*COS(B515+C515)-'1.설계입력'!$C$8*COS('1.설계입력'!$C$15*B515)</f>
        <v>-17.109578023370197</v>
      </c>
      <c r="E515" s="40">
        <f>-'1.설계입력'!$C$6*SIN(B515)+'1.설계입력'!$C$7*SIN(B515+C515)+'1.설계입력'!$C$8*SIN('1.설계입력'!$C$15*B515)</f>
        <v>-74.97956538326892</v>
      </c>
      <c r="F515" s="40">
        <f>ATAN2(('1.설계입력'!$C$6+'1.설계입력'!$C$33)/('1.설계입력'!$C$8*'1.설계입력'!$C$15)-COS((1-'1.설계입력'!$C$15)*B515),SIN((1-'1.설계입력'!$C$15)*B515))</f>
        <v>-0.43366487162435369</v>
      </c>
      <c r="G515" s="40">
        <f>('1.설계입력'!$C$6+'1.설계입력'!$C$33)*COS(B515)-('1.설계입력'!$C$7+'1.설계입력'!$C$34)*COS(B515+F515)-'1.설계입력'!$C$8*COS('1.설계입력'!$C$15*B515)</f>
        <v>-17.110973407854182</v>
      </c>
      <c r="H515" s="40">
        <f>-('1.설계입력'!$C$6+'1.설계입력'!$C$33)*SIN(B515)+('1.설계입력'!$C$7+'1.설계입력'!$C$34)*SIN(B515+F515)+'1.설계입력'!$C$8*SIN('1.설계입력'!$C$15*B515)</f>
        <v>-74.968686508494372</v>
      </c>
      <c r="I515" s="40">
        <f t="shared" si="22"/>
        <v>76.906910516556906</v>
      </c>
      <c r="J515" s="40">
        <f t="shared" si="23"/>
        <v>76.896614800478702</v>
      </c>
      <c r="K515" s="38">
        <f>IF(OR(A515&gt;180,'1.설계입력'!$C$39&gt;=1),"",'1.설계입력'!$C$34*(1-SIN(B515)/SQRT(1+'1.설계입력'!$C$39^2-2*'1.설계입력'!$C$39*COS(B515)))-'1.설계입력'!$C$33*(1-'1.설계입력'!$C$39*COS(B515)-SQRT(MAX(0,1-'1.설계입력'!$C$39^2))*SIN(B515))/SQRT(1+'1.설계입력'!$C$39^2-2*'1.설계입력'!$C$39*COS(B515)))</f>
        <v>3.3505301384247226E-3</v>
      </c>
    </row>
    <row r="516" spans="1:11" x14ac:dyDescent="0.3">
      <c r="A516" s="40">
        <f>A515+'1.설계입력'!$C$12</f>
        <v>102.00000000000091</v>
      </c>
      <c r="B516" s="40">
        <f t="shared" si="21"/>
        <v>1.7802358370342319</v>
      </c>
      <c r="C516" s="40">
        <f>ATAN2('1.설계입력'!$C$6/('1.설계입력'!$C$8*'1.설계입력'!$C$15)-COS((1-'1.설계입력'!$C$15)*B516),SIN((1-'1.설계입력'!$C$15)*B516))</f>
        <v>-0.63934492164561507</v>
      </c>
      <c r="D516" s="40">
        <f>'1.설계입력'!$C$6*COS(B516)-'1.설계입력'!$C$7*COS(B516+C516)-'1.설계입력'!$C$8*COS('1.설계입력'!$C$15*B516)</f>
        <v>-17.965897938146579</v>
      </c>
      <c r="E516" s="40">
        <f>-'1.설계입력'!$C$6*SIN(B516)+'1.설계입력'!$C$7*SIN(B516+C516)+'1.설계입력'!$C$8*SIN('1.설계입력'!$C$15*B516)</f>
        <v>-75.273044447169482</v>
      </c>
      <c r="F516" s="40">
        <f>ATAN2(('1.설계입력'!$C$6+'1.설계입력'!$C$33)/('1.설계입력'!$C$8*'1.설계입력'!$C$15)-COS((1-'1.설계입력'!$C$15)*B516),SIN((1-'1.설계입력'!$C$15)*B516))</f>
        <v>-0.63940445098670695</v>
      </c>
      <c r="G516" s="40">
        <f>('1.설계입력'!$C$6+'1.설계입력'!$C$33)*COS(B516)-('1.설계입력'!$C$7+'1.설계입력'!$C$34)*COS(B516+F516)-'1.설계입력'!$C$8*COS('1.설계입력'!$C$15*B516)</f>
        <v>-17.96884625423742</v>
      </c>
      <c r="H516" s="40">
        <f>-('1.설계입력'!$C$6+'1.설계입력'!$C$33)*SIN(B516)+('1.설계입력'!$C$7+'1.설계입력'!$C$34)*SIN(B516+F516)+'1.설계입력'!$C$8*SIN('1.설계입력'!$C$15*B516)</f>
        <v>-75.262748698802412</v>
      </c>
      <c r="I516" s="40">
        <f t="shared" si="22"/>
        <v>77.387367890822148</v>
      </c>
      <c r="J516" s="40">
        <f t="shared" si="23"/>
        <v>77.378038081922867</v>
      </c>
      <c r="K516" s="38">
        <f>IF(OR(A516&gt;180,'1.설계입력'!$C$39&gt;=1),"",'1.설계입력'!$C$34*(1-SIN(B516)/SQRT(1+'1.설계입력'!$C$39^2-2*'1.설계입력'!$C$39*COS(B516)))-'1.설계입력'!$C$33*(1-'1.설계입력'!$C$39*COS(B516)-SQRT(MAX(0,1-'1.설계입력'!$C$39^2))*SIN(B516))/SQRT(1+'1.설계입력'!$C$39^2-2*'1.설계입력'!$C$39*COS(B516)))</f>
        <v>3.3681190250034083E-3</v>
      </c>
    </row>
    <row r="517" spans="1:11" x14ac:dyDescent="0.3">
      <c r="A517" s="40">
        <f>A516+'1.설계입력'!$C$12</f>
        <v>102.20000000000091</v>
      </c>
      <c r="B517" s="40">
        <f t="shared" si="21"/>
        <v>1.7837264955382208</v>
      </c>
      <c r="C517" s="40">
        <f>ATAN2('1.설계입력'!$C$6/('1.설계입력'!$C$8*'1.설계입력'!$C$15)-COS((1-'1.설계입력'!$C$15)*B517),SIN((1-'1.설계입력'!$C$15)*B517))</f>
        <v>-0.75089819220360388</v>
      </c>
      <c r="D517" s="40">
        <f>'1.설계입력'!$C$6*COS(B517)-'1.설계입력'!$C$7*COS(B517+C517)-'1.설계입력'!$C$8*COS('1.설계입력'!$C$15*B517)</f>
        <v>-18.454709446429753</v>
      </c>
      <c r="E517" s="40">
        <f>-'1.설계입력'!$C$6*SIN(B517)+'1.설계입력'!$C$7*SIN(B517+C517)+'1.설계입력'!$C$8*SIN('1.설계입력'!$C$15*B517)</f>
        <v>-75.531080712210922</v>
      </c>
      <c r="F517" s="40">
        <f>ATAN2(('1.설계입력'!$C$6+'1.설계입력'!$C$33)/('1.설계입력'!$C$8*'1.설계입력'!$C$15)-COS((1-'1.설계입력'!$C$15)*B517),SIN((1-'1.설계입력'!$C$15)*B517))</f>
        <v>-0.75095345864302987</v>
      </c>
      <c r="G517" s="40">
        <f>('1.설계입력'!$C$6+'1.설계입력'!$C$33)*COS(B517)-('1.설계입력'!$C$7+'1.설계입력'!$C$34)*COS(B517+F517)-'1.설계입력'!$C$8*COS('1.설계입력'!$C$15*B517)</f>
        <v>-18.458394937338344</v>
      </c>
      <c r="H517" s="40">
        <f>-('1.설계입력'!$C$6+'1.설계입력'!$C$33)*SIN(B517)+('1.설계입력'!$C$7+'1.설계입력'!$C$34)*SIN(B517+F517)+'1.설계입력'!$C$8*SIN('1.설계입력'!$C$15*B517)</f>
        <v>-75.52120834177677</v>
      </c>
      <c r="I517" s="40">
        <f t="shared" si="22"/>
        <v>77.752944987998134</v>
      </c>
      <c r="J517" s="40">
        <f t="shared" si="23"/>
        <v>77.744229709122536</v>
      </c>
      <c r="K517" s="38">
        <f>IF(OR(A517&gt;180,'1.설계입력'!$C$39&gt;=1),"",'1.설계입력'!$C$34*(1-SIN(B517)/SQRT(1+'1.설계입력'!$C$39^2-2*'1.설계입력'!$C$39*COS(B517)))-'1.설계입력'!$C$33*(1-'1.설계입력'!$C$39*COS(B517)-SQRT(MAX(0,1-'1.설계입력'!$C$39^2))*SIN(B517))/SQRT(1+'1.설계입력'!$C$39^2-2*'1.설계입력'!$C$39*COS(B517)))</f>
        <v>3.3857321154807424E-3</v>
      </c>
    </row>
    <row r="518" spans="1:11" x14ac:dyDescent="0.3">
      <c r="A518" s="40">
        <f>A517+'1.설계입력'!$C$12</f>
        <v>102.40000000000092</v>
      </c>
      <c r="B518" s="40">
        <f t="shared" ref="B518:B581" si="24">RADIANS(A518)</f>
        <v>1.7872171540422095</v>
      </c>
      <c r="C518" s="40">
        <f>ATAN2('1.설계입력'!$C$6/('1.설계입력'!$C$8*'1.설계입력'!$C$15)-COS((1-'1.설계입력'!$C$15)*B518),SIN((1-'1.설계입력'!$C$15)*B518))</f>
        <v>-0.80346762980200725</v>
      </c>
      <c r="D518" s="40">
        <f>'1.설계입력'!$C$6*COS(B518)-'1.설계입력'!$C$7*COS(B518+C518)-'1.설계입력'!$C$8*COS('1.설계입력'!$C$15*B518)</f>
        <v>-18.7449058010885</v>
      </c>
      <c r="E518" s="40">
        <f>-'1.설계입력'!$C$6*SIN(B518)+'1.설계입력'!$C$7*SIN(B518+C518)+'1.설계입력'!$C$8*SIN('1.설계입력'!$C$15*B518)</f>
        <v>-75.714818878940207</v>
      </c>
      <c r="F518" s="40">
        <f>ATAN2(('1.설계입력'!$C$6+'1.설계입력'!$C$33)/('1.설계입력'!$C$8*'1.설계입력'!$C$15)-COS((1-'1.설계입력'!$C$15)*B518),SIN((1-'1.설계입력'!$C$15)*B518))</f>
        <v>-0.80351600055867534</v>
      </c>
      <c r="G518" s="40">
        <f>('1.설계입력'!$C$6+'1.설계입력'!$C$33)*COS(B518)-('1.설계입력'!$C$7+'1.설계입력'!$C$34)*COS(B518+F518)-'1.설계입력'!$C$8*COS('1.설계입력'!$C$15*B518)</f>
        <v>-18.748888163116277</v>
      </c>
      <c r="H518" s="40">
        <f>-('1.설계입력'!$C$6+'1.설계입력'!$C$33)*SIN(B518)+('1.설계입력'!$C$7+'1.설계입력'!$C$34)*SIN(B518+F518)+'1.설계입력'!$C$8*SIN('1.설계입력'!$C$15*B518)</f>
        <v>-75.705154688167298</v>
      </c>
      <c r="I518" s="40">
        <f t="shared" ref="I518:I581" si="25">SQRT(D518^2+E518^2)</f>
        <v>78.000674941710614</v>
      </c>
      <c r="J518" s="40">
        <f t="shared" ref="J518:J581" si="26">SQRT(G518^2+H518^2)</f>
        <v>77.992251241468736</v>
      </c>
      <c r="K518" s="38">
        <f>IF(OR(A518&gt;180,'1.설계입력'!$C$39&gt;=1),"",'1.설계입력'!$C$34*(1-SIN(B518)/SQRT(1+'1.설계입력'!$C$39^2-2*'1.설계입력'!$C$39*COS(B518)))-'1.설계입력'!$C$33*(1-'1.설계입력'!$C$39*COS(B518)-SQRT(MAX(0,1-'1.설계입력'!$C$39^2))*SIN(B518))/SQRT(1+'1.설계입력'!$C$39^2-2*'1.설계입력'!$C$39*COS(B518)))</f>
        <v>3.4033693025399248E-3</v>
      </c>
    </row>
    <row r="519" spans="1:11" x14ac:dyDescent="0.3">
      <c r="A519" s="40">
        <f>A518+'1.설계입력'!$C$12</f>
        <v>102.60000000000092</v>
      </c>
      <c r="B519" s="40">
        <f t="shared" si="24"/>
        <v>1.7907078125461982</v>
      </c>
      <c r="C519" s="40">
        <f>ATAN2('1.설계입력'!$C$6/('1.설계입력'!$C$8*'1.설계입력'!$C$15)-COS((1-'1.설계입력'!$C$15)*B519),SIN((1-'1.설계입력'!$C$15)*B519))</f>
        <v>-0.82040803908480142</v>
      </c>
      <c r="D519" s="40">
        <f>'1.설계입력'!$C$6*COS(B519)-'1.설계입력'!$C$7*COS(B519+C519)-'1.설계입력'!$C$8*COS('1.설계입력'!$C$15*B519)</f>
        <v>-18.934429210628537</v>
      </c>
      <c r="E519" s="40">
        <f>-'1.설계입력'!$C$6*SIN(B519)+'1.설계입력'!$C$7*SIN(B519+C519)+'1.설계입력'!$C$8*SIN('1.설계입력'!$C$15*B519)</f>
        <v>-75.843276048261956</v>
      </c>
      <c r="F519" s="40">
        <f>ATAN2(('1.설계입력'!$C$6+'1.설계입력'!$C$33)/('1.설계입력'!$C$8*'1.설계입력'!$C$15)-COS((1-'1.설계입력'!$C$15)*B519),SIN((1-'1.설계입력'!$C$15)*B519))</f>
        <v>-0.82044983748249567</v>
      </c>
      <c r="G519" s="40">
        <f>('1.설계입력'!$C$6+'1.설계입력'!$C$33)*COS(B519)-('1.설계입력'!$C$7+'1.설계입력'!$C$34)*COS(B519+F519)-'1.설계입력'!$C$8*COS('1.설계입력'!$C$15*B519)</f>
        <v>-18.93846811090738</v>
      </c>
      <c r="H519" s="40">
        <f>-('1.설계입력'!$C$6+'1.설계입력'!$C$33)*SIN(B519)+('1.설계입력'!$C$7+'1.설계입력'!$C$34)*SIN(B519+F519)+'1.설계입력'!$C$8*SIN('1.설계입력'!$C$15*B519)</f>
        <v>-75.83366242698915</v>
      </c>
      <c r="I519" s="40">
        <f t="shared" si="25"/>
        <v>78.171063260423736</v>
      </c>
      <c r="J519" s="40">
        <f t="shared" si="26"/>
        <v>78.16271445822747</v>
      </c>
      <c r="K519" s="38">
        <f>IF(OR(A519&gt;180,'1.설계입력'!$C$39&gt;=1),"",'1.설계입력'!$C$34*(1-SIN(B519)/SQRT(1+'1.설계입력'!$C$39^2-2*'1.설계입력'!$C$39*COS(B519)))-'1.설계입력'!$C$33*(1-'1.설계입력'!$C$39*COS(B519)-SQRT(MAX(0,1-'1.설계입력'!$C$39^2))*SIN(B519))/SQRT(1+'1.설계입력'!$C$39^2-2*'1.설계입력'!$C$39*COS(B519)))</f>
        <v>3.4210304792325454E-3</v>
      </c>
    </row>
    <row r="520" spans="1:11" x14ac:dyDescent="0.3">
      <c r="A520" s="40">
        <f>A519+'1.설계입력'!$C$12</f>
        <v>102.80000000000092</v>
      </c>
      <c r="B520" s="40">
        <f t="shared" si="24"/>
        <v>1.7941984710501868</v>
      </c>
      <c r="C520" s="40">
        <f>ATAN2('1.설계입력'!$C$6/('1.설계입력'!$C$8*'1.설계입력'!$C$15)-COS((1-'1.설계입력'!$C$15)*B520),SIN((1-'1.설계입력'!$C$15)*B520))</f>
        <v>-0.81514572447452693</v>
      </c>
      <c r="D520" s="40">
        <f>'1.설계입력'!$C$6*COS(B520)-'1.설계입력'!$C$7*COS(B520+C520)-'1.설계입력'!$C$8*COS('1.설계입력'!$C$15*B520)</f>
        <v>-19.073791368395064</v>
      </c>
      <c r="E520" s="40">
        <f>-'1.설계입력'!$C$6*SIN(B520)+'1.설계입력'!$C$7*SIN(B520+C520)+'1.설계입력'!$C$8*SIN('1.설계입력'!$C$15*B520)</f>
        <v>-75.938162283046097</v>
      </c>
      <c r="F520" s="40">
        <f>ATAN2(('1.설계입력'!$C$6+'1.설계입력'!$C$33)/('1.설계입력'!$C$8*'1.설계입력'!$C$15)-COS((1-'1.설계입력'!$C$15)*B520),SIN((1-'1.설계입력'!$C$15)*B520))</f>
        <v>-0.81518188100721611</v>
      </c>
      <c r="G520" s="40">
        <f>('1.설계입력'!$C$6+'1.설계입력'!$C$33)*COS(B520)-('1.설계입력'!$C$7+'1.설계입력'!$C$34)*COS(B520+F520)-'1.설계입력'!$C$8*COS('1.설계입력'!$C$15*B520)</f>
        <v>-19.077743097723683</v>
      </c>
      <c r="H520" s="40">
        <f>-('1.설계입력'!$C$6+'1.설계입력'!$C$33)*SIN(B520)+('1.설계입력'!$C$7+'1.설계입력'!$C$34)*SIN(B520+F520)+'1.설계입력'!$C$8*SIN('1.설계입력'!$C$15*B520)</f>
        <v>-75.928497407554872</v>
      </c>
      <c r="I520" s="40">
        <f t="shared" si="25"/>
        <v>78.29696040135471</v>
      </c>
      <c r="J520" s="40">
        <f t="shared" si="26"/>
        <v>78.28854961149689</v>
      </c>
      <c r="K520" s="38">
        <f>IF(OR(A520&gt;180,'1.설계입력'!$C$39&gt;=1),"",'1.설계입력'!$C$34*(1-SIN(B520)/SQRT(1+'1.설계입력'!$C$39^2-2*'1.설계입력'!$C$39*COS(B520)))-'1.설계입력'!$C$33*(1-'1.설계입력'!$C$39*COS(B520)-SQRT(MAX(0,1-'1.설계입력'!$C$39^2))*SIN(B520))/SQRT(1+'1.설계입력'!$C$39^2-2*'1.설계입력'!$C$39*COS(B520)))</f>
        <v>3.438715538974449E-3</v>
      </c>
    </row>
    <row r="521" spans="1:11" x14ac:dyDescent="0.3">
      <c r="A521" s="40">
        <f>A520+'1.설계입력'!$C$12</f>
        <v>103.00000000000092</v>
      </c>
      <c r="B521" s="40">
        <f t="shared" si="24"/>
        <v>1.7976891295541755</v>
      </c>
      <c r="C521" s="40">
        <f>ATAN2('1.설계입력'!$C$6/('1.설계입력'!$C$8*'1.설계입력'!$C$15)-COS((1-'1.설계입력'!$C$15)*B521),SIN((1-'1.설계입력'!$C$15)*B521))</f>
        <v>-0.7954194780239805</v>
      </c>
      <c r="D521" s="40">
        <f>'1.설계입력'!$C$6*COS(B521)-'1.설계입력'!$C$7*COS(B521+C521)-'1.설계입력'!$C$8*COS('1.설계입력'!$C$15*B521)</f>
        <v>-19.190011804881582</v>
      </c>
      <c r="E521" s="40">
        <f>-'1.설계입력'!$C$6*SIN(B521)+'1.설계입력'!$C$7*SIN(B521+C521)+'1.설계입력'!$C$8*SIN('1.설계입력'!$C$15*B521)</f>
        <v>-76.014534639925699</v>
      </c>
      <c r="F521" s="40">
        <f>ATAN2(('1.설계입력'!$C$6+'1.설계입력'!$C$33)/('1.설계입력'!$C$8*'1.설계입력'!$C$15)-COS((1-'1.설계입력'!$C$15)*B521),SIN((1-'1.설계입력'!$C$15)*B521))</f>
        <v>-0.79545089903615884</v>
      </c>
      <c r="G521" s="40">
        <f>('1.설계입력'!$C$6+'1.설계입력'!$C$33)*COS(B521)-('1.설계입력'!$C$7+'1.설계입력'!$C$34)*COS(B521+F521)-'1.설계입력'!$C$8*COS('1.설계입력'!$C$15*B521)</f>
        <v>-19.193781551022887</v>
      </c>
      <c r="H521" s="40">
        <f>-('1.설계입력'!$C$6+'1.설계입력'!$C$33)*SIN(B521)+('1.설계입력'!$C$7+'1.설계입력'!$C$34)*SIN(B521+F521)+'1.설계입력'!$C$8*SIN('1.설계입력'!$C$15*B521)</f>
        <v>-76.004756068161271</v>
      </c>
      <c r="I521" s="40">
        <f t="shared" si="25"/>
        <v>78.399400696663221</v>
      </c>
      <c r="J521" s="40">
        <f t="shared" si="26"/>
        <v>78.390842546875874</v>
      </c>
      <c r="K521" s="38">
        <f>IF(OR(A521&gt;180,'1.설계입력'!$C$39&gt;=1),"",'1.설계입력'!$C$34*(1-SIN(B521)/SQRT(1+'1.설계입력'!$C$39^2-2*'1.설계입력'!$C$39*COS(B521)))-'1.설계입력'!$C$33*(1-'1.설계입력'!$C$39*COS(B521)-SQRT(MAX(0,1-'1.설계입력'!$C$39^2))*SIN(B521))/SQRT(1+'1.설계입력'!$C$39^2-2*'1.설계입력'!$C$39*COS(B521)))</f>
        <v>3.4564243755416555E-3</v>
      </c>
    </row>
    <row r="522" spans="1:11" x14ac:dyDescent="0.3">
      <c r="A522" s="40">
        <f>A521+'1.설계입력'!$C$12</f>
        <v>103.20000000000093</v>
      </c>
      <c r="B522" s="40">
        <f t="shared" si="24"/>
        <v>1.8011797880581644</v>
      </c>
      <c r="C522" s="40">
        <f>ATAN2('1.설계입력'!$C$6/('1.설계입력'!$C$8*'1.설계입력'!$C$15)-COS((1-'1.설계입력'!$C$15)*B522),SIN((1-'1.설계입력'!$C$15)*B522))</f>
        <v>-0.76586332366935561</v>
      </c>
      <c r="D522" s="40">
        <f>'1.설계입력'!$C$6*COS(B522)-'1.설계입력'!$C$7*COS(B522+C522)-'1.설계입력'!$C$8*COS('1.설계입력'!$C$15*B522)</f>
        <v>-19.298565113122798</v>
      </c>
      <c r="E522" s="40">
        <f>-'1.설계입력'!$C$6*SIN(B522)+'1.설계입력'!$C$7*SIN(B522+C522)+'1.설계입력'!$C$8*SIN('1.설계입력'!$C$15*B522)</f>
        <v>-76.081506992612717</v>
      </c>
      <c r="F522" s="40">
        <f>ATAN2(('1.설계입력'!$C$6+'1.설계입력'!$C$33)/('1.설계입력'!$C$8*'1.설계입력'!$C$15)-COS((1-'1.설계입력'!$C$15)*B522),SIN((1-'1.설계입력'!$C$15)*B522))</f>
        <v>-0.76589075984976929</v>
      </c>
      <c r="G522" s="40">
        <f>('1.설계입력'!$C$6+'1.설계입력'!$C$33)*COS(B522)-('1.설계입력'!$C$7+'1.설계입력'!$C$34)*COS(B522+F522)-'1.설계입력'!$C$8*COS('1.설계입력'!$C$15*B522)</f>
        <v>-19.302084854571831</v>
      </c>
      <c r="H522" s="40">
        <f>-('1.설계입력'!$C$6+'1.설계입력'!$C$33)*SIN(B522)+('1.설계입력'!$C$7+'1.설계입력'!$C$34)*SIN(B522+F522)+'1.설계입력'!$C$8*SIN('1.설계입력'!$C$15*B522)</f>
        <v>-76.071578816965541</v>
      </c>
      <c r="I522" s="40">
        <f t="shared" si="25"/>
        <v>78.490956942137089</v>
      </c>
      <c r="J522" s="40">
        <f t="shared" si="26"/>
        <v>78.482199150118689</v>
      </c>
      <c r="K522" s="38">
        <f>IF(OR(A522&gt;180,'1.설계입력'!$C$39&gt;=1),"",'1.설계입력'!$C$34*(1-SIN(B522)/SQRT(1+'1.설계입력'!$C$39^2-2*'1.설계입력'!$C$39*COS(B522)))-'1.설계입력'!$C$33*(1-'1.설계입력'!$C$39*COS(B522)-SQRT(MAX(0,1-'1.설계입력'!$C$39^2))*SIN(B522))/SQRT(1+'1.설계입력'!$C$39^2-2*'1.설계입력'!$C$39*COS(B522)))</f>
        <v>3.4741568830663262E-3</v>
      </c>
    </row>
    <row r="523" spans="1:11" x14ac:dyDescent="0.3">
      <c r="A523" s="40">
        <f>A522+'1.설계입력'!$C$12</f>
        <v>103.40000000000093</v>
      </c>
      <c r="B523" s="40">
        <f t="shared" si="24"/>
        <v>1.804670446562153</v>
      </c>
      <c r="C523" s="40">
        <f>ATAN2('1.설계입력'!$C$6/('1.설계입력'!$C$8*'1.설계입력'!$C$15)-COS((1-'1.설계입력'!$C$15)*B523),SIN((1-'1.설계입력'!$C$15)*B523))</f>
        <v>-0.72937719305312854</v>
      </c>
      <c r="D523" s="40">
        <f>'1.설계입력'!$C$6*COS(B523)-'1.설계입력'!$C$7*COS(B523+C523)-'1.설계입력'!$C$8*COS('1.설계입력'!$C$15*B523)</f>
        <v>-19.408879130698178</v>
      </c>
      <c r="E523" s="40">
        <f>-'1.설계입력'!$C$6*SIN(B523)+'1.설계입력'!$C$7*SIN(B523+C523)+'1.설계입력'!$C$8*SIN('1.설계입력'!$C$15*B523)</f>
        <v>-76.144068811514416</v>
      </c>
      <c r="F523" s="40">
        <f>ATAN2(('1.설계입력'!$C$6+'1.설계입력'!$C$33)/('1.설계입력'!$C$8*'1.설계입력'!$C$15)-COS((1-'1.설계입력'!$C$15)*B523),SIN((1-'1.설계입력'!$C$15)*B523))</f>
        <v>-0.72940123897230336</v>
      </c>
      <c r="G523" s="40">
        <f>('1.설계입력'!$C$6+'1.설계입력'!$C$33)*COS(B523)-('1.설계입력'!$C$7+'1.설계입력'!$C$34)*COS(B523+F523)-'1.설계입력'!$C$8*COS('1.설계입력'!$C$15*B523)</f>
        <v>-19.41209684028977</v>
      </c>
      <c r="H523" s="40">
        <f>-('1.설계입력'!$C$6+'1.설계입력'!$C$33)*SIN(B523)+('1.설계입력'!$C$7+'1.설계입력'!$C$34)*SIN(B523+F523)+'1.설계입력'!$C$8*SIN('1.설계입력'!$C$15*B523)</f>
        <v>-76.133973222840453</v>
      </c>
      <c r="I523" s="40">
        <f t="shared" si="25"/>
        <v>78.578774515022147</v>
      </c>
      <c r="J523" s="40">
        <f t="shared" si="26"/>
        <v>78.569786702224008</v>
      </c>
      <c r="K523" s="38">
        <f>IF(OR(A523&gt;180,'1.설계입력'!$C$39&gt;=1),"",'1.설계입력'!$C$34*(1-SIN(B523)/SQRT(1+'1.설계입력'!$C$39^2-2*'1.설계입력'!$C$39*COS(B523)))-'1.설계입력'!$C$33*(1-'1.설계입력'!$C$39*COS(B523)-SQRT(MAX(0,1-'1.설계입력'!$C$39^2))*SIN(B523))/SQRT(1+'1.설계입력'!$C$39^2-2*'1.설계입력'!$C$39*COS(B523)))</f>
        <v>3.4919129560327762E-3</v>
      </c>
    </row>
    <row r="524" spans="1:11" x14ac:dyDescent="0.3">
      <c r="A524" s="40">
        <f>A523+'1.설계입력'!$C$12</f>
        <v>103.60000000000093</v>
      </c>
      <c r="B524" s="40">
        <f t="shared" si="24"/>
        <v>1.8081611050661417</v>
      </c>
      <c r="C524" s="40">
        <f>ATAN2('1.설계입력'!$C$6/('1.설계입력'!$C$8*'1.설계입력'!$C$15)-COS((1-'1.설계입력'!$C$15)*B524),SIN((1-'1.설계입력'!$C$15)*B524))</f>
        <v>-0.68785316398684537</v>
      </c>
      <c r="D524" s="40">
        <f>'1.설계입력'!$C$6*COS(B524)-'1.설계입력'!$C$7*COS(B524+C524)-'1.설계입력'!$C$8*COS('1.설계입력'!$C$15*B524)</f>
        <v>-19.526928189912287</v>
      </c>
      <c r="E524" s="40">
        <f>-'1.설계입력'!$C$6*SIN(B524)+'1.설계입력'!$C$7*SIN(B524+C524)+'1.설계입력'!$C$8*SIN('1.설계입력'!$C$15*B524)</f>
        <v>-76.204498501978065</v>
      </c>
      <c r="F524" s="40">
        <f>ATAN2(('1.설계입력'!$C$6+'1.설계입력'!$C$33)/('1.설계입력'!$C$8*'1.설계입력'!$C$15)-COS((1-'1.설계입력'!$C$15)*B524),SIN((1-'1.설계입력'!$C$15)*B524))</f>
        <v>-0.68787428572716613</v>
      </c>
      <c r="G524" s="40">
        <f>('1.설계입력'!$C$6+'1.설계입력'!$C$33)*COS(B524)-('1.설계입력'!$C$7+'1.설계입력'!$C$34)*COS(B524+F524)-'1.설계입력'!$C$8*COS('1.설계입력'!$C$15*B524)</f>
        <v>-19.529802243579308</v>
      </c>
      <c r="H524" s="40">
        <f>-('1.설계입력'!$C$6+'1.설계입력'!$C$33)*SIN(B524)+('1.설계입력'!$C$7+'1.설계입력'!$C$34)*SIN(B524+F524)+'1.설계입력'!$C$8*SIN('1.설계입력'!$C$15*B524)</f>
        <v>-76.194230384270668</v>
      </c>
      <c r="I524" s="40">
        <f t="shared" si="25"/>
        <v>78.666552717606535</v>
      </c>
      <c r="J524" s="40">
        <f t="shared" si="26"/>
        <v>78.657319554664653</v>
      </c>
      <c r="K524" s="38">
        <f>IF(OR(A524&gt;180,'1.설계입력'!$C$39&gt;=1),"",'1.설계입력'!$C$34*(1-SIN(B524)/SQRT(1+'1.설계입력'!$C$39^2-2*'1.설계입력'!$C$39*COS(B524)))-'1.설계입력'!$C$33*(1-'1.설계입력'!$C$39*COS(B524)-SQRT(MAX(0,1-'1.설계입력'!$C$39^2))*SIN(B524))/SQRT(1+'1.설계입력'!$C$39^2-2*'1.설계입력'!$C$39*COS(B524)))</f>
        <v>3.5096924892735618E-3</v>
      </c>
    </row>
    <row r="525" spans="1:11" x14ac:dyDescent="0.3">
      <c r="A525" s="40">
        <f>A524+'1.설계입력'!$C$12</f>
        <v>103.80000000000094</v>
      </c>
      <c r="B525" s="40">
        <f t="shared" si="24"/>
        <v>1.8116517635701304</v>
      </c>
      <c r="C525" s="40">
        <f>ATAN2('1.설계입력'!$C$6/('1.설계입력'!$C$8*'1.설계입력'!$C$15)-COS((1-'1.설계입력'!$C$15)*B525),SIN((1-'1.설계입력'!$C$15)*B525))</f>
        <v>-0.64257282305967145</v>
      </c>
      <c r="D525" s="40">
        <f>'1.설계입력'!$C$6*COS(B525)-'1.설계입력'!$C$7*COS(B525+C525)-'1.설계입력'!$C$8*COS('1.설계입력'!$C$15*B525)</f>
        <v>-19.656520459429117</v>
      </c>
      <c r="E525" s="40">
        <f>-'1.설계입력'!$C$6*SIN(B525)+'1.설계입력'!$C$7*SIN(B525+C525)+'1.설계입력'!$C$8*SIN('1.설계입력'!$C$15*B525)</f>
        <v>-76.263315071552924</v>
      </c>
      <c r="F525" s="40">
        <f>ATAN2(('1.설계입력'!$C$6+'1.설계입력'!$C$33)/('1.설계입력'!$C$8*'1.설계입력'!$C$15)-COS((1-'1.설계입력'!$C$15)*B525),SIN((1-'1.설계입력'!$C$15)*B525))</f>
        <v>-0.64259138664932736</v>
      </c>
      <c r="G525" s="40">
        <f>('1.설계입력'!$C$6+'1.설계입력'!$C$33)*COS(B525)-('1.설계입력'!$C$7+'1.설계입력'!$C$34)*COS(B525+F525)-'1.설계입력'!$C$8*COS('1.설계입력'!$C$15*B525)</f>
        <v>-19.659016583504446</v>
      </c>
      <c r="H525" s="40">
        <f>-('1.설계입력'!$C$6+'1.설계입력'!$C$33)*SIN(B525)+('1.설계입력'!$C$7+'1.설계입력'!$C$34)*SIN(B525+F525)+'1.설계입력'!$C$8*SIN('1.설계입력'!$C$15*B525)</f>
        <v>-76.252878482216943</v>
      </c>
      <c r="I525" s="40">
        <f t="shared" si="25"/>
        <v>78.755774532886846</v>
      </c>
      <c r="J525" s="40">
        <f t="shared" si="26"/>
        <v>78.746291403813075</v>
      </c>
      <c r="K525" s="38">
        <f>IF(OR(A525&gt;180,'1.설계입력'!$C$39&gt;=1),"",'1.설계입력'!$C$34*(1-SIN(B525)/SQRT(1+'1.설계입력'!$C$39^2-2*'1.설계입력'!$C$39*COS(B525)))-'1.설계입력'!$C$33*(1-'1.설계입력'!$C$39*COS(B525)-SQRT(MAX(0,1-'1.설계입력'!$C$39^2))*SIN(B525))/SQRT(1+'1.설계입력'!$C$39^2-2*'1.설계입력'!$C$39*COS(B525)))</f>
        <v>3.527495377965581E-3</v>
      </c>
    </row>
    <row r="526" spans="1:11" x14ac:dyDescent="0.3">
      <c r="A526" s="40">
        <f>A525+'1.설계입력'!$C$12</f>
        <v>104.00000000000094</v>
      </c>
      <c r="B526" s="40">
        <f t="shared" si="24"/>
        <v>1.815142422074119</v>
      </c>
      <c r="C526" s="40">
        <f>ATAN2('1.설계입력'!$C$6/('1.설계입력'!$C$8*'1.설계입력'!$C$15)-COS((1-'1.설계입력'!$C$15)*B526),SIN((1-'1.설계입력'!$C$15)*B526))</f>
        <v>-0.59443353331772086</v>
      </c>
      <c r="D526" s="40">
        <f>'1.설계입력'!$C$6*COS(B526)-'1.설계입력'!$C$7*COS(B526+C526)-'1.설계입력'!$C$8*COS('1.설계입력'!$C$15*B526)</f>
        <v>-19.799976280203435</v>
      </c>
      <c r="E526" s="40">
        <f>-'1.설계입력'!$C$6*SIN(B526)+'1.설계입력'!$C$7*SIN(B526+C526)+'1.설계입력'!$C$8*SIN('1.설계입력'!$C$15*B526)</f>
        <v>-76.319908861841682</v>
      </c>
      <c r="F526" s="40">
        <f>ATAN2(('1.설계입력'!$C$6+'1.설계입력'!$C$33)/('1.설계입력'!$C$8*'1.설계입력'!$C$15)-COS((1-'1.설계입력'!$C$15)*B526),SIN((1-'1.설계입력'!$C$15)*B526))</f>
        <v>-0.59444982792705447</v>
      </c>
      <c r="G526" s="40">
        <f>('1.설계입력'!$C$6+'1.설계입력'!$C$33)*COS(B526)-('1.설계입력'!$C$7+'1.설계입력'!$C$34)*COS(B526+F526)-'1.설계입력'!$C$8*COS('1.설계입력'!$C$15*B526)</f>
        <v>-19.802065808554762</v>
      </c>
      <c r="H526" s="40">
        <f>-('1.설계입력'!$C$6+'1.설계입력'!$C$33)*SIN(B526)+('1.설계입력'!$C$7+'1.설계입력'!$C$34)*SIN(B526+F526)+'1.설계입력'!$C$8*SIN('1.설계입력'!$C$15*B526)</f>
        <v>-76.309314669667188</v>
      </c>
      <c r="I526" s="40">
        <f t="shared" si="25"/>
        <v>78.84648089405411</v>
      </c>
      <c r="J526" s="40">
        <f t="shared" si="26"/>
        <v>78.836751046961695</v>
      </c>
      <c r="K526" s="38">
        <f>IF(OR(A526&gt;180,'1.설계입력'!$C$39&gt;=1),"",'1.설계입력'!$C$34*(1-SIN(B526)/SQRT(1+'1.설계입력'!$C$39^2-2*'1.설계입력'!$C$39*COS(B526)))-'1.설계입력'!$C$33*(1-'1.설계입력'!$C$39*COS(B526)-SQRT(MAX(0,1-'1.설계입력'!$C$39^2))*SIN(B526))/SQRT(1+'1.설계입력'!$C$39^2-2*'1.설계입력'!$C$39*COS(B526)))</f>
        <v>3.5453215176262532E-3</v>
      </c>
    </row>
    <row r="527" spans="1:11" x14ac:dyDescent="0.3">
      <c r="A527" s="40">
        <f>A526+'1.설계입력'!$C$12</f>
        <v>104.20000000000094</v>
      </c>
      <c r="B527" s="40">
        <f t="shared" si="24"/>
        <v>1.8186330805781079</v>
      </c>
      <c r="C527" s="40">
        <f>ATAN2('1.설계입력'!$C$6/('1.설계입력'!$C$8*'1.설계입력'!$C$15)-COS((1-'1.설계입력'!$C$15)*B527),SIN((1-'1.설계입력'!$C$15)*B527))</f>
        <v>-0.54408248315038577</v>
      </c>
      <c r="D527" s="40">
        <f>'1.설계입력'!$C$6*COS(B527)-'1.설계입력'!$C$7*COS(B527+C527)-'1.설계입력'!$C$8*COS('1.설계입력'!$C$15*B527)</f>
        <v>-19.958510415781408</v>
      </c>
      <c r="E527" s="40">
        <f>-'1.설계입력'!$C$6*SIN(B527)+'1.설계입력'!$C$7*SIN(B527+C527)+'1.설계입력'!$C$8*SIN('1.설계입력'!$C$15*B527)</f>
        <v>-76.372969168210489</v>
      </c>
      <c r="F527" s="40">
        <f>ATAN2(('1.설계입력'!$C$6+'1.설계입력'!$C$33)/('1.설계입력'!$C$8*'1.설계입력'!$C$15)-COS((1-'1.설계입력'!$C$15)*B527),SIN((1-'1.설계입력'!$C$15)*B527))</f>
        <v>-0.54409673875925146</v>
      </c>
      <c r="G527" s="40">
        <f>('1.설계입력'!$C$6+'1.설계입력'!$C$33)*COS(B527)-('1.설계입력'!$C$7+'1.설계입력'!$C$34)*COS(B527+F527)-'1.설계입력'!$C$8*COS('1.설계입력'!$C$15*B527)</f>
        <v>-19.960169257180343</v>
      </c>
      <c r="H527" s="40">
        <f>-('1.설계입력'!$C$6+'1.설계입력'!$C$33)*SIN(B527)+('1.설계입력'!$C$7+'1.설계입력'!$C$34)*SIN(B527+F527)+'1.설계입력'!$C$8*SIN('1.설계입력'!$C$15*B527)</f>
        <v>-76.362233410715817</v>
      </c>
      <c r="I527" s="40">
        <f t="shared" si="25"/>
        <v>78.937776492534198</v>
      </c>
      <c r="J527" s="40">
        <f t="shared" si="26"/>
        <v>78.927809093170268</v>
      </c>
      <c r="K527" s="38">
        <f>IF(OR(A527&gt;180,'1.설계입력'!$C$39&gt;=1),"",'1.설계입력'!$C$34*(1-SIN(B527)/SQRT(1+'1.설계입력'!$C$39^2-2*'1.설계입력'!$C$39*COS(B527)))-'1.설계입력'!$C$33*(1-'1.설계입력'!$C$39*COS(B527)-SQRT(MAX(0,1-'1.설계입력'!$C$39^2))*SIN(B527))/SQRT(1+'1.설계입력'!$C$39^2-2*'1.설계입력'!$C$39*COS(B527)))</f>
        <v>3.5631708041097307E-3</v>
      </c>
    </row>
    <row r="528" spans="1:11" x14ac:dyDescent="0.3">
      <c r="A528" s="40">
        <f>A527+'1.설계입력'!$C$12</f>
        <v>104.40000000000094</v>
      </c>
      <c r="B528" s="40">
        <f t="shared" si="24"/>
        <v>1.8221237390820966</v>
      </c>
      <c r="C528" s="40">
        <f>ATAN2('1.설계입력'!$C$6/('1.설계입력'!$C$8*'1.설계입력'!$C$15)-COS((1-'1.설계입력'!$C$15)*B528),SIN((1-'1.설계입력'!$C$15)*B528))</f>
        <v>-0.49199908581344365</v>
      </c>
      <c r="D528" s="40">
        <f>'1.설계입력'!$C$6*COS(B528)-'1.설계입력'!$C$7*COS(B528+C528)-'1.설계입력'!$C$8*COS('1.설계입력'!$C$15*B528)</f>
        <v>-20.132465235004002</v>
      </c>
      <c r="E528" s="40">
        <f>-'1.설계입력'!$C$6*SIN(B528)+'1.설계입력'!$C$7*SIN(B528+C528)+'1.설계입력'!$C$8*SIN('1.설계입력'!$C$15*B528)</f>
        <v>-76.420784702205097</v>
      </c>
      <c r="F528" s="40">
        <f>ATAN2(('1.설계입력'!$C$6+'1.설계입력'!$C$33)/('1.설계입력'!$C$8*'1.설계입력'!$C$15)-COS((1-'1.설계입력'!$C$15)*B528),SIN((1-'1.설계입력'!$C$15)*B528))</f>
        <v>-0.49201148636858888</v>
      </c>
      <c r="G528" s="40">
        <f>('1.설계입력'!$C$6+'1.설계입력'!$C$33)*COS(B528)-('1.설계입력'!$C$7+'1.설계입력'!$C$34)*COS(B528+F528)-'1.설계입력'!$C$8*COS('1.설계입력'!$C$15*B528)</f>
        <v>-20.133673241877602</v>
      </c>
      <c r="H528" s="40">
        <f>-('1.설계입력'!$C$6+'1.설계입력'!$C$33)*SIN(B528)+('1.설계입력'!$C$7+'1.설계입력'!$C$34)*SIN(B528+F528)+'1.설계입력'!$C$8*SIN('1.설계입력'!$C$15*B528)</f>
        <v>-76.409927398996075</v>
      </c>
      <c r="I528" s="40">
        <f t="shared" si="25"/>
        <v>79.028175298050698</v>
      </c>
      <c r="J528" s="40">
        <f t="shared" si="26"/>
        <v>79.017984050028446</v>
      </c>
      <c r="K528" s="38">
        <f>IF(OR(A528&gt;180,'1.설계입력'!$C$39&gt;=1),"",'1.설계입력'!$C$34*(1-SIN(B528)/SQRT(1+'1.설계입력'!$C$39^2-2*'1.설계입력'!$C$39*COS(B528)))-'1.설계입력'!$C$33*(1-'1.설계입력'!$C$39*COS(B528)-SQRT(MAX(0,1-'1.설계입력'!$C$39^2))*SIN(B528))/SQRT(1+'1.설계입력'!$C$39^2-2*'1.설계입력'!$C$39*COS(B528)))</f>
        <v>3.5810431336031614E-3</v>
      </c>
    </row>
    <row r="529" spans="1:11" x14ac:dyDescent="0.3">
      <c r="A529" s="40">
        <f>A528+'1.설계입력'!$C$12</f>
        <v>104.60000000000095</v>
      </c>
      <c r="B529" s="40">
        <f t="shared" si="24"/>
        <v>1.8256143975860852</v>
      </c>
      <c r="C529" s="40">
        <f>ATAN2('1.설계입력'!$C$6/('1.설계입력'!$C$8*'1.설계입력'!$C$15)-COS((1-'1.설계입력'!$C$15)*B529),SIN((1-'1.설계입력'!$C$15)*B529))</f>
        <v>-0.43854736601260252</v>
      </c>
      <c r="D529" s="40">
        <f>'1.설계입력'!$C$6*COS(B529)-'1.설계입력'!$C$7*COS(B529+C529)-'1.설계입력'!$C$8*COS('1.설계입력'!$C$15*B529)</f>
        <v>-20.321467129689726</v>
      </c>
      <c r="E529" s="40">
        <f>-'1.설계입력'!$C$6*SIN(B529)+'1.설계입력'!$C$7*SIN(B529+C529)+'1.설계입력'!$C$8*SIN('1.설계입력'!$C$15*B529)</f>
        <v>-76.461462740260046</v>
      </c>
      <c r="F529" s="40">
        <f>ATAN2(('1.설계입력'!$C$6+'1.설계입력'!$C$33)/('1.설계입력'!$C$8*'1.설계입력'!$C$15)-COS((1-'1.설계입력'!$C$15)*B529),SIN((1-'1.설계입력'!$C$15)*B529))</f>
        <v>-0.43855805917562196</v>
      </c>
      <c r="G529" s="40">
        <f>('1.설계입력'!$C$6+'1.설계입력'!$C$33)*COS(B529)-('1.설계입력'!$C$7+'1.설계입력'!$C$34)*COS(B529+F529)-'1.설계입력'!$C$8*COS('1.설계입력'!$C$15*B529)</f>
        <v>-20.322207701193079</v>
      </c>
      <c r="H529" s="40">
        <f>-('1.설계입력'!$C$6+'1.설계입력'!$C$33)*SIN(B529)+('1.설계입력'!$C$7+'1.설계입력'!$C$34)*SIN(B529+F529)+'1.설계입력'!$C$8*SIN('1.설계입력'!$C$15*B529)</f>
        <v>-76.450507001822089</v>
      </c>
      <c r="I529" s="40">
        <f t="shared" si="25"/>
        <v>79.115847405454971</v>
      </c>
      <c r="J529" s="40">
        <f t="shared" si="26"/>
        <v>79.105449538486781</v>
      </c>
      <c r="K529" s="38">
        <f>IF(OR(A529&gt;180,'1.설계입력'!$C$39&gt;=1),"",'1.설계입력'!$C$34*(1-SIN(B529)/SQRT(1+'1.설계입력'!$C$39^2-2*'1.설계입력'!$C$39*COS(B529)))-'1.설계입력'!$C$33*(1-'1.설계입력'!$C$39*COS(B529)-SQRT(MAX(0,1-'1.설계입력'!$C$39^2))*SIN(B529))/SQRT(1+'1.설계입력'!$C$39^2-2*'1.설계입력'!$C$39*COS(B529)))</f>
        <v>3.5989384026230008E-3</v>
      </c>
    </row>
    <row r="530" spans="1:11" x14ac:dyDescent="0.3">
      <c r="A530" s="40">
        <f>A529+'1.설계입력'!$C$12</f>
        <v>104.80000000000095</v>
      </c>
      <c r="B530" s="40">
        <f t="shared" si="24"/>
        <v>1.8291050560900739</v>
      </c>
      <c r="C530" s="40">
        <f>ATAN2('1.설계입력'!$C$6/('1.설계입력'!$C$8*'1.설계입력'!$C$15)-COS((1-'1.설계입력'!$C$15)*B530),SIN((1-'1.설계입력'!$C$15)*B530))</f>
        <v>-0.38401030765175265</v>
      </c>
      <c r="D530" s="40">
        <f>'1.설계입력'!$C$6*COS(B530)-'1.설계입력'!$C$7*COS(B530+C530)-'1.설계입력'!$C$8*COS('1.설계입력'!$C$15*B530)</f>
        <v>-20.524543165963166</v>
      </c>
      <c r="E530" s="40">
        <f>-'1.설계입력'!$C$6*SIN(B530)+'1.설계입력'!$C$7*SIN(B530+C530)+'1.설계입력'!$C$8*SIN('1.설계입력'!$C$15*B530)</f>
        <v>-76.493094180151743</v>
      </c>
      <c r="F530" s="40">
        <f>ATAN2(('1.설계입력'!$C$6+'1.설계입력'!$C$33)/('1.설계입력'!$C$8*'1.설계입력'!$C$15)-COS((1-'1.설계입력'!$C$15)*B530),SIN((1-'1.설계입력'!$C$15)*B530))</f>
        <v>-0.38401941203193207</v>
      </c>
      <c r="G530" s="40">
        <f>('1.설계입력'!$C$6+'1.설계입력'!$C$33)*COS(B530)-('1.설계입력'!$C$7+'1.설계입력'!$C$34)*COS(B530+F530)-'1.설계입력'!$C$8*COS('1.설계입력'!$C$15*B530)</f>
        <v>-20.524802990978301</v>
      </c>
      <c r="H530" s="40">
        <f>-('1.설계입력'!$C$6+'1.설계입력'!$C$33)*SIN(B530)+('1.설계입력'!$C$7+'1.설계입력'!$C$34)*SIN(B530+F530)+'1.설계입력'!$C$8*SIN('1.설계입력'!$C$15*B530)</f>
        <v>-76.482065512124322</v>
      </c>
      <c r="I530" s="40">
        <f t="shared" si="25"/>
        <v>79.198802575702175</v>
      </c>
      <c r="J530" s="40">
        <f t="shared" si="26"/>
        <v>79.188218080844251</v>
      </c>
      <c r="K530" s="38">
        <f>IF(OR(A530&gt;180,'1.설계입력'!$C$39&gt;=1),"",'1.설계입력'!$C$34*(1-SIN(B530)/SQRT(1+'1.설계입력'!$C$39^2-2*'1.설계입력'!$C$39*COS(B530)))-'1.설계입력'!$C$33*(1-'1.설계입력'!$C$39*COS(B530)-SQRT(MAX(0,1-'1.설계입력'!$C$39^2))*SIN(B530))/SQRT(1+'1.설계입력'!$C$39^2-2*'1.설계입력'!$C$39*COS(B530)))</f>
        <v>3.6168565080113668E-3</v>
      </c>
    </row>
    <row r="531" spans="1:11" x14ac:dyDescent="0.3">
      <c r="A531" s="40">
        <f>A530+'1.설계입력'!$C$12</f>
        <v>105.00000000000095</v>
      </c>
      <c r="B531" s="40">
        <f t="shared" si="24"/>
        <v>1.8325957145940626</v>
      </c>
      <c r="C531" s="40">
        <f>ATAN2('1.설계입력'!$C$6/('1.설계입력'!$C$8*'1.설계입력'!$C$15)-COS((1-'1.설계입력'!$C$15)*B531),SIN((1-'1.설계입력'!$C$15)*B531))</f>
        <v>-0.32861302815326809</v>
      </c>
      <c r="D531" s="40">
        <f>'1.설계입력'!$C$6*COS(B531)-'1.설계입력'!$C$7*COS(B531+C531)-'1.설계입력'!$C$8*COS('1.설계입력'!$C$15*B531)</f>
        <v>-20.740217464023061</v>
      </c>
      <c r="E531" s="40">
        <f>-'1.설계입력'!$C$6*SIN(B531)+'1.설계입력'!$C$7*SIN(B531+C531)+'1.설계입력'!$C$8*SIN('1.설계입력'!$C$15*B531)</f>
        <v>-76.513880665640258</v>
      </c>
      <c r="F531" s="40">
        <f>ATAN2(('1.설계입력'!$C$6+'1.설계입력'!$C$33)/('1.설계입력'!$C$8*'1.설계입력'!$C$15)-COS((1-'1.설계입력'!$C$15)*B531),SIN((1-'1.설계입력'!$C$15)*B531))</f>
        <v>-0.32862063869163494</v>
      </c>
      <c r="G531" s="40">
        <f>('1.설계입력'!$C$6+'1.설계입력'!$C$33)*COS(B531)-('1.설계입력'!$C$7+'1.설계입력'!$C$34)*COS(B531+F531)-'1.설계입력'!$C$8*COS('1.설계입력'!$C$15*B531)</f>
        <v>-20.739986348639579</v>
      </c>
      <c r="H531" s="40">
        <f>-('1.설계입력'!$C$6+'1.설계입력'!$C$33)*SIN(B531)+('1.설계입력'!$C$7+'1.설계입력'!$C$34)*SIN(B531+F531)+'1.설계입력'!$C$8*SIN('1.설계입력'!$C$15*B531)</f>
        <v>-76.502806404977051</v>
      </c>
      <c r="I531" s="40">
        <f t="shared" si="25"/>
        <v>79.275031094101791</v>
      </c>
      <c r="J531" s="40">
        <f t="shared" si="26"/>
        <v>79.264282129967924</v>
      </c>
      <c r="K531" s="38">
        <f>IF(OR(A531&gt;180,'1.설계입력'!$C$39&gt;=1),"",'1.설계입력'!$C$34*(1-SIN(B531)/SQRT(1+'1.설계입력'!$C$39^2-2*'1.설계입력'!$C$39*COS(B531)))-'1.설계입력'!$C$33*(1-'1.설계입력'!$C$39*COS(B531)-SQRT(MAX(0,1-'1.설계입력'!$C$39^2))*SIN(B531))/SQRT(1+'1.설계입력'!$C$39^2-2*'1.설계입력'!$C$39*COS(B531)))</f>
        <v>3.6347973469324437E-3</v>
      </c>
    </row>
    <row r="532" spans="1:11" x14ac:dyDescent="0.3">
      <c r="A532" s="40">
        <f>A531+'1.설계입력'!$C$12</f>
        <v>105.20000000000095</v>
      </c>
      <c r="B532" s="40">
        <f t="shared" si="24"/>
        <v>1.8360863730980514</v>
      </c>
      <c r="C532" s="40">
        <f>ATAN2('1.설계입력'!$C$6/('1.설계입력'!$C$8*'1.설계입력'!$C$15)-COS((1-'1.설계입력'!$C$15)*B532),SIN((1-'1.설계입력'!$C$15)*B532))</f>
        <v>-0.27253884836840259</v>
      </c>
      <c r="D532" s="40">
        <f>'1.설계입력'!$C$6*COS(B532)-'1.설계입력'!$C$7*COS(B532+C532)-'1.설계입력'!$C$8*COS('1.설계입력'!$C$15*B532)</f>
        <v>-20.966597712764784</v>
      </c>
      <c r="E532" s="40">
        <f>-'1.설계입력'!$C$6*SIN(B532)+'1.설계입력'!$C$7*SIN(B532+C532)+'1.설계입력'!$C$8*SIN('1.설계입력'!$C$15*B532)</f>
        <v>-76.522233418382342</v>
      </c>
      <c r="F532" s="40">
        <f>ATAN2(('1.설계입력'!$C$6+'1.설계입력'!$C$33)/('1.설계입력'!$C$8*'1.설계입력'!$C$15)-COS((1-'1.설계입력'!$C$15)*B532),SIN((1-'1.설계입력'!$C$15)*B532))</f>
        <v>-0.27254504035322424</v>
      </c>
      <c r="G532" s="40">
        <f>('1.설계입력'!$C$6+'1.설계입력'!$C$33)*COS(B532)-('1.설계입력'!$C$7+'1.설계입력'!$C$34)*COS(B532+F532)-'1.설계입력'!$C$8*COS('1.설계입력'!$C$15*B532)</f>
        <v>-20.965868458535301</v>
      </c>
      <c r="H532" s="40">
        <f>-('1.설계입력'!$C$6+'1.설계입력'!$C$33)*SIN(B532)+('1.설계입력'!$C$7+'1.설계입력'!$C$34)*SIN(B532+F532)+'1.설계입력'!$C$8*SIN('1.설계입력'!$C$15*B532)</f>
        <v>-76.51114226003304</v>
      </c>
      <c r="I532" s="40">
        <f t="shared" si="25"/>
        <v>79.342614193044483</v>
      </c>
      <c r="J532" s="40">
        <f t="shared" si="26"/>
        <v>79.331724613521544</v>
      </c>
      <c r="K532" s="38">
        <f>IF(OR(A532&gt;180,'1.설계입력'!$C$39&gt;=1),"",'1.설계입력'!$C$34*(1-SIN(B532)/SQRT(1+'1.설계입력'!$C$39^2-2*'1.설계입력'!$C$39*COS(B532)))-'1.설계입력'!$C$33*(1-'1.설계입력'!$C$39*COS(B532)-SQRT(MAX(0,1-'1.설계입력'!$C$39^2))*SIN(B532))/SQRT(1+'1.설계입력'!$C$39^2-2*'1.설계입력'!$C$39*COS(B532)))</f>
        <v>3.6527608168689277E-3</v>
      </c>
    </row>
    <row r="533" spans="1:11" x14ac:dyDescent="0.3">
      <c r="A533" s="40">
        <f>A532+'1.설계입력'!$C$12</f>
        <v>105.40000000000096</v>
      </c>
      <c r="B533" s="40">
        <f t="shared" si="24"/>
        <v>1.8395770316020401</v>
      </c>
      <c r="C533" s="40">
        <f>ATAN2('1.설계입력'!$C$6/('1.설계입력'!$C$8*'1.설계입력'!$C$15)-COS((1-'1.설계입력'!$C$15)*B533),SIN((1-'1.설계입력'!$C$15)*B533))</f>
        <v>-0.21594074619814213</v>
      </c>
      <c r="D533" s="40">
        <f>'1.설계입력'!$C$6*COS(B533)-'1.설계입력'!$C$7*COS(B533+C533)-'1.설계입력'!$C$8*COS('1.설계입력'!$C$15*B533)</f>
        <v>-21.201457297288439</v>
      </c>
      <c r="E533" s="40">
        <f>-'1.설계입력'!$C$6*SIN(B533)+'1.설계입력'!$C$7*SIN(B533+C533)+'1.설계입력'!$C$8*SIN('1.설계입력'!$C$15*B533)</f>
        <v>-76.516849559915755</v>
      </c>
      <c r="F533" s="40">
        <f>ATAN2(('1.설계입력'!$C$6+'1.설계입력'!$C$33)/('1.설계입력'!$C$8*'1.설계입력'!$C$15)-COS((1-'1.설계입력'!$C$15)*B533),SIN((1-'1.설계입력'!$C$15)*B533))</f>
        <v>-0.21594557825333485</v>
      </c>
      <c r="G533" s="40">
        <f>('1.설계입력'!$C$6+'1.설계입력'!$C$33)*COS(B533)-('1.설계입력'!$C$7+'1.설계입력'!$C$34)*COS(B533+F533)-'1.설계입력'!$C$8*COS('1.설계입력'!$C$15*B533)</f>
        <v>-21.200225609132183</v>
      </c>
      <c r="H533" s="40">
        <f>-('1.설계입력'!$C$6+'1.설계입력'!$C$33)*SIN(B533)+('1.설계입력'!$C$7+'1.설계입력'!$C$34)*SIN(B533+F533)+'1.설계입력'!$C$8*SIN('1.설계입력'!$C$15*B533)</f>
        <v>-76.505771146532183</v>
      </c>
      <c r="I533" s="40">
        <f t="shared" si="25"/>
        <v>79.399811448790771</v>
      </c>
      <c r="J533" s="40">
        <f t="shared" si="26"/>
        <v>79.388806418812351</v>
      </c>
      <c r="K533" s="38">
        <f>IF(OR(A533&gt;180,'1.설계입력'!$C$39&gt;=1),"",'1.설계입력'!$C$34*(1-SIN(B533)/SQRT(1+'1.설계입력'!$C$39^2-2*'1.설계입력'!$C$39*COS(B533)))-'1.설계입력'!$C$33*(1-'1.설계입력'!$C$39*COS(B533)-SQRT(MAX(0,1-'1.설계입력'!$C$39^2))*SIN(B533))/SQRT(1+'1.설계입력'!$C$39^2-2*'1.설계입력'!$C$39*COS(B533)))</f>
        <v>3.6707468156185158E-3</v>
      </c>
    </row>
    <row r="534" spans="1:11" x14ac:dyDescent="0.3">
      <c r="A534" s="40">
        <f>A533+'1.설계입력'!$C$12</f>
        <v>105.60000000000096</v>
      </c>
      <c r="B534" s="40">
        <f t="shared" si="24"/>
        <v>1.8430676901060288</v>
      </c>
      <c r="C534" s="40">
        <f>ATAN2('1.설계입력'!$C$6/('1.설계입력'!$C$8*'1.설계입력'!$C$15)-COS((1-'1.설계입력'!$C$15)*B534),SIN((1-'1.설계입력'!$C$15)*B534))</f>
        <v>-0.15894976206660508</v>
      </c>
      <c r="D534" s="40">
        <f>'1.설계입력'!$C$6*COS(B534)-'1.설계입력'!$C$7*COS(B534+C534)-'1.설계입력'!$C$8*COS('1.설계입력'!$C$15*B534)</f>
        <v>-21.44231573561331</v>
      </c>
      <c r="E534" s="40">
        <f>-'1.설계입력'!$C$6*SIN(B534)+'1.설계입력'!$C$7*SIN(B534+C534)+'1.설계입력'!$C$8*SIN('1.설계입력'!$C$15*B534)</f>
        <v>-76.49676941759833</v>
      </c>
      <c r="F534" s="40">
        <f>ATAN2(('1.설계입력'!$C$6+'1.설계입력'!$C$33)/('1.설계입력'!$C$8*'1.설계입력'!$C$15)-COS((1-'1.설계입력'!$C$15)*B534),SIN((1-'1.설계입력'!$C$15)*B534))</f>
        <v>-0.15895327835410861</v>
      </c>
      <c r="G534" s="40">
        <f>('1.설계입력'!$C$6+'1.설계입력'!$C$33)*COS(B534)-('1.설계입력'!$C$7+'1.설계입력'!$C$34)*COS(B534+F534)-'1.설계입력'!$C$8*COS('1.설계입력'!$C$15*B534)</f>
        <v>-21.440580145765875</v>
      </c>
      <c r="H534" s="40">
        <f>-('1.설계입력'!$C$6+'1.설계입력'!$C$33)*SIN(B534)+('1.설계입력'!$C$7+'1.설계입력'!$C$34)*SIN(B534+F534)+'1.설계입력'!$C$8*SIN('1.설계입력'!$C$15*B534)</f>
        <v>-76.485733973565758</v>
      </c>
      <c r="I534" s="40">
        <f t="shared" si="25"/>
        <v>79.445129715011092</v>
      </c>
      <c r="J534" s="40">
        <f t="shared" si="26"/>
        <v>79.434035390769878</v>
      </c>
      <c r="K534" s="38">
        <f>IF(OR(A534&gt;180,'1.설계입력'!$C$39&gt;=1),"",'1.설계입력'!$C$34*(1-SIN(B534)/SQRT(1+'1.설계입력'!$C$39^2-2*'1.설계입력'!$C$39*COS(B534)))-'1.설계입력'!$C$33*(1-'1.설계입력'!$C$39*COS(B534)-SQRT(MAX(0,1-'1.설계입력'!$C$39^2))*SIN(B534))/SQRT(1+'1.설계입력'!$C$39^2-2*'1.설계입력'!$C$39*COS(B534)))</f>
        <v>3.6887552412904435E-3</v>
      </c>
    </row>
    <row r="535" spans="1:11" x14ac:dyDescent="0.3">
      <c r="A535" s="40">
        <f>A534+'1.설계입력'!$C$12</f>
        <v>105.80000000000096</v>
      </c>
      <c r="B535" s="40">
        <f t="shared" si="24"/>
        <v>1.8465583486100174</v>
      </c>
      <c r="C535" s="40">
        <f>ATAN2('1.설계입력'!$C$6/('1.설계입력'!$C$8*'1.설계입력'!$C$15)-COS((1-'1.설계입력'!$C$15)*B535),SIN((1-'1.설계입력'!$C$15)*B535))</f>
        <v>-0.10168137574071259</v>
      </c>
      <c r="D535" s="40">
        <f>'1.설계입력'!$C$6*COS(B535)-'1.설계입력'!$C$7*COS(B535+C535)-'1.설계입력'!$C$8*COS('1.설계입력'!$C$15*B535)</f>
        <v>-21.686518494651811</v>
      </c>
      <c r="E535" s="40">
        <f>-'1.설계입력'!$C$6*SIN(B535)+'1.설계입력'!$C$7*SIN(B535+C535)+'1.설계입력'!$C$8*SIN('1.설계입력'!$C$15*B535)</f>
        <v>-76.46141695100556</v>
      </c>
      <c r="F535" s="40">
        <f>ATAN2(('1.설계입력'!$C$6+'1.설계입력'!$C$33)/('1.설계입력'!$C$8*'1.설계입력'!$C$15)-COS((1-'1.설계입력'!$C$15)*B535),SIN((1-'1.설계입력'!$C$15)*B535))</f>
        <v>-0.10168360754553686</v>
      </c>
      <c r="G535" s="40">
        <f>('1.설계입력'!$C$6+'1.설계입력'!$C$33)*COS(B535)-('1.설계입력'!$C$7+'1.설계입력'!$C$34)*COS(B535+F535)-'1.설계입력'!$C$8*COS('1.설계입력'!$C$15*B535)</f>
        <v>-21.684280293696453</v>
      </c>
      <c r="H535" s="40">
        <f>-('1.설계입력'!$C$6+'1.설계입력'!$C$33)*SIN(B535)+('1.설계입력'!$C$7+'1.설계입력'!$C$34)*SIN(B535+F535)+'1.설계입력'!$C$8*SIN('1.설계입력'!$C$15*B535)</f>
        <v>-76.450454947748582</v>
      </c>
      <c r="I535" s="40">
        <f t="shared" si="25"/>
        <v>79.477376444963227</v>
      </c>
      <c r="J535" s="40">
        <f t="shared" si="26"/>
        <v>79.466219701036039</v>
      </c>
      <c r="K535" s="38">
        <f>IF(OR(A535&gt;180,'1.설계입력'!$C$39&gt;=1),"",'1.설계입력'!$C$34*(1-SIN(B535)/SQRT(1+'1.설계입력'!$C$39^2-2*'1.설계입력'!$C$39*COS(B535)))-'1.설계입력'!$C$33*(1-'1.설계입력'!$C$39*COS(B535)-SQRT(MAX(0,1-'1.설계입력'!$C$39^2))*SIN(B535))/SQRT(1+'1.설계입력'!$C$39^2-2*'1.설계입력'!$C$39*COS(B535)))</f>
        <v>3.7067859923020632E-3</v>
      </c>
    </row>
    <row r="536" spans="1:11" x14ac:dyDescent="0.3">
      <c r="A536" s="40">
        <f>A535+'1.설계입력'!$C$12</f>
        <v>106.00000000000097</v>
      </c>
      <c r="B536" s="40">
        <f t="shared" si="24"/>
        <v>1.8500490071140061</v>
      </c>
      <c r="C536" s="40">
        <f>ATAN2('1.설계입력'!$C$6/('1.설계입력'!$C$8*'1.설계입력'!$C$15)-COS((1-'1.설계입력'!$C$15)*B536),SIN((1-'1.설계입력'!$C$15)*B536))</f>
        <v>-4.424054088278262E-2</v>
      </c>
      <c r="D536" s="40">
        <f>'1.설계입력'!$C$6*COS(B536)-'1.설계입력'!$C$7*COS(B536+C536)-'1.설계입력'!$C$8*COS('1.설계입력'!$C$15*B536)</f>
        <v>-21.931316278411902</v>
      </c>
      <c r="E536" s="40">
        <f>-'1.설계입력'!$C$6*SIN(B536)+'1.설계입력'!$C$7*SIN(B536+C536)+'1.설계입력'!$C$8*SIN('1.설계입력'!$C$15*B536)</f>
        <v>-76.410624637746352</v>
      </c>
      <c r="F536" s="40">
        <f>ATAN2(('1.설계입력'!$C$6+'1.설계입력'!$C$33)/('1.설계입력'!$C$8*'1.설계입력'!$C$15)-COS((1-'1.설계입력'!$C$15)*B536),SIN((1-'1.설계입력'!$C$15)*B536))</f>
        <v>-4.4241507696631016E-2</v>
      </c>
      <c r="G536" s="40">
        <f>('1.설계입력'!$C$6+'1.설계입력'!$C$33)*COS(B536)-('1.설계입력'!$C$7+'1.설계입력'!$C$34)*COS(B536+F536)-'1.설계입력'!$C$8*COS('1.설계입력'!$C$15*B536)</f>
        <v>-21.928579447366335</v>
      </c>
      <c r="H536" s="40">
        <f>-('1.설계입력'!$C$6+'1.설계입력'!$C$33)*SIN(B536)+('1.설계입력'!$C$7+'1.설계입력'!$C$34)*SIN(B536+F536)+'1.설계입력'!$C$8*SIN('1.설계입력'!$C$15*B536)</f>
        <v>-76.399766480889383</v>
      </c>
      <c r="I536" s="40">
        <f t="shared" si="25"/>
        <v>79.49569919960642</v>
      </c>
      <c r="J536" s="40">
        <f t="shared" si="26"/>
        <v>79.484507389263513</v>
      </c>
      <c r="K536" s="38">
        <f>IF(OR(A536&gt;180,'1.설계입력'!$C$39&gt;=1),"",'1.설계입력'!$C$34*(1-SIN(B536)/SQRT(1+'1.설계입력'!$C$39^2-2*'1.설계입력'!$C$39*COS(B536)))-'1.설계입력'!$C$33*(1-'1.설계입력'!$C$39*COS(B536)-SQRT(MAX(0,1-'1.설계입력'!$C$39^2))*SIN(B536))/SQRT(1+'1.설계입력'!$C$39^2-2*'1.설계입력'!$C$39*COS(B536)))</f>
        <v>3.7248389673754621E-3</v>
      </c>
    </row>
    <row r="537" spans="1:11" x14ac:dyDescent="0.3">
      <c r="A537" s="40">
        <f>A536+'1.설계입력'!$C$12</f>
        <v>106.20000000000097</v>
      </c>
      <c r="B537" s="40">
        <f t="shared" si="24"/>
        <v>1.853539665617995</v>
      </c>
      <c r="C537" s="40">
        <f>ATAN2('1.설계입력'!$C$6/('1.설계입력'!$C$8*'1.설계입력'!$C$15)-COS((1-'1.설계입력'!$C$15)*B537),SIN((1-'1.설계입력'!$C$15)*B537))</f>
        <v>1.3274139784240482E-2</v>
      </c>
      <c r="D537" s="40">
        <f>'1.설계입력'!$C$6*COS(B537)-'1.설계입력'!$C$7*COS(B537+C537)-'1.설계입력'!$C$8*COS('1.설계입력'!$C$15*B537)</f>
        <v>-22.173943286097977</v>
      </c>
      <c r="E537" s="40">
        <f>-'1.설계입력'!$C$6*SIN(B537)+'1.설계입력'!$C$7*SIN(B537+C537)+'1.설계입력'!$C$8*SIN('1.설계입력'!$C$15*B537)</f>
        <v>-76.344643697857336</v>
      </c>
      <c r="F537" s="40">
        <f>ATAN2(('1.설계입력'!$C$6+'1.설계입력'!$C$33)/('1.설계입력'!$C$8*'1.설계입력'!$C$15)-COS((1-'1.설계입력'!$C$15)*B537),SIN((1-'1.설계입력'!$C$15)*B537))</f>
        <v>1.3274429604511639E-2</v>
      </c>
      <c r="G537" s="40">
        <f>('1.설계입력'!$C$6+'1.설계입력'!$C$33)*COS(B537)-('1.설계입력'!$C$7+'1.설계입력'!$C$34)*COS(B537+F537)-'1.설계입력'!$C$8*COS('1.설계입력'!$C$15*B537)</f>
        <v>-22.17071442544087</v>
      </c>
      <c r="H537" s="40">
        <f>-('1.설계입력'!$C$6+'1.설계입력'!$C$33)*SIN(B537)+('1.설계입력'!$C$7+'1.설계입력'!$C$34)*SIN(B537+F537)+'1.설계입력'!$C$8*SIN('1.설계입력'!$C$15*B537)</f>
        <v>-76.333919429107581</v>
      </c>
      <c r="I537" s="40">
        <f t="shared" si="25"/>
        <v>79.499612465771662</v>
      </c>
      <c r="J537" s="40">
        <f t="shared" si="26"/>
        <v>79.488413203082246</v>
      </c>
      <c r="K537" s="38">
        <f>IF(OR(A537&gt;180,'1.설계입력'!$C$39&gt;=1),"",'1.설계입력'!$C$34*(1-SIN(B537)/SQRT(1+'1.설계입력'!$C$39^2-2*'1.설계입력'!$C$39*COS(B537)))-'1.설계입력'!$C$33*(1-'1.설계입력'!$C$39*COS(B537)-SQRT(MAX(0,1-'1.설계입력'!$C$39^2))*SIN(B537))/SQRT(1+'1.설계입력'!$C$39^2-2*'1.설계입력'!$C$39*COS(B537)))</f>
        <v>3.742914065534125E-3</v>
      </c>
    </row>
    <row r="538" spans="1:11" x14ac:dyDescent="0.3">
      <c r="A538" s="40">
        <f>A537+'1.설계입력'!$C$12</f>
        <v>106.40000000000097</v>
      </c>
      <c r="B538" s="40">
        <f t="shared" si="24"/>
        <v>1.8570303241219837</v>
      </c>
      <c r="C538" s="40">
        <f>ATAN2('1.설계입력'!$C$6/('1.설계입력'!$C$8*'1.설계입력'!$C$15)-COS((1-'1.설계입력'!$C$15)*B538),SIN((1-'1.설계입력'!$C$15)*B538))</f>
        <v>7.0766737901514901E-2</v>
      </c>
      <c r="D538" s="40">
        <f>'1.설계입력'!$C$6*COS(B538)-'1.설계입력'!$C$7*COS(B538+C538)-'1.설계입력'!$C$8*COS('1.설계입력'!$C$15*B538)</f>
        <v>-22.41169357868311</v>
      </c>
      <c r="E538" s="40">
        <f>-'1.설계입력'!$C$6*SIN(B538)+'1.설계입력'!$C$7*SIN(B538+C538)+'1.설계입력'!$C$8*SIN('1.설계입력'!$C$15*B538)</f>
        <v>-76.264140276440273</v>
      </c>
      <c r="F538" s="40">
        <f>ATAN2(('1.설계입력'!$C$6+'1.설계입력'!$C$33)/('1.설계입력'!$C$8*'1.설계입력'!$C$15)-COS((1-'1.설계입력'!$C$15)*B538),SIN((1-'1.설계입력'!$C$15)*B538))</f>
        <v>7.0768286855542525E-2</v>
      </c>
      <c r="G538" s="40">
        <f>('1.설계입력'!$C$6+'1.설계입력'!$C$33)*COS(B538)-('1.설계입력'!$C$7+'1.설계입력'!$C$34)*COS(B538+F538)-'1.설계입력'!$C$8*COS('1.설계입력'!$C$15*B538)</f>
        <v>-22.407981831478011</v>
      </c>
      <c r="H538" s="40">
        <f>-('1.설계입력'!$C$6+'1.설계입력'!$C$33)*SIN(B538)+('1.설계입력'!$C$7+'1.설계입력'!$C$34)*SIN(B538+F538)+'1.설계입력'!$C$8*SIN('1.설계입력'!$C$15*B538)</f>
        <v>-76.253579284404964</v>
      </c>
      <c r="I538" s="40">
        <f t="shared" si="25"/>
        <v>79.489012455617697</v>
      </c>
      <c r="J538" s="40">
        <f t="shared" si="26"/>
        <v>79.477833409340505</v>
      </c>
      <c r="K538" s="38">
        <f>IF(OR(A538&gt;180,'1.설계입력'!$C$39&gt;=1),"",'1.설계입력'!$C$34*(1-SIN(B538)/SQRT(1+'1.설계입력'!$C$39^2-2*'1.설계입력'!$C$39*COS(B538)))-'1.설계입력'!$C$33*(1-'1.설계입력'!$C$39*COS(B538)-SQRT(MAX(0,1-'1.설계입력'!$C$39^2))*SIN(B538))/SQRT(1+'1.설계입력'!$C$39^2-2*'1.설계입력'!$C$39*COS(B538)))</f>
        <v>3.7610111860996382E-3</v>
      </c>
    </row>
    <row r="539" spans="1:11" x14ac:dyDescent="0.3">
      <c r="A539" s="40">
        <f>A538+'1.설계입력'!$C$12</f>
        <v>106.60000000000097</v>
      </c>
      <c r="B539" s="40">
        <f t="shared" si="24"/>
        <v>1.8605209826259723</v>
      </c>
      <c r="C539" s="40">
        <f>ATAN2('1.설계입력'!$C$6/('1.설계입력'!$C$8*'1.설계입력'!$C$15)-COS((1-'1.설계입력'!$C$15)*B539),SIN((1-'1.설계입력'!$C$15)*B539))</f>
        <v>0.12814052822357769</v>
      </c>
      <c r="D539" s="40">
        <f>'1.설계입력'!$C$6*COS(B539)-'1.설계입력'!$C$7*COS(B539+C539)-'1.설계입력'!$C$8*COS('1.설계입력'!$C$15*B539)</f>
        <v>-22.641994488258042</v>
      </c>
      <c r="E539" s="40">
        <f>-'1.설계입력'!$C$6*SIN(B539)+'1.설계입력'!$C$7*SIN(B539+C539)+'1.설계입력'!$C$8*SIN('1.설계입력'!$C$15*B539)</f>
        <v>-76.170178054991155</v>
      </c>
      <c r="F539" s="40">
        <f>ATAN2(('1.설계입력'!$C$6+'1.설계입력'!$C$33)/('1.설계입력'!$C$8*'1.설계입력'!$C$15)-COS((1-'1.설계입력'!$C$15)*B539),SIN((1-'1.설계입력'!$C$15)*B539))</f>
        <v>0.12814334975050132</v>
      </c>
      <c r="G539" s="40">
        <f>('1.설계입력'!$C$6+'1.설계입력'!$C$33)*COS(B539)-('1.설계입력'!$C$7+'1.설계입력'!$C$34)*COS(B539+F539)-'1.설계입력'!$C$8*COS('1.설계입력'!$C$15*B539)</f>
        <v>-22.637811455403366</v>
      </c>
      <c r="H539" s="40">
        <f>-('1.설계입력'!$C$6+'1.설계입력'!$C$33)*SIN(B539)+('1.설계입력'!$C$7+'1.설계입력'!$C$34)*SIN(B539+F539)+'1.설계입력'!$C$8*SIN('1.설계입력'!$C$15*B539)</f>
        <v>-76.159808789762394</v>
      </c>
      <c r="I539" s="40">
        <f t="shared" si="25"/>
        <v>79.464180228171756</v>
      </c>
      <c r="J539" s="40">
        <f t="shared" si="26"/>
        <v>79.453048918109872</v>
      </c>
      <c r="K539" s="38">
        <f>IF(OR(A539&gt;180,'1.설계입력'!$C$39&gt;=1),"",'1.설계입력'!$C$34*(1-SIN(B539)/SQRT(1+'1.설계입력'!$C$39^2-2*'1.설계입력'!$C$39*COS(B539)))-'1.설계입력'!$C$33*(1-'1.설계입력'!$C$39*COS(B539)-SQRT(MAX(0,1-'1.설계입력'!$C$39^2))*SIN(B539))/SQRT(1+'1.설계입력'!$C$39^2-2*'1.설계입력'!$C$39*COS(B539)))</f>
        <v>3.779130228688437E-3</v>
      </c>
    </row>
    <row r="540" spans="1:11" x14ac:dyDescent="0.3">
      <c r="A540" s="40">
        <f>A539+'1.설계입력'!$C$12</f>
        <v>106.80000000000098</v>
      </c>
      <c r="B540" s="40">
        <f t="shared" si="24"/>
        <v>1.864011641129961</v>
      </c>
      <c r="C540" s="40">
        <f>ATAN2('1.설계입력'!$C$6/('1.설계입력'!$C$8*'1.설계입력'!$C$15)-COS((1-'1.설계입력'!$C$15)*B540),SIN((1-'1.설계입력'!$C$15)*B540))</f>
        <v>0.18529445647755088</v>
      </c>
      <c r="D540" s="40">
        <f>'1.설계입력'!$C$6*COS(B540)-'1.설계입력'!$C$7*COS(B540+C540)-'1.설계입력'!$C$8*COS('1.설계입력'!$C$15*B540)</f>
        <v>-22.862475908778407</v>
      </c>
      <c r="E540" s="40">
        <f>-'1.설계입력'!$C$6*SIN(B540)+'1.설계입력'!$C$7*SIN(B540+C540)+'1.설계입력'!$C$8*SIN('1.설계입력'!$C$15*B540)</f>
        <v>-76.064187658169971</v>
      </c>
      <c r="F540" s="40">
        <f>ATAN2(('1.설계입력'!$C$6+'1.설계입력'!$C$33)/('1.설계입력'!$C$8*'1.설계입력'!$C$15)-COS((1-'1.설계입력'!$C$15)*B540),SIN((1-'1.설계입력'!$C$15)*B540))</f>
        <v>0.18529857540595543</v>
      </c>
      <c r="G540" s="40">
        <f>('1.설계입력'!$C$6+'1.설계입력'!$C$33)*COS(B540)-('1.설계입력'!$C$7+'1.설계입력'!$C$34)*COS(B540+F540)-'1.설계입력'!$C$8*COS('1.설계입력'!$C$15*B540)</f>
        <v>-22.857835555027371</v>
      </c>
      <c r="H540" s="40">
        <f>-('1.설계입력'!$C$6+'1.설계입력'!$C$33)*SIN(B540)+('1.설계입력'!$C$7+'1.설계입력'!$C$34)*SIN(B540+F540)+'1.설계입력'!$C$8*SIN('1.설계입력'!$C$15*B540)</f>
        <v>-76.054037344510377</v>
      </c>
      <c r="I540" s="40">
        <f t="shared" si="25"/>
        <v>79.425773202259535</v>
      </c>
      <c r="J540" s="40">
        <f t="shared" si="26"/>
        <v>79.414716788897834</v>
      </c>
      <c r="K540" s="38">
        <f>IF(OR(A540&gt;180,'1.설계입력'!$C$39&gt;=1),"",'1.설계입력'!$C$34*(1-SIN(B540)/SQRT(1+'1.설계입력'!$C$39^2-2*'1.설계입력'!$C$39*COS(B540)))-'1.설계입력'!$C$33*(1-'1.설계입력'!$C$39*COS(B540)-SQRT(MAX(0,1-'1.설계입력'!$C$39^2))*SIN(B540))/SQRT(1+'1.설계입력'!$C$39^2-2*'1.설계입력'!$C$39*COS(B540)))</f>
        <v>3.7972710932085846E-3</v>
      </c>
    </row>
    <row r="541" spans="1:11" x14ac:dyDescent="0.3">
      <c r="A541" s="40">
        <f>A540+'1.설계입력'!$C$12</f>
        <v>107.00000000000098</v>
      </c>
      <c r="B541" s="40">
        <f t="shared" si="24"/>
        <v>1.8675022996339496</v>
      </c>
      <c r="C541" s="40">
        <f>ATAN2('1.설계입력'!$C$6/('1.설계입력'!$C$8*'1.설계입력'!$C$15)-COS((1-'1.설계입력'!$C$15)*B541),SIN((1-'1.설계입력'!$C$15)*B541))</f>
        <v>0.24211927214357362</v>
      </c>
      <c r="D541" s="40">
        <f>'1.설계입력'!$C$6*COS(B541)-'1.설계입력'!$C$7*COS(B541+C541)-'1.설계입력'!$C$8*COS('1.설계입력'!$C$15*B541)</f>
        <v>-23.071034293778816</v>
      </c>
      <c r="E541" s="40">
        <f>-'1.설계입력'!$C$6*SIN(B541)+'1.설계입력'!$C$7*SIN(B541+C541)+'1.설계입력'!$C$8*SIN('1.설계입력'!$C$15*B541)</f>
        <v>-75.947923110615037</v>
      </c>
      <c r="F541" s="40">
        <f>ATAN2(('1.설계입력'!$C$6+'1.설계입력'!$C$33)/('1.설계입력'!$C$8*'1.설계입력'!$C$15)-COS((1-'1.설계입력'!$C$15)*B541),SIN((1-'1.설계입력'!$C$15)*B541))</f>
        <v>0.24212472553884051</v>
      </c>
      <c r="G541" s="40">
        <f>('1.설계입력'!$C$6+'1.설계입력'!$C$33)*COS(B541)-('1.설계입력'!$C$7+'1.설계입력'!$C$34)*COS(B541+F541)-'1.설계입력'!$C$8*COS('1.설계입력'!$C$15*B541)</f>
        <v>-23.06595284363069</v>
      </c>
      <c r="H541" s="40">
        <f>-('1.설계입력'!$C$6+'1.설계입력'!$C$33)*SIN(B541)+('1.설계입력'!$C$7+'1.설계입력'!$C$34)*SIN(B541+F541)+'1.설계입력'!$C$8*SIN('1.설계입력'!$C$15*B541)</f>
        <v>-75.938017453955851</v>
      </c>
      <c r="I541" s="40">
        <f t="shared" si="25"/>
        <v>79.374804870315188</v>
      </c>
      <c r="J541" s="40">
        <f t="shared" si="26"/>
        <v>79.3638499281751</v>
      </c>
      <c r="K541" s="38">
        <f>IF(OR(A541&gt;180,'1.설계입력'!$C$39&gt;=1),"",'1.설계입력'!$C$34*(1-SIN(B541)/SQRT(1+'1.설계입력'!$C$39^2-2*'1.설계입력'!$C$39*COS(B541)))-'1.설계입력'!$C$33*(1-'1.설계입력'!$C$39*COS(B541)-SQRT(MAX(0,1-'1.설계입력'!$C$39^2))*SIN(B541))/SQRT(1+'1.설계입력'!$C$39^2-2*'1.설계입력'!$C$39*COS(B541)))</f>
        <v>3.8154336798566059E-3</v>
      </c>
    </row>
    <row r="542" spans="1:11" x14ac:dyDescent="0.3">
      <c r="A542" s="40">
        <f>A541+'1.설계입력'!$C$12</f>
        <v>107.20000000000098</v>
      </c>
      <c r="B542" s="40">
        <f t="shared" si="24"/>
        <v>1.8709929581379385</v>
      </c>
      <c r="C542" s="40">
        <f>ATAN2('1.설계입력'!$C$6/('1.설계입력'!$C$8*'1.설계입력'!$C$15)-COS((1-'1.설계입력'!$C$15)*B542),SIN((1-'1.설계입력'!$C$15)*B542))</f>
        <v>0.2984930073710087</v>
      </c>
      <c r="D542" s="40">
        <f>'1.설계입력'!$C$6*COS(B542)-'1.설계입력'!$C$7*COS(B542+C542)-'1.설계입력'!$C$8*COS('1.설계입력'!$C$15*B542)</f>
        <v>-23.265890243415729</v>
      </c>
      <c r="E542" s="40">
        <f>-'1.설계입력'!$C$6*SIN(B542)+'1.설계입력'!$C$7*SIN(B542+C542)+'1.설계입력'!$C$8*SIN('1.설계입력'!$C$15*B542)</f>
        <v>-75.823405423317965</v>
      </c>
      <c r="F542" s="40">
        <f>ATAN2(('1.설계입력'!$C$6+'1.설계입력'!$C$33)/('1.설계입력'!$C$8*'1.설계입력'!$C$15)-COS((1-'1.설계입력'!$C$15)*B542),SIN((1-'1.설계입력'!$C$15)*B542))</f>
        <v>0.29849984583873312</v>
      </c>
      <c r="G542" s="40">
        <f>('1.설계입력'!$C$6+'1.설계입력'!$C$33)*COS(B542)-('1.설계입력'!$C$7+'1.설계입력'!$C$34)*COS(B542+F542)-'1.설계입력'!$C$8*COS('1.설계입력'!$C$15*B542)</f>
        <v>-23.260386066353632</v>
      </c>
      <c r="H542" s="40">
        <f>-('1.설계입력'!$C$6+'1.설계입력'!$C$33)*SIN(B542)+('1.설계입력'!$C$7+'1.설계입력'!$C$34)*SIN(B542+F542)+'1.설계입력'!$C$8*SIN('1.설계입력'!$C$15*B542)</f>
        <v>-75.813768301437207</v>
      </c>
      <c r="I542" s="40">
        <f t="shared" si="25"/>
        <v>79.312612230385596</v>
      </c>
      <c r="J542" s="40">
        <f t="shared" si="26"/>
        <v>79.301784494548571</v>
      </c>
      <c r="K542" s="38">
        <f>IF(OR(A542&gt;180,'1.설계입력'!$C$39&gt;=1),"",'1.설계입력'!$C$34*(1-SIN(B542)/SQRT(1+'1.설계입력'!$C$39^2-2*'1.설계입력'!$C$39*COS(B542)))-'1.설계입력'!$C$33*(1-'1.설계입력'!$C$39*COS(B542)-SQRT(MAX(0,1-'1.설계입력'!$C$39^2))*SIN(B542))/SQRT(1+'1.설계입력'!$C$39^2-2*'1.설계입력'!$C$39*COS(B542)))</f>
        <v>3.8336178891143434E-3</v>
      </c>
    </row>
    <row r="543" spans="1:11" x14ac:dyDescent="0.3">
      <c r="A543" s="40">
        <f>A542+'1.설계입력'!$C$12</f>
        <v>107.40000000000099</v>
      </c>
      <c r="B543" s="40">
        <f t="shared" si="24"/>
        <v>1.8744836166419272</v>
      </c>
      <c r="C543" s="40">
        <f>ATAN2('1.설계입력'!$C$6/('1.설계입력'!$C$8*'1.설계입력'!$C$15)-COS((1-'1.설계입력'!$C$15)*B543),SIN((1-'1.설계입력'!$C$15)*B543))</f>
        <v>0.35427539292398808</v>
      </c>
      <c r="D543" s="40">
        <f>'1.설계입력'!$C$6*COS(B543)-'1.설계입력'!$C$7*COS(B543+C543)-'1.설계입력'!$C$8*COS('1.설계입력'!$C$15*B543)</f>
        <v>-23.445638687932696</v>
      </c>
      <c r="E543" s="40">
        <f>-'1.설계입력'!$C$6*SIN(B543)+'1.설계입력'!$C$7*SIN(B543+C543)+'1.설계입력'!$C$8*SIN('1.설계입력'!$C$15*B543)</f>
        <v>-75.692853084288785</v>
      </c>
      <c r="F543" s="40">
        <f>ATAN2(('1.설계입력'!$C$6+'1.설계입력'!$C$33)/('1.설계입력'!$C$8*'1.설계입력'!$C$15)-COS((1-'1.설계입력'!$C$15)*B543),SIN((1-'1.설계입력'!$C$15)*B543))</f>
        <v>0.35428368246271791</v>
      </c>
      <c r="G543" s="40">
        <f>('1.설계입력'!$C$6+'1.설계입력'!$C$33)*COS(B543)-('1.설계입력'!$C$7+'1.설계입력'!$C$34)*COS(B543+F543)-'1.설계입력'!$C$8*COS('1.설계입력'!$C$15*B543)</f>
        <v>-23.439732172845559</v>
      </c>
      <c r="H543" s="40">
        <f>-('1.설계입력'!$C$6+'1.설계입력'!$C$33)*SIN(B543)+('1.설계입력'!$C$7+'1.설계입력'!$C$34)*SIN(B543+F543)+'1.설계입력'!$C$8*SIN('1.설계입력'!$C$15*B543)</f>
        <v>-75.683506215245828</v>
      </c>
      <c r="I543" s="40">
        <f t="shared" si="25"/>
        <v>79.24081007615213</v>
      </c>
      <c r="J543" s="40">
        <f t="shared" si="26"/>
        <v>79.230134149626963</v>
      </c>
      <c r="K543" s="38">
        <f>IF(OR(A543&gt;180,'1.설계입력'!$C$39&gt;=1),"",'1.설계입력'!$C$34*(1-SIN(B543)/SQRT(1+'1.설계입력'!$C$39^2-2*'1.설계입력'!$C$39*COS(B543)))-'1.설계입력'!$C$33*(1-'1.설계입력'!$C$39*COS(B543)-SQRT(MAX(0,1-'1.설계입력'!$C$39^2))*SIN(B543))/SQRT(1+'1.설계입력'!$C$39^2-2*'1.설계입력'!$C$39*COS(B543)))</f>
        <v>3.8518236217458613E-3</v>
      </c>
    </row>
    <row r="544" spans="1:11" x14ac:dyDescent="0.3">
      <c r="A544" s="40">
        <f>A543+'1.설계입력'!$C$12</f>
        <v>107.60000000000099</v>
      </c>
      <c r="B544" s="40">
        <f t="shared" si="24"/>
        <v>1.8779742751459159</v>
      </c>
      <c r="C544" s="40">
        <f>ATAN2('1.설계입력'!$C$6/('1.설계입력'!$C$8*'1.설계입력'!$C$15)-COS((1-'1.설계입력'!$C$15)*B544),SIN((1-'1.설계입력'!$C$15)*B544))</f>
        <v>0.40930064675121697</v>
      </c>
      <c r="D544" s="40">
        <f>'1.설계입력'!$C$6*COS(B544)-'1.설계입력'!$C$7*COS(B544+C544)-'1.설계입력'!$C$8*COS('1.설계입력'!$C$15*B544)</f>
        <v>-23.609290878289595</v>
      </c>
      <c r="E544" s="40">
        <f>-'1.설계입력'!$C$6*SIN(B544)+'1.설계입력'!$C$7*SIN(B544+C544)+'1.설계입력'!$C$8*SIN('1.설계입력'!$C$15*B544)</f>
        <v>-75.558598698926446</v>
      </c>
      <c r="F544" s="40">
        <f>ATAN2(('1.설계입력'!$C$6+'1.설계입력'!$C$33)/('1.설계입력'!$C$8*'1.설계입력'!$C$15)-COS((1-'1.설계입력'!$C$15)*B544),SIN((1-'1.설계입력'!$C$15)*B544))</f>
        <v>0.4093104712928104</v>
      </c>
      <c r="G544" s="40">
        <f>('1.설계입력'!$C$6+'1.설계입력'!$C$33)*COS(B544)-('1.설계입력'!$C$7+'1.설계입력'!$C$34)*COS(B544+F544)-'1.설계입력'!$C$8*COS('1.설계입력'!$C$15*B544)</f>
        <v>-23.603004297359075</v>
      </c>
      <c r="H544" s="40">
        <f>-('1.설계입력'!$C$6+'1.설계입력'!$C$33)*SIN(B544)+('1.설계입력'!$C$7+'1.설계입력'!$C$34)*SIN(B544+F544)+'1.설계입력'!$C$8*SIN('1.설계입력'!$C$15*B544)</f>
        <v>-75.549561272183851</v>
      </c>
      <c r="I544" s="40">
        <f t="shared" si="25"/>
        <v>79.161230745366112</v>
      </c>
      <c r="J544" s="40">
        <f t="shared" si="26"/>
        <v>79.150729752040903</v>
      </c>
      <c r="K544" s="38">
        <f>IF(OR(A544&gt;180,'1.설계입력'!$C$39&gt;=1),"",'1.설계입력'!$C$34*(1-SIN(B544)/SQRT(1+'1.설계입력'!$C$39^2-2*'1.설계입력'!$C$39*COS(B544)))-'1.설계입력'!$C$33*(1-'1.설계입력'!$C$39*COS(B544)-SQRT(MAX(0,1-'1.설계입력'!$C$39^2))*SIN(B544))/SQRT(1+'1.설계입력'!$C$39^2-2*'1.설계입력'!$C$39*COS(B544)))</f>
        <v>3.8700507787943891E-3</v>
      </c>
    </row>
    <row r="545" spans="1:11" x14ac:dyDescent="0.3">
      <c r="A545" s="40">
        <f>A544+'1.설계입력'!$C$12</f>
        <v>107.80000000000099</v>
      </c>
      <c r="B545" s="40">
        <f t="shared" si="24"/>
        <v>1.8814649336499045</v>
      </c>
      <c r="C545" s="40">
        <f>ATAN2('1.설계입력'!$C$6/('1.설계입력'!$C$8*'1.설계입력'!$C$15)-COS((1-'1.설계입력'!$C$15)*B545),SIN((1-'1.설계입력'!$C$15)*B545))</f>
        <v>0.46336781521325315</v>
      </c>
      <c r="D545" s="40">
        <f>'1.설계입력'!$C$6*COS(B545)-'1.설계입력'!$C$7*COS(B545+C545)-'1.설계입력'!$C$8*COS('1.설계입력'!$C$15*B545)</f>
        <v>-23.756307708993592</v>
      </c>
      <c r="E545" s="40">
        <f>-'1.설계입력'!$C$6*SIN(B545)+'1.설계입력'!$C$7*SIN(B545+C545)+'1.설계입력'!$C$8*SIN('1.설계입력'!$C$15*B545)</f>
        <v>-75.422990123267553</v>
      </c>
      <c r="F545" s="40">
        <f>ATAN2(('1.설계입력'!$C$6+'1.설계입력'!$C$33)/('1.설계입력'!$C$8*'1.설계입력'!$C$15)-COS((1-'1.설계입력'!$C$15)*B545),SIN((1-'1.설계입력'!$C$15)*B545))</f>
        <v>0.46337928005006296</v>
      </c>
      <c r="G545" s="40">
        <f>('1.설계입력'!$C$6+'1.설계입력'!$C$33)*COS(B545)-('1.설계입력'!$C$7+'1.설계입력'!$C$34)*COS(B545+F545)-'1.설계입력'!$C$8*COS('1.설계입력'!$C$15*B545)</f>
        <v>-23.749665072000852</v>
      </c>
      <c r="H545" s="40">
        <f>-('1.설계입력'!$C$6+'1.설계입력'!$C$33)*SIN(B545)+('1.설계입력'!$C$7+'1.설계입력'!$C$34)*SIN(B545+F545)+'1.설계입력'!$C$8*SIN('1.설계입력'!$C$15*B545)</f>
        <v>-75.414278375232328</v>
      </c>
      <c r="I545" s="40">
        <f t="shared" si="25"/>
        <v>79.075847103264749</v>
      </c>
      <c r="J545" s="40">
        <f t="shared" si="26"/>
        <v>79.065542266459232</v>
      </c>
      <c r="K545" s="38">
        <f>IF(OR(A545&gt;180,'1.설계입력'!$C$39&gt;=1),"",'1.설계입력'!$C$34*(1-SIN(B545)/SQRT(1+'1.설계입력'!$C$39^2-2*'1.설계입력'!$C$39*COS(B545)))-'1.설계입력'!$C$33*(1-'1.설계입력'!$C$39*COS(B545)-SQRT(MAX(0,1-'1.설계입력'!$C$39^2))*SIN(B545))/SQRT(1+'1.설계입력'!$C$39^2-2*'1.설계입력'!$C$39*COS(B545)))</f>
        <v>3.8882992615792977E-3</v>
      </c>
    </row>
    <row r="546" spans="1:11" x14ac:dyDescent="0.3">
      <c r="A546" s="40">
        <f>A545+'1.설계입력'!$C$12</f>
        <v>108.00000000000099</v>
      </c>
      <c r="B546" s="40">
        <f t="shared" si="24"/>
        <v>1.8849555921538932</v>
      </c>
      <c r="C546" s="40">
        <f>ATAN2('1.설계입력'!$C$6/('1.설계입력'!$C$8*'1.설계입력'!$C$15)-COS((1-'1.설계입력'!$C$15)*B546),SIN((1-'1.설계입력'!$C$15)*B546))</f>
        <v>0.5162274283172027</v>
      </c>
      <c r="D546" s="40">
        <f>'1.설계입력'!$C$6*COS(B546)-'1.설계입력'!$C$7*COS(B546+C546)-'1.설계입력'!$C$8*COS('1.설계입력'!$C$15*B546)</f>
        <v>-23.88662439426734</v>
      </c>
      <c r="E546" s="40">
        <f>-'1.설계입력'!$C$6*SIN(B546)+'1.설계입력'!$C$7*SIN(B546+C546)+'1.설계입력'!$C$8*SIN('1.설계입력'!$C$15*B546)</f>
        <v>-75.288272911297355</v>
      </c>
      <c r="F546" s="40">
        <f>ATAN2(('1.설계입력'!$C$6+'1.설계입력'!$C$33)/('1.설계입력'!$C$8*'1.설계입력'!$C$15)-COS((1-'1.설계입력'!$C$15)*B546),SIN((1-'1.설계입력'!$C$15)*B546))</f>
        <v>0.51624066469939933</v>
      </c>
      <c r="G546" s="40">
        <f>('1.설계입력'!$C$6+'1.설계입력'!$C$33)*COS(B546)-('1.설계입력'!$C$7+'1.설계입력'!$C$34)*COS(B546+F546)-'1.설계입력'!$C$8*COS('1.설계입력'!$C$15*B546)</f>
        <v>-23.879651295457275</v>
      </c>
      <c r="H546" s="40">
        <f>-('1.설계입력'!$C$6+'1.설계입력'!$C$33)*SIN(B546)+('1.설계입력'!$C$7+'1.설계입력'!$C$34)*SIN(B546+F546)+'1.설계입력'!$C$8*SIN('1.설계입력'!$C$15*B546)</f>
        <v>-75.279899617574259</v>
      </c>
      <c r="I546" s="40">
        <f t="shared" si="25"/>
        <v>78.986675223855315</v>
      </c>
      <c r="J546" s="40">
        <f t="shared" si="26"/>
        <v>78.976585342902055</v>
      </c>
      <c r="K546" s="38">
        <f>IF(OR(A546&gt;180,'1.설계입력'!$C$39&gt;=1),"",'1.설계입력'!$C$34*(1-SIN(B546)/SQRT(1+'1.설계입력'!$C$39^2-2*'1.설계입력'!$C$39*COS(B546)))-'1.설계입력'!$C$33*(1-'1.설계입력'!$C$39*COS(B546)-SQRT(MAX(0,1-'1.설계입력'!$C$39^2))*SIN(B546))/SQRT(1+'1.설계입력'!$C$39^2-2*'1.설계입력'!$C$39*COS(B546)))</f>
        <v>3.9065689716931201E-3</v>
      </c>
    </row>
    <row r="547" spans="1:11" x14ac:dyDescent="0.3">
      <c r="A547" s="40">
        <f>A546+'1.설계입력'!$C$12</f>
        <v>108.200000000001</v>
      </c>
      <c r="B547" s="40">
        <f t="shared" si="24"/>
        <v>1.8884462506578821</v>
      </c>
      <c r="C547" s="40">
        <f>ATAN2('1.설계입력'!$C$6/('1.설계입력'!$C$8*'1.설계입력'!$C$15)-COS((1-'1.설계입력'!$C$15)*B547),SIN((1-'1.설계입력'!$C$15)*B547))</f>
        <v>0.56756253571476301</v>
      </c>
      <c r="D547" s="40">
        <f>'1.설계입력'!$C$6*COS(B547)-'1.설계입력'!$C$7*COS(B547+C547)-'1.설계입력'!$C$8*COS('1.설계입력'!$C$15*B547)</f>
        <v>-24.000667348787655</v>
      </c>
      <c r="E547" s="40">
        <f>-'1.설계입력'!$C$6*SIN(B547)+'1.설계입력'!$C$7*SIN(B547+C547)+'1.설계입력'!$C$8*SIN('1.설계입력'!$C$15*B547)</f>
        <v>-75.156448327399033</v>
      </c>
      <c r="F547" s="40">
        <f>ATAN2(('1.설계입력'!$C$6+'1.설계입력'!$C$33)/('1.설계입력'!$C$8*'1.설계입력'!$C$15)-COS((1-'1.설계입력'!$C$15)*B547),SIN((1-'1.설계입력'!$C$15)*B547))</f>
        <v>0.56757770701789811</v>
      </c>
      <c r="G547" s="40">
        <f>('1.설계입력'!$C$6+'1.설계입력'!$C$33)*COS(B547)-('1.설계입력'!$C$7+'1.설계입력'!$C$34)*COS(B547+F547)-'1.설계입력'!$C$8*COS('1.설계입력'!$C$15*B547)</f>
        <v>-23.993390810668732</v>
      </c>
      <c r="H547" s="40">
        <f>-('1.설계입력'!$C$6+'1.설계입력'!$C$33)*SIN(B547)+('1.설계입력'!$C$7+'1.설계입력'!$C$34)*SIN(B547+F547)+'1.설계입력'!$C$8*SIN('1.설계입력'!$C$15*B547)</f>
        <v>-75.148422169813387</v>
      </c>
      <c r="I547" s="40">
        <f t="shared" si="25"/>
        <v>78.895651073910045</v>
      </c>
      <c r="J547" s="40">
        <f t="shared" si="26"/>
        <v>78.885791858901825</v>
      </c>
      <c r="K547" s="38">
        <f>IF(OR(A547&gt;180,'1.설계입력'!$C$39&gt;=1),"",'1.설계입력'!$C$34*(1-SIN(B547)/SQRT(1+'1.설계입력'!$C$39^2-2*'1.설계입력'!$C$39*COS(B547)))-'1.설계입력'!$C$33*(1-'1.설계입력'!$C$39*COS(B547)-SQRT(MAX(0,1-'1.설계입력'!$C$39^2))*SIN(B547))/SQRT(1+'1.설계입력'!$C$39^2-2*'1.설계입력'!$C$39*COS(B547)))</f>
        <v>3.9248598109985957E-3</v>
      </c>
    </row>
    <row r="548" spans="1:11" x14ac:dyDescent="0.3">
      <c r="A548" s="40">
        <f>A547+'1.설계입력'!$C$12</f>
        <v>108.400000000001</v>
      </c>
      <c r="B548" s="40">
        <f t="shared" si="24"/>
        <v>1.8919369091618707</v>
      </c>
      <c r="C548" s="40">
        <f>ATAN2('1.설계입력'!$C$6/('1.설계입력'!$C$8*'1.설계입력'!$C$15)-COS((1-'1.설계입력'!$C$15)*B548),SIN((1-'1.설계입력'!$C$15)*B548))</f>
        <v>0.61696101303626349</v>
      </c>
      <c r="D548" s="40">
        <f>'1.설계입력'!$C$6*COS(B548)-'1.설계입력'!$C$7*COS(B548+C548)-'1.설계입력'!$C$8*COS('1.설계입력'!$C$15*B548)</f>
        <v>-24.099365615231868</v>
      </c>
      <c r="E548" s="40">
        <f>-'1.설계입력'!$C$6*SIN(B548)+'1.설계입력'!$C$7*SIN(B548+C548)+'1.설계입력'!$C$8*SIN('1.설계입력'!$C$15*B548)</f>
        <v>-75.029096787760949</v>
      </c>
      <c r="F548" s="40">
        <f>ATAN2(('1.설계입력'!$C$6+'1.설계입력'!$C$33)/('1.설계입력'!$C$8*'1.설계입력'!$C$15)-COS((1-'1.설계입력'!$C$15)*B548),SIN((1-'1.설계입력'!$C$15)*B548))</f>
        <v>0.61697832305904321</v>
      </c>
      <c r="G548" s="40">
        <f>('1.설계입력'!$C$6+'1.설계입력'!$C$33)*COS(B548)-('1.설계입력'!$C$7+'1.설계입력'!$C$34)*COS(B548+F548)-'1.설계입력'!$C$8*COS('1.설계입력'!$C$15*B548)</f>
        <v>-24.091813938123281</v>
      </c>
      <c r="H548" s="40">
        <f>-('1.설계입력'!$C$6+'1.설계입력'!$C$33)*SIN(B548)+('1.설계입력'!$C$7+'1.설계입력'!$C$34)*SIN(B548+F548)+'1.설계입력'!$C$8*SIN('1.설계입력'!$C$15*B548)</f>
        <v>-75.021421531051999</v>
      </c>
      <c r="I548" s="40">
        <f t="shared" si="25"/>
        <v>78.804471877196292</v>
      </c>
      <c r="J548" s="40">
        <f t="shared" si="26"/>
        <v>78.794855081844929</v>
      </c>
      <c r="K548" s="38">
        <f>IF(OR(A548&gt;180,'1.설계입력'!$C$39&gt;=1),"",'1.설계입력'!$C$34*(1-SIN(B548)/SQRT(1+'1.설계입력'!$C$39^2-2*'1.설계입력'!$C$39*COS(B548)))-'1.설계입력'!$C$33*(1-'1.설계입력'!$C$39*COS(B548)-SQRT(MAX(0,1-'1.설계입력'!$C$39^2))*SIN(B548))/SQRT(1+'1.설계입력'!$C$39^2-2*'1.설계입력'!$C$39*COS(B548)))</f>
        <v>3.943171681625765E-3</v>
      </c>
    </row>
    <row r="549" spans="1:11" x14ac:dyDescent="0.3">
      <c r="A549" s="40">
        <f>A548+'1.설계입력'!$C$12</f>
        <v>108.600000000001</v>
      </c>
      <c r="B549" s="40">
        <f t="shared" si="24"/>
        <v>1.8954275676658594</v>
      </c>
      <c r="C549" s="40">
        <f>ATAN2('1.설계입력'!$C$6/('1.설계입력'!$C$8*'1.설계입력'!$C$15)-COS((1-'1.설계입력'!$C$15)*B549),SIN((1-'1.설계입력'!$C$15)*B549))</f>
        <v>0.66387397902061696</v>
      </c>
      <c r="D549" s="40">
        <f>'1.설계입력'!$C$6*COS(B549)-'1.설계입력'!$C$7*COS(B549+C549)-'1.설계입력'!$C$8*COS('1.설계입력'!$C$15*B549)</f>
        <v>-24.184162052017918</v>
      </c>
      <c r="E549" s="40">
        <f>-'1.설계입력'!$C$6*SIN(B549)+'1.설계입력'!$C$7*SIN(B549+C549)+'1.설계입력'!$C$8*SIN('1.설계입력'!$C$15*B549)</f>
        <v>-74.907148967643536</v>
      </c>
      <c r="F549" s="40">
        <f>ATAN2(('1.설계입력'!$C$6+'1.설계입력'!$C$33)/('1.설계입력'!$C$8*'1.설계입력'!$C$15)-COS((1-'1.설계입력'!$C$15)*B549),SIN((1-'1.설계입력'!$C$15)*B549))</f>
        <v>0.66389368318083331</v>
      </c>
      <c r="G549" s="40">
        <f>('1.설계입력'!$C$6+'1.설계입력'!$C$33)*COS(B549)-('1.설계입력'!$C$7+'1.설계입력'!$C$34)*COS(B549+F549)-'1.설계입력'!$C$8*COS('1.설계입력'!$C$15*B549)</f>
        <v>-24.176364687216939</v>
      </c>
      <c r="H549" s="40">
        <f>-('1.설계입력'!$C$6+'1.설계입력'!$C$33)*SIN(B549)+('1.설계입력'!$C$7+'1.설계입력'!$C$34)*SIN(B549+F549)+'1.설계입력'!$C$8*SIN('1.설계입력'!$C$15*B549)</f>
        <v>-74.899822342075524</v>
      </c>
      <c r="I549" s="40">
        <f t="shared" si="25"/>
        <v>78.714386617815961</v>
      </c>
      <c r="J549" s="40">
        <f t="shared" si="26"/>
        <v>78.705018876586166</v>
      </c>
      <c r="K549" s="38">
        <f>IF(OR(A549&gt;180,'1.설계입력'!$C$39&gt;=1),"",'1.설계입력'!$C$34*(1-SIN(B549)/SQRT(1+'1.설계입력'!$C$39^2-2*'1.설계입력'!$C$39*COS(B549)))-'1.설계입력'!$C$33*(1-'1.설계입력'!$C$39*COS(B549)-SQRT(MAX(0,1-'1.설계입력'!$C$39^2))*SIN(B549))/SQRT(1+'1.설계입력'!$C$39^2-2*'1.설계입력'!$C$39*COS(B549)))</f>
        <v>3.9615044859690933E-3</v>
      </c>
    </row>
    <row r="550" spans="1:11" x14ac:dyDescent="0.3">
      <c r="A550" s="40">
        <f>A549+'1.설계입력'!$C$12</f>
        <v>108.80000000000101</v>
      </c>
      <c r="B550" s="40">
        <f t="shared" si="24"/>
        <v>1.8989182261698481</v>
      </c>
      <c r="C550" s="40">
        <f>ATAN2('1.설계입력'!$C$6/('1.설계입력'!$C$8*'1.설계입력'!$C$15)-COS((1-'1.설계입력'!$C$15)*B550),SIN((1-'1.설계입력'!$C$15)*B550))</f>
        <v>0.70755148623732733</v>
      </c>
      <c r="D550" s="40">
        <f>'1.설계입력'!$C$6*COS(B550)-'1.설계입력'!$C$7*COS(B550+C550)-'1.설계입력'!$C$8*COS('1.설계입력'!$C$15*B550)</f>
        <v>-24.257035383884148</v>
      </c>
      <c r="E550" s="40">
        <f>-'1.설계입력'!$C$6*SIN(B550)+'1.설계입력'!$C$7*SIN(B550+C550)+'1.설계입력'!$C$8*SIN('1.설계입력'!$C$15*B550)</f>
        <v>-74.79057324106364</v>
      </c>
      <c r="F550" s="40">
        <f>ATAN2(('1.설계입력'!$C$6+'1.설계입력'!$C$33)/('1.설계입력'!$C$8*'1.설계입력'!$C$15)-COS((1-'1.설계입력'!$C$15)*B550),SIN((1-'1.설계입력'!$C$15)*B550))</f>
        <v>0.70757390666666176</v>
      </c>
      <c r="G550" s="40">
        <f>('1.설계입력'!$C$6+'1.설계입력'!$C$33)*COS(B550)-('1.설계입력'!$C$7+'1.설계입력'!$C$34)*COS(B550+F550)-'1.설계입력'!$C$8*COS('1.설계입력'!$C$15*B550)</f>
        <v>-24.249022867449028</v>
      </c>
      <c r="H550" s="40">
        <f>-('1.설계입력'!$C$6+'1.설계입력'!$C$33)*SIN(B550)+('1.설계입력'!$C$7+'1.설계입력'!$C$34)*SIN(B550+F550)+'1.설계입력'!$C$8*SIN('1.설계입력'!$C$15*B550)</f>
        <v>-74.783585360771326</v>
      </c>
      <c r="I550" s="40">
        <f t="shared" si="25"/>
        <v>78.625909287854427</v>
      </c>
      <c r="J550" s="40">
        <f t="shared" si="26"/>
        <v>78.616790505831744</v>
      </c>
      <c r="K550" s="38">
        <f>IF(OR(A550&gt;180,'1.설계입력'!$C$39&gt;=1),"",'1.설계입력'!$C$34*(1-SIN(B550)/SQRT(1+'1.설계입력'!$C$39^2-2*'1.설계입력'!$C$39*COS(B550)))-'1.설계입력'!$C$33*(1-'1.설계입력'!$C$39*COS(B550)-SQRT(MAX(0,1-'1.설계입력'!$C$39^2))*SIN(B550))/SQRT(1+'1.설계입력'!$C$39^2-2*'1.설계입력'!$C$39*COS(B550)))</f>
        <v>3.9798581266846326E-3</v>
      </c>
    </row>
    <row r="551" spans="1:11" x14ac:dyDescent="0.3">
      <c r="A551" s="40">
        <f>A550+'1.설계입력'!$C$12</f>
        <v>109.00000000000101</v>
      </c>
      <c r="B551" s="40">
        <f t="shared" si="24"/>
        <v>1.9024088846738367</v>
      </c>
      <c r="C551" s="40">
        <f>ATAN2('1.설계입력'!$C$6/('1.설계입력'!$C$8*'1.설계입력'!$C$15)-COS((1-'1.설계입력'!$C$15)*B551),SIN((1-'1.설계입력'!$C$15)*B551))</f>
        <v>0.74693982265878789</v>
      </c>
      <c r="D551" s="40">
        <f>'1.설계입력'!$C$6*COS(B551)-'1.설계입력'!$C$7*COS(B551+C551)-'1.설계입력'!$C$8*COS('1.설계입력'!$C$15*B551)</f>
        <v>-24.320557014590012</v>
      </c>
      <c r="E551" s="40">
        <f>-'1.설계입력'!$C$6*SIN(B551)+'1.설계입력'!$C$7*SIN(B551+C551)+'1.설계입력'!$C$8*SIN('1.설계입력'!$C$15*B551)</f>
        <v>-74.677923347990131</v>
      </c>
      <c r="F551" s="40">
        <f>ATAN2(('1.설계입력'!$C$6+'1.설계입력'!$C$33)/('1.설계입력'!$C$8*'1.설계입력'!$C$15)-COS((1-'1.설계입력'!$C$15)*B551),SIN((1-'1.설계입력'!$C$15)*B551))</f>
        <v>0.74696536832687732</v>
      </c>
      <c r="G551" s="40">
        <f>('1.설계입력'!$C$6+'1.설계입력'!$C$33)*COS(B551)-('1.설계입력'!$C$7+'1.설계입력'!$C$34)*COS(B551+F551)-'1.설계입력'!$C$8*COS('1.설계입력'!$C$15*B551)</f>
        <v>-24.312361040581457</v>
      </c>
      <c r="H551" s="40">
        <f>-('1.설계입력'!$C$6+'1.설계입력'!$C$33)*SIN(B551)+('1.설계입력'!$C$7+'1.설계입력'!$C$34)*SIN(B551+F551)+'1.설계입력'!$C$8*SIN('1.설계입력'!$C$15*B551)</f>
        <v>-74.671254377034487</v>
      </c>
      <c r="I551" s="40">
        <f t="shared" si="25"/>
        <v>78.53840925985331</v>
      </c>
      <c r="J551" s="40">
        <f t="shared" si="26"/>
        <v>78.529530302984583</v>
      </c>
      <c r="K551" s="38">
        <f>IF(OR(A551&gt;180,'1.설계입력'!$C$39&gt;=1),"",'1.설계입력'!$C$34*(1-SIN(B551)/SQRT(1+'1.설계입력'!$C$39^2-2*'1.설계입력'!$C$39*COS(B551)))-'1.설계입력'!$C$33*(1-'1.설계입력'!$C$39*COS(B551)-SQRT(MAX(0,1-'1.설계입력'!$C$39^2))*SIN(B551))/SQRT(1+'1.설계입력'!$C$39^2-2*'1.설계입력'!$C$39*COS(B551)))</f>
        <v>3.9982325066872087E-3</v>
      </c>
    </row>
    <row r="552" spans="1:11" x14ac:dyDescent="0.3">
      <c r="A552" s="40">
        <f>A551+'1.설계입력'!$C$12</f>
        <v>109.20000000000101</v>
      </c>
      <c r="B552" s="40">
        <f t="shared" si="24"/>
        <v>1.9058995431778256</v>
      </c>
      <c r="C552" s="40">
        <f>ATAN2('1.설계입력'!$C$6/('1.설계입력'!$C$8*'1.설계입력'!$C$15)-COS((1-'1.설계입력'!$C$15)*B552),SIN((1-'1.설계입력'!$C$15)*B552))</f>
        <v>0.78051163836386939</v>
      </c>
      <c r="D552" s="40">
        <f>'1.설계입력'!$C$6*COS(B552)-'1.설계입력'!$C$7*COS(B552+C552)-'1.설계입력'!$C$8*COS('1.설계입력'!$C$15*B552)</f>
        <v>-24.378035889054541</v>
      </c>
      <c r="E552" s="40">
        <f>-'1.설계입력'!$C$6*SIN(B552)+'1.설계입력'!$C$7*SIN(B552+C552)+'1.설계입력'!$C$8*SIN('1.설계입력'!$C$15*B552)</f>
        <v>-74.565643857907119</v>
      </c>
      <c r="F552" s="40">
        <f>ATAN2(('1.설계입력'!$C$6+'1.설계입력'!$C$33)/('1.설계입력'!$C$8*'1.설계입력'!$C$15)-COS((1-'1.설계입력'!$C$15)*B552),SIN((1-'1.설계입력'!$C$15)*B552))</f>
        <v>0.7805408309074986</v>
      </c>
      <c r="G552" s="40">
        <f>('1.설계입력'!$C$6+'1.설계입력'!$C$33)*COS(B552)-('1.설계입력'!$C$7+'1.설계입력'!$C$34)*COS(B552+F552)-'1.설계입력'!$C$8*COS('1.설계입력'!$C$15*B552)</f>
        <v>-24.369689696672726</v>
      </c>
      <c r="H552" s="40">
        <f>-('1.설계입력'!$C$6+'1.설계입력'!$C$33)*SIN(B552)+('1.설계입력'!$C$7+'1.설계입력'!$C$34)*SIN(B552+F552)+'1.설계입력'!$C$8*SIN('1.설계입력'!$C$15*B552)</f>
        <v>-74.559260420018347</v>
      </c>
      <c r="I552" s="40">
        <f t="shared" si="25"/>
        <v>78.449498900581091</v>
      </c>
      <c r="J552" s="40">
        <f t="shared" si="26"/>
        <v>78.440838153937591</v>
      </c>
      <c r="K552" s="38">
        <f>IF(OR(A552&gt;180,'1.설계입력'!$C$39&gt;=1),"",'1.설계입력'!$C$34*(1-SIN(B552)/SQRT(1+'1.설계입력'!$C$39^2-2*'1.설계입력'!$C$39*COS(B552)))-'1.설계입력'!$C$33*(1-'1.설계입력'!$C$39*COS(B552)-SQRT(MAX(0,1-'1.설계입력'!$C$39^2))*SIN(B552))/SQRT(1+'1.설계입력'!$C$39^2-2*'1.설계입력'!$C$39*COS(B552)))</f>
        <v>4.0166275291476589E-3</v>
      </c>
    </row>
    <row r="553" spans="1:11" x14ac:dyDescent="0.3">
      <c r="A553" s="40">
        <f>A552+'1.설계입력'!$C$12</f>
        <v>109.40000000000101</v>
      </c>
      <c r="B553" s="40">
        <f t="shared" si="24"/>
        <v>1.9093902016818143</v>
      </c>
      <c r="C553" s="40">
        <f>ATAN2('1.설계입력'!$C$6/('1.설계입력'!$C$8*'1.설계입력'!$C$15)-COS((1-'1.설계입력'!$C$15)*B553),SIN((1-'1.설계입력'!$C$15)*B553))</f>
        <v>0.80597399290925542</v>
      </c>
      <c r="D553" s="40">
        <f>'1.설계입력'!$C$6*COS(B553)-'1.설계입력'!$C$7*COS(B553+C553)-'1.설계입력'!$C$8*COS('1.설계입력'!$C$15*B553)</f>
        <v>-24.433876063761065</v>
      </c>
      <c r="E553" s="40">
        <f>-'1.설계입력'!$C$6*SIN(B553)+'1.설계입력'!$C$7*SIN(B553+C553)+'1.설계입력'!$C$8*SIN('1.설계입력'!$C$15*B553)</f>
        <v>-74.446943016579112</v>
      </c>
      <c r="F553" s="40">
        <f>ATAN2(('1.설계입력'!$C$6+'1.설계입력'!$C$33)/('1.설계입력'!$C$8*'1.설계입력'!$C$15)-COS((1-'1.설계입력'!$C$15)*B553),SIN((1-'1.설계입력'!$C$15)*B553))</f>
        <v>0.80600749614432921</v>
      </c>
      <c r="G553" s="40">
        <f>('1.설계입력'!$C$6+'1.설계입력'!$C$33)*COS(B553)-('1.설계입력'!$C$7+'1.설계입력'!$C$34)*COS(B553+F553)-'1.설계입력'!$C$8*COS('1.설계입력'!$C$15*B553)</f>
        <v>-24.425415542475974</v>
      </c>
      <c r="H553" s="40">
        <f>-('1.설계입력'!$C$6+'1.설계입력'!$C$33)*SIN(B553)+('1.설계입력'!$C$7+'1.설계입력'!$C$34)*SIN(B553+F553)+'1.설계입력'!$C$8*SIN('1.설계입력'!$C$15*B553)</f>
        <v>-74.44079243625616</v>
      </c>
      <c r="I553" s="40">
        <f t="shared" si="25"/>
        <v>78.35407854102435</v>
      </c>
      <c r="J553" s="40">
        <f t="shared" si="26"/>
        <v>78.345596576708758</v>
      </c>
      <c r="K553" s="38">
        <f>IF(OR(A553&gt;180,'1.설계입력'!$C$39&gt;=1),"",'1.설계입력'!$C$34*(1-SIN(B553)/SQRT(1+'1.설계입력'!$C$39^2-2*'1.설계입력'!$C$39*COS(B553)))-'1.설계입력'!$C$33*(1-'1.설계입력'!$C$39*COS(B553)-SQRT(MAX(0,1-'1.설계입력'!$C$39^2))*SIN(B553))/SQRT(1+'1.설계입력'!$C$39^2-2*'1.설계입력'!$C$39*COS(B553)))</f>
        <v>4.0350430974900875E-3</v>
      </c>
    </row>
    <row r="554" spans="1:11" x14ac:dyDescent="0.3">
      <c r="A554" s="40">
        <f>A553+'1.설계입력'!$C$12</f>
        <v>109.60000000000102</v>
      </c>
      <c r="B554" s="40">
        <f t="shared" si="24"/>
        <v>1.9128808601858029</v>
      </c>
      <c r="C554" s="40">
        <f>ATAN2('1.설계입력'!$C$6/('1.설계입력'!$C$8*'1.설계입력'!$C$15)-COS((1-'1.설계입력'!$C$15)*B554),SIN((1-'1.설계입력'!$C$15)*B554))</f>
        <v>0.81974597988731934</v>
      </c>
      <c r="D554" s="40">
        <f>'1.설계입력'!$C$6*COS(B554)-'1.설계입력'!$C$7*COS(B554+C554)-'1.설계입력'!$C$8*COS('1.설계입력'!$C$15*B554)</f>
        <v>-24.494455165013658</v>
      </c>
      <c r="E554" s="40">
        <f>-'1.설계입력'!$C$6*SIN(B554)+'1.설계입력'!$C$7*SIN(B554+C554)+'1.설계입력'!$C$8*SIN('1.설계입력'!$C$15*B554)</f>
        <v>-74.309877494987305</v>
      </c>
      <c r="F554" s="40">
        <f>ATAN2(('1.설계입력'!$C$6+'1.설계입력'!$C$33)/('1.설계입력'!$C$8*'1.설계입력'!$C$15)-COS((1-'1.설계입력'!$C$15)*B554),SIN((1-'1.설계입력'!$C$15)*B554))</f>
        <v>0.81978462037239419</v>
      </c>
      <c r="G554" s="40">
        <f>('1.설계입력'!$C$6+'1.설계입력'!$C$33)*COS(B554)-('1.설계입력'!$C$7+'1.설계입력'!$C$34)*COS(B554+F554)-'1.설계입력'!$C$8*COS('1.설계입력'!$C$15*B554)</f>
        <v>-24.485921666423419</v>
      </c>
      <c r="H554" s="40">
        <f>-('1.설계입력'!$C$6+'1.설계입력'!$C$33)*SIN(B554)+('1.설계입력'!$C$7+'1.설계입력'!$C$34)*SIN(B554+F554)+'1.설계입력'!$C$8*SIN('1.설계입력'!$C$15*B554)</f>
        <v>-74.30387816967189</v>
      </c>
      <c r="I554" s="40">
        <f t="shared" si="25"/>
        <v>78.242803037409672</v>
      </c>
      <c r="J554" s="40">
        <f t="shared" si="26"/>
        <v>78.234434048618681</v>
      </c>
      <c r="K554" s="38">
        <f>IF(OR(A554&gt;180,'1.설계입력'!$C$39&gt;=1),"",'1.설계입력'!$C$34*(1-SIN(B554)/SQRT(1+'1.설계입력'!$C$39^2-2*'1.설계입력'!$C$39*COS(B554)))-'1.설계입력'!$C$33*(1-'1.설계입력'!$C$39*COS(B554)-SQRT(MAX(0,1-'1.설계입력'!$C$39^2))*SIN(B554))/SQRT(1+'1.설계입력'!$C$39^2-2*'1.설계입력'!$C$39*COS(B554)))</f>
        <v>4.0534791153891692E-3</v>
      </c>
    </row>
    <row r="555" spans="1:11" x14ac:dyDescent="0.3">
      <c r="A555" s="40">
        <f>A554+'1.설계입력'!$C$12</f>
        <v>109.80000000000102</v>
      </c>
      <c r="B555" s="40">
        <f t="shared" si="24"/>
        <v>1.9163715186897916</v>
      </c>
      <c r="C555" s="40">
        <f>ATAN2('1.설계입력'!$C$6/('1.설계입력'!$C$8*'1.설계입력'!$C$15)-COS((1-'1.설계입력'!$C$15)*B555),SIN((1-'1.설계입력'!$C$15)*B555))</f>
        <v>0.81598793491495725</v>
      </c>
      <c r="D555" s="40">
        <f>'1.설계입력'!$C$6*COS(B555)-'1.설계입력'!$C$7*COS(B555+C555)-'1.설계입력'!$C$8*COS('1.설계입력'!$C$15*B555)</f>
        <v>-24.570330124476918</v>
      </c>
      <c r="E555" s="40">
        <f>-'1.설계입력'!$C$6*SIN(B555)+'1.설계입력'!$C$7*SIN(B555+C555)+'1.설계입력'!$C$8*SIN('1.설계입력'!$C$15*B555)</f>
        <v>-74.134014429382589</v>
      </c>
      <c r="F555" s="40">
        <f>ATAN2(('1.설계입력'!$C$6+'1.설계입력'!$C$33)/('1.설계입력'!$C$8*'1.설계입력'!$C$15)-COS((1-'1.설계입력'!$C$15)*B555),SIN((1-'1.설계입력'!$C$15)*B555))</f>
        <v>0.81603266269584429</v>
      </c>
      <c r="G555" s="40">
        <f>('1.설계입력'!$C$6+'1.설계입력'!$C$33)*COS(B555)-('1.설계입력'!$C$7+'1.설계입력'!$C$34)*COS(B555+F555)-'1.설계입력'!$C$8*COS('1.설계입력'!$C$15*B555)</f>
        <v>-24.561777554365104</v>
      </c>
      <c r="H555" s="40">
        <f>-('1.설계입력'!$C$6+'1.설계입력'!$C$33)*SIN(B555)+('1.설계입력'!$C$7+'1.설계입력'!$C$34)*SIN(B555+F555)+'1.설계입력'!$C$8*SIN('1.설계입력'!$C$15*B555)</f>
        <v>-74.128039132429365</v>
      </c>
      <c r="I555" s="40">
        <f t="shared" si="25"/>
        <v>78.099636477013661</v>
      </c>
      <c r="J555" s="40">
        <f t="shared" si="26"/>
        <v>78.091274174833984</v>
      </c>
      <c r="K555" s="38">
        <f>IF(OR(A555&gt;180,'1.설계입력'!$C$39&gt;=1),"",'1.설계입력'!$C$34*(1-SIN(B555)/SQRT(1+'1.설계입력'!$C$39^2-2*'1.설계입력'!$C$39*COS(B555)))-'1.설계입력'!$C$33*(1-'1.설계입력'!$C$39*COS(B555)-SQRT(MAX(0,1-'1.설계입력'!$C$39^2))*SIN(B555))/SQRT(1+'1.설계입력'!$C$39^2-2*'1.설계입력'!$C$39*COS(B555)))</f>
        <v>4.0719354867674732E-3</v>
      </c>
    </row>
    <row r="556" spans="1:11" x14ac:dyDescent="0.3">
      <c r="A556" s="40">
        <f>A555+'1.설계입력'!$C$12</f>
        <v>110.00000000000102</v>
      </c>
      <c r="B556" s="40">
        <f t="shared" si="24"/>
        <v>1.9198621771937803</v>
      </c>
      <c r="C556" s="40">
        <f>ATAN2('1.설계입력'!$C$6/('1.설계입력'!$C$8*'1.설계입력'!$C$15)-COS((1-'1.설계입력'!$C$15)*B556),SIN((1-'1.설계입력'!$C$15)*B556))</f>
        <v>0.78475731155725204</v>
      </c>
      <c r="D556" s="40">
        <f>'1.설계입력'!$C$6*COS(B556)-'1.설계입력'!$C$7*COS(B556+C556)-'1.설계입력'!$C$8*COS('1.설계입력'!$C$15*B556)</f>
        <v>-24.681976958172747</v>
      </c>
      <c r="E556" s="40">
        <f>-'1.설계입력'!$C$6*SIN(B556)+'1.설계입력'!$C$7*SIN(B556+C556)+'1.설계입력'!$C$8*SIN('1.설계입력'!$C$15*B556)</f>
        <v>-73.884787339200457</v>
      </c>
      <c r="F556" s="40">
        <f>ATAN2(('1.설계입력'!$C$6+'1.설계입력'!$C$33)/('1.설계입력'!$C$8*'1.설계입력'!$C$15)-COS((1-'1.설계입력'!$C$15)*B556),SIN((1-'1.설계입력'!$C$15)*B556))</f>
        <v>0.78480891466869296</v>
      </c>
      <c r="G556" s="40">
        <f>('1.설계입력'!$C$6+'1.설계입력'!$C$33)*COS(B556)-('1.설계입력'!$C$7+'1.설계입력'!$C$34)*COS(B556+F556)-'1.설계입력'!$C$8*COS('1.설계입력'!$C$15*B556)</f>
        <v>-24.67349027233676</v>
      </c>
      <c r="H556" s="40">
        <f>-('1.설계입력'!$C$6+'1.설계입력'!$C$33)*SIN(B556)+('1.설계입력'!$C$7+'1.설계입력'!$C$34)*SIN(B556+F556)+'1.설계입력'!$C$8*SIN('1.설계입력'!$C$15*B556)</f>
        <v>-73.87863377853914</v>
      </c>
      <c r="I556" s="40">
        <f t="shared" si="25"/>
        <v>77.898406830452231</v>
      </c>
      <c r="J556" s="40">
        <f t="shared" si="26"/>
        <v>77.889881571373579</v>
      </c>
      <c r="K556" s="38">
        <f>IF(OR(A556&gt;180,'1.설계입력'!$C$39&gt;=1),"",'1.설계입력'!$C$34*(1-SIN(B556)/SQRT(1+'1.설계입력'!$C$39^2-2*'1.설계입력'!$C$39*COS(B556)))-'1.설계입력'!$C$33*(1-'1.설계입력'!$C$39*COS(B556)-SQRT(MAX(0,1-'1.설계입력'!$C$39^2))*SIN(B556))/SQRT(1+'1.설계입력'!$C$39^2-2*'1.설계입력'!$C$39*COS(B556)))</f>
        <v>4.0904121157928275E-3</v>
      </c>
    </row>
    <row r="557" spans="1:11" x14ac:dyDescent="0.3">
      <c r="A557" s="40">
        <f>A556+'1.설계입력'!$C$12</f>
        <v>110.20000000000103</v>
      </c>
      <c r="B557" s="40">
        <f t="shared" si="24"/>
        <v>1.9233528356977692</v>
      </c>
      <c r="C557" s="40">
        <f>ATAN2('1.설계입력'!$C$6/('1.설계입력'!$C$8*'1.설계입력'!$C$15)-COS((1-'1.설계입력'!$C$15)*B557),SIN((1-'1.설계입력'!$C$15)*B557))</f>
        <v>0.70864663909587644</v>
      </c>
      <c r="D557" s="40">
        <f>'1.설계입력'!$C$6*COS(B557)-'1.설계입력'!$C$7*COS(B557+C557)-'1.설계입력'!$C$8*COS('1.설계입력'!$C$15*B557)</f>
        <v>-24.875029417836242</v>
      </c>
      <c r="E557" s="40">
        <f>-'1.설계입력'!$C$6*SIN(B557)+'1.설계입력'!$C$7*SIN(B557+C557)+'1.설계입력'!$C$8*SIN('1.설계입력'!$C$15*B557)</f>
        <v>-73.506053003658693</v>
      </c>
      <c r="F557" s="40">
        <f>ATAN2(('1.설계입력'!$C$6+'1.설계입력'!$C$33)/('1.설계입력'!$C$8*'1.설계입력'!$C$15)-COS((1-'1.설계입력'!$C$15)*B557),SIN((1-'1.설계입력'!$C$15)*B557))</f>
        <v>0.70870455997761383</v>
      </c>
      <c r="G557" s="40">
        <f>('1.설계입력'!$C$6+'1.설계입력'!$C$33)*COS(B557)-('1.설계입력'!$C$7+'1.설계입력'!$C$34)*COS(B557+F557)-'1.설계입력'!$C$8*COS('1.설계입력'!$C$15*B557)</f>
        <v>-24.866774911470852</v>
      </c>
      <c r="H557" s="40">
        <f>-('1.설계입력'!$C$6+'1.설계입력'!$C$33)*SIN(B557)+('1.설계입력'!$C$7+'1.설계입력'!$C$34)*SIN(B557+F557)+'1.설계입력'!$C$8*SIN('1.설계입력'!$C$15*B557)</f>
        <v>-73.499394975178689</v>
      </c>
      <c r="I557" s="40">
        <f t="shared" si="25"/>
        <v>77.600946622543859</v>
      </c>
      <c r="J557" s="40">
        <f t="shared" si="26"/>
        <v>77.591994150267055</v>
      </c>
      <c r="K557" s="38">
        <f>IF(OR(A557&gt;180,'1.설계입력'!$C$39&gt;=1),"",'1.설계입력'!$C$34*(1-SIN(B557)/SQRT(1+'1.설계입력'!$C$39^2-2*'1.설계입력'!$C$39*COS(B557)))-'1.설계입력'!$C$33*(1-'1.설계입력'!$C$39*COS(B557)-SQRT(MAX(0,1-'1.설계입력'!$C$39^2))*SIN(B557))/SQRT(1+'1.설계입력'!$C$39^2-2*'1.설계입력'!$C$39*COS(B557)))</f>
        <v>4.1089089068757157E-3</v>
      </c>
    </row>
    <row r="558" spans="1:11" x14ac:dyDescent="0.3">
      <c r="A558" s="40">
        <f>A557+'1.설계입력'!$C$12</f>
        <v>110.40000000000103</v>
      </c>
      <c r="B558" s="40">
        <f t="shared" si="24"/>
        <v>1.9268434942017578</v>
      </c>
      <c r="C558" s="40">
        <f>ATAN2('1.설계입력'!$C$6/('1.설계입력'!$C$8*'1.설계입력'!$C$15)-COS((1-'1.설계입력'!$C$15)*B558),SIN((1-'1.설계입력'!$C$15)*B558))</f>
        <v>0.55839642317379412</v>
      </c>
      <c r="D558" s="40">
        <f>'1.설계입력'!$C$6*COS(B558)-'1.설계입력'!$C$7*COS(B558+C558)-'1.설계입력'!$C$8*COS('1.설계입력'!$C$15*B558)</f>
        <v>-25.257222501539399</v>
      </c>
      <c r="E558" s="40">
        <f>-'1.설계입력'!$C$6*SIN(B558)+'1.설계입력'!$C$7*SIN(B558+C558)+'1.설계입력'!$C$8*SIN('1.설계입력'!$C$15*B558)</f>
        <v>-72.924414414060365</v>
      </c>
      <c r="F558" s="40">
        <f>ATAN2(('1.설계입력'!$C$6+'1.설계입력'!$C$33)/('1.설계입력'!$C$8*'1.설계입력'!$C$15)-COS((1-'1.설계입력'!$C$15)*B558),SIN((1-'1.설계입력'!$C$15)*B558))</f>
        <v>0.55845474899114922</v>
      </c>
      <c r="G558" s="40">
        <f>('1.설계입력'!$C$6+'1.설계입력'!$C$33)*COS(B558)-('1.설계입력'!$C$7+'1.설계입력'!$C$34)*COS(B558+F558)-'1.설계입력'!$C$8*COS('1.설계입력'!$C$15*B558)</f>
        <v>-25.249582268614489</v>
      </c>
      <c r="H558" s="40">
        <f>-('1.설계입력'!$C$6+'1.설계입력'!$C$33)*SIN(B558)+('1.설계입력'!$C$7+'1.설계입력'!$C$34)*SIN(B558+F558)+'1.설계입력'!$C$8*SIN('1.설계입력'!$C$15*B558)</f>
        <v>-72.916751171676779</v>
      </c>
      <c r="I558" s="40">
        <f t="shared" si="25"/>
        <v>77.174461489056625</v>
      </c>
      <c r="J558" s="40">
        <f t="shared" si="26"/>
        <v>77.164719957839267</v>
      </c>
      <c r="K558" s="38">
        <f>IF(OR(A558&gt;180,'1.설계입력'!$C$39&gt;=1),"",'1.설계입력'!$C$34*(1-SIN(B558)/SQRT(1+'1.설계입력'!$C$39^2-2*'1.설계입력'!$C$39*COS(B558)))-'1.설계입력'!$C$33*(1-'1.설계입력'!$C$39*COS(B558)-SQRT(MAX(0,1-'1.설계입력'!$C$39^2))*SIN(B558))/SQRT(1+'1.설계입력'!$C$39^2-2*'1.설계입력'!$C$39*COS(B558)))</f>
        <v>4.1274257646666925E-3</v>
      </c>
    </row>
    <row r="559" spans="1:11" x14ac:dyDescent="0.3">
      <c r="A559" s="40">
        <f>A558+'1.설계입력'!$C$12</f>
        <v>110.60000000000103</v>
      </c>
      <c r="B559" s="40">
        <f t="shared" si="24"/>
        <v>1.9303341527057465</v>
      </c>
      <c r="C559" s="40">
        <f>ATAN2('1.설계입력'!$C$6/('1.설계입력'!$C$8*'1.설계입력'!$C$15)-COS((1-'1.설계입력'!$C$15)*B559),SIN((1-'1.설계입력'!$C$15)*B559))</f>
        <v>0.29868854833497716</v>
      </c>
      <c r="D559" s="40">
        <f>'1.설계입력'!$C$6*COS(B559)-'1.설계입력'!$C$7*COS(B559+C559)-'1.설계입력'!$C$8*COS('1.설계입력'!$C$15*B559)</f>
        <v>-26.041273374645318</v>
      </c>
      <c r="E559" s="40">
        <f>-'1.설계입력'!$C$6*SIN(B559)+'1.설계입력'!$C$7*SIN(B559+C559)+'1.설계입력'!$C$8*SIN('1.설계입력'!$C$15*B559)</f>
        <v>-72.137124628348886</v>
      </c>
      <c r="F559" s="40">
        <f>ATAN2(('1.설계입력'!$C$6+'1.설계입력'!$C$33)/('1.설계입력'!$C$8*'1.설계입력'!$C$15)-COS((1-'1.설계입력'!$C$15)*B559),SIN((1-'1.설계입력'!$C$15)*B559))</f>
        <v>0.29872747868162736</v>
      </c>
      <c r="G559" s="40">
        <f>('1.설계입력'!$C$6+'1.설계입력'!$C$33)*COS(B559)-('1.설계입력'!$C$7+'1.설계입력'!$C$34)*COS(B559+F559)-'1.설계입력'!$C$8*COS('1.설계입력'!$C$15*B559)</f>
        <v>-26.035104340732076</v>
      </c>
      <c r="H559" s="40">
        <f>-('1.설계입력'!$C$6+'1.설계입력'!$C$33)*SIN(B559)+('1.설계입력'!$C$7+'1.설계입력'!$C$34)*SIN(B559+F559)+'1.설계입력'!$C$8*SIN('1.설계입력'!$C$15*B559)</f>
        <v>-72.127910560885041</v>
      </c>
      <c r="I559" s="40">
        <f t="shared" si="25"/>
        <v>76.693628605112636</v>
      </c>
      <c r="J559" s="40">
        <f t="shared" si="26"/>
        <v>76.682867316707956</v>
      </c>
      <c r="K559" s="38">
        <f>IF(OR(A559&gt;180,'1.설계입력'!$C$39&gt;=1),"",'1.설계입력'!$C$34*(1-SIN(B559)/SQRT(1+'1.설계입력'!$C$39^2-2*'1.설계입력'!$C$39*COS(B559)))-'1.설계입력'!$C$33*(1-'1.설계입력'!$C$39*COS(B559)-SQRT(MAX(0,1-'1.설계입력'!$C$39^2))*SIN(B559))/SQRT(1+'1.설계입력'!$C$39^2-2*'1.설계입력'!$C$39*COS(B559)))</f>
        <v>4.1459625940538595E-3</v>
      </c>
    </row>
    <row r="560" spans="1:11" x14ac:dyDescent="0.3">
      <c r="A560" s="40">
        <f>A559+'1.설계입력'!$C$12</f>
        <v>110.80000000000103</v>
      </c>
      <c r="B560" s="40">
        <f t="shared" si="24"/>
        <v>1.9338248112097352</v>
      </c>
      <c r="C560" s="40">
        <f>ATAN2('1.설계입력'!$C$6/('1.설계입력'!$C$8*'1.설계입력'!$C$15)-COS((1-'1.설계입력'!$C$15)*B560),SIN((1-'1.설계입력'!$C$15)*B560))</f>
        <v>-5.701967265674996E-2</v>
      </c>
      <c r="D560" s="40">
        <f>'1.설계입력'!$C$6*COS(B560)-'1.설계입력'!$C$7*COS(B560+C560)-'1.설계입력'!$C$8*COS('1.설계입력'!$C$15*B560)</f>
        <v>-27.351839930292275</v>
      </c>
      <c r="E560" s="40">
        <f>-'1.설계입력'!$C$6*SIN(B560)+'1.설계입력'!$C$7*SIN(B560+C560)+'1.설계입력'!$C$8*SIN('1.설계입력'!$C$15*B560)</f>
        <v>-71.450755570752676</v>
      </c>
      <c r="F560" s="40">
        <f>ATAN2(('1.설계입력'!$C$6+'1.설계입력'!$C$33)/('1.설계입력'!$C$8*'1.설계입력'!$C$15)-COS((1-'1.설계입력'!$C$15)*B560),SIN((1-'1.설계입력'!$C$15)*B560))</f>
        <v>-5.7027686175707533E-2</v>
      </c>
      <c r="G560" s="40">
        <f>('1.설계입력'!$C$6+'1.설계입력'!$C$33)*COS(B560)-('1.설계입력'!$C$7+'1.설계입력'!$C$34)*COS(B560+F560)-'1.설계입력'!$C$8*COS('1.설계입력'!$C$15*B560)</f>
        <v>-27.348329557876639</v>
      </c>
      <c r="H560" s="40">
        <f>-('1.설계입력'!$C$6+'1.설계입력'!$C$33)*SIN(B560)+('1.설계입력'!$C$7+'1.설계입력'!$C$34)*SIN(B560+F560)+'1.설계입력'!$C$8*SIN('1.설계입력'!$C$15*B560)</f>
        <v>-71.440124232688291</v>
      </c>
      <c r="I560" s="40">
        <f t="shared" si="25"/>
        <v>76.507082150633451</v>
      </c>
      <c r="J560" s="40">
        <f t="shared" si="26"/>
        <v>76.495898452061894</v>
      </c>
      <c r="K560" s="38">
        <f>IF(OR(A560&gt;180,'1.설계입력'!$C$39&gt;=1),"",'1.설계입력'!$C$34*(1-SIN(B560)/SQRT(1+'1.설계입력'!$C$39^2-2*'1.설계입력'!$C$39*COS(B560)))-'1.설계입력'!$C$33*(1-'1.설계입력'!$C$39*COS(B560)-SQRT(MAX(0,1-'1.설계입력'!$C$39^2))*SIN(B560))/SQRT(1+'1.설계입력'!$C$39^2-2*'1.설계입력'!$C$39*COS(B560)))</f>
        <v>4.1645193001603334E-3</v>
      </c>
    </row>
    <row r="561" spans="1:11" x14ac:dyDescent="0.3">
      <c r="A561" s="40">
        <f>A560+'1.설계입력'!$C$12</f>
        <v>111.00000000000104</v>
      </c>
      <c r="B561" s="40">
        <f t="shared" si="24"/>
        <v>1.9373154697137238</v>
      </c>
      <c r="C561" s="40">
        <f>ATAN2('1.설계입력'!$C$6/('1.설계입력'!$C$8*'1.설계입력'!$C$15)-COS((1-'1.설계입력'!$C$15)*B561),SIN((1-'1.설계입력'!$C$15)*B561))</f>
        <v>-0.39147436995735252</v>
      </c>
      <c r="D561" s="40">
        <f>'1.설계입력'!$C$6*COS(B561)-'1.설계입력'!$C$7*COS(B561+C561)-'1.설계입력'!$C$8*COS('1.설계입력'!$C$15*B561)</f>
        <v>-28.735982410391141</v>
      </c>
      <c r="E561" s="40">
        <f>-'1.설계입력'!$C$6*SIN(B561)+'1.설계입력'!$C$7*SIN(B561+C561)+'1.설계입력'!$C$8*SIN('1.설계입력'!$C$15*B561)</f>
        <v>-71.255802329169299</v>
      </c>
      <c r="F561" s="40">
        <f>ATAN2(('1.설계입력'!$C$6+'1.설계입력'!$C$33)/('1.설계입력'!$C$8*'1.설계입력'!$C$15)-COS((1-'1.설계입력'!$C$15)*B561),SIN((1-'1.설계입력'!$C$15)*B561))</f>
        <v>-0.39152245779921474</v>
      </c>
      <c r="G561" s="40">
        <f>('1.설계입력'!$C$6+'1.설계입력'!$C$33)*COS(B561)-('1.설계입력'!$C$7+'1.설계입력'!$C$34)*COS(B561+F561)-'1.설계입력'!$C$8*COS('1.설계입력'!$C$15*B561)</f>
        <v>-28.735266266856989</v>
      </c>
      <c r="H561" s="40">
        <f>-('1.설계입력'!$C$6+'1.설계입력'!$C$33)*SIN(B561)+('1.설계입력'!$C$7+'1.설계입력'!$C$34)*SIN(B561+F561)+'1.설계입력'!$C$8*SIN('1.설계입력'!$C$15*B561)</f>
        <v>-71.24481556593382</v>
      </c>
      <c r="I561" s="40">
        <f t="shared" si="25"/>
        <v>76.831933794900394</v>
      </c>
      <c r="J561" s="40">
        <f t="shared" si="26"/>
        <v>76.821476635450679</v>
      </c>
      <c r="K561" s="38">
        <f>IF(OR(A561&gt;180,'1.설계입력'!$C$39&gt;=1),"",'1.설계입력'!$C$34*(1-SIN(B561)/SQRT(1+'1.설계입력'!$C$39^2-2*'1.설계입력'!$C$39*COS(B561)))-'1.설계입력'!$C$33*(1-'1.설계입력'!$C$39*COS(B561)-SQRT(MAX(0,1-'1.설계입력'!$C$39^2))*SIN(B561))/SQRT(1+'1.설계입력'!$C$39^2-2*'1.설계입력'!$C$39*COS(B561)))</f>
        <v>4.1830957883417785E-3</v>
      </c>
    </row>
    <row r="562" spans="1:11" x14ac:dyDescent="0.3">
      <c r="A562" s="40">
        <f>A561+'1.설계입력'!$C$12</f>
        <v>111.20000000000104</v>
      </c>
      <c r="B562" s="40">
        <f t="shared" si="24"/>
        <v>1.9408061282177127</v>
      </c>
      <c r="C562" s="40">
        <f>ATAN2('1.설계입력'!$C$6/('1.설계입력'!$C$8*'1.설계입력'!$C$15)-COS((1-'1.설계입력'!$C$15)*B562),SIN((1-'1.설계입력'!$C$15)*B562))</f>
        <v>-0.61479477134090121</v>
      </c>
      <c r="D562" s="40">
        <f>'1.설계입력'!$C$6*COS(B562)-'1.설계입력'!$C$7*COS(B562+C562)-'1.설계입력'!$C$8*COS('1.설계입력'!$C$15*B562)</f>
        <v>-29.6991133756399</v>
      </c>
      <c r="E562" s="40">
        <f>-'1.설계입력'!$C$6*SIN(B562)+'1.설계입력'!$C$7*SIN(B562+C562)+'1.설계입력'!$C$8*SIN('1.설계입력'!$C$15*B562)</f>
        <v>-71.387777731461867</v>
      </c>
      <c r="F562" s="40">
        <f>ATAN2(('1.설계입력'!$C$6+'1.설계입력'!$C$33)/('1.설계입력'!$C$8*'1.설계입력'!$C$15)-COS((1-'1.설계입력'!$C$15)*B562),SIN((1-'1.설계입력'!$C$15)*B562))</f>
        <v>-0.6148542468512771</v>
      </c>
      <c r="G562" s="40">
        <f>('1.설계입력'!$C$6+'1.설계입력'!$C$33)*COS(B562)-('1.설계입력'!$C$7+'1.설계입력'!$C$34)*COS(B562+F562)-'1.설계입력'!$C$8*COS('1.설계입력'!$C$15*B562)</f>
        <v>-29.700186631652752</v>
      </c>
      <c r="H562" s="40">
        <f>-('1.설계입력'!$C$6+'1.설계입력'!$C$33)*SIN(B562)+('1.설계입력'!$C$7+'1.설계입력'!$C$34)*SIN(B562+F562)+'1.설계입력'!$C$8*SIN('1.설계입력'!$C$15*B562)</f>
        <v>-71.377086771700661</v>
      </c>
      <c r="I562" s="40">
        <f t="shared" si="25"/>
        <v>77.319157682528569</v>
      </c>
      <c r="J562" s="40">
        <f t="shared" si="26"/>
        <v>77.309699274863888</v>
      </c>
      <c r="K562" s="38">
        <f>IF(OR(A562&gt;180,'1.설계입력'!$C$39&gt;=1),"",'1.설계입력'!$C$34*(1-SIN(B562)/SQRT(1+'1.설계입력'!$C$39^2-2*'1.설계입력'!$C$39*COS(B562)))-'1.설계입력'!$C$33*(1-'1.설계입력'!$C$39*COS(B562)-SQRT(MAX(0,1-'1.설계입력'!$C$39^2))*SIN(B562))/SQRT(1+'1.설계입력'!$C$39^2-2*'1.설계입력'!$C$39*COS(B562)))</f>
        <v>4.2016919641839536E-3</v>
      </c>
    </row>
    <row r="563" spans="1:11" x14ac:dyDescent="0.3">
      <c r="A563" s="40">
        <f>A562+'1.설계입력'!$C$12</f>
        <v>111.40000000000104</v>
      </c>
      <c r="B563" s="40">
        <f t="shared" si="24"/>
        <v>1.9442967867217014</v>
      </c>
      <c r="C563" s="40">
        <f>ATAN2('1.설계입력'!$C$6/('1.설계입력'!$C$8*'1.설계입력'!$C$15)-COS((1-'1.설계입력'!$C$15)*B563),SIN((1-'1.설계입력'!$C$15)*B563))</f>
        <v>-0.73833527495784246</v>
      </c>
      <c r="D563" s="40">
        <f>'1.설계입력'!$C$6*COS(B563)-'1.설계입력'!$C$7*COS(B563+C563)-'1.설계입력'!$C$8*COS('1.설계입력'!$C$15*B563)</f>
        <v>-30.268066560790452</v>
      </c>
      <c r="E563" s="40">
        <f>-'1.설계입력'!$C$6*SIN(B563)+'1.설계입력'!$C$7*SIN(B563+C563)+'1.설계입력'!$C$8*SIN('1.설계입력'!$C$15*B563)</f>
        <v>-71.567858500726061</v>
      </c>
      <c r="F563" s="40">
        <f>ATAN2(('1.설계입력'!$C$6+'1.설계입력'!$C$33)/('1.설계입력'!$C$8*'1.설계입력'!$C$15)-COS((1-'1.설계입력'!$C$15)*B563),SIN((1-'1.설계입력'!$C$15)*B563))</f>
        <v>-0.73839150331672965</v>
      </c>
      <c r="G563" s="40">
        <f>('1.설계입력'!$C$6+'1.설계입력'!$C$33)*COS(B563)-('1.설계입력'!$C$7+'1.설계입력'!$C$34)*COS(B563+F563)-'1.설계입력'!$C$8*COS('1.설계입력'!$C$15*B563)</f>
        <v>-30.270036015604305</v>
      </c>
      <c r="H563" s="40">
        <f>-('1.설계입력'!$C$6+'1.설계입력'!$C$33)*SIN(B563)+('1.설계입력'!$C$7+'1.설계입력'!$C$34)*SIN(B563+F563)+'1.설계입력'!$C$8*SIN('1.설계입력'!$C$15*B563)</f>
        <v>-71.557485764144502</v>
      </c>
      <c r="I563" s="40">
        <f t="shared" si="25"/>
        <v>77.705303703855307</v>
      </c>
      <c r="J563" s="40">
        <f t="shared" si="26"/>
        <v>77.696517613543818</v>
      </c>
      <c r="K563" s="38">
        <f>IF(OR(A563&gt;180,'1.설계입력'!$C$39&gt;=1),"",'1.설계입력'!$C$34*(1-SIN(B563)/SQRT(1+'1.설계입력'!$C$39^2-2*'1.설계입력'!$C$39*COS(B563)))-'1.설계입력'!$C$33*(1-'1.설계입력'!$C$39*COS(B563)-SQRT(MAX(0,1-'1.설계입력'!$C$39^2))*SIN(B563))/SQRT(1+'1.설계입력'!$C$39^2-2*'1.설계입력'!$C$39*COS(B563)))</f>
        <v>4.2203077335002817E-3</v>
      </c>
    </row>
    <row r="564" spans="1:11" x14ac:dyDescent="0.3">
      <c r="A564" s="40">
        <f>A563+'1.설계입력'!$C$12</f>
        <v>111.60000000000105</v>
      </c>
      <c r="B564" s="40">
        <f t="shared" si="24"/>
        <v>1.94778744522569</v>
      </c>
      <c r="C564" s="40">
        <f>ATAN2('1.설계입력'!$C$6/('1.설계입력'!$C$8*'1.설계입력'!$C$15)-COS((1-'1.설계입력'!$C$15)*B564),SIN((1-'1.설계입력'!$C$15)*B564))</f>
        <v>-0.79814411185869349</v>
      </c>
      <c r="D564" s="40">
        <f>'1.설계입력'!$C$6*COS(B564)-'1.설계입력'!$C$7*COS(B564+C564)-'1.설계입력'!$C$8*COS('1.설계입력'!$C$15*B564)</f>
        <v>-30.607939697927883</v>
      </c>
      <c r="E564" s="40">
        <f>-'1.설계입력'!$C$6*SIN(B564)+'1.설계입력'!$C$7*SIN(B564+C564)+'1.설계입력'!$C$8*SIN('1.설계입력'!$C$15*B564)</f>
        <v>-71.70952121093184</v>
      </c>
      <c r="F564" s="40">
        <f>ATAN2(('1.설계입력'!$C$6+'1.설계입력'!$C$33)/('1.설계입력'!$C$8*'1.설계입력'!$C$15)-COS((1-'1.설계입력'!$C$15)*B564),SIN((1-'1.설계입력'!$C$15)*B564))</f>
        <v>-0.79819355522319257</v>
      </c>
      <c r="G564" s="40">
        <f>('1.설계입력'!$C$6+'1.설계입력'!$C$33)*COS(B564)-('1.설계입력'!$C$7+'1.설계입력'!$C$34)*COS(B564+F564)-'1.설계입력'!$C$8*COS('1.설계입력'!$C$15*B564)</f>
        <v>-30.610290751997599</v>
      </c>
      <c r="H564" s="40">
        <f>-('1.설계입력'!$C$6+'1.설계입력'!$C$33)*SIN(B564)+('1.설계입력'!$C$7+'1.설계입력'!$C$34)*SIN(B564+F564)+'1.설계입력'!$C$8*SIN('1.설계입력'!$C$15*B564)</f>
        <v>-71.699327717051119</v>
      </c>
      <c r="I564" s="40">
        <f t="shared" si="25"/>
        <v>77.968592425752263</v>
      </c>
      <c r="J564" s="40">
        <f t="shared" si="26"/>
        <v>77.960140424443338</v>
      </c>
      <c r="K564" s="38">
        <f>IF(OR(A564&gt;180,'1.설계입력'!$C$39&gt;=1),"",'1.설계입력'!$C$34*(1-SIN(B564)/SQRT(1+'1.설계입력'!$C$39^2-2*'1.설계입력'!$C$39*COS(B564)))-'1.설계입력'!$C$33*(1-'1.설계입력'!$C$39*COS(B564)-SQRT(MAX(0,1-'1.설계입력'!$C$39^2))*SIN(B564))/SQRT(1+'1.설계입력'!$C$39^2-2*'1.설계입력'!$C$39*COS(B564)))</f>
        <v>4.238943002329471E-3</v>
      </c>
    </row>
    <row r="565" spans="1:11" x14ac:dyDescent="0.3">
      <c r="A565" s="40">
        <f>A564+'1.설계입력'!$C$12</f>
        <v>111.80000000000105</v>
      </c>
      <c r="B565" s="40">
        <f t="shared" si="24"/>
        <v>1.9512781037296787</v>
      </c>
      <c r="C565" s="40">
        <f>ATAN2('1.설계입력'!$C$6/('1.설계입력'!$C$8*'1.설계입력'!$C$15)-COS((1-'1.설계입력'!$C$15)*B565),SIN((1-'1.설계입력'!$C$15)*B565))</f>
        <v>-0.81950020104119981</v>
      </c>
      <c r="D565" s="40">
        <f>'1.설계입력'!$C$6*COS(B565)-'1.설계입력'!$C$7*COS(B565+C565)-'1.설계입력'!$C$8*COS('1.설계입력'!$C$15*B565)</f>
        <v>-30.827945836199184</v>
      </c>
      <c r="E565" s="40">
        <f>-'1.설계입력'!$C$6*SIN(B565)+'1.설계입력'!$C$7*SIN(B565+C565)+'1.설계입력'!$C$8*SIN('1.설계입력'!$C$15*B565)</f>
        <v>-71.810953183241494</v>
      </c>
      <c r="F565" s="40">
        <f>ATAN2(('1.설계입력'!$C$6+'1.설계입력'!$C$33)/('1.설계입력'!$C$8*'1.설계입력'!$C$15)-COS((1-'1.설계입력'!$C$15)*B565),SIN((1-'1.설계입력'!$C$15)*B565))</f>
        <v>-0.81954295366250374</v>
      </c>
      <c r="G565" s="40">
        <f>('1.설계입력'!$C$6+'1.설계입력'!$C$33)*COS(B565)-('1.설계입력'!$C$7+'1.설계입력'!$C$34)*COS(B565+F565)-'1.설계입력'!$C$8*COS('1.설계입력'!$C$15*B565)</f>
        <v>-30.830392615791673</v>
      </c>
      <c r="H565" s="40">
        <f>-('1.설계입력'!$C$6+'1.설계입력'!$C$33)*SIN(B565)+('1.설계입력'!$C$7+'1.설계입력'!$C$34)*SIN(B565+F565)+'1.설계입력'!$C$8*SIN('1.설계입력'!$C$15*B565)</f>
        <v>-71.800815844409939</v>
      </c>
      <c r="I565" s="40">
        <f t="shared" si="25"/>
        <v>78.148418036229828</v>
      </c>
      <c r="J565" s="40">
        <f t="shared" si="26"/>
        <v>78.140068241374934</v>
      </c>
      <c r="K565" s="38">
        <f>IF(OR(A565&gt;180,'1.설계입력'!$C$39&gt;=1),"",'1.설계입력'!$C$34*(1-SIN(B565)/SQRT(1+'1.설계입력'!$C$39^2-2*'1.설계입력'!$C$39*COS(B565)))-'1.설계입력'!$C$33*(1-'1.설계입력'!$C$39*COS(B565)-SQRT(MAX(0,1-'1.설계입력'!$C$39^2))*SIN(B565))/SQRT(1+'1.설계입력'!$C$39^2-2*'1.설계입력'!$C$39*COS(B565)))</f>
        <v>4.2575976769331451E-3</v>
      </c>
    </row>
    <row r="566" spans="1:11" x14ac:dyDescent="0.3">
      <c r="A566" s="40">
        <f>A565+'1.설계입력'!$C$12</f>
        <v>112.00000000000105</v>
      </c>
      <c r="B566" s="40">
        <f t="shared" si="24"/>
        <v>1.9547687622336674</v>
      </c>
      <c r="C566" s="40">
        <f>ATAN2('1.설계입력'!$C$6/('1.설계입력'!$C$8*'1.설계입력'!$C$15)-COS((1-'1.설계입력'!$C$15)*B566),SIN((1-'1.설계입력'!$C$15)*B566))</f>
        <v>-0.81704537838715563</v>
      </c>
      <c r="D566" s="40">
        <f>'1.설계입력'!$C$6*COS(B566)-'1.설계입력'!$C$7*COS(B566+C566)-'1.설계입력'!$C$8*COS('1.설계입력'!$C$15*B566)</f>
        <v>-30.986849847625113</v>
      </c>
      <c r="E566" s="40">
        <f>-'1.설계입력'!$C$6*SIN(B566)+'1.설계입력'!$C$7*SIN(B566+C566)+'1.설계입력'!$C$8*SIN('1.설계입력'!$C$15*B566)</f>
        <v>-71.885324100169726</v>
      </c>
      <c r="F566" s="40">
        <f>ATAN2(('1.설계입력'!$C$6+'1.설계입력'!$C$33)/('1.설계입력'!$C$8*'1.설계입력'!$C$15)-COS((1-'1.설계입력'!$C$15)*B566),SIN((1-'1.설계입력'!$C$15)*B566))</f>
        <v>-0.81708234063178864</v>
      </c>
      <c r="G566" s="40">
        <f>('1.설계입력'!$C$6+'1.설계입력'!$C$33)*COS(B566)-('1.설계입력'!$C$7+'1.설계입력'!$C$34)*COS(B566+F566)-'1.설계입력'!$C$8*COS('1.설계입력'!$C$15*B566)</f>
        <v>-30.989222299856944</v>
      </c>
      <c r="H566" s="40">
        <f>-('1.설계입력'!$C$6+'1.설계입력'!$C$33)*SIN(B566)+('1.설계입력'!$C$7+'1.설계입력'!$C$34)*SIN(B566+F566)+'1.설계입력'!$C$8*SIN('1.설계입력'!$C$15*B566)</f>
        <v>-71.875159793389912</v>
      </c>
      <c r="I566" s="40">
        <f t="shared" si="25"/>
        <v>78.279529153321477</v>
      </c>
      <c r="J566" s="40">
        <f t="shared" si="26"/>
        <v>78.271134488234452</v>
      </c>
      <c r="K566" s="38">
        <f>IF(OR(A566&gt;180,'1.설계입력'!$C$39&gt;=1),"",'1.설계입력'!$C$34*(1-SIN(B566)/SQRT(1+'1.설계입력'!$C$39^2-2*'1.설계입력'!$C$39*COS(B566)))-'1.설계입력'!$C$33*(1-'1.설계입력'!$C$39*COS(B566)-SQRT(MAX(0,1-'1.설계입력'!$C$39^2))*SIN(B566))/SQRT(1+'1.설계입력'!$C$39^2-2*'1.설계입력'!$C$39*COS(B566)))</f>
        <v>4.2762716637935096E-3</v>
      </c>
    </row>
    <row r="567" spans="1:11" x14ac:dyDescent="0.3">
      <c r="A567" s="40">
        <f>A566+'1.설계입력'!$C$12</f>
        <v>112.20000000000105</v>
      </c>
      <c r="B567" s="40">
        <f t="shared" si="24"/>
        <v>1.9582594207376562</v>
      </c>
      <c r="C567" s="40">
        <f>ATAN2('1.설계입력'!$C$6/('1.설계입력'!$C$8*'1.설계입력'!$C$15)-COS((1-'1.설계입력'!$C$15)*B567),SIN((1-'1.설계입력'!$C$15)*B567))</f>
        <v>-0.79918523100273109</v>
      </c>
      <c r="D567" s="40">
        <f>'1.설계입력'!$C$6*COS(B567)-'1.설계입력'!$C$7*COS(B567+C567)-'1.설계입력'!$C$8*COS('1.설계입력'!$C$15*B567)</f>
        <v>-31.116475693504004</v>
      </c>
      <c r="E567" s="40">
        <f>-'1.설계입력'!$C$6*SIN(B567)+'1.설계입력'!$C$7*SIN(B567+C567)+'1.설계입력'!$C$8*SIN('1.설계입력'!$C$15*B567)</f>
        <v>-71.943788405066385</v>
      </c>
      <c r="F567" s="40">
        <f>ATAN2(('1.설계입력'!$C$6+'1.설계입력'!$C$33)/('1.설계입력'!$C$8*'1.설계입력'!$C$15)-COS((1-'1.설계입력'!$C$15)*B567),SIN((1-'1.설계입력'!$C$15)*B567))</f>
        <v>-0.79921732751733465</v>
      </c>
      <c r="G567" s="40">
        <f>('1.설계입력'!$C$6+'1.설계입력'!$C$33)*COS(B567)-('1.설계입력'!$C$7+'1.설계입력'!$C$34)*COS(B567+F567)-'1.설계입력'!$C$8*COS('1.설계입력'!$C$15*B567)</f>
        <v>-31.118663805680971</v>
      </c>
      <c r="H567" s="40">
        <f>-('1.설계입력'!$C$6+'1.설계입력'!$C$33)*SIN(B567)+('1.설계입력'!$C$7+'1.설계입력'!$C$34)*SIN(B567+F567)+'1.설계입력'!$C$8*SIN('1.설계입력'!$C$15*B567)</f>
        <v>-71.933546583438925</v>
      </c>
      <c r="I567" s="40">
        <f t="shared" si="25"/>
        <v>78.384588725446477</v>
      </c>
      <c r="J567" s="40">
        <f t="shared" si="26"/>
        <v>78.376057320605099</v>
      </c>
      <c r="K567" s="38">
        <f>IF(OR(A567&gt;180,'1.설계입력'!$C$39&gt;=1),"",'1.설계입력'!$C$34*(1-SIN(B567)/SQRT(1+'1.설계입력'!$C$39^2-2*'1.설계입력'!$C$39*COS(B567)))-'1.설계입력'!$C$33*(1-'1.설계입력'!$C$39*COS(B567)-SQRT(MAX(0,1-'1.설계입력'!$C$39^2))*SIN(B567))/SQRT(1+'1.설계입력'!$C$39^2-2*'1.설계입력'!$C$39*COS(B567)))</f>
        <v>4.2949648696110482E-3</v>
      </c>
    </row>
    <row r="568" spans="1:11" x14ac:dyDescent="0.3">
      <c r="A568" s="40">
        <f>A567+'1.설계입력'!$C$12</f>
        <v>112.40000000000106</v>
      </c>
      <c r="B568" s="40">
        <f t="shared" si="24"/>
        <v>1.9617500792416449</v>
      </c>
      <c r="C568" s="40">
        <f>ATAN2('1.설계입력'!$C$6/('1.설계입력'!$C$8*'1.설계입력'!$C$15)-COS((1-'1.설계입력'!$C$15)*B568),SIN((1-'1.설계입력'!$C$15)*B568))</f>
        <v>-0.77091983254145835</v>
      </c>
      <c r="D568" s="40">
        <f>'1.설계입력'!$C$6*COS(B568)-'1.설계입력'!$C$7*COS(B568+C568)-'1.설계입력'!$C$8*COS('1.설계입력'!$C$15*B568)</f>
        <v>-31.23498066126654</v>
      </c>
      <c r="E568" s="40">
        <f>-'1.설계입력'!$C$6*SIN(B568)+'1.설계입력'!$C$7*SIN(B568+C568)+'1.설계입력'!$C$8*SIN('1.설계입력'!$C$15*B568)</f>
        <v>-71.993431179076197</v>
      </c>
      <c r="F568" s="40">
        <f>ATAN2(('1.설계입력'!$C$6+'1.설계입력'!$C$33)/('1.설계입력'!$C$8*'1.설계입력'!$C$15)-COS((1-'1.설계입력'!$C$15)*B568),SIN((1-'1.설계입력'!$C$15)*B568))</f>
        <v>-0.77094783944623324</v>
      </c>
      <c r="G568" s="40">
        <f>('1.설계입력'!$C$6+'1.설계입력'!$C$33)*COS(B568)-('1.설계입력'!$C$7+'1.설계입력'!$C$34)*COS(B568+F568)-'1.설계입력'!$C$8*COS('1.설계입력'!$C$15*B568)</f>
        <v>-31.236907791339007</v>
      </c>
      <c r="H568" s="40">
        <f>-('1.설계입력'!$C$6+'1.설계입력'!$C$33)*SIN(B568)+('1.설계입력'!$C$7+'1.설계입력'!$C$34)*SIN(B568+F568)+'1.설계입력'!$C$8*SIN('1.설계입력'!$C$15*B568)</f>
        <v>-71.983084436323637</v>
      </c>
      <c r="I568" s="40">
        <f t="shared" si="25"/>
        <v>78.47724606435979</v>
      </c>
      <c r="J568" s="40">
        <f t="shared" si="26"/>
        <v>78.468521416753561</v>
      </c>
      <c r="K568" s="38">
        <f>IF(OR(A568&gt;180,'1.설계입력'!$C$39&gt;=1),"",'1.설계입력'!$C$34*(1-SIN(B568)/SQRT(1+'1.설계입력'!$C$39^2-2*'1.설계입력'!$C$39*COS(B568)))-'1.설계입력'!$C$33*(1-'1.설계입력'!$C$39*COS(B568)-SQRT(MAX(0,1-'1.설계입력'!$C$39^2))*SIN(B568))/SQRT(1+'1.설계입력'!$C$39^2-2*'1.설계입력'!$C$39*COS(B568)))</f>
        <v>4.3136772013022389E-3</v>
      </c>
    </row>
    <row r="569" spans="1:11" x14ac:dyDescent="0.3">
      <c r="A569" s="40">
        <f>A568+'1.설계입력'!$C$12</f>
        <v>112.60000000000106</v>
      </c>
      <c r="B569" s="40">
        <f t="shared" si="24"/>
        <v>1.9652407377456336</v>
      </c>
      <c r="C569" s="40">
        <f>ATAN2('1.설계입력'!$C$6/('1.설계입력'!$C$8*'1.설계입력'!$C$15)-COS((1-'1.설계입력'!$C$15)*B569),SIN((1-'1.설계입력'!$C$15)*B569))</f>
        <v>-0.73535720769409929</v>
      </c>
      <c r="D569" s="40">
        <f>'1.설계입력'!$C$6*COS(B569)-'1.설계입력'!$C$7*COS(B569+C569)-'1.설계입력'!$C$8*COS('1.설계입력'!$C$15*B569)</f>
        <v>-31.353260368633393</v>
      </c>
      <c r="E569" s="40">
        <f>-'1.설계입력'!$C$6*SIN(B569)+'1.설계입력'!$C$7*SIN(B569+C569)+'1.설계입력'!$C$8*SIN('1.설계입력'!$C$15*B569)</f>
        <v>-72.038073046327597</v>
      </c>
      <c r="F569" s="40">
        <f>ATAN2(('1.설계입력'!$C$6+'1.설계입력'!$C$33)/('1.설계입력'!$C$8*'1.설계입력'!$C$15)-COS((1-'1.설계입력'!$C$15)*B569),SIN((1-'1.설계입력'!$C$15)*B569))</f>
        <v>-0.73538174198783546</v>
      </c>
      <c r="G569" s="40">
        <f>('1.설계입력'!$C$6+'1.설계입력'!$C$33)*COS(B569)-('1.설계입력'!$C$7+'1.설계입력'!$C$34)*COS(B569+F569)-'1.설계입력'!$C$8*COS('1.설계입력'!$C$15*B569)</f>
        <v>-31.35486994410973</v>
      </c>
      <c r="H569" s="40">
        <f>-('1.설계입력'!$C$6+'1.설계입력'!$C$33)*SIN(B569)+('1.설계입력'!$C$7+'1.설계입력'!$C$34)*SIN(B569+F569)+'1.설계입력'!$C$8*SIN('1.설계입력'!$C$15*B569)</f>
        <v>-72.027610130232517</v>
      </c>
      <c r="I569" s="40">
        <f t="shared" si="25"/>
        <v>78.565328892402334</v>
      </c>
      <c r="J569" s="40">
        <f t="shared" si="26"/>
        <v>78.556377782359661</v>
      </c>
      <c r="K569" s="38">
        <f>IF(OR(A569&gt;180,'1.설계입력'!$C$39&gt;=1),"",'1.설계입력'!$C$34*(1-SIN(B569)/SQRT(1+'1.설계입력'!$C$39^2-2*'1.설계입력'!$C$39*COS(B569)))-'1.설계입력'!$C$33*(1-'1.설계입력'!$C$39*COS(B569)-SQRT(MAX(0,1-'1.설계입력'!$C$39^2))*SIN(B569))/SQRT(1+'1.설계입력'!$C$39^2-2*'1.설계입력'!$C$39*COS(B569)))</f>
        <v>4.3324085659973127E-3</v>
      </c>
    </row>
    <row r="570" spans="1:11" x14ac:dyDescent="0.3">
      <c r="A570" s="40">
        <f>A569+'1.설계입력'!$C$12</f>
        <v>112.80000000000106</v>
      </c>
      <c r="B570" s="40">
        <f t="shared" si="24"/>
        <v>1.9687313962496222</v>
      </c>
      <c r="C570" s="40">
        <f>ATAN2('1.설계입력'!$C$6/('1.설계입력'!$C$8*'1.설계입력'!$C$15)-COS((1-'1.설계입력'!$C$15)*B570),SIN((1-'1.설계입력'!$C$15)*B570))</f>
        <v>-0.69451276334686474</v>
      </c>
      <c r="D570" s="40">
        <f>'1.설계입력'!$C$6*COS(B570)-'1.설계입력'!$C$7*COS(B570+C570)-'1.설계입력'!$C$8*COS('1.설계입력'!$C$15*B570)</f>
        <v>-31.478052802175387</v>
      </c>
      <c r="E570" s="40">
        <f>-'1.설계입력'!$C$6*SIN(B570)+'1.설계입력'!$C$7*SIN(B570+C570)+'1.설계입력'!$C$8*SIN('1.설계입력'!$C$15*B570)</f>
        <v>-72.079276953567842</v>
      </c>
      <c r="F570" s="40">
        <f>ATAN2(('1.설계입력'!$C$6+'1.설계입력'!$C$33)/('1.설계입력'!$C$8*'1.설계입력'!$C$15)-COS((1-'1.설계입력'!$C$15)*B570),SIN((1-'1.설계입력'!$C$15)*B570))</f>
        <v>-0.69453430892915602</v>
      </c>
      <c r="G570" s="40">
        <f>('1.설계입력'!$C$6+'1.설계입력'!$C$33)*COS(B570)-('1.설계입력'!$C$7+'1.설계입력'!$C$34)*COS(B570+F570)-'1.설계입력'!$C$8*COS('1.설계입력'!$C$15*B570)</f>
        <v>-31.479301307419721</v>
      </c>
      <c r="H570" s="40">
        <f>-('1.설계입력'!$C$6+'1.설계입력'!$C$33)*SIN(B570)+('1.설계입력'!$C$7+'1.설계입력'!$C$34)*SIN(B570+F570)+'1.설계입력'!$C$8*SIN('1.설계입력'!$C$15*B570)</f>
        <v>-72.068698044141499</v>
      </c>
      <c r="I570" s="40">
        <f t="shared" si="25"/>
        <v>78.652971808862233</v>
      </c>
      <c r="J570" s="40">
        <f t="shared" si="26"/>
        <v>78.643776922150437</v>
      </c>
      <c r="K570" s="38">
        <f>IF(OR(A570&gt;180,'1.설계입력'!$C$39&gt;=1),"",'1.설계입력'!$C$34*(1-SIN(B570)/SQRT(1+'1.설계입력'!$C$39^2-2*'1.설계입력'!$C$39*COS(B570)))-'1.설계입력'!$C$33*(1-'1.설계입력'!$C$39*COS(B570)-SQRT(MAX(0,1-'1.설계입력'!$C$39^2))*SIN(B570))/SQRT(1+'1.설계입력'!$C$39^2-2*'1.설계입력'!$C$39*COS(B570)))</f>
        <v>4.3511588710380229E-3</v>
      </c>
    </row>
    <row r="571" spans="1:11" x14ac:dyDescent="0.3">
      <c r="A571" s="40">
        <f>A570+'1.설계입력'!$C$12</f>
        <v>113.00000000000107</v>
      </c>
      <c r="B571" s="40">
        <f t="shared" si="24"/>
        <v>1.9722220547536109</v>
      </c>
      <c r="C571" s="40">
        <f>ATAN2('1.설계입력'!$C$6/('1.설계입력'!$C$8*'1.설계입력'!$C$15)-COS((1-'1.설계입력'!$C$15)*B571),SIN((1-'1.설계입력'!$C$15)*B571))</f>
        <v>-0.6497441741330211</v>
      </c>
      <c r="D571" s="40">
        <f>'1.설계입력'!$C$6*COS(B571)-'1.설계입력'!$C$7*COS(B571+C571)-'1.설계입력'!$C$8*COS('1.설계입력'!$C$15*B571)</f>
        <v>-31.613510932344767</v>
      </c>
      <c r="E571" s="40">
        <f>-'1.설계입력'!$C$6*SIN(B571)+'1.설계입력'!$C$7*SIN(B571+C571)+'1.설계입력'!$C$8*SIN('1.설계입력'!$C$15*B571)</f>
        <v>-72.117119899171342</v>
      </c>
      <c r="F571" s="40">
        <f>ATAN2(('1.설계입력'!$C$6+'1.설계입력'!$C$33)/('1.설계입력'!$C$8*'1.설계입력'!$C$15)-COS((1-'1.설계입력'!$C$15)*B571),SIN((1-'1.설계입력'!$C$15)*B571))</f>
        <v>-0.64976311076815974</v>
      </c>
      <c r="G571" s="40">
        <f>('1.설계입력'!$C$6+'1.설계입력'!$C$33)*COS(B571)-('1.설계입력'!$C$7+'1.설계입력'!$C$34)*COS(B571+F571)-'1.설계입력'!$C$8*COS('1.설계입력'!$C$15*B571)</f>
        <v>-31.614364009612302</v>
      </c>
      <c r="H571" s="40">
        <f>-('1.설계입력'!$C$6+'1.설계입력'!$C$33)*SIN(B571)+('1.설계입력'!$C$7+'1.설계입력'!$C$34)*SIN(B571+F571)+'1.설계입력'!$C$8*SIN('1.설계입력'!$C$15*B571)</f>
        <v>-72.106433439770868</v>
      </c>
      <c r="I571" s="40">
        <f t="shared" si="25"/>
        <v>78.741939625722566</v>
      </c>
      <c r="J571" s="40">
        <f t="shared" si="26"/>
        <v>78.732494912433566</v>
      </c>
      <c r="K571" s="38">
        <f>IF(OR(A571&gt;180,'1.설계입력'!$C$39&gt;=1),"",'1.설계입력'!$C$34*(1-SIN(B571)/SQRT(1+'1.설계입력'!$C$39^2-2*'1.설계입력'!$C$39*COS(B571)))-'1.설계입력'!$C$33*(1-'1.설계입력'!$C$39*COS(B571)-SQRT(MAX(0,1-'1.설계입력'!$C$39^2))*SIN(B571))/SQRT(1+'1.설계입력'!$C$39^2-2*'1.설계입력'!$C$39*COS(B571)))</f>
        <v>4.3699280239754557E-3</v>
      </c>
    </row>
    <row r="572" spans="1:11" x14ac:dyDescent="0.3">
      <c r="A572" s="40">
        <f>A571+'1.설계입력'!$C$12</f>
        <v>113.20000000000107</v>
      </c>
      <c r="B572" s="40">
        <f t="shared" si="24"/>
        <v>1.9757127132575998</v>
      </c>
      <c r="C572" s="40">
        <f>ATAN2('1.설계입력'!$C$6/('1.설계입력'!$C$8*'1.설계입력'!$C$15)-COS((1-'1.설계입력'!$C$15)*B572),SIN((1-'1.설계입력'!$C$15)*B572))</f>
        <v>-0.60199747927594727</v>
      </c>
      <c r="D572" s="40">
        <f>'1.설계입력'!$C$6*COS(B572)-'1.설계입력'!$C$7*COS(B572+C572)-'1.설계입력'!$C$8*COS('1.설계입력'!$C$15*B572)</f>
        <v>-31.762046257759874</v>
      </c>
      <c r="E572" s="40">
        <f>-'1.설계입력'!$C$6*SIN(B572)+'1.설계입력'!$C$7*SIN(B572+C572)+'1.설계입력'!$C$8*SIN('1.설계입력'!$C$15*B572)</f>
        <v>-72.150735966047719</v>
      </c>
      <c r="F572" s="40">
        <f>ATAN2(('1.설계입력'!$C$6+'1.설계입력'!$C$33)/('1.설계입력'!$C$8*'1.설계입력'!$C$15)-COS((1-'1.설계입력'!$C$15)*B572),SIN((1-'1.설계입력'!$C$15)*B572))</f>
        <v>-0.60201410667999788</v>
      </c>
      <c r="G572" s="40">
        <f>('1.설계입력'!$C$6+'1.설계입력'!$C$33)*COS(B572)-('1.설계입력'!$C$7+'1.설계입력'!$C$34)*COS(B572+F572)-'1.설계입력'!$C$8*COS('1.설계입력'!$C$15*B572)</f>
        <v>-31.762476434847141</v>
      </c>
      <c r="H572" s="40">
        <f>-('1.설계입력'!$C$6+'1.설계입력'!$C$33)*SIN(B572)+('1.설계입력'!$C$7+'1.설계입력'!$C$34)*SIN(B572+F572)+'1.설계입력'!$C$8*SIN('1.설계입력'!$C$15*B572)</f>
        <v>-72.139956493886402</v>
      </c>
      <c r="I572" s="40">
        <f t="shared" si="25"/>
        <v>78.832457039739722</v>
      </c>
      <c r="J572" s="40">
        <f t="shared" si="26"/>
        <v>78.82276468263494</v>
      </c>
      <c r="K572" s="38">
        <f>IF(OR(A572&gt;180,'1.설계입력'!$C$39&gt;=1),"",'1.설계입력'!$C$34*(1-SIN(B572)/SQRT(1+'1.설계입력'!$C$39^2-2*'1.설계입력'!$C$39*COS(B572)))-'1.설계입력'!$C$33*(1-'1.설계입력'!$C$39*COS(B572)-SQRT(MAX(0,1-'1.설계입력'!$C$39^2))*SIN(B572))/SQRT(1+'1.설계입력'!$C$39^2-2*'1.설계입력'!$C$39*COS(B572)))</f>
        <v>4.3887159325678507E-3</v>
      </c>
    </row>
    <row r="573" spans="1:11" x14ac:dyDescent="0.3">
      <c r="A573" s="40">
        <f>A572+'1.설계입력'!$C$12</f>
        <v>113.40000000000107</v>
      </c>
      <c r="B573" s="40">
        <f t="shared" si="24"/>
        <v>1.9792033717615884</v>
      </c>
      <c r="C573" s="40">
        <f>ATAN2('1.설계입력'!$C$6/('1.설계입력'!$C$8*'1.설계입력'!$C$15)-COS((1-'1.설계입력'!$C$15)*B573),SIN((1-'1.설계입력'!$C$15)*B573))</f>
        <v>-0.55195201460053278</v>
      </c>
      <c r="D573" s="40">
        <f>'1.설계입력'!$C$6*COS(B573)-'1.설계입력'!$C$7*COS(B573+C573)-'1.설계입력'!$C$8*COS('1.설계입력'!$C$15*B573)</f>
        <v>-31.92481160499009</v>
      </c>
      <c r="E573" s="40">
        <f>-'1.설계입력'!$C$6*SIN(B573)+'1.설계입력'!$C$7*SIN(B573+C573)+'1.설계입력'!$C$8*SIN('1.설계입력'!$C$15*B573)</f>
        <v>-72.178696787632603</v>
      </c>
      <c r="F573" s="40">
        <f>ATAN2(('1.설계입력'!$C$6+'1.설계입력'!$C$33)/('1.설계입력'!$C$8*'1.설계입력'!$C$15)-COS((1-'1.설계입력'!$C$15)*B573),SIN((1-'1.설계입력'!$C$15)*B573))</f>
        <v>-0.5519665709037439</v>
      </c>
      <c r="G573" s="40">
        <f>('1.설계입력'!$C$6+'1.설계입력'!$C$33)*COS(B573)-('1.설계입력'!$C$7+'1.설계입력'!$C$34)*COS(B573+F573)-'1.설계입력'!$C$8*COS('1.설계입력'!$C$15*B573)</f>
        <v>-31.924796914914701</v>
      </c>
      <c r="H573" s="40">
        <f>-('1.설계입력'!$C$6+'1.설계입력'!$C$33)*SIN(B573)+('1.설계입력'!$C$7+'1.설계입력'!$C$34)*SIN(B573+F573)+'1.설계입력'!$C$8*SIN('1.설계입력'!$C$15*B573)</f>
        <v>-72.167843402539503</v>
      </c>
      <c r="I573" s="40">
        <f t="shared" si="25"/>
        <v>78.923747161263918</v>
      </c>
      <c r="J573" s="40">
        <f t="shared" si="26"/>
        <v>78.913815516878984</v>
      </c>
      <c r="K573" s="38">
        <f>IF(OR(A573&gt;180,'1.설계입력'!$C$39&gt;=1),"",'1.설계입력'!$C$34*(1-SIN(B573)/SQRT(1+'1.설계입력'!$C$39^2-2*'1.설계입력'!$C$39*COS(B573)))-'1.설계입력'!$C$33*(1-'1.설계입력'!$C$39*COS(B573)-SQRT(MAX(0,1-'1.설계입력'!$C$39^2))*SIN(B573))/SQRT(1+'1.설계입력'!$C$39^2-2*'1.설계입력'!$C$39*COS(B573)))</f>
        <v>4.4075225047784678E-3</v>
      </c>
    </row>
    <row r="574" spans="1:11" x14ac:dyDescent="0.3">
      <c r="A574" s="40">
        <f>A573+'1.설계입력'!$C$12</f>
        <v>113.60000000000107</v>
      </c>
      <c r="B574" s="40">
        <f t="shared" si="24"/>
        <v>1.9826940302655771</v>
      </c>
      <c r="C574" s="40">
        <f>ATAN2('1.설계입력'!$C$6/('1.설계입력'!$C$8*'1.설계입력'!$C$15)-COS((1-'1.설계입력'!$C$15)*B574),SIN((1-'1.설계입력'!$C$15)*B574))</f>
        <v>-0.50010901618041803</v>
      </c>
      <c r="D574" s="40">
        <f>'1.설계입력'!$C$6*COS(B574)-'1.설계입력'!$C$7*COS(B574+C574)-'1.설계입력'!$C$8*COS('1.설계입력'!$C$15*B574)</f>
        <v>-32.101998802655274</v>
      </c>
      <c r="E574" s="40">
        <f>-'1.설계입력'!$C$6*SIN(B574)+'1.설계입력'!$C$7*SIN(B574+C574)+'1.설계입력'!$C$8*SIN('1.설계입력'!$C$15*B574)</f>
        <v>-72.199283762517865</v>
      </c>
      <c r="F574" s="40">
        <f>ATAN2(('1.설계입력'!$C$6+'1.설계입력'!$C$33)/('1.설계입력'!$C$8*'1.설계입력'!$C$15)-COS((1-'1.설계입력'!$C$15)*B574),SIN((1-'1.설계입력'!$C$15)*B574))</f>
        <v>-0.50012169170325538</v>
      </c>
      <c r="G574" s="40">
        <f>('1.설계입력'!$C$6+'1.설계입력'!$C$33)*COS(B574)-('1.설계입력'!$C$7+'1.설계입력'!$C$34)*COS(B574+F574)-'1.설계입력'!$C$8*COS('1.설계입력'!$C$15*B574)</f>
        <v>-32.101521913218122</v>
      </c>
      <c r="H574" s="40">
        <f>-('1.설계입력'!$C$6+'1.설계입력'!$C$33)*SIN(B574)+('1.설계입력'!$C$7+'1.설계입력'!$C$34)*SIN(B574+F574)+'1.설계입력'!$C$8*SIN('1.설계입력'!$C$15*B574)</f>
        <v>-72.188379007697066</v>
      </c>
      <c r="I574" s="40">
        <f t="shared" si="25"/>
        <v>79.0143968080897</v>
      </c>
      <c r="J574" s="40">
        <f t="shared" si="26"/>
        <v>79.004238955284805</v>
      </c>
      <c r="K574" s="38">
        <f>IF(OR(A574&gt;180,'1.설계입력'!$C$39&gt;=1),"",'1.설계입력'!$C$34*(1-SIN(B574)/SQRT(1+'1.설계입력'!$C$39^2-2*'1.설계입력'!$C$39*COS(B574)))-'1.설계입력'!$C$33*(1-'1.설계입력'!$C$39*COS(B574)-SQRT(MAX(0,1-'1.설계입력'!$C$39^2))*SIN(B574))/SQRT(1+'1.설계입력'!$C$39^2-2*'1.설계입력'!$C$39*COS(B574)))</f>
        <v>4.4263476487734592E-3</v>
      </c>
    </row>
    <row r="575" spans="1:11" x14ac:dyDescent="0.3">
      <c r="A575" s="40">
        <f>A574+'1.설계입력'!$C$12</f>
        <v>113.80000000000108</v>
      </c>
      <c r="B575" s="40">
        <f t="shared" si="24"/>
        <v>1.9861846887695658</v>
      </c>
      <c r="C575" s="40">
        <f>ATAN2('1.설계입력'!$C$6/('1.설계입력'!$C$8*'1.설계입력'!$C$15)-COS((1-'1.설계입력'!$C$15)*B575),SIN((1-'1.설계입력'!$C$15)*B575))</f>
        <v>-0.44684767126048658</v>
      </c>
      <c r="D575" s="40">
        <f>'1.설계입력'!$C$6*COS(B575)-'1.설계입력'!$C$7*COS(B575+C575)-'1.설계입력'!$C$8*COS('1.설계입력'!$C$15*B575)</f>
        <v>-32.293038569476622</v>
      </c>
      <c r="E575" s="40">
        <f>-'1.설계입력'!$C$6*SIN(B575)+'1.설계입력'!$C$7*SIN(B575+C575)+'1.설계입력'!$C$8*SIN('1.설계입력'!$C$15*B575)</f>
        <v>-72.210688107135539</v>
      </c>
      <c r="F575" s="40">
        <f>ATAN2(('1.설계입력'!$C$6+'1.설계입력'!$C$33)/('1.설계입력'!$C$8*'1.설계입력'!$C$15)-COS((1-'1.설계입력'!$C$15)*B575),SIN((1-'1.설계입력'!$C$15)*B575))</f>
        <v>-0.44685861872189137</v>
      </c>
      <c r="G575" s="40">
        <f>('1.설계입력'!$C$6+'1.설계입력'!$C$33)*COS(B575)-('1.설계입력'!$C$7+'1.설계입력'!$C$34)*COS(B575+F575)-'1.설계입력'!$C$8*COS('1.설계입력'!$C$15*B575)</f>
        <v>-32.292086214234367</v>
      </c>
      <c r="H575" s="40">
        <f>-('1.설계입력'!$C$6+'1.설계입력'!$C$33)*SIN(B575)+('1.설계입력'!$C$7+'1.설계입력'!$C$34)*SIN(B575+F575)+'1.설계입력'!$C$8*SIN('1.설계입력'!$C$15*B575)</f>
        <v>-72.199757120471929</v>
      </c>
      <c r="I575" s="40">
        <f t="shared" si="25"/>
        <v>79.102615740288329</v>
      </c>
      <c r="J575" s="40">
        <f t="shared" si="26"/>
        <v>79.092248421211821</v>
      </c>
      <c r="K575" s="38">
        <f>IF(OR(A575&gt;180,'1.설계입력'!$C$39&gt;=1),"",'1.설계입력'!$C$34*(1-SIN(B575)/SQRT(1+'1.설계입력'!$C$39^2-2*'1.설계입력'!$C$39*COS(B575)))-'1.설계입력'!$C$33*(1-'1.설계입력'!$C$39*COS(B575)-SQRT(MAX(0,1-'1.설계입력'!$C$39^2))*SIN(B575))/SQRT(1+'1.설계입력'!$C$39^2-2*'1.설계입력'!$C$39*COS(B575)))</f>
        <v>4.4451912729197903E-3</v>
      </c>
    </row>
    <row r="576" spans="1:11" x14ac:dyDescent="0.3">
      <c r="A576" s="40">
        <f>A575+'1.설계입력'!$C$12</f>
        <v>114.00000000000108</v>
      </c>
      <c r="B576" s="40">
        <f t="shared" si="24"/>
        <v>1.9896753472735544</v>
      </c>
      <c r="C576" s="40">
        <f>ATAN2('1.설계입력'!$C$6/('1.설계입력'!$C$8*'1.설계입력'!$C$15)-COS((1-'1.설계입력'!$C$15)*B576),SIN((1-'1.설계입력'!$C$15)*B576))</f>
        <v>-0.39246170072014269</v>
      </c>
      <c r="D576" s="40">
        <f>'1.설계입력'!$C$6*COS(B576)-'1.설계입력'!$C$7*COS(B576+C576)-'1.설계입력'!$C$8*COS('1.설계입력'!$C$15*B576)</f>
        <v>-32.496747743409266</v>
      </c>
      <c r="E576" s="40">
        <f>-'1.설계입력'!$C$6*SIN(B576)+'1.설계입력'!$C$7*SIN(B576+C576)+'1.설계입력'!$C$8*SIN('1.설계입력'!$C$15*B576)</f>
        <v>-72.211161300766662</v>
      </c>
      <c r="F576" s="40">
        <f>ATAN2(('1.설계입력'!$C$6+'1.설계입력'!$C$33)/('1.설계입력'!$C$8*'1.설계입력'!$C$15)-COS((1-'1.설계입력'!$C$15)*B576),SIN((1-'1.설계입력'!$C$15)*B576))</f>
        <v>-0.39247104280861922</v>
      </c>
      <c r="G576" s="40">
        <f>('1.설계입력'!$C$6+'1.설계입력'!$C$33)*COS(B576)-('1.설계입력'!$C$7+'1.설계입력'!$C$34)*COS(B576+F576)-'1.설계입력'!$C$8*COS('1.설계입력'!$C$15*B576)</f>
        <v>-32.495310335377972</v>
      </c>
      <c r="H576" s="40">
        <f>-('1.설계입력'!$C$6+'1.설계입력'!$C$33)*SIN(B576)+('1.설계입력'!$C$7+'1.설계입력'!$C$34)*SIN(B576+F576)+'1.설계입력'!$C$8*SIN('1.설계입력'!$C$15*B576)</f>
        <v>-72.200231147195595</v>
      </c>
      <c r="I576" s="40">
        <f t="shared" si="25"/>
        <v>79.1864283214246</v>
      </c>
      <c r="J576" s="40">
        <f t="shared" si="26"/>
        <v>79.175871144566486</v>
      </c>
      <c r="K576" s="38">
        <f>IF(OR(A576&gt;180,'1.설계입력'!$C$39&gt;=1),"",'1.설계입력'!$C$34*(1-SIN(B576)/SQRT(1+'1.설계입력'!$C$39^2-2*'1.설계입력'!$C$39*COS(B576)))-'1.설계입력'!$C$33*(1-'1.설계입력'!$C$39*COS(B576)-SQRT(MAX(0,1-'1.설계입력'!$C$39^2))*SIN(B576))/SQRT(1+'1.설계입력'!$C$39^2-2*'1.설계입력'!$C$39*COS(B576)))</f>
        <v>4.4640532857831566E-3</v>
      </c>
    </row>
    <row r="577" spans="1:11" x14ac:dyDescent="0.3">
      <c r="A577" s="40">
        <f>A576+'1.설계입력'!$C$12</f>
        <v>114.20000000000108</v>
      </c>
      <c r="B577" s="40">
        <f t="shared" si="24"/>
        <v>1.9931660057775433</v>
      </c>
      <c r="C577" s="40">
        <f>ATAN2('1.설계입력'!$C$6/('1.설계입력'!$C$8*'1.설계입력'!$C$15)-COS((1-'1.설계입력'!$C$15)*B577),SIN((1-'1.설계입력'!$C$15)*B577))</f>
        <v>-0.33718393533876589</v>
      </c>
      <c r="D577" s="40">
        <f>'1.설계입력'!$C$6*COS(B577)-'1.설계입력'!$C$7*COS(B577+C577)-'1.설계입력'!$C$8*COS('1.설계입력'!$C$15*B577)</f>
        <v>-32.711447867344738</v>
      </c>
      <c r="E577" s="40">
        <f>-'1.설계입력'!$C$6*SIN(B577)+'1.설계입력'!$C$7*SIN(B577+C577)+'1.설계입력'!$C$8*SIN('1.설계입력'!$C$15*B577)</f>
        <v>-72.199129755538948</v>
      </c>
      <c r="F577" s="40">
        <f>ATAN2(('1.설계입력'!$C$6+'1.설계입력'!$C$33)/('1.설계입력'!$C$8*'1.설계입력'!$C$15)-COS((1-'1.설계입력'!$C$15)*B577),SIN((1-'1.설계입력'!$C$15)*B577))</f>
        <v>-0.33719177034552184</v>
      </c>
      <c r="G577" s="40">
        <f>('1.설계입력'!$C$6+'1.설계입력'!$C$33)*COS(B577)-('1.설계입력'!$C$7+'1.설계입력'!$C$34)*COS(B577+F577)-'1.설계입력'!$C$8*COS('1.설계입력'!$C$15*B577)</f>
        <v>-32.709519225257779</v>
      </c>
      <c r="H577" s="40">
        <f>-('1.설계입력'!$C$6+'1.설계입력'!$C$33)*SIN(B577)+('1.설계입력'!$C$7+'1.설계입력'!$C$34)*SIN(B577+F577)+'1.설계입력'!$C$8*SIN('1.설계입력'!$C$15*B577)</f>
        <v>-72.188228882912227</v>
      </c>
      <c r="I577" s="40">
        <f t="shared" si="25"/>
        <v>79.263819987653648</v>
      </c>
      <c r="J577" s="40">
        <f t="shared" si="26"/>
        <v>79.253094811491309</v>
      </c>
      <c r="K577" s="38">
        <f>IF(OR(A577&gt;180,'1.설계입력'!$C$39&gt;=1),"",'1.설계입력'!$C$34*(1-SIN(B577)/SQRT(1+'1.설계입력'!$C$39^2-2*'1.설계입력'!$C$39*COS(B577)))-'1.설계입력'!$C$33*(1-'1.설계입력'!$C$39*COS(B577)-SQRT(MAX(0,1-'1.설계입력'!$C$39^2))*SIN(B577))/SQRT(1+'1.설계입력'!$C$39^2-2*'1.설계입력'!$C$39*COS(B577)))</f>
        <v>4.4829335961259608E-3</v>
      </c>
    </row>
    <row r="578" spans="1:11" x14ac:dyDescent="0.3">
      <c r="A578" s="40">
        <f>A577+'1.설계입력'!$C$12</f>
        <v>114.40000000000109</v>
      </c>
      <c r="B578" s="40">
        <f t="shared" si="24"/>
        <v>1.996656664281532</v>
      </c>
      <c r="C578" s="40">
        <f>ATAN2('1.설계입력'!$C$6/('1.설계입력'!$C$8*'1.설계입력'!$C$15)-COS((1-'1.설계입력'!$C$15)*B578),SIN((1-'1.설계입력'!$C$15)*B578))</f>
        <v>-0.28120328674440759</v>
      </c>
      <c r="D578" s="40">
        <f>'1.설계입력'!$C$6*COS(B578)-'1.설계입력'!$C$7*COS(B578+C578)-'1.설계입력'!$C$8*COS('1.설계입력'!$C$15*B578)</f>
        <v>-32.935068118599368</v>
      </c>
      <c r="E578" s="40">
        <f>-'1.설계입력'!$C$6*SIN(B578)+'1.설계입력'!$C$7*SIN(B578+C578)+'1.설계입력'!$C$8*SIN('1.설계입력'!$C$15*B578)</f>
        <v>-72.17328217050823</v>
      </c>
      <c r="F578" s="40">
        <f>ATAN2(('1.설계입력'!$C$6+'1.설계입력'!$C$33)/('1.설계입력'!$C$8*'1.설계입력'!$C$15)-COS((1-'1.설계입력'!$C$15)*B578),SIN((1-'1.설계입력'!$C$15)*B578))</f>
        <v>-0.28120969276419605</v>
      </c>
      <c r="G578" s="40">
        <f>('1.설계입력'!$C$6+'1.설계입력'!$C$33)*COS(B578)-('1.설계입력'!$C$7+'1.설계입력'!$C$34)*COS(B578+F578)-'1.설계입력'!$C$8*COS('1.설계입력'!$C$15*B578)</f>
        <v>-32.932645262797166</v>
      </c>
      <c r="H578" s="40">
        <f>-('1.설계입력'!$C$6+'1.설계입력'!$C$33)*SIN(B578)+('1.설계입력'!$C$7+'1.설계입력'!$C$34)*SIN(B578+F578)+'1.설계입력'!$C$8*SIN('1.설계입력'!$C$15*B578)</f>
        <v>-72.162439951221359</v>
      </c>
      <c r="I578" s="40">
        <f t="shared" si="25"/>
        <v>79.332851778065944</v>
      </c>
      <c r="J578" s="40">
        <f t="shared" si="26"/>
        <v>79.321982222577276</v>
      </c>
      <c r="K578" s="38">
        <f>IF(OR(A578&gt;180,'1.설계입력'!$C$39&gt;=1),"",'1.설계입력'!$C$34*(1-SIN(B578)/SQRT(1+'1.설계입력'!$C$39^2-2*'1.설계입력'!$C$39*COS(B578)))-'1.설계입력'!$C$33*(1-'1.설계입력'!$C$39*COS(B578)-SQRT(MAX(0,1-'1.설계입력'!$C$39^2))*SIN(B578))/SQRT(1+'1.설계입력'!$C$39^2-2*'1.설계입력'!$C$39*COS(B578)))</f>
        <v>4.5018321129052727E-3</v>
      </c>
    </row>
    <row r="579" spans="1:11" x14ac:dyDescent="0.3">
      <c r="A579" s="40">
        <f>A578+'1.설계입력'!$C$12</f>
        <v>114.60000000000109</v>
      </c>
      <c r="B579" s="40">
        <f t="shared" si="24"/>
        <v>2.0001473227855207</v>
      </c>
      <c r="C579" s="40">
        <f>ATAN2('1.설계입력'!$C$6/('1.설계입력'!$C$8*'1.설계입력'!$C$15)-COS((1-'1.설계입력'!$C$15)*B579),SIN((1-'1.설계입력'!$C$15)*B579))</f>
        <v>-0.22467679145622504</v>
      </c>
      <c r="D579" s="40">
        <f>'1.설계입력'!$C$6*COS(B579)-'1.설계입력'!$C$7*COS(B579+C579)-'1.설계입력'!$C$8*COS('1.설계입력'!$C$15*B579)</f>
        <v>-33.165239568543825</v>
      </c>
      <c r="E579" s="40">
        <f>-'1.설계입력'!$C$6*SIN(B579)+'1.설계입력'!$C$7*SIN(B579+C579)+'1.설계입력'!$C$8*SIN('1.설계입력'!$C$15*B579)</f>
        <v>-72.132634769647936</v>
      </c>
      <c r="F579" s="40">
        <f>ATAN2(('1.설계입력'!$C$6+'1.설계입력'!$C$33)/('1.설계입력'!$C$8*'1.설계입력'!$C$15)-COS((1-'1.설계입력'!$C$15)*B579),SIN((1-'1.설계입력'!$C$15)*B579))</f>
        <v>-0.22468182951593652</v>
      </c>
      <c r="G579" s="40">
        <f>('1.설계입력'!$C$6+'1.설계입력'!$C$33)*COS(B579)-('1.설계입력'!$C$7+'1.설계입력'!$C$34)*COS(B579+F579)-'1.설계입력'!$C$8*COS('1.설계입력'!$C$15*B579)</f>
        <v>-33.162322559439566</v>
      </c>
      <c r="H579" s="40">
        <f>-('1.설계입력'!$C$6+'1.설계입력'!$C$33)*SIN(B579)+('1.설계입력'!$C$7+'1.설계입력'!$C$34)*SIN(B579+F579)+'1.설계입력'!$C$8*SIN('1.설계입력'!$C$15*B579)</f>
        <v>-72.121881102803783</v>
      </c>
      <c r="I579" s="40">
        <f t="shared" si="25"/>
        <v>79.391750921933493</v>
      </c>
      <c r="J579" s="40">
        <f t="shared" si="26"/>
        <v>79.380761972554026</v>
      </c>
      <c r="K579" s="38">
        <f>IF(OR(A579&gt;180,'1.설계입력'!$C$39&gt;=1),"",'1.설계입력'!$C$34*(1-SIN(B579)/SQRT(1+'1.설계입력'!$C$39^2-2*'1.설계입력'!$C$39*COS(B579)))-'1.설계입력'!$C$33*(1-'1.설계입력'!$C$39*COS(B579)-SQRT(MAX(0,1-'1.설계입력'!$C$39^2))*SIN(B579))/SQRT(1+'1.설계입력'!$C$39^2-2*'1.설계입력'!$C$39*COS(B579)))</f>
        <v>4.5207487452708561E-3</v>
      </c>
    </row>
    <row r="580" spans="1:11" x14ac:dyDescent="0.3">
      <c r="A580" s="40">
        <f>A579+'1.설계입력'!$C$12</f>
        <v>114.80000000000109</v>
      </c>
      <c r="B580" s="40">
        <f t="shared" si="24"/>
        <v>2.0036379812895095</v>
      </c>
      <c r="C580" s="40">
        <f>ATAN2('1.설계입력'!$C$6/('1.설계입력'!$C$8*'1.설계입력'!$C$15)-COS((1-'1.설계입력'!$C$15)*B580),SIN((1-'1.설계입력'!$C$15)*B580))</f>
        <v>-0.16773840826564534</v>
      </c>
      <c r="D580" s="40">
        <f>'1.설계입력'!$C$6*COS(B580)-'1.설계입력'!$C$7*COS(B580+C580)-'1.설계입력'!$C$8*COS('1.설계입력'!$C$15*B580)</f>
        <v>-33.399384369983963</v>
      </c>
      <c r="E580" s="40">
        <f>-'1.설계입력'!$C$6*SIN(B580)+'1.설계입력'!$C$7*SIN(B580+C580)+'1.설계입력'!$C$8*SIN('1.설계입력'!$C$15*B580)</f>
        <v>-72.076577661853349</v>
      </c>
      <c r="F580" s="40">
        <f>ATAN2(('1.설계입력'!$C$6+'1.설계입력'!$C$33)/('1.설계입력'!$C$8*'1.설계입력'!$C$15)-COS((1-'1.설계입력'!$C$15)*B580),SIN((1-'1.설계입력'!$C$15)*B580))</f>
        <v>-0.16774212463508112</v>
      </c>
      <c r="G580" s="40">
        <f>('1.설계입력'!$C$6+'1.설계입력'!$C$33)*COS(B580)-('1.설계입력'!$C$7+'1.설계입력'!$C$34)*COS(B580+F580)-'1.설계입력'!$C$8*COS('1.설계입력'!$C$15*B580)</f>
        <v>-33.395976171583442</v>
      </c>
      <c r="H580" s="40">
        <f>-('1.설계입력'!$C$6+'1.설계입력'!$C$33)*SIN(B580)+('1.설계입력'!$C$7+'1.설계입력'!$C$34)*SIN(B580+F580)+'1.설계입력'!$C$8*SIN('1.설계입력'!$C$15*B580)</f>
        <v>-72.065942618739655</v>
      </c>
      <c r="I580" s="40">
        <f t="shared" si="25"/>
        <v>79.438982393652964</v>
      </c>
      <c r="J580" s="40">
        <f t="shared" si="26"/>
        <v>79.427900072836152</v>
      </c>
      <c r="K580" s="38">
        <f>IF(OR(A580&gt;180,'1.설계입력'!$C$39&gt;=1),"",'1.설계입력'!$C$34*(1-SIN(B580)/SQRT(1+'1.설계입력'!$C$39^2-2*'1.설계입력'!$C$39*COS(B580)))-'1.설계입력'!$C$33*(1-'1.설계입력'!$C$39*COS(B580)-SQRT(MAX(0,1-'1.설계입력'!$C$39^2))*SIN(B580))/SQRT(1+'1.설계입력'!$C$39^2-2*'1.설계입력'!$C$39*COS(B580)))</f>
        <v>4.5396834025631903E-3</v>
      </c>
    </row>
    <row r="581" spans="1:11" x14ac:dyDescent="0.3">
      <c r="A581" s="40">
        <f>A580+'1.설계입력'!$C$12</f>
        <v>115.00000000000109</v>
      </c>
      <c r="B581" s="40">
        <f t="shared" si="24"/>
        <v>2.007128639793498</v>
      </c>
      <c r="C581" s="40">
        <f>ATAN2('1.설계입력'!$C$6/('1.설계입력'!$C$8*'1.설계입력'!$C$15)-COS((1-'1.설계입력'!$C$15)*B581),SIN((1-'1.설계입력'!$C$15)*B581))</f>
        <v>-0.11050565595388362</v>
      </c>
      <c r="D581" s="40">
        <f>'1.설계입력'!$C$6*COS(B581)-'1.설계입력'!$C$7*COS(B581+C581)-'1.설계입력'!$C$8*COS('1.설계입력'!$C$15*B581)</f>
        <v>-33.634801493980348</v>
      </c>
      <c r="E581" s="40">
        <f>-'1.설계입력'!$C$6*SIN(B581)+'1.설계입력'!$C$7*SIN(B581+C581)+'1.설계입력'!$C$8*SIN('1.설계입력'!$C$15*B581)</f>
        <v>-72.004904391348987</v>
      </c>
      <c r="F581" s="40">
        <f>ATAN2(('1.설계입력'!$C$6+'1.설계입력'!$C$33)/('1.설계입력'!$C$8*'1.설계입력'!$C$15)-COS((1-'1.설계입력'!$C$15)*B581),SIN((1-'1.설계입력'!$C$15)*B581))</f>
        <v>-0.11050808381708954</v>
      </c>
      <c r="G581" s="40">
        <f>('1.설계입력'!$C$6+'1.설계입력'!$C$33)*COS(B581)-('1.설계입력'!$C$7+'1.설계입력'!$C$34)*COS(B581+F581)-'1.설계입력'!$C$8*COS('1.설계입력'!$C$15*B581)</f>
        <v>-33.630907850826098</v>
      </c>
      <c r="H581" s="40">
        <f>-('1.설계입력'!$C$6+'1.설계입력'!$C$33)*SIN(B581)+('1.설계입력'!$C$7+'1.설계입력'!$C$34)*SIN(B581+F581)+'1.설계입력'!$C$8*SIN('1.설계입력'!$C$15*B581)</f>
        <v>-71.994417892171867</v>
      </c>
      <c r="I581" s="40">
        <f t="shared" si="25"/>
        <v>79.473304498723166</v>
      </c>
      <c r="J581" s="40">
        <f t="shared" si="26"/>
        <v>79.462155586816493</v>
      </c>
      <c r="K581" s="38">
        <f>IF(OR(A581&gt;180,'1.설계입력'!$C$39&gt;=1),"",'1.설계입력'!$C$34*(1-SIN(B581)/SQRT(1+'1.설계입력'!$C$39^2-2*'1.설계입력'!$C$39*COS(B581)))-'1.설계입력'!$C$33*(1-'1.설계입력'!$C$39*COS(B581)-SQRT(MAX(0,1-'1.설계입력'!$C$39^2))*SIN(B581))/SQRT(1+'1.설계입력'!$C$39^2-2*'1.설계입력'!$C$39*COS(B581)))</f>
        <v>4.5586359943115204E-3</v>
      </c>
    </row>
    <row r="582" spans="1:11" x14ac:dyDescent="0.3">
      <c r="A582" s="40">
        <f>A581+'1.설계입력'!$C$12</f>
        <v>115.2000000000011</v>
      </c>
      <c r="B582" s="40">
        <f t="shared" ref="B582:B645" si="27">RADIANS(A582)</f>
        <v>2.0106192982974869</v>
      </c>
      <c r="C582" s="40">
        <f>ATAN2('1.설계입력'!$C$6/('1.설계입력'!$C$8*'1.설계입력'!$C$15)-COS((1-'1.설계입력'!$C$15)*B582),SIN((1-'1.설계입력'!$C$15)*B582))</f>
        <v>-5.3084818940532963E-2</v>
      </c>
      <c r="D582" s="40">
        <f>'1.설계입력'!$C$6*COS(B582)-'1.설계입력'!$C$7*COS(B582+C582)-'1.설계입력'!$C$8*COS('1.설계입력'!$C$15*B582)</f>
        <v>-33.868749457133084</v>
      </c>
      <c r="E582" s="40">
        <f>-'1.설계입력'!$C$6*SIN(B582)+'1.설계입력'!$C$7*SIN(B582+C582)+'1.설계입력'!$C$8*SIN('1.설계입력'!$C$15*B582)</f>
        <v>-71.917826060988617</v>
      </c>
      <c r="F582" s="40">
        <f>ATAN2(('1.설계입력'!$C$6+'1.설계입력'!$C$33)/('1.설계입력'!$C$8*'1.설계입력'!$C$15)-COS((1-'1.설계입력'!$C$15)*B582),SIN((1-'1.설계입력'!$C$15)*B582))</f>
        <v>-5.30859795507264E-2</v>
      </c>
      <c r="G582" s="40">
        <f>('1.설계입력'!$C$6+'1.설계입력'!$C$33)*COS(B582)-('1.설계입력'!$C$7+'1.설계입력'!$C$34)*COS(B582+F582)-'1.설계입력'!$C$8*COS('1.설계입력'!$C$15*B582)</f>
        <v>-33.864378776772625</v>
      </c>
      <c r="H582" s="40">
        <f>-('1.설계입력'!$C$6+'1.설계입력'!$C$33)*SIN(B582)+('1.설계입력'!$C$7+'1.설계입력'!$C$34)*SIN(B582+F582)+'1.설계입력'!$C$8*SIN('1.설계입력'!$C$15*B582)</f>
        <v>-71.907517574138993</v>
      </c>
      <c r="I582" s="40">
        <f t="shared" ref="I582:I645" si="28">SQRT(D582^2+E582^2)</f>
        <v>79.493810420237537</v>
      </c>
      <c r="J582" s="40">
        <f t="shared" ref="J582:J645" si="29">SQRT(G582^2+H582^2)</f>
        <v>79.482622211473597</v>
      </c>
      <c r="K582" s="38">
        <f>IF(OR(A582&gt;180,'1.설계입력'!$C$39&gt;=1),"",'1.설계입력'!$C$34*(1-SIN(B582)/SQRT(1+'1.설계입력'!$C$39^2-2*'1.설계입력'!$C$39*COS(B582)))-'1.설계입력'!$C$33*(1-'1.설계입력'!$C$39*COS(B582)-SQRT(MAX(0,1-'1.설계입력'!$C$39^2))*SIN(B582))/SQRT(1+'1.설계입력'!$C$39^2-2*'1.설계입력'!$C$39*COS(B582)))</f>
        <v>4.5776064302319496E-3</v>
      </c>
    </row>
    <row r="583" spans="1:11" x14ac:dyDescent="0.3">
      <c r="A583" s="40">
        <f>A582+'1.설계입력'!$C$12</f>
        <v>115.4000000000011</v>
      </c>
      <c r="B583" s="40">
        <f t="shared" si="27"/>
        <v>2.0141099568014753</v>
      </c>
      <c r="C583" s="40">
        <f>ATAN2('1.설계입력'!$C$6/('1.설계입력'!$C$8*'1.설계입력'!$C$15)-COS((1-'1.설계입력'!$C$15)*B583),SIN((1-'1.설계입력'!$C$15)*B583))</f>
        <v>4.4247711502584074E-3</v>
      </c>
      <c r="D583" s="40">
        <f>'1.설계입력'!$C$6*COS(B583)-'1.설계입력'!$C$7*COS(B583+C583)-'1.설계입력'!$C$8*COS('1.설계입력'!$C$15*B583)</f>
        <v>-34.09852576590211</v>
      </c>
      <c r="E583" s="40">
        <f>-'1.설계입력'!$C$6*SIN(B583)+'1.설계입력'!$C$7*SIN(B583+C583)+'1.설계입력'!$C$8*SIN('1.설계입력'!$C$15*B583)</f>
        <v>-71.815971019249432</v>
      </c>
      <c r="F583" s="40">
        <f>ATAN2(('1.설계입력'!$C$6+'1.설계입력'!$C$33)/('1.설계입력'!$C$8*'1.설계입력'!$C$15)-COS((1-'1.설계입력'!$C$15)*B583),SIN((1-'1.설계입력'!$C$15)*B583))</f>
        <v>4.4248677504611063E-3</v>
      </c>
      <c r="G583" s="40">
        <f>('1.설계입력'!$C$6+'1.설계입력'!$C$33)*COS(B583)-('1.설계입력'!$C$7+'1.설계입력'!$C$34)*COS(B583+F583)-'1.설계입력'!$C$8*COS('1.설계입력'!$C$15*B583)</f>
        <v>-34.093689001386508</v>
      </c>
      <c r="H583" s="40">
        <f>-('1.설계입력'!$C$6+'1.설계입력'!$C$33)*SIN(B583)+('1.설계입력'!$C$7+'1.설계입력'!$C$34)*SIN(B583+F583)+'1.설계입력'!$C$8*SIN('1.설계입력'!$C$15*B583)</f>
        <v>-71.805869276482426</v>
      </c>
      <c r="I583" s="40">
        <f t="shared" si="28"/>
        <v>79.499956936123965</v>
      </c>
      <c r="J583" s="40">
        <f t="shared" si="29"/>
        <v>79.488757018049711</v>
      </c>
      <c r="K583" s="38">
        <f>IF(OR(A583&gt;180,'1.설계입력'!$C$39&gt;=1),"",'1.설계입력'!$C$34*(1-SIN(B583)/SQRT(1+'1.설계입력'!$C$39^2-2*'1.설계입력'!$C$39*COS(B583)))-'1.설계입력'!$C$33*(1-'1.설계입력'!$C$39*COS(B583)-SQRT(MAX(0,1-'1.설계입력'!$C$39^2))*SIN(B583))/SQRT(1+'1.설계입력'!$C$39^2-2*'1.설계입력'!$C$39*COS(B583)))</f>
        <v>4.596594620225521E-3</v>
      </c>
    </row>
    <row r="584" spans="1:11" x14ac:dyDescent="0.3">
      <c r="A584" s="40">
        <f>A583+'1.설계입력'!$C$12</f>
        <v>115.6000000000011</v>
      </c>
      <c r="B584" s="40">
        <f t="shared" si="27"/>
        <v>2.0176006153054642</v>
      </c>
      <c r="C584" s="40">
        <f>ATAN2('1.설계입력'!$C$6/('1.설계입력'!$C$8*'1.설계입력'!$C$15)-COS((1-'1.설계입력'!$C$15)*B584),SIN((1-'1.설계입력'!$C$15)*B584))</f>
        <v>6.1927002472793265E-2</v>
      </c>
      <c r="D584" s="40">
        <f>'1.설계입력'!$C$6*COS(B584)-'1.설계입력'!$C$7*COS(B584+C584)-'1.설계입력'!$C$8*COS('1.설계입력'!$C$15*B584)</f>
        <v>-34.321542375117545</v>
      </c>
      <c r="E584" s="40">
        <f>-'1.설계입력'!$C$6*SIN(B584)+'1.설계입력'!$C$7*SIN(B584+C584)+'1.설계입력'!$C$8*SIN('1.설계입력'!$C$15*B584)</f>
        <v>-71.700370884210955</v>
      </c>
      <c r="F584" s="40">
        <f>ATAN2(('1.설계입력'!$C$6+'1.설계입력'!$C$33)/('1.설계입력'!$C$8*'1.설계입력'!$C$15)-COS((1-'1.설계입력'!$C$15)*B584),SIN((1-'1.설계입력'!$C$15)*B584))</f>
        <v>6.1928357116387382E-2</v>
      </c>
      <c r="G584" s="40">
        <f>('1.설계입력'!$C$6+'1.설계입력'!$C$33)*COS(B584)-('1.설계입력'!$C$7+'1.설계입력'!$C$34)*COS(B584+F584)-'1.설계입력'!$C$8*COS('1.설계입력'!$C$15*B584)</f>
        <v>-34.316252903608479</v>
      </c>
      <c r="H584" s="40">
        <f>-('1.설계입력'!$C$6+'1.설계입력'!$C$33)*SIN(B584)+('1.설계입력'!$C$7+'1.설계입력'!$C$34)*SIN(B584+F584)+'1.설계입력'!$C$8*SIN('1.설계입력'!$C$15*B584)</f>
        <v>-71.6905036063539</v>
      </c>
      <c r="I584" s="40">
        <f t="shared" si="28"/>
        <v>79.49158103812249</v>
      </c>
      <c r="J584" s="40">
        <f t="shared" si="29"/>
        <v>79.480397084294054</v>
      </c>
      <c r="K584" s="38">
        <f>IF(OR(A584&gt;180,'1.설계입력'!$C$39&gt;=1),"",'1.설계입력'!$C$34*(1-SIN(B584)/SQRT(1+'1.설계입력'!$C$39^2-2*'1.설계입력'!$C$39*COS(B584)))-'1.설계입력'!$C$33*(1-'1.설계입력'!$C$39*COS(B584)-SQRT(MAX(0,1-'1.설계입력'!$C$39^2))*SIN(B584))/SQRT(1+'1.설계입력'!$C$39^2-2*'1.설계입력'!$C$39*COS(B584)))</f>
        <v>4.6156004743763612E-3</v>
      </c>
    </row>
    <row r="585" spans="1:11" x14ac:dyDescent="0.3">
      <c r="A585" s="40">
        <f>A584+'1.설계입력'!$C$12</f>
        <v>115.80000000000111</v>
      </c>
      <c r="B585" s="40">
        <f t="shared" si="27"/>
        <v>2.0210912738094531</v>
      </c>
      <c r="C585" s="40">
        <f>ATAN2('1.설계입력'!$C$6/('1.설계입력'!$C$8*'1.설계입력'!$C$15)-COS((1-'1.설계입력'!$C$15)*B585),SIN((1-'1.설계입력'!$C$15)*B585))</f>
        <v>0.1193254977107651</v>
      </c>
      <c r="D585" s="40">
        <f>'1.설계입력'!$C$6*COS(B585)-'1.설계입력'!$C$7*COS(B585+C585)-'1.설계입력'!$C$8*COS('1.설계입력'!$C$15*B585)</f>
        <v>-34.535396210409573</v>
      </c>
      <c r="E585" s="40">
        <f>-'1.설계입력'!$C$6*SIN(B585)+'1.설계입력'!$C$7*SIN(B585+C585)+'1.설계입력'!$C$8*SIN('1.설계입력'!$C$15*B585)</f>
        <v>-71.57243355437538</v>
      </c>
      <c r="F585" s="40">
        <f>ATAN2(('1.설계입력'!$C$6+'1.설계입력'!$C$33)/('1.설계입력'!$C$8*'1.설계입력'!$C$15)-COS((1-'1.설계입력'!$C$15)*B585),SIN((1-'1.설계입력'!$C$15)*B585))</f>
        <v>0.11932812213401288</v>
      </c>
      <c r="G585" s="40">
        <f>('1.설계입력'!$C$6+'1.설계입력'!$C$33)*COS(B585)-('1.설계입력'!$C$7+'1.설계입력'!$C$34)*COS(B585+F585)-'1.설계입력'!$C$8*COS('1.설계입력'!$C$15*B585)</f>
        <v>-34.529669704998632</v>
      </c>
      <c r="H585" s="40">
        <f>-('1.설계입력'!$C$6+'1.설계입력'!$C$33)*SIN(B585)+('1.설계입력'!$C$7+'1.설계입력'!$C$34)*SIN(B585+F585)+'1.설계입력'!$C$8*SIN('1.설계입력'!$C$15*B585)</f>
        <v>-71.562827182745806</v>
      </c>
      <c r="I585" s="40">
        <f t="shared" si="28"/>
        <v>79.468904838971142</v>
      </c>
      <c r="J585" s="40">
        <f t="shared" si="29"/>
        <v>79.457764405524543</v>
      </c>
      <c r="K585" s="38">
        <f>IF(OR(A585&gt;180,'1.설계입력'!$C$39&gt;=1),"",'1.설계입력'!$C$34*(1-SIN(B585)/SQRT(1+'1.설계입력'!$C$39^2-2*'1.설계입력'!$C$39*COS(B585)))-'1.설계입력'!$C$33*(1-'1.설계입력'!$C$39*COS(B585)-SQRT(MAX(0,1-'1.설계입력'!$C$39^2))*SIN(B585))/SQRT(1+'1.설계입력'!$C$39^2-2*'1.설계입력'!$C$39*COS(B585)))</f>
        <v>4.6346239029498061E-3</v>
      </c>
    </row>
    <row r="586" spans="1:11" x14ac:dyDescent="0.3">
      <c r="A586" s="40">
        <f>A585+'1.설계입력'!$C$12</f>
        <v>116.00000000000111</v>
      </c>
      <c r="B586" s="40">
        <f t="shared" si="27"/>
        <v>2.0245819323134415</v>
      </c>
      <c r="C586" s="40">
        <f>ATAN2('1.설계입력'!$C$6/('1.설계입력'!$C$8*'1.설계입력'!$C$15)-COS((1-'1.설계입력'!$C$15)*B586),SIN((1-'1.설계입력'!$C$15)*B586))</f>
        <v>0.17652010855226827</v>
      </c>
      <c r="D586" s="40">
        <f>'1.설계입력'!$C$6*COS(B586)-'1.설계입력'!$C$7*COS(B586+C586)-'1.설계입력'!$C$8*COS('1.설계입력'!$C$15*B586)</f>
        <v>-34.737933678239926</v>
      </c>
      <c r="E586" s="40">
        <f>-'1.설계입력'!$C$6*SIN(B586)+'1.설계입력'!$C$7*SIN(B586+C586)+'1.설계입력'!$C$8*SIN('1.설계입력'!$C$15*B586)</f>
        <v>-71.433903768207358</v>
      </c>
      <c r="F586" s="40">
        <f>ATAN2(('1.설계입력'!$C$6+'1.설계입력'!$C$33)/('1.설계입력'!$C$8*'1.설계입력'!$C$15)-COS((1-'1.설계입력'!$C$15)*B586),SIN((1-'1.설계입력'!$C$15)*B586))</f>
        <v>0.17652402578685394</v>
      </c>
      <c r="G586" s="40">
        <f>('1.설계입력'!$C$6+'1.설계입력'!$C$33)*COS(B586)-('1.설계입력'!$C$7+'1.설계입력'!$C$34)*COS(B586+F586)-'1.설계입력'!$C$8*COS('1.설계입력'!$C$15*B586)</f>
        <v>-34.731787970737983</v>
      </c>
      <c r="H586" s="40">
        <f>-('1.설계입력'!$C$6+'1.설계입력'!$C$33)*SIN(B586)+('1.설계입력'!$C$7+'1.설계입력'!$C$34)*SIN(B586+F586)+'1.설계입력'!$C$8*SIN('1.설계입력'!$C$15*B586)</f>
        <v>-71.424583196911144</v>
      </c>
      <c r="I586" s="40">
        <f t="shared" si="28"/>
        <v>79.432528877024339</v>
      </c>
      <c r="J586" s="40">
        <f t="shared" si="29"/>
        <v>79.421459193953254</v>
      </c>
      <c r="K586" s="38">
        <f>IF(OR(A586&gt;180,'1.설계입력'!$C$39&gt;=1),"",'1.설계입력'!$C$34*(1-SIN(B586)/SQRT(1+'1.설계입력'!$C$39^2-2*'1.설계입력'!$C$39*COS(B586)))-'1.설계입력'!$C$33*(1-'1.설계입력'!$C$39*COS(B586)-SQRT(MAX(0,1-'1.설계입력'!$C$39^2))*SIN(B586))/SQRT(1+'1.설계입력'!$C$39^2-2*'1.설계입력'!$C$39*COS(B586)))</f>
        <v>4.6536648163905837E-3</v>
      </c>
    </row>
    <row r="587" spans="1:11" x14ac:dyDescent="0.3">
      <c r="A587" s="40">
        <f>A586+'1.설계입력'!$C$12</f>
        <v>116.20000000000111</v>
      </c>
      <c r="B587" s="40">
        <f t="shared" si="27"/>
        <v>2.0280725908174304</v>
      </c>
      <c r="C587" s="40">
        <f>ATAN2('1.설계입력'!$C$6/('1.설계입력'!$C$8*'1.설계입력'!$C$15)-COS((1-'1.설계입력'!$C$15)*B587),SIN((1-'1.설계입력'!$C$15)*B587))</f>
        <v>0.23340311919055359</v>
      </c>
      <c r="D587" s="40">
        <f>'1.설계입력'!$C$6*COS(B587)-'1.설계입력'!$C$7*COS(B587+C587)-'1.설계입력'!$C$8*COS('1.설계입력'!$C$15*B587)</f>
        <v>-34.92730804565231</v>
      </c>
      <c r="E587" s="40">
        <f>-'1.설계입력'!$C$6*SIN(B587)+'1.설계입력'!$C$7*SIN(B587+C587)+'1.설계입력'!$C$8*SIN('1.설계입력'!$C$15*B587)</f>
        <v>-71.28681167218096</v>
      </c>
      <c r="F587" s="40">
        <f>ATAN2(('1.설계입력'!$C$6+'1.설계입력'!$C$33)/('1.설계입력'!$C$8*'1.설계입력'!$C$15)-COS((1-'1.설계입력'!$C$15)*B587),SIN((1-'1.설계입력'!$C$15)*B587))</f>
        <v>0.23340836434673942</v>
      </c>
      <c r="G587" s="40">
        <f>('1.설계입력'!$C$6+'1.설계입력'!$C$33)*COS(B587)-('1.설계입력'!$C$7+'1.설계입력'!$C$34)*COS(B587+F587)-'1.설계입력'!$C$8*COS('1.설계입력'!$C$15*B587)</f>
        <v>-34.920762978493116</v>
      </c>
      <c r="H587" s="40">
        <f>-('1.설계입력'!$C$6+'1.설계입력'!$C$33)*SIN(B587)+('1.설계입력'!$C$7+'1.설계입력'!$C$34)*SIN(B587+F587)+'1.설계입력'!$C$8*SIN('1.설계입력'!$C$15*B587)</f>
        <v>-71.277799975868064</v>
      </c>
      <c r="I587" s="40">
        <f t="shared" si="28"/>
        <v>79.383413668731109</v>
      </c>
      <c r="J587" s="40">
        <f t="shared" si="29"/>
        <v>79.372441416400648</v>
      </c>
      <c r="K587" s="38">
        <f>IF(OR(A587&gt;180,'1.설계입력'!$C$39&gt;=1),"",'1.설계입력'!$C$34*(1-SIN(B587)/SQRT(1+'1.설계입력'!$C$39^2-2*'1.설계입력'!$C$39*COS(B587)))-'1.설계입력'!$C$33*(1-'1.설계입력'!$C$39*COS(B587)-SQRT(MAX(0,1-'1.설계입력'!$C$39^2))*SIN(B587))/SQRT(1+'1.설계입력'!$C$39^2-2*'1.설계입력'!$C$39*COS(B587)))</f>
        <v>4.6727231253210081E-3</v>
      </c>
    </row>
    <row r="588" spans="1:11" x14ac:dyDescent="0.3">
      <c r="A588" s="40">
        <f>A587+'1.설계입력'!$C$12</f>
        <v>116.40000000000111</v>
      </c>
      <c r="B588" s="40">
        <f t="shared" si="27"/>
        <v>2.0315632493214189</v>
      </c>
      <c r="C588" s="40">
        <f>ATAN2('1.설계입력'!$C$6/('1.설계입력'!$C$8*'1.설계입력'!$C$15)-COS((1-'1.설계입력'!$C$15)*B588),SIN((1-'1.설계입력'!$C$15)*B588))</f>
        <v>0.28985484957636426</v>
      </c>
      <c r="D588" s="40">
        <f>'1.설계입력'!$C$6*COS(B588)-'1.설계입력'!$C$7*COS(B588+C588)-'1.설계입력'!$C$8*COS('1.설계입력'!$C$15*B588)</f>
        <v>-35.10202859179094</v>
      </c>
      <c r="E588" s="40">
        <f>-'1.설계입력'!$C$6*SIN(B588)+'1.설계입력'!$C$7*SIN(B588+C588)+'1.설계입력'!$C$8*SIN('1.설계입력'!$C$15*B588)</f>
        <v>-71.133409690242814</v>
      </c>
      <c r="F588" s="40">
        <f>ATAN2(('1.설계입력'!$C$6+'1.설계입력'!$C$33)/('1.설계입력'!$C$8*'1.설계입력'!$C$15)-COS((1-'1.설계입력'!$C$15)*B588),SIN((1-'1.설계입력'!$C$15)*B588))</f>
        <v>0.28986147107113797</v>
      </c>
      <c r="G588" s="40">
        <f>('1.설계입력'!$C$6+'1.설계입력'!$C$33)*COS(B588)-('1.설계입력'!$C$7+'1.설계입력'!$C$34)*COS(B588+F588)-'1.설계입력'!$C$8*COS('1.설계입력'!$C$15*B588)</f>
        <v>-35.095105857374833</v>
      </c>
      <c r="H588" s="40">
        <f>-('1.설계입력'!$C$6+'1.설계입력'!$C$33)*SIN(B588)+('1.설계입력'!$C$7+'1.설계입력'!$C$34)*SIN(B588+F588)+'1.설계입력'!$C$8*SIN('1.설계입력'!$C$15*B588)</f>
        <v>-71.124727840631536</v>
      </c>
      <c r="I588" s="40">
        <f t="shared" si="28"/>
        <v>79.322849075274888</v>
      </c>
      <c r="J588" s="40">
        <f t="shared" si="29"/>
        <v>79.31200013581963</v>
      </c>
      <c r="K588" s="38">
        <f>IF(OR(A588&gt;180,'1.설계입력'!$C$39&gt;=1),"",'1.설계입력'!$C$34*(1-SIN(B588)/SQRT(1+'1.설계입력'!$C$39^2-2*'1.설계입력'!$C$39*COS(B588)))-'1.설계입력'!$C$33*(1-'1.설계입력'!$C$39*COS(B588)-SQRT(MAX(0,1-'1.설계입력'!$C$39^2))*SIN(B588))/SQRT(1+'1.설계입력'!$C$39^2-2*'1.설계입력'!$C$39*COS(B588)))</f>
        <v>4.6917987405391695E-3</v>
      </c>
    </row>
    <row r="589" spans="1:11" x14ac:dyDescent="0.3">
      <c r="A589" s="40">
        <f>A588+'1.설계입력'!$C$12</f>
        <v>116.60000000000112</v>
      </c>
      <c r="B589" s="40">
        <f t="shared" si="27"/>
        <v>2.0350539078254077</v>
      </c>
      <c r="C589" s="40">
        <f>ATAN2('1.설계입력'!$C$6/('1.설계입력'!$C$8*'1.설계입력'!$C$15)-COS((1-'1.설계입력'!$C$15)*B589),SIN((1-'1.설계입력'!$C$15)*B589))</f>
        <v>0.34573826681227116</v>
      </c>
      <c r="D589" s="40">
        <f>'1.설계입력'!$C$6*COS(B589)-'1.설계입력'!$C$7*COS(B589+C589)-'1.설계입력'!$C$8*COS('1.설계입력'!$C$15*B589)</f>
        <v>-35.261000500856326</v>
      </c>
      <c r="E589" s="40">
        <f>-'1.설계입력'!$C$6*SIN(B589)+'1.설계입력'!$C$7*SIN(B589+C589)+'1.설계입력'!$C$8*SIN('1.설계입력'!$C$15*B589)</f>
        <v>-70.976097693351775</v>
      </c>
      <c r="F589" s="40">
        <f>ATAN2(('1.설계입력'!$C$6+'1.설계입력'!$C$33)/('1.설계입력'!$C$8*'1.설계입력'!$C$15)-COS((1-'1.설계입력'!$C$15)*B589),SIN((1-'1.설계입력'!$C$15)*B589))</f>
        <v>0.34574632812985173</v>
      </c>
      <c r="G589" s="40">
        <f>('1.설계입력'!$C$6+'1.설계입력'!$C$33)*COS(B589)-('1.설계입력'!$C$7+'1.설계입력'!$C$34)*COS(B589+F589)-'1.설계입력'!$C$8*COS('1.설계입력'!$C$15*B589)</f>
        <v>-35.253723466673058</v>
      </c>
      <c r="H589" s="40">
        <f>-('1.설계입력'!$C$6+'1.설계입력'!$C$33)*SIN(B589)+('1.설계입력'!$C$7+'1.설계입력'!$C$34)*SIN(B589+F589)+'1.설계입력'!$C$8*SIN('1.설계입력'!$C$15*B589)</f>
        <v>-70.967764255677707</v>
      </c>
      <c r="I589" s="40">
        <f t="shared" si="28"/>
        <v>79.252410689502724</v>
      </c>
      <c r="J589" s="40">
        <f t="shared" si="29"/>
        <v>79.241709861121123</v>
      </c>
      <c r="K589" s="38">
        <f>IF(OR(A589&gt;180,'1.설계입력'!$C$39&gt;=1),"",'1.설계입력'!$C$34*(1-SIN(B589)/SQRT(1+'1.설계입력'!$C$39^2-2*'1.설계입력'!$C$39*COS(B589)))-'1.설계입력'!$C$33*(1-'1.설계입력'!$C$39*COS(B589)-SQRT(MAX(0,1-'1.설계입력'!$C$39^2))*SIN(B589))/SQRT(1+'1.설계입력'!$C$39^2-2*'1.설계입력'!$C$39*COS(B589)))</f>
        <v>4.7108915730171971E-3</v>
      </c>
    </row>
    <row r="590" spans="1:11" x14ac:dyDescent="0.3">
      <c r="A590" s="40">
        <f>A589+'1.설계입력'!$C$12</f>
        <v>116.80000000000112</v>
      </c>
      <c r="B590" s="40">
        <f t="shared" si="27"/>
        <v>2.0385445663293966</v>
      </c>
      <c r="C590" s="40">
        <f>ATAN2('1.설계입력'!$C$6/('1.설계입력'!$C$8*'1.설계입력'!$C$15)-COS((1-'1.설계입력'!$C$15)*B590),SIN((1-'1.설계입력'!$C$15)*B590))</f>
        <v>0.40089206957535456</v>
      </c>
      <c r="D590" s="40">
        <f>'1.설계입력'!$C$6*COS(B590)-'1.설계입력'!$C$7*COS(B590+C590)-'1.설계입력'!$C$8*COS('1.설계입력'!$C$15*B590)</f>
        <v>-35.403554575712718</v>
      </c>
      <c r="E590" s="40">
        <f>-'1.설계입력'!$C$6*SIN(B590)+'1.설계입력'!$C$7*SIN(B590+C590)+'1.설계입력'!$C$8*SIN('1.설계입력'!$C$15*B590)</f>
        <v>-70.8173359567202</v>
      </c>
      <c r="F590" s="40">
        <f>ATAN2(('1.설계입력'!$C$6+'1.설계입력'!$C$33)/('1.설계입력'!$C$8*'1.설계입력'!$C$15)-COS((1-'1.설계입력'!$C$15)*B590),SIN((1-'1.설계입력'!$C$15)*B590))</f>
        <v>0.40090165169054814</v>
      </c>
      <c r="G590" s="40">
        <f>('1.설계입력'!$C$6+'1.설계입력'!$C$33)*COS(B590)-('1.설계입력'!$C$7+'1.설계입력'!$C$34)*COS(B590+F590)-'1.설계입력'!$C$8*COS('1.설계입력'!$C$15*B590)</f>
        <v>-35.395948093454621</v>
      </c>
      <c r="H590" s="40">
        <f>-('1.설계입력'!$C$6+'1.설계입력'!$C$33)*SIN(B590)+('1.설계입력'!$C$7+'1.설계입력'!$C$34)*SIN(B590+F590)+'1.설계입력'!$C$8*SIN('1.설계입력'!$C$15*B590)</f>
        <v>-70.809366753841005</v>
      </c>
      <c r="I590" s="40">
        <f t="shared" si="28"/>
        <v>79.173901941248573</v>
      </c>
      <c r="J590" s="40">
        <f t="shared" si="29"/>
        <v>79.16337260068255</v>
      </c>
      <c r="K590" s="38">
        <f>IF(OR(A590&gt;180,'1.설계입력'!$C$39&gt;=1),"",'1.설계입력'!$C$34*(1-SIN(B590)/SQRT(1+'1.설계입력'!$C$39^2-2*'1.설계입력'!$C$39*COS(B590)))-'1.설계입력'!$C$33*(1-'1.설계입력'!$C$39*COS(B590)-SQRT(MAX(0,1-'1.설계입력'!$C$39^2))*SIN(B590))/SQRT(1+'1.설계입력'!$C$39^2-2*'1.설계입력'!$C$39*COS(B590)))</f>
        <v>4.7300015338994864E-3</v>
      </c>
    </row>
    <row r="591" spans="1:11" x14ac:dyDescent="0.3">
      <c r="A591" s="40">
        <f>A590+'1.설계입력'!$C$12</f>
        <v>117.00000000000112</v>
      </c>
      <c r="B591" s="40">
        <f t="shared" si="27"/>
        <v>2.0420352248333851</v>
      </c>
      <c r="C591" s="40">
        <f>ATAN2('1.설계입력'!$C$6/('1.설계입력'!$C$8*'1.설계입력'!$C$15)-COS((1-'1.설계입력'!$C$15)*B591),SIN((1-'1.설계입력'!$C$15)*B591))</f>
        <v>0.45512147353255095</v>
      </c>
      <c r="D591" s="40">
        <f>'1.설계입력'!$C$6*COS(B591)-'1.설계입력'!$C$7*COS(B591+C591)-'1.설계입력'!$C$8*COS('1.설계입력'!$C$15*B591)</f>
        <v>-35.529466008051294</v>
      </c>
      <c r="E591" s="40">
        <f>-'1.설계입력'!$C$6*SIN(B591)+'1.설계입력'!$C$7*SIN(B591+C591)+'1.설계입력'!$C$8*SIN('1.설계입력'!$C$15*B591)</f>
        <v>-70.659544524027538</v>
      </c>
      <c r="F591" s="40">
        <f>ATAN2(('1.설계입력'!$C$6+'1.설계입력'!$C$33)/('1.설계입력'!$C$8*'1.설계입력'!$C$15)-COS((1-'1.설계입력'!$C$15)*B591),SIN((1-'1.설계입력'!$C$15)*B591))</f>
        <v>0.45513267818549025</v>
      </c>
      <c r="G591" s="40">
        <f>('1.설계입력'!$C$6+'1.설계입력'!$C$33)*COS(B591)-('1.설계입력'!$C$7+'1.설계입력'!$C$34)*COS(B591+F591)-'1.설계입력'!$C$8*COS('1.설계입력'!$C$15*B591)</f>
        <v>-35.521556204691208</v>
      </c>
      <c r="H591" s="40">
        <f>-('1.설계입력'!$C$6+'1.설계입력'!$C$33)*SIN(B591)+('1.설계입력'!$C$7+'1.설계입력'!$C$34)*SIN(B591+F591)+'1.설계입력'!$C$8*SIN('1.설계입력'!$C$15*B591)</f>
        <v>-70.651952250563212</v>
      </c>
      <c r="I591" s="40">
        <f t="shared" si="28"/>
        <v>79.08927984980204</v>
      </c>
      <c r="J591" s="40">
        <f t="shared" si="29"/>
        <v>79.078943543897324</v>
      </c>
      <c r="K591" s="38">
        <f>IF(OR(A591&gt;180,'1.설계입력'!$C$39&gt;=1),"",'1.설계입력'!$C$34*(1-SIN(B591)/SQRT(1+'1.설계입력'!$C$39^2-2*'1.설계입력'!$C$39*COS(B591)))-'1.설계입력'!$C$33*(1-'1.설계입력'!$C$39*COS(B591)-SQRT(MAX(0,1-'1.설계입력'!$C$39^2))*SIN(B591))/SQRT(1+'1.설계입력'!$C$39^2-2*'1.설계입력'!$C$39*COS(B591)))</f>
        <v>4.7491285345009904E-3</v>
      </c>
    </row>
    <row r="592" spans="1:11" x14ac:dyDescent="0.3">
      <c r="A592" s="40">
        <f>A591+'1.설계입력'!$C$12</f>
        <v>117.20000000000113</v>
      </c>
      <c r="B592" s="40">
        <f t="shared" si="27"/>
        <v>2.045525883337374</v>
      </c>
      <c r="C592" s="40">
        <f>ATAN2('1.설계입력'!$C$6/('1.설계입력'!$C$8*'1.설계입력'!$C$15)-COS((1-'1.설계입력'!$C$15)*B592),SIN((1-'1.설계입력'!$C$15)*B592))</f>
        <v>0.50818553785219944</v>
      </c>
      <c r="D592" s="40">
        <f>'1.설계입력'!$C$6*COS(B592)-'1.설계입력'!$C$7*COS(B592+C592)-'1.설계입력'!$C$8*COS('1.설계입력'!$C$15*B592)</f>
        <v>-35.63896167069263</v>
      </c>
      <c r="E592" s="40">
        <f>-'1.설계입력'!$C$6*SIN(B592)+'1.설계입력'!$C$7*SIN(B592+C592)+'1.설계입력'!$C$8*SIN('1.설계입력'!$C$15*B592)</f>
        <v>-70.504986137480515</v>
      </c>
      <c r="F592" s="40">
        <f>ATAN2(('1.설계입력'!$C$6+'1.설계입력'!$C$33)/('1.설계입력'!$C$8*'1.설계입력'!$C$15)-COS((1-'1.설계입력'!$C$15)*B592),SIN((1-'1.설계입력'!$C$15)*B592))</f>
        <v>0.50819849194297528</v>
      </c>
      <c r="G592" s="40">
        <f>('1.설계입력'!$C$6+'1.설계입력'!$C$33)*COS(B592)-('1.설계입력'!$C$7+'1.설계입력'!$C$34)*COS(B592+F592)-'1.설계입력'!$C$8*COS('1.설계입력'!$C$15*B592)</f>
        <v>-35.630775719227977</v>
      </c>
      <c r="H592" s="40">
        <f>-('1.설계입력'!$C$6+'1.설계입력'!$C$33)*SIN(B592)+('1.설계입력'!$C$7+'1.설계입력'!$C$34)*SIN(B592+F592)+'1.설계입력'!$C$8*SIN('1.설계입력'!$C$15*B592)</f>
        <v>-70.497779897968272</v>
      </c>
      <c r="I592" s="40">
        <f t="shared" si="28"/>
        <v>79.000561132256635</v>
      </c>
      <c r="J592" s="40">
        <f t="shared" si="29"/>
        <v>78.990437072447605</v>
      </c>
      <c r="K592" s="38">
        <f>IF(OR(A592&gt;180,'1.설계입력'!$C$39&gt;=1),"",'1.설계입력'!$C$34*(1-SIN(B592)/SQRT(1+'1.설계입력'!$C$39^2-2*'1.설계입력'!$C$39*COS(B592)))-'1.설계입력'!$C$33*(1-'1.설계입력'!$C$39*COS(B592)-SQRT(MAX(0,1-'1.설계입력'!$C$39^2))*SIN(B592))/SQRT(1+'1.설계입력'!$C$39^2-2*'1.설계입력'!$C$39*COS(B592)))</f>
        <v>4.7682724863055224E-3</v>
      </c>
    </row>
    <row r="593" spans="1:11" x14ac:dyDescent="0.3">
      <c r="A593" s="40">
        <f>A592+'1.설계입력'!$C$12</f>
        <v>117.40000000000113</v>
      </c>
      <c r="B593" s="40">
        <f t="shared" si="27"/>
        <v>2.0490165418413624</v>
      </c>
      <c r="C593" s="40">
        <f>ATAN2('1.설계입력'!$C$6/('1.설계입력'!$C$8*'1.설계입력'!$C$15)-COS((1-'1.설계입력'!$C$15)*B593),SIN((1-'1.설계입력'!$C$15)*B593))</f>
        <v>0.55977923114812589</v>
      </c>
      <c r="D593" s="40">
        <f>'1.설계입력'!$C$6*COS(B593)-'1.설계입력'!$C$7*COS(B593+C593)-'1.설계입력'!$C$8*COS('1.설계입력'!$C$15*B593)</f>
        <v>-35.732715771009772</v>
      </c>
      <c r="E593" s="40">
        <f>-'1.설계입력'!$C$6*SIN(B593)+'1.설계입력'!$C$7*SIN(B593+C593)+'1.설계입력'!$C$8*SIN('1.설계입력'!$C$15*B593)</f>
        <v>-70.355627430899091</v>
      </c>
      <c r="F593" s="40">
        <f>ATAN2(('1.설계입력'!$C$6+'1.설계입력'!$C$33)/('1.설계입력'!$C$8*'1.설계입력'!$C$15)-COS((1-'1.설계입력'!$C$15)*B593),SIN((1-'1.설계입력'!$C$15)*B593))</f>
        <v>0.55979409263088864</v>
      </c>
      <c r="G593" s="40">
        <f>('1.설계입력'!$C$6+'1.설계입력'!$C$33)*COS(B593)-('1.설계입력'!$C$7+'1.설계입력'!$C$34)*COS(B593+F593)-'1.설계입력'!$C$8*COS('1.설계입력'!$C$15*B593)</f>
        <v>-35.724281638448922</v>
      </c>
      <c r="H593" s="40">
        <f>-('1.설계입력'!$C$6+'1.설계입력'!$C$33)*SIN(B593)+('1.설계입력'!$C$7+'1.설계입력'!$C$34)*SIN(B593+F593)+'1.설계입력'!$C$8*SIN('1.설계입력'!$C$15*B593)</f>
        <v>-70.348812162553884</v>
      </c>
      <c r="I593" s="40">
        <f t="shared" si="28"/>
        <v>78.909703380302048</v>
      </c>
      <c r="J593" s="40">
        <f t="shared" si="29"/>
        <v>78.899807802462419</v>
      </c>
      <c r="K593" s="38">
        <f>IF(OR(A593&gt;180,'1.설계입력'!$C$39&gt;=1),"",'1.설계입력'!$C$34*(1-SIN(B593)/SQRT(1+'1.설계입력'!$C$39^2-2*'1.설계입력'!$C$39*COS(B593)))-'1.설계입력'!$C$33*(1-'1.설계입력'!$C$39*COS(B593)-SQRT(MAX(0,1-'1.설계입력'!$C$39^2))*SIN(B593))/SQRT(1+'1.설계입력'!$C$39^2-2*'1.설계입력'!$C$39*COS(B593)))</f>
        <v>4.7874333009640477E-3</v>
      </c>
    </row>
    <row r="594" spans="1:11" x14ac:dyDescent="0.3">
      <c r="A594" s="40">
        <f>A593+'1.설계입력'!$C$12</f>
        <v>117.60000000000113</v>
      </c>
      <c r="B594" s="40">
        <f t="shared" si="27"/>
        <v>2.0525072003453513</v>
      </c>
      <c r="C594" s="40">
        <f>ATAN2('1.설계입력'!$C$6/('1.설계입력'!$C$8*'1.설계입력'!$C$15)-COS((1-'1.설계입력'!$C$15)*B594),SIN((1-'1.설계입력'!$C$15)*B594))</f>
        <v>0.60950735154302926</v>
      </c>
      <c r="D594" s="40">
        <f>'1.설계입력'!$C$6*COS(B594)-'1.설계입력'!$C$7*COS(B594+C594)-'1.설계입력'!$C$8*COS('1.설계입력'!$C$15*B594)</f>
        <v>-35.811834395572511</v>
      </c>
      <c r="E594" s="40">
        <f>-'1.설계입력'!$C$6*SIN(B594)+'1.설계입력'!$C$7*SIN(B594+C594)+'1.설계입력'!$C$8*SIN('1.설계입력'!$C$15*B594)</f>
        <v>-70.21296888112056</v>
      </c>
      <c r="F594" s="40">
        <f>ATAN2(('1.설계입력'!$C$6+'1.설계입력'!$C$33)/('1.설계입력'!$C$8*'1.설계입력'!$C$15)-COS((1-'1.설계입력'!$C$15)*B594),SIN((1-'1.설계입력'!$C$15)*B594))</f>
        <v>0.60952431735178314</v>
      </c>
      <c r="G594" s="40">
        <f>('1.설계입력'!$C$6+'1.설계입력'!$C$33)*COS(B594)-('1.설계입력'!$C$7+'1.설계입력'!$C$34)*COS(B594+F594)-'1.설계입력'!$C$8*COS('1.설계입력'!$C$15*B594)</f>
        <v>-35.8031805662295</v>
      </c>
      <c r="H594" s="40">
        <f>-('1.설계입력'!$C$6+'1.설계입력'!$C$33)*SIN(B594)+('1.설계입력'!$C$7+'1.설계입력'!$C$34)*SIN(B594+F594)+'1.설계입력'!$C$8*SIN('1.설계입력'!$C$15*B594)</f>
        <v>-70.206544599978585</v>
      </c>
      <c r="I594" s="40">
        <f t="shared" si="28"/>
        <v>78.818452673705252</v>
      </c>
      <c r="J594" s="40">
        <f t="shared" si="29"/>
        <v>78.808798007118568</v>
      </c>
      <c r="K594" s="38">
        <f>IF(OR(A594&gt;180,'1.설계입력'!$C$39&gt;=1),"",'1.설계입력'!$C$34*(1-SIN(B594)/SQRT(1+'1.설계입력'!$C$39^2-2*'1.설계입력'!$C$39*COS(B594)))-'1.설계입력'!$C$33*(1-'1.설계입력'!$C$39*COS(B594)-SQRT(MAX(0,1-'1.설계입력'!$C$39^2))*SIN(B594))/SQRT(1+'1.설계입력'!$C$39^2-2*'1.설계입력'!$C$39*COS(B594)))</f>
        <v>4.8066108902930478E-3</v>
      </c>
    </row>
    <row r="595" spans="1:11" x14ac:dyDescent="0.3">
      <c r="A595" s="40">
        <f>A594+'1.설계입력'!$C$12</f>
        <v>117.80000000000113</v>
      </c>
      <c r="B595" s="40">
        <f t="shared" si="27"/>
        <v>2.0559978588493402</v>
      </c>
      <c r="C595" s="40">
        <f>ATAN2('1.설계입력'!$C$6/('1.설계입력'!$C$8*'1.설계입력'!$C$15)-COS((1-'1.설계입력'!$C$15)*B595),SIN((1-'1.설계입력'!$C$15)*B595))</f>
        <v>0.65684553750122354</v>
      </c>
      <c r="D595" s="40">
        <f>'1.설계입력'!$C$6*COS(B595)-'1.설계입력'!$C$7*COS(B595+C595)-'1.설계입력'!$C$8*COS('1.설계입력'!$C$15*B595)</f>
        <v>-35.877830905291823</v>
      </c>
      <c r="E595" s="40">
        <f>-'1.설계입력'!$C$6*SIN(B595)+'1.설계입력'!$C$7*SIN(B595+C595)+'1.설계입력'!$C$8*SIN('1.설계입력'!$C$15*B595)</f>
        <v>-70.077826693977286</v>
      </c>
      <c r="F595" s="40">
        <f>ATAN2(('1.설계입력'!$C$6+'1.설계입력'!$C$33)/('1.설계입력'!$C$8*'1.설계입력'!$C$15)-COS((1-'1.설계입력'!$C$15)*B595),SIN((1-'1.설계입력'!$C$15)*B595))</f>
        <v>0.65686485424044916</v>
      </c>
      <c r="G595" s="40">
        <f>('1.설계입력'!$C$6+'1.설계입력'!$C$33)*COS(B595)-('1.설계입력'!$C$7+'1.설계입력'!$C$34)*COS(B595+F595)-'1.설계입력'!$C$8*COS('1.설계입력'!$C$15*B595)</f>
        <v>-35.868986079731854</v>
      </c>
      <c r="H595" s="40">
        <f>-('1.설계입력'!$C$6+'1.설계입력'!$C$33)*SIN(B595)+('1.설계입력'!$C$7+'1.설계입력'!$C$34)*SIN(B595+F595)+'1.설계입력'!$C$8*SIN('1.설계입력'!$C$15*B595)</f>
        <v>-70.071787466703583</v>
      </c>
      <c r="I595" s="40">
        <f t="shared" si="28"/>
        <v>78.728143281928283</v>
      </c>
      <c r="J595" s="40">
        <f t="shared" si="29"/>
        <v>78.718737039963202</v>
      </c>
      <c r="K595" s="38">
        <f>IF(OR(A595&gt;180,'1.설계입력'!$C$39&gt;=1),"",'1.설계입력'!$C$34*(1-SIN(B595)/SQRT(1+'1.설계입력'!$C$39^2-2*'1.설계입력'!$C$39*COS(B595)))-'1.설계입력'!$C$33*(1-'1.설계입력'!$C$39*COS(B595)-SQRT(MAX(0,1-'1.설계입력'!$C$39^2))*SIN(B595))/SQRT(1+'1.설계입력'!$C$39^2-2*'1.설계입력'!$C$39*COS(B595)))</f>
        <v>4.825805166272859E-3</v>
      </c>
    </row>
    <row r="596" spans="1:11" x14ac:dyDescent="0.3">
      <c r="A596" s="40">
        <f>A595+'1.설계입력'!$C$12</f>
        <v>118.00000000000114</v>
      </c>
      <c r="B596" s="40">
        <f t="shared" si="27"/>
        <v>2.0594885173533286</v>
      </c>
      <c r="C596" s="40">
        <f>ATAN2('1.설계입력'!$C$6/('1.설계입력'!$C$8*'1.설계입력'!$C$15)-COS((1-'1.설계입력'!$C$15)*B596),SIN((1-'1.설계입력'!$C$15)*B596))</f>
        <v>0.7010802519970678</v>
      </c>
      <c r="D596" s="40">
        <f>'1.설계입력'!$C$6*COS(B596)-'1.설계입력'!$C$7*COS(B596+C596)-'1.설계입력'!$C$8*COS('1.설계입력'!$C$15*B596)</f>
        <v>-35.932597336151943</v>
      </c>
      <c r="E596" s="40">
        <f>-'1.설계입력'!$C$6*SIN(B596)+'1.설계입력'!$C$7*SIN(B596+C596)+'1.설계입력'!$C$8*SIN('1.설계입력'!$C$15*B596)</f>
        <v>-69.950036720277609</v>
      </c>
      <c r="F596" s="40">
        <f>ATAN2(('1.설계입력'!$C$6+'1.설계입력'!$C$33)/('1.설계입력'!$C$8*'1.설계입력'!$C$15)-COS((1-'1.설계입력'!$C$15)*B596),SIN((1-'1.설계입력'!$C$15)*B596))</f>
        <v>0.70110223036342689</v>
      </c>
      <c r="G596" s="40">
        <f>('1.설계입력'!$C$6+'1.설계입력'!$C$33)*COS(B596)-('1.설계입력'!$C$7+'1.설계입력'!$C$34)*COS(B596+F596)-'1.설계입력'!$C$8*COS('1.설계입력'!$C$15*B596)</f>
        <v>-35.923590113133962</v>
      </c>
      <c r="H596" s="40">
        <f>-('1.설계입력'!$C$6+'1.설계입력'!$C$33)*SIN(B596)+('1.설계입력'!$C$7+'1.설계입력'!$C$34)*SIN(B596+F596)+'1.설계입력'!$C$8*SIN('1.설계입력'!$C$15*B596)</f>
        <v>-69.94436920098191</v>
      </c>
      <c r="I596" s="40">
        <f t="shared" si="28"/>
        <v>78.639425153609935</v>
      </c>
      <c r="J596" s="40">
        <f t="shared" si="29"/>
        <v>78.630268405619233</v>
      </c>
      <c r="K596" s="38">
        <f>IF(OR(A596&gt;180,'1.설계입력'!$C$39&gt;=1),"",'1.설계입력'!$C$34*(1-SIN(B596)/SQRT(1+'1.설계입력'!$C$39^2-2*'1.설계입력'!$C$39*COS(B596)))-'1.설계입력'!$C$33*(1-'1.설계입력'!$C$39*COS(B596)-SQRT(MAX(0,1-'1.설계입력'!$C$39^2))*SIN(B596))/SQRT(1+'1.설계입력'!$C$39^2-2*'1.설계입력'!$C$39*COS(B596)))</f>
        <v>4.8450160410460508E-3</v>
      </c>
    </row>
    <row r="597" spans="1:11" x14ac:dyDescent="0.3">
      <c r="A597" s="40">
        <f>A596+'1.설계입력'!$C$12</f>
        <v>118.20000000000114</v>
      </c>
      <c r="B597" s="40">
        <f t="shared" si="27"/>
        <v>2.0629791758573175</v>
      </c>
      <c r="C597" s="40">
        <f>ATAN2('1.설계입력'!$C$6/('1.설계입력'!$C$8*'1.설계입력'!$C$15)-COS((1-'1.설계입력'!$C$15)*B597),SIN((1-'1.설계입력'!$C$15)*B597))</f>
        <v>0.74121343056103295</v>
      </c>
      <c r="D597" s="40">
        <f>'1.설계입력'!$C$6*COS(B597)-'1.설계입력'!$C$7*COS(B597+C597)-'1.설계입력'!$C$8*COS('1.설계입력'!$C$15*B597)</f>
        <v>-35.978384513334646</v>
      </c>
      <c r="E597" s="40">
        <f>-'1.설계입력'!$C$6*SIN(B597)+'1.설계입력'!$C$7*SIN(B597+C597)+'1.설계입력'!$C$8*SIN('1.설계입력'!$C$15*B597)</f>
        <v>-69.828026430718921</v>
      </c>
      <c r="F597" s="40">
        <f>ATAN2(('1.설계입력'!$C$6+'1.설계입력'!$C$33)/('1.설계입력'!$C$8*'1.설계입력'!$C$15)-COS((1-'1.설계입력'!$C$15)*B597),SIN((1-'1.설계입력'!$C$15)*B597))</f>
        <v>0.74123846462539023</v>
      </c>
      <c r="G597" s="40">
        <f>('1.설계입력'!$C$6+'1.설계입력'!$C$33)*COS(B597)-('1.설계입력'!$C$7+'1.설계입력'!$C$34)*COS(B597+F597)-'1.설계입력'!$C$8*COS('1.설계입력'!$C$15*B597)</f>
        <v>-35.969243081348004</v>
      </c>
      <c r="H597" s="40">
        <f>-('1.설계입력'!$C$6+'1.설계입력'!$C$33)*SIN(B597)+('1.설계입력'!$C$7+'1.설계입력'!$C$34)*SIN(B597+F597)+'1.설계입력'!$C$8*SIN('1.설계입력'!$C$15*B597)</f>
        <v>-69.822707689918502</v>
      </c>
      <c r="I597" s="40">
        <f t="shared" si="28"/>
        <v>78.551877300281873</v>
      </c>
      <c r="J597" s="40">
        <f t="shared" si="29"/>
        <v>78.542962491854766</v>
      </c>
      <c r="K597" s="38">
        <f>IF(OR(A597&gt;180,'1.설계입력'!$C$39&gt;=1),"",'1.설계입력'!$C$34*(1-SIN(B597)/SQRT(1+'1.설계입력'!$C$39^2-2*'1.설계입력'!$C$39*COS(B597)))-'1.설계입력'!$C$33*(1-'1.설계입력'!$C$39*COS(B597)-SQRT(MAX(0,1-'1.설계입력'!$C$39^2))*SIN(B597))/SQRT(1+'1.설계입력'!$C$39^2-2*'1.설계입력'!$C$39*COS(B597)))</f>
        <v>4.8642434269158333E-3</v>
      </c>
    </row>
    <row r="598" spans="1:11" x14ac:dyDescent="0.3">
      <c r="A598" s="40">
        <f>A597+'1.설계입력'!$C$12</f>
        <v>118.40000000000114</v>
      </c>
      <c r="B598" s="40">
        <f t="shared" si="27"/>
        <v>2.0664698343613059</v>
      </c>
      <c r="C598" s="40">
        <f>ATAN2('1.설계입력'!$C$6/('1.설계입력'!$C$8*'1.설계입력'!$C$15)-COS((1-'1.설계입력'!$C$15)*B598),SIN((1-'1.설계입력'!$C$15)*B598))</f>
        <v>0.77580564375878214</v>
      </c>
      <c r="D598" s="40">
        <f>'1.설계입력'!$C$6*COS(B598)-'1.설계입력'!$C$7*COS(B598+C598)-'1.설계입력'!$C$8*COS('1.설계입력'!$C$15*B598)</f>
        <v>-36.017822279594171</v>
      </c>
      <c r="E598" s="40">
        <f>-'1.설계입력'!$C$6*SIN(B598)+'1.설계입력'!$C$7*SIN(B598+C598)+'1.설계입력'!$C$8*SIN('1.설계입력'!$C$15*B598)</f>
        <v>-69.708155373710468</v>
      </c>
      <c r="F598" s="40">
        <f>ATAN2(('1.설계입력'!$C$6+'1.설계입력'!$C$33)/('1.설계입력'!$C$8*'1.설계입력'!$C$15)-COS((1-'1.설계입력'!$C$15)*B598),SIN((1-'1.설계입력'!$C$15)*B598))</f>
        <v>0.77583423593478251</v>
      </c>
      <c r="G598" s="40">
        <f>('1.설계입력'!$C$6+'1.설계입력'!$C$33)*COS(B598)-('1.설계입력'!$C$7+'1.설계입력'!$C$34)*COS(B598+F598)-'1.설계입력'!$C$8*COS('1.설계입력'!$C$15*B598)</f>
        <v>-36.008574195927572</v>
      </c>
      <c r="H598" s="40">
        <f>-('1.설계입력'!$C$6+'1.설계입력'!$C$33)*SIN(B598)+('1.설계입력'!$C$7+'1.설계입력'!$C$34)*SIN(B598+F598)+'1.설계입력'!$C$8*SIN('1.설계입력'!$C$15*B598)</f>
        <v>-69.703149539299901</v>
      </c>
      <c r="I598" s="40">
        <f t="shared" si="28"/>
        <v>78.463433823468307</v>
      </c>
      <c r="J598" s="40">
        <f t="shared" si="29"/>
        <v>78.454741547733263</v>
      </c>
      <c r="K598" s="38">
        <f>IF(OR(A598&gt;180,'1.설계입력'!$C$39&gt;=1),"",'1.설계입력'!$C$34*(1-SIN(B598)/SQRT(1+'1.설계입력'!$C$39^2-2*'1.설계입력'!$C$39*COS(B598)))-'1.설계입력'!$C$33*(1-'1.설계입력'!$C$39*COS(B598)-SQRT(MAX(0,1-'1.설계입력'!$C$39^2))*SIN(B598))/SQRT(1+'1.설계입력'!$C$39^2-2*'1.설계입력'!$C$39*COS(B598)))</f>
        <v>4.8834872363444585E-3</v>
      </c>
    </row>
    <row r="599" spans="1:11" x14ac:dyDescent="0.3">
      <c r="A599" s="40">
        <f>A598+'1.설계입력'!$C$12</f>
        <v>118.60000000000115</v>
      </c>
      <c r="B599" s="40">
        <f t="shared" si="27"/>
        <v>2.0699604928652948</v>
      </c>
      <c r="C599" s="40">
        <f>ATAN2('1.설계입력'!$C$6/('1.설계입력'!$C$8*'1.설계입력'!$C$15)-COS((1-'1.설계입력'!$C$15)*B599),SIN((1-'1.설계입력'!$C$15)*B599))</f>
        <v>0.80270817926535387</v>
      </c>
      <c r="D599" s="40">
        <f>'1.설계입력'!$C$6*COS(B599)-'1.설계입력'!$C$7*COS(B599+C599)-'1.설계입력'!$C$8*COS('1.설계입력'!$C$15*B599)</f>
        <v>-36.054059685924798</v>
      </c>
      <c r="E599" s="40">
        <f>-'1.설계입력'!$C$6*SIN(B599)+'1.설계입력'!$C$7*SIN(B599+C599)+'1.설계입력'!$C$8*SIN('1.설계입력'!$C$15*B599)</f>
        <v>-69.583635927154802</v>
      </c>
      <c r="F599" s="40">
        <f>ATAN2(('1.설계입력'!$C$6+'1.설계입력'!$C$33)/('1.설계입력'!$C$8*'1.설계입력'!$C$15)-COS((1-'1.설계입력'!$C$15)*B599),SIN((1-'1.설계입력'!$C$15)*B599))</f>
        <v>0.80274096964769415</v>
      </c>
      <c r="G599" s="40">
        <f>('1.설계입력'!$C$6+'1.설계입력'!$C$33)*COS(B599)-('1.설계입력'!$C$7+'1.설계입력'!$C$34)*COS(B599+F599)-'1.설계입력'!$C$8*COS('1.설계입력'!$C$15*B599)</f>
        <v>-36.04473195930435</v>
      </c>
      <c r="H599" s="40">
        <f>-('1.설계입력'!$C$6+'1.설계입력'!$C$33)*SIN(B599)+('1.설계입력'!$C$7+'1.설계입력'!$C$34)*SIN(B599+F599)+'1.설계입력'!$C$8*SIN('1.설계입력'!$C$15*B599)</f>
        <v>-69.578888760393355</v>
      </c>
      <c r="I599" s="40">
        <f t="shared" si="28"/>
        <v>78.369494120346701</v>
      </c>
      <c r="J599" s="40">
        <f t="shared" si="29"/>
        <v>78.360988145564434</v>
      </c>
      <c r="K599" s="38">
        <f>IF(OR(A599&gt;180,'1.설계입력'!$C$39&gt;=1),"",'1.설계입력'!$C$34*(1-SIN(B599)/SQRT(1+'1.설계입력'!$C$39^2-2*'1.설계입력'!$C$39*COS(B599)))-'1.설계입력'!$C$33*(1-'1.설계입력'!$C$39*COS(B599)-SQRT(MAX(0,1-'1.설계입력'!$C$39^2))*SIN(B599))/SQRT(1+'1.설계입력'!$C$39^2-2*'1.설계입력'!$C$39*COS(B599)))</f>
        <v>4.9027473819516628E-3</v>
      </c>
    </row>
    <row r="600" spans="1:11" x14ac:dyDescent="0.3">
      <c r="A600" s="40">
        <f>A599+'1.설계입력'!$C$12</f>
        <v>118.80000000000115</v>
      </c>
      <c r="B600" s="40">
        <f t="shared" si="27"/>
        <v>2.0734511513692837</v>
      </c>
      <c r="C600" s="40">
        <f>ATAN2('1.설계입력'!$C$6/('1.설계입력'!$C$8*'1.설계입력'!$C$15)-COS((1-'1.설계입력'!$C$15)*B600),SIN((1-'1.설계입력'!$C$15)*B600))</f>
        <v>0.81858663793112574</v>
      </c>
      <c r="D600" s="40">
        <f>'1.설계입력'!$C$6*COS(B600)-'1.설계입력'!$C$7*COS(B600+C600)-'1.설계입력'!$C$8*COS('1.설계입력'!$C$15*B600)</f>
        <v>-36.091236951698342</v>
      </c>
      <c r="E600" s="40">
        <f>-'1.설계입력'!$C$6*SIN(B600)+'1.설계입력'!$C$7*SIN(B600+C600)+'1.설계입력'!$C$8*SIN('1.설계입력'!$C$15*B600)</f>
        <v>-69.442672440199416</v>
      </c>
      <c r="F600" s="40">
        <f>ATAN2(('1.설계입력'!$C$6+'1.설계입력'!$C$33)/('1.설계입력'!$C$8*'1.설계입력'!$C$15)-COS((1-'1.설계입력'!$C$15)*B600),SIN((1-'1.설계입력'!$C$15)*B600))</f>
        <v>0.81862442801611146</v>
      </c>
      <c r="G600" s="40">
        <f>('1.설계입력'!$C$6+'1.설계입력'!$C$33)*COS(B600)-('1.설계입력'!$C$7+'1.설계입력'!$C$34)*COS(B600+F600)-'1.설계입력'!$C$8*COS('1.설계입력'!$C$15*B600)</f>
        <v>-36.081857028138081</v>
      </c>
      <c r="H600" s="40">
        <f>-('1.설계입력'!$C$6+'1.설계입력'!$C$33)*SIN(B600)+('1.설계입력'!$C$7+'1.설계입력'!$C$34)*SIN(B600+F600)+'1.설계입력'!$C$8*SIN('1.설계입력'!$C$15*B600)</f>
        <v>-69.438102186217478</v>
      </c>
      <c r="I600" s="40">
        <f t="shared" si="28"/>
        <v>78.261498454479309</v>
      </c>
      <c r="J600" s="40">
        <f t="shared" si="29"/>
        <v>78.253117777009876</v>
      </c>
      <c r="K600" s="38">
        <f>IF(OR(A600&gt;180,'1.설계입력'!$C$39&gt;=1),"",'1.설계입력'!$C$34*(1-SIN(B600)/SQRT(1+'1.설계입력'!$C$39^2-2*'1.설계입력'!$C$39*COS(B600)))-'1.설계입력'!$C$33*(1-'1.설계입력'!$C$39*COS(B600)-SQRT(MAX(0,1-'1.설계입력'!$C$39^2))*SIN(B600))/SQRT(1+'1.설계입력'!$C$39^2-2*'1.설계입력'!$C$39*COS(B600)))</f>
        <v>4.9220237765131153E-3</v>
      </c>
    </row>
    <row r="601" spans="1:11" x14ac:dyDescent="0.3">
      <c r="A601" s="40">
        <f>A600+'1.설계입력'!$C$12</f>
        <v>119.00000000000115</v>
      </c>
      <c r="B601" s="40">
        <f t="shared" si="27"/>
        <v>2.0769418098732721</v>
      </c>
      <c r="C601" s="40">
        <f>ATAN2('1.설계입력'!$C$6/('1.설계입력'!$C$8*'1.설계입력'!$C$15)-COS((1-'1.설계입력'!$C$15)*B601),SIN((1-'1.설계입력'!$C$15)*B601))</f>
        <v>0.81804027674253688</v>
      </c>
      <c r="D601" s="40">
        <f>'1.설계입력'!$C$6*COS(B601)-'1.설계입력'!$C$7*COS(B601+C601)-'1.설계입력'!$C$8*COS('1.설계입력'!$C$15*B601)</f>
        <v>-36.135879471886064</v>
      </c>
      <c r="E601" s="40">
        <f>-'1.설계입력'!$C$6*SIN(B601)+'1.설계입력'!$C$7*SIN(B601+C601)+'1.설계입력'!$C$8*SIN('1.설계입력'!$C$15*B601)</f>
        <v>-69.265130433261518</v>
      </c>
      <c r="F601" s="40">
        <f>ATAN2(('1.설계입력'!$C$6+'1.설계입력'!$C$33)/('1.설계입력'!$C$8*'1.설계입력'!$C$15)-COS((1-'1.설계입력'!$C$15)*B601),SIN((1-'1.설계입력'!$C$15)*B601))</f>
        <v>0.81808400609316378</v>
      </c>
      <c r="G601" s="40">
        <f>('1.설계입력'!$C$6+'1.설계입력'!$C$33)*COS(B601)-('1.설계입력'!$C$7+'1.설계입력'!$C$34)*COS(B601+F601)-'1.설계입력'!$C$8*COS('1.설계입력'!$C$15*B601)</f>
        <v>-36.126478840889426</v>
      </c>
      <c r="H601" s="40">
        <f>-('1.설계입력'!$C$6+'1.설계입력'!$C$33)*SIN(B601)+('1.설계입력'!$C$7+'1.설계입력'!$C$34)*SIN(B601+F601)+'1.설계입력'!$C$8*SIN('1.설계입력'!$C$15*B601)</f>
        <v>-69.260611722251681</v>
      </c>
      <c r="I601" s="40">
        <f t="shared" si="28"/>
        <v>78.124644505709</v>
      </c>
      <c r="J601" s="40">
        <f t="shared" si="29"/>
        <v>78.116290295825863</v>
      </c>
      <c r="K601" s="38">
        <f>IF(OR(A601&gt;180,'1.설계입력'!$C$39&gt;=1),"",'1.설계입력'!$C$34*(1-SIN(B601)/SQRT(1+'1.설계입력'!$C$39^2-2*'1.설계입력'!$C$39*COS(B601)))-'1.설계입력'!$C$33*(1-'1.설계입력'!$C$39*COS(B601)-SQRT(MAX(0,1-'1.설계입력'!$C$39^2))*SIN(B601))/SQRT(1+'1.설계입력'!$C$39^2-2*'1.설계입력'!$C$39*COS(B601)))</f>
        <v>4.9413163329588838E-3</v>
      </c>
    </row>
    <row r="602" spans="1:11" x14ac:dyDescent="0.3">
      <c r="A602" s="40">
        <f>A601+'1.설계입력'!$C$12</f>
        <v>119.20000000000115</v>
      </c>
      <c r="B602" s="40">
        <f t="shared" si="27"/>
        <v>2.080432468377261</v>
      </c>
      <c r="C602" s="40">
        <f>ATAN2('1.설계입력'!$C$6/('1.설계입력'!$C$8*'1.설계입력'!$C$15)-COS((1-'1.설계입력'!$C$15)*B602),SIN((1-'1.설계입력'!$C$15)*B602))</f>
        <v>0.79193106442671646</v>
      </c>
      <c r="D602" s="40">
        <f>'1.설계입력'!$C$6*COS(B602)-'1.설계입력'!$C$7*COS(B602+C602)-'1.설계입력'!$C$8*COS('1.설계입력'!$C$15*B602)</f>
        <v>-36.200936383617552</v>
      </c>
      <c r="E602" s="40">
        <f>-'1.설계입력'!$C$6*SIN(B602)+'1.설계입력'!$C$7*SIN(B602+C602)+'1.설계입력'!$C$8*SIN('1.설계입력'!$C$15*B602)</f>
        <v>-69.01657046936306</v>
      </c>
      <c r="F602" s="40">
        <f>ATAN2(('1.설계입력'!$C$6+'1.설계입력'!$C$33)/('1.설계입력'!$C$8*'1.설계입력'!$C$15)-COS((1-'1.설계입력'!$C$15)*B602),SIN((1-'1.설계입력'!$C$15)*B602))</f>
        <v>0.79198158720161849</v>
      </c>
      <c r="G602" s="40">
        <f>('1.설계입력'!$C$6+'1.설계입력'!$C$33)*COS(B602)-('1.설계입력'!$C$7+'1.설계입력'!$C$34)*COS(B602+F602)-'1.설계입력'!$C$8*COS('1.설계입력'!$C$15*B602)</f>
        <v>-36.191561953419821</v>
      </c>
      <c r="H602" s="40">
        <f>-('1.설계입력'!$C$6+'1.설계입력'!$C$33)*SIN(B602)+('1.설계입력'!$C$7+'1.설계입력'!$C$34)*SIN(B602+F602)+'1.설계입력'!$C$8*SIN('1.설계입력'!$C$15*B602)</f>
        <v>-69.011905111699122</v>
      </c>
      <c r="I602" s="40">
        <f t="shared" si="28"/>
        <v>77.934554559600087</v>
      </c>
      <c r="J602" s="40">
        <f t="shared" si="29"/>
        <v>77.926068833057329</v>
      </c>
      <c r="K602" s="38">
        <f>IF(OR(A602&gt;180,'1.설계입력'!$C$39&gt;=1),"",'1.설계입력'!$C$34*(1-SIN(B602)/SQRT(1+'1.설계입력'!$C$39^2-2*'1.설계입력'!$C$39*COS(B602)))-'1.설계입력'!$C$33*(1-'1.설계입력'!$C$39*COS(B602)-SQRT(MAX(0,1-'1.설계입력'!$C$39^2))*SIN(B602))/SQRT(1+'1.설계입력'!$C$39^2-2*'1.설계입력'!$C$39*COS(B602)))</f>
        <v>4.9606249643719385E-3</v>
      </c>
    </row>
    <row r="603" spans="1:11" x14ac:dyDescent="0.3">
      <c r="A603" s="40">
        <f>A602+'1.설계입력'!$C$12</f>
        <v>119.40000000000116</v>
      </c>
      <c r="B603" s="40">
        <f t="shared" si="27"/>
        <v>2.0839231268812495</v>
      </c>
      <c r="C603" s="40">
        <f>ATAN2('1.설계입력'!$C$6/('1.설계입력'!$C$8*'1.설계입력'!$C$15)-COS((1-'1.설계입력'!$C$15)*B603),SIN((1-'1.설계입력'!$C$15)*B603))</f>
        <v>0.7242917295336182</v>
      </c>
      <c r="D603" s="40">
        <f>'1.설계입력'!$C$6*COS(B603)-'1.설계입력'!$C$7*COS(B603+C603)-'1.설계입력'!$C$8*COS('1.설계입력'!$C$15*B603)</f>
        <v>-36.317545513350439</v>
      </c>
      <c r="E603" s="40">
        <f>-'1.설계입력'!$C$6*SIN(B603)+'1.설계입력'!$C$7*SIN(B603+C603)+'1.설계입력'!$C$8*SIN('1.설계입력'!$C$15*B603)</f>
        <v>-68.638802817247736</v>
      </c>
      <c r="F603" s="40">
        <f>ATAN2(('1.설계입력'!$C$6+'1.설계입력'!$C$33)/('1.설계입력'!$C$8*'1.설계입력'!$C$15)-COS((1-'1.설계입력'!$C$15)*B603),SIN((1-'1.설계입력'!$C$15)*B603))</f>
        <v>0.72434885053583575</v>
      </c>
      <c r="G603" s="40">
        <f>('1.설계입력'!$C$6+'1.설계입력'!$C$33)*COS(B603)-('1.설계입력'!$C$7+'1.설계입력'!$C$34)*COS(B603+F603)-'1.설계입력'!$C$8*COS('1.설계입력'!$C$15*B603)</f>
        <v>-36.308294764715072</v>
      </c>
      <c r="H603" s="40">
        <f>-('1.설계입력'!$C$6+'1.설계입력'!$C$33)*SIN(B603)+('1.설계입력'!$C$7+'1.설계입력'!$C$34)*SIN(B603+F603)+'1.설계입력'!$C$8*SIN('1.설계입력'!$C$15*B603)</f>
        <v>-68.633667780631583</v>
      </c>
      <c r="I603" s="40">
        <f t="shared" si="28"/>
        <v>77.65468024722847</v>
      </c>
      <c r="J603" s="40">
        <f t="shared" si="29"/>
        <v>77.645815223639332</v>
      </c>
      <c r="K603" s="38">
        <f>IF(OR(A603&gt;180,'1.설계입력'!$C$39&gt;=1),"",'1.설계입력'!$C$34*(1-SIN(B603)/SQRT(1+'1.설계입력'!$C$39^2-2*'1.설계입력'!$C$39*COS(B603)))-'1.설계입력'!$C$33*(1-'1.설계입력'!$C$39*COS(B603)-SQRT(MAX(0,1-'1.설계입력'!$C$39^2))*SIN(B603))/SQRT(1+'1.설계입력'!$C$39^2-2*'1.설계입력'!$C$39*COS(B603)))</f>
        <v>4.9799495839866464E-3</v>
      </c>
    </row>
    <row r="604" spans="1:11" x14ac:dyDescent="0.3">
      <c r="A604" s="40">
        <f>A603+'1.설계입력'!$C$12</f>
        <v>119.60000000000116</v>
      </c>
      <c r="B604" s="40">
        <f t="shared" si="27"/>
        <v>2.0874137853852384</v>
      </c>
      <c r="C604" s="40">
        <f>ATAN2('1.설계입력'!$C$6/('1.설계입력'!$C$8*'1.설계입력'!$C$15)-COS((1-'1.설계입력'!$C$15)*B604),SIN((1-'1.설계입력'!$C$15)*B604))</f>
        <v>0.58786033362663859</v>
      </c>
      <c r="D604" s="40">
        <f>'1.설계입력'!$C$6*COS(B604)-'1.설계입력'!$C$7*COS(B604+C604)-'1.설계입력'!$C$8*COS('1.설계입력'!$C$15*B604)</f>
        <v>-36.567432105149372</v>
      </c>
      <c r="E604" s="40">
        <f>-'1.설계입력'!$C$6*SIN(B604)+'1.설계입력'!$C$7*SIN(B604+C604)+'1.설계입력'!$C$8*SIN('1.설계입력'!$C$15*B604)</f>
        <v>-68.044736846229725</v>
      </c>
      <c r="F604" s="40">
        <f>ATAN2(('1.설계입력'!$C$6+'1.설계입력'!$C$33)/('1.설계입력'!$C$8*'1.설계입력'!$C$15)-COS((1-'1.설계입력'!$C$15)*B604),SIN((1-'1.설계입력'!$C$15)*B604))</f>
        <v>0.58791942953153342</v>
      </c>
      <c r="G604" s="40">
        <f>('1.설계입력'!$C$6+'1.설계입력'!$C$33)*COS(B604)-('1.설계입력'!$C$7+'1.설계입력'!$C$34)*COS(B604+F604)-'1.설계입력'!$C$8*COS('1.설계입력'!$C$15*B604)</f>
        <v>-36.558559238926527</v>
      </c>
      <c r="H604" s="40">
        <f>-('1.설계입력'!$C$6+'1.설계입력'!$C$33)*SIN(B604)+('1.설계입력'!$C$7+'1.설계입력'!$C$34)*SIN(B604+F604)+'1.설계입력'!$C$8*SIN('1.설계입력'!$C$15*B604)</f>
        <v>-68.038611219829818</v>
      </c>
      <c r="I604" s="40">
        <f t="shared" si="28"/>
        <v>77.248063427100632</v>
      </c>
      <c r="J604" s="40">
        <f t="shared" si="29"/>
        <v>77.238467555676252</v>
      </c>
      <c r="K604" s="38">
        <f>IF(OR(A604&gt;180,'1.설계입력'!$C$39&gt;=1),"",'1.설계입력'!$C$34*(1-SIN(B604)/SQRT(1+'1.설계입력'!$C$39^2-2*'1.설계입력'!$C$39*COS(B604)))-'1.설계입력'!$C$33*(1-'1.설계입력'!$C$39*COS(B604)-SQRT(MAX(0,1-'1.설계입력'!$C$39^2))*SIN(B604))/SQRT(1+'1.설계입력'!$C$39^2-2*'1.설계입력'!$C$39*COS(B604)))</f>
        <v>4.9992901051873042E-3</v>
      </c>
    </row>
    <row r="605" spans="1:11" x14ac:dyDescent="0.3">
      <c r="A605" s="40">
        <f>A604+'1.설계입력'!$C$12</f>
        <v>119.80000000000116</v>
      </c>
      <c r="B605" s="40">
        <f t="shared" si="27"/>
        <v>2.0909044438892272</v>
      </c>
      <c r="C605" s="40">
        <f>ATAN2('1.설계입력'!$C$6/('1.설계입력'!$C$8*'1.설계입력'!$C$15)-COS((1-'1.설계입력'!$C$15)*B605),SIN((1-'1.설계입력'!$C$15)*B605))</f>
        <v>0.34646145687046875</v>
      </c>
      <c r="D605" s="40">
        <f>'1.설계입력'!$C$6*COS(B605)-'1.설계입력'!$C$7*COS(B605+C605)-'1.설계입력'!$C$8*COS('1.설계입력'!$C$15*B605)</f>
        <v>-37.1415052567408</v>
      </c>
      <c r="E605" s="40">
        <f>-'1.설계입력'!$C$6*SIN(B605)+'1.설계입력'!$C$7*SIN(B605+C605)+'1.설계입력'!$C$8*SIN('1.설계입력'!$C$15*B605)</f>
        <v>-67.176212506865582</v>
      </c>
      <c r="F605" s="40">
        <f>ATAN2(('1.설계입력'!$C$6+'1.설계입력'!$C$33)/('1.설계입력'!$C$8*'1.설계입력'!$C$15)-COS((1-'1.설계입력'!$C$15)*B605),SIN((1-'1.설계입력'!$C$15)*B605))</f>
        <v>0.34650536009692456</v>
      </c>
      <c r="G605" s="40">
        <f>('1.설계입력'!$C$6+'1.설계입력'!$C$33)*COS(B605)-('1.설계입력'!$C$7+'1.설계입력'!$C$34)*COS(B605+F605)-'1.설계입력'!$C$8*COS('1.설계입력'!$C$15*B605)</f>
        <v>-37.133677599958553</v>
      </c>
      <c r="H605" s="40">
        <f>-('1.설계입력'!$C$6+'1.설계입력'!$C$33)*SIN(B605)+('1.설계입력'!$C$7+'1.설계입력'!$C$34)*SIN(B605+F605)+'1.설계입력'!$C$8*SIN('1.설계입력'!$C$15*B605)</f>
        <v>-67.168412242008884</v>
      </c>
      <c r="I605" s="40">
        <f t="shared" si="28"/>
        <v>76.760243222022609</v>
      </c>
      <c r="J605" s="40">
        <f t="shared" si="29"/>
        <v>76.74962941415491</v>
      </c>
      <c r="K605" s="38">
        <f>IF(OR(A605&gt;180,'1.설계입력'!$C$39&gt;=1),"",'1.설계입력'!$C$34*(1-SIN(B605)/SQRT(1+'1.설계입력'!$C$39^2-2*'1.설계입력'!$C$39*COS(B605)))-'1.설계입력'!$C$33*(1-'1.설계입력'!$C$39*COS(B605)-SQRT(MAX(0,1-'1.설계입력'!$C$39^2))*SIN(B605))/SQRT(1+'1.설계입력'!$C$39^2-2*'1.설계입력'!$C$39*COS(B605)))</f>
        <v>5.0186464415066722E-3</v>
      </c>
    </row>
    <row r="606" spans="1:11" x14ac:dyDescent="0.3">
      <c r="A606" s="40">
        <f>A605+'1.설계입력'!$C$12</f>
        <v>120.00000000000117</v>
      </c>
      <c r="B606" s="40">
        <f t="shared" si="27"/>
        <v>2.0943951023932157</v>
      </c>
      <c r="C606" s="40">
        <f>ATAN2('1.설계입력'!$C$6/('1.설계입력'!$C$8*'1.설계입력'!$C$15)-COS((1-'1.설계입력'!$C$15)*B606),SIN((1-'1.설계입력'!$C$15)*B606))</f>
        <v>-2.1423192292116782E-12</v>
      </c>
      <c r="D606" s="40">
        <f>'1.설계입력'!$C$6*COS(B606)-'1.설계입력'!$C$7*COS(B606+C606)-'1.설계입력'!$C$8*COS('1.설계입력'!$C$15*B606)</f>
        <v>-38.250000000007738</v>
      </c>
      <c r="E606" s="40">
        <f>-'1.설계입력'!$C$6*SIN(B606)+'1.설계입력'!$C$7*SIN(B606+C606)+'1.설계입력'!$C$8*SIN('1.설계입력'!$C$15*B606)</f>
        <v>-66.250943389505096</v>
      </c>
      <c r="F606" s="40">
        <f>ATAN2(('1.설계입력'!$C$6+'1.설계입력'!$C$33)/('1.설계입력'!$C$8*'1.설계입력'!$C$15)-COS((1-'1.설계입력'!$C$15)*B606),SIN((1-'1.설계입력'!$C$15)*B606))</f>
        <v>-2.142621144009244E-12</v>
      </c>
      <c r="G606" s="40">
        <f>('1.설계입력'!$C$6+'1.설계입력'!$C$33)*COS(B606)-('1.설계입력'!$C$7+'1.설계입력'!$C$34)*COS(B606+F606)-'1.설계입력'!$C$8*COS('1.설계입력'!$C$15*B606)</f>
        <v>-38.244400000007751</v>
      </c>
      <c r="H606" s="40">
        <f>-('1.설계입력'!$C$6+'1.설계입력'!$C$33)*SIN(B606)+('1.설계입력'!$C$7+'1.설계입력'!$C$34)*SIN(B606+F606)+'1.설계입력'!$C$8*SIN('1.설계입력'!$C$15*B606)</f>
        <v>-66.241243904982696</v>
      </c>
      <c r="I606" s="40">
        <f t="shared" si="28"/>
        <v>76.5</v>
      </c>
      <c r="J606" s="40">
        <f t="shared" si="29"/>
        <v>76.488799999999998</v>
      </c>
      <c r="K606" s="38">
        <f>IF(OR(A606&gt;180,'1.설계입력'!$C$39&gt;=1),"",'1.설계입력'!$C$34*(1-SIN(B606)/SQRT(1+'1.설계입력'!$C$39^2-2*'1.설계입력'!$C$39*COS(B606)))-'1.설계입력'!$C$33*(1-'1.설계입력'!$C$39*COS(B606)-SQRT(MAX(0,1-'1.설계입력'!$C$39^2))*SIN(B606))/SQRT(1+'1.설계입력'!$C$39^2-2*'1.설계입력'!$C$39*COS(B606)))</f>
        <v>5.0380185066245427E-3</v>
      </c>
    </row>
    <row r="607" spans="1:11" x14ac:dyDescent="0.3">
      <c r="A607" s="40">
        <f>A606+'1.설계입력'!$C$12</f>
        <v>120.20000000000117</v>
      </c>
      <c r="B607" s="40">
        <f t="shared" si="27"/>
        <v>2.0978857608972046</v>
      </c>
      <c r="C607" s="40">
        <f>ATAN2('1.설계입력'!$C$6/('1.설계입력'!$C$8*'1.설계입력'!$C$15)-COS((1-'1.설계입력'!$C$15)*B607),SIN((1-'1.설계입력'!$C$15)*B607))</f>
        <v>-0.3464614568740137</v>
      </c>
      <c r="D607" s="40">
        <f>'1.설계입력'!$C$6*COS(B607)-'1.설계입력'!$C$7*COS(B607+C607)-'1.설계입력'!$C$8*COS('1.설계입력'!$C$15*B607)</f>
        <v>-39.605553932611869</v>
      </c>
      <c r="E607" s="40">
        <f>-'1.설계입력'!$C$6*SIN(B607)+'1.설계입력'!$C$7*SIN(B607+C607)+'1.설계입력'!$C$8*SIN('1.설계입력'!$C$15*B607)</f>
        <v>-65.753593340560911</v>
      </c>
      <c r="F607" s="40">
        <f>ATAN2(('1.설계입력'!$C$6+'1.설계입력'!$C$33)/('1.설계입력'!$C$8*'1.설계입력'!$C$15)-COS((1-'1.설계입력'!$C$15)*B607),SIN((1-'1.설계입력'!$C$15)*B607))</f>
        <v>-0.34650536010046989</v>
      </c>
      <c r="G607" s="40">
        <f>('1.설계입력'!$C$6+'1.설계입력'!$C$33)*COS(B607)-('1.설계입력'!$C$7+'1.설계입력'!$C$34)*COS(B607+F607)-'1.설계입력'!$C$8*COS('1.설계입력'!$C$15*B607)</f>
        <v>-39.60271253348089</v>
      </c>
      <c r="H607" s="40">
        <f>-('1.설계입력'!$C$6+'1.설계입력'!$C$33)*SIN(B607)+('1.설계입력'!$C$7+'1.설계입력'!$C$34)*SIN(B607+F607)+'1.설계입력'!$C$8*SIN('1.설계입력'!$C$15*B607)</f>
        <v>-65.742914258507014</v>
      </c>
      <c r="I607" s="40">
        <f t="shared" si="28"/>
        <v>76.760243222027924</v>
      </c>
      <c r="J607" s="40">
        <f t="shared" si="29"/>
        <v>76.749629414160225</v>
      </c>
      <c r="K607" s="38">
        <f>IF(OR(A607&gt;180,'1.설계입력'!$C$39&gt;=1),"",'1.설계입력'!$C$34*(1-SIN(B607)/SQRT(1+'1.설계입력'!$C$39^2-2*'1.설계입력'!$C$39*COS(B607)))-'1.설계입력'!$C$33*(1-'1.설계입력'!$C$39*COS(B607)-SQRT(MAX(0,1-'1.설계입력'!$C$39^2))*SIN(B607))/SQRT(1+'1.설계입력'!$C$39^2-2*'1.설계입력'!$C$39*COS(B607)))</f>
        <v>5.057406214366315E-3</v>
      </c>
    </row>
    <row r="608" spans="1:11" x14ac:dyDescent="0.3">
      <c r="A608" s="40">
        <f>A607+'1.설계입력'!$C$12</f>
        <v>120.40000000000117</v>
      </c>
      <c r="B608" s="40">
        <f t="shared" si="27"/>
        <v>2.101376419401193</v>
      </c>
      <c r="C608" s="40">
        <f>ATAN2('1.설계입력'!$C$6/('1.설계입력'!$C$8*'1.설계입력'!$C$15)-COS((1-'1.설계입력'!$C$15)*B608),SIN((1-'1.설계입력'!$C$15)*B608))</f>
        <v>-0.58786033362875201</v>
      </c>
      <c r="D608" s="40">
        <f>'1.설계입력'!$C$6*COS(B608)-'1.설계입력'!$C$7*COS(B608+C608)-'1.설계입력'!$C$8*COS('1.설계입력'!$C$15*B608)</f>
        <v>-40.644754650096743</v>
      </c>
      <c r="E608" s="40">
        <f>-'1.설계입력'!$C$6*SIN(B608)+'1.설계입력'!$C$7*SIN(B608+C608)+'1.설계입력'!$C$8*SIN('1.설계입력'!$C$15*B608)</f>
        <v>-65.690693577337441</v>
      </c>
      <c r="F608" s="40">
        <f>ATAN2(('1.설계입력'!$C$6+'1.설계입력'!$C$33)/('1.설계입력'!$C$8*'1.설계입력'!$C$15)-COS((1-'1.설계입력'!$C$15)*B608),SIN((1-'1.설계입력'!$C$15)*B608))</f>
        <v>-0.58791942953364684</v>
      </c>
      <c r="G608" s="40">
        <f>('1.설계입력'!$C$6+'1.설계입력'!$C$33)*COS(B608)-('1.설계입력'!$C$7+'1.설계입력'!$C$34)*COS(B608+F608)-'1.설계입력'!$C$8*COS('1.설계입력'!$C$15*B608)</f>
        <v>-40.643886135131773</v>
      </c>
      <c r="H608" s="40">
        <f>-('1.설계입력'!$C$6+'1.설계입력'!$C$33)*SIN(B608)+('1.설계입력'!$C$7+'1.설계입력'!$C$34)*SIN(B608+F608)+'1.설계입력'!$C$8*SIN('1.설계입력'!$C$15*B608)</f>
        <v>-65.67994663658412</v>
      </c>
      <c r="I608" s="40">
        <f t="shared" si="28"/>
        <v>77.248063427106075</v>
      </c>
      <c r="J608" s="40">
        <f t="shared" si="29"/>
        <v>77.238467555681709</v>
      </c>
      <c r="K608" s="38">
        <f>IF(OR(A608&gt;180,'1.설계입력'!$C$39&gt;=1),"",'1.설계입력'!$C$34*(1-SIN(B608)/SQRT(1+'1.설계입력'!$C$39^2-2*'1.설계입력'!$C$39*COS(B608)))-'1.설계입력'!$C$33*(1-'1.설계입력'!$C$39*COS(B608)-SQRT(MAX(0,1-'1.설계입력'!$C$39^2))*SIN(B608))/SQRT(1+'1.설계입력'!$C$39^2-2*'1.설계입력'!$C$39*COS(B608)))</f>
        <v>5.0768094787015895E-3</v>
      </c>
    </row>
    <row r="609" spans="1:11" x14ac:dyDescent="0.3">
      <c r="A609" s="40">
        <f>A608+'1.설계입력'!$C$12</f>
        <v>120.60000000000117</v>
      </c>
      <c r="B609" s="40">
        <f t="shared" si="27"/>
        <v>2.1048670779051819</v>
      </c>
      <c r="C609" s="40">
        <f>ATAN2('1.설계입력'!$C$6/('1.설계입력'!$C$8*'1.설계입력'!$C$15)-COS((1-'1.설계입력'!$C$15)*B609),SIN((1-'1.설계입력'!$C$15)*B609))</f>
        <v>-0.72429172953473031</v>
      </c>
      <c r="D609" s="40">
        <f>'1.설계입력'!$C$6*COS(B609)-'1.설계입력'!$C$7*COS(B609+C609)-'1.설계입력'!$C$8*COS('1.설계입력'!$C$15*B609)</f>
        <v>-41.284174168417877</v>
      </c>
      <c r="E609" s="40">
        <f>-'1.설계입력'!$C$6*SIN(B609)+'1.설계입력'!$C$7*SIN(B609+C609)+'1.설계입력'!$C$8*SIN('1.설계입력'!$C$15*B609)</f>
        <v>-65.771318426283983</v>
      </c>
      <c r="F609" s="40">
        <f>ATAN2(('1.설계입력'!$C$6+'1.설계입력'!$C$33)/('1.설계입력'!$C$8*'1.설계입력'!$C$15)-COS((1-'1.설계입력'!$C$15)*B609),SIN((1-'1.설계입력'!$C$15)*B609))</f>
        <v>-0.72434885053694786</v>
      </c>
      <c r="G609" s="40">
        <f>('1.설계입력'!$C$6+'1.설계입력'!$C$33)*COS(B609)-('1.설계입력'!$C$7+'1.설계입력'!$C$34)*COS(B609+F609)-'1.설계입력'!$C$8*COS('1.설계입력'!$C$15*B609)</f>
        <v>-41.284352470576607</v>
      </c>
      <c r="H609" s="40">
        <f>-('1.설계입력'!$C$6+'1.설계입력'!$C$33)*SIN(B609)+('1.설계입력'!$C$7+'1.설계입력'!$C$34)*SIN(B609+F609)+'1.설계입력'!$C$8*SIN('1.설계입력'!$C$15*B609)</f>
        <v>-65.760739524653658</v>
      </c>
      <c r="I609" s="40">
        <f t="shared" si="28"/>
        <v>77.654680247232392</v>
      </c>
      <c r="J609" s="40">
        <f t="shared" si="29"/>
        <v>77.645815223643254</v>
      </c>
      <c r="K609" s="38">
        <f>IF(OR(A609&gt;180,'1.설계입력'!$C$39&gt;=1),"",'1.설계입력'!$C$34*(1-SIN(B609)/SQRT(1+'1.설계입력'!$C$39^2-2*'1.설계입력'!$C$39*COS(B609)))-'1.설계입력'!$C$33*(1-'1.설계입력'!$C$39*COS(B609)-SQRT(MAX(0,1-'1.설계입력'!$C$39^2))*SIN(B609))/SQRT(1+'1.설계입력'!$C$39^2-2*'1.설계입력'!$C$39*COS(B609)))</f>
        <v>5.0962282137427773E-3</v>
      </c>
    </row>
    <row r="610" spans="1:11" x14ac:dyDescent="0.3">
      <c r="A610" s="40">
        <f>A609+'1.설계입력'!$C$12</f>
        <v>120.80000000000118</v>
      </c>
      <c r="B610" s="40">
        <f t="shared" si="27"/>
        <v>2.1083577364091708</v>
      </c>
      <c r="C610" s="40">
        <f>ATAN2('1.설계입력'!$C$6/('1.설계입력'!$C$8*'1.설계입력'!$C$15)-COS((1-'1.설계입력'!$C$15)*B610),SIN((1-'1.설계입력'!$C$15)*B610))</f>
        <v>-0.79193106442722672</v>
      </c>
      <c r="D610" s="40">
        <f>'1.설계입력'!$C$6*COS(B610)-'1.설계입력'!$C$7*COS(B610+C610)-'1.설계입력'!$C$8*COS('1.설계입력'!$C$15*B610)</f>
        <v>-41.669635116742064</v>
      </c>
      <c r="E610" s="40">
        <f>-'1.설계입력'!$C$6*SIN(B610)+'1.설계입력'!$C$7*SIN(B610+C610)+'1.설계입력'!$C$8*SIN('1.설계입력'!$C$15*B610)</f>
        <v>-65.859215783679616</v>
      </c>
      <c r="F610" s="40">
        <f>ATAN2(('1.설계입력'!$C$6+'1.설계입력'!$C$33)/('1.설계입력'!$C$8*'1.설계입력'!$C$15)-COS((1-'1.설계입력'!$C$15)*B610),SIN((1-'1.설계입력'!$C$15)*B610))</f>
        <v>-0.79198158720212863</v>
      </c>
      <c r="G610" s="40">
        <f>('1.설계입력'!$C$6+'1.설계입력'!$C$33)*COS(B610)-('1.설계입력'!$C$7+'1.설계입력'!$C$34)*COS(B610+F610)-'1.설계입력'!$C$8*COS('1.설계입력'!$C$15*B610)</f>
        <v>-41.670282013586224</v>
      </c>
      <c r="H610" s="40">
        <f>-('1.설계입력'!$C$6+'1.설계입력'!$C$33)*SIN(B610)+('1.설계입력'!$C$7+'1.설계입력'!$C$34)*SIN(B610+F610)+'1.설계입력'!$C$8*SIN('1.설계입력'!$C$15*B610)</f>
        <v>-65.848764610150411</v>
      </c>
      <c r="I610" s="40">
        <f t="shared" si="28"/>
        <v>77.934554559602745</v>
      </c>
      <c r="J610" s="40">
        <f t="shared" si="29"/>
        <v>77.92606883306</v>
      </c>
      <c r="K610" s="38">
        <f>IF(OR(A610&gt;180,'1.설계입력'!$C$39&gt;=1),"",'1.설계입력'!$C$34*(1-SIN(B610)/SQRT(1+'1.설계입력'!$C$39^2-2*'1.설계입력'!$C$39*COS(B610)))-'1.설계입력'!$C$33*(1-'1.설계입력'!$C$39*COS(B610)-SQRT(MAX(0,1-'1.설계입력'!$C$39^2))*SIN(B610))/SQRT(1+'1.설계입력'!$C$39^2-2*'1.설계입력'!$C$39*COS(B610)))</f>
        <v>5.1156623337437314E-3</v>
      </c>
    </row>
    <row r="611" spans="1:11" x14ac:dyDescent="0.3">
      <c r="A611" s="40">
        <f>A610+'1.설계입력'!$C$12</f>
        <v>121.00000000000118</v>
      </c>
      <c r="B611" s="40">
        <f t="shared" si="27"/>
        <v>2.1118483949131592</v>
      </c>
      <c r="C611" s="40">
        <f>ATAN2('1.설계입력'!$C$6/('1.설계입력'!$C$8*'1.설계입력'!$C$15)-COS((1-'1.설계입력'!$C$15)*B611),SIN((1-'1.설계입력'!$C$15)*B611))</f>
        <v>-0.8180402767426681</v>
      </c>
      <c r="D611" s="40">
        <f>'1.설계입력'!$C$6*COS(B611)-'1.설계입력'!$C$7*COS(B611+C611)-'1.설계입력'!$C$8*COS('1.설계입력'!$C$15*B611)</f>
        <v>-41.917422815706445</v>
      </c>
      <c r="E611" s="40">
        <f>-'1.설계입력'!$C$6*SIN(B611)+'1.설계입력'!$C$7*SIN(B611+C611)+'1.설계입력'!$C$8*SIN('1.설계입력'!$C$15*B611)</f>
        <v>-65.927154827377379</v>
      </c>
      <c r="F611" s="40">
        <f>ATAN2(('1.설계입력'!$C$6+'1.설계입력'!$C$33)/('1.설계입력'!$C$8*'1.설계입력'!$C$15)-COS((1-'1.설계입력'!$C$15)*B611),SIN((1-'1.설계입력'!$C$15)*B611))</f>
        <v>-0.8180840060932949</v>
      </c>
      <c r="G611" s="40">
        <f>('1.설계입력'!$C$6+'1.설계입력'!$C$33)*COS(B611)-('1.설계입력'!$C$7+'1.설계입력'!$C$34)*COS(B611+F611)-'1.설계입력'!$C$8*COS('1.설계입력'!$C$15*B611)</f>
        <v>-41.91820981267788</v>
      </c>
      <c r="H611" s="40">
        <f>-('1.설계입력'!$C$6+'1.설계입력'!$C$33)*SIN(B611)+('1.설계입력'!$C$7+'1.설계입력'!$C$34)*SIN(B611+F611)+'1.설계입력'!$C$8*SIN('1.설계입력'!$C$15*B611)</f>
        <v>-65.916754286617774</v>
      </c>
      <c r="I611" s="40">
        <f t="shared" si="28"/>
        <v>78.124644505710847</v>
      </c>
      <c r="J611" s="40">
        <f t="shared" si="29"/>
        <v>78.11629029582771</v>
      </c>
      <c r="K611" s="38">
        <f>IF(OR(A611&gt;180,'1.설계입력'!$C$39&gt;=1),"",'1.설계입력'!$C$34*(1-SIN(B611)/SQRT(1+'1.설계입력'!$C$39^2-2*'1.설계입력'!$C$39*COS(B611)))-'1.설계입력'!$C$33*(1-'1.설계입력'!$C$39*COS(B611)-SQRT(MAX(0,1-'1.설계입력'!$C$39^2))*SIN(B611))/SQRT(1+'1.설계입력'!$C$39^2-2*'1.설계입력'!$C$39*COS(B611)))</f>
        <v>5.1351117530983792E-3</v>
      </c>
    </row>
    <row r="612" spans="1:11" x14ac:dyDescent="0.3">
      <c r="A612" s="40">
        <f>A611+'1.설계입력'!$C$12</f>
        <v>121.20000000000118</v>
      </c>
      <c r="B612" s="40">
        <f t="shared" si="27"/>
        <v>2.1153390534171481</v>
      </c>
      <c r="C612" s="40">
        <f>ATAN2('1.설계입력'!$C$6/('1.설계입력'!$C$8*'1.설계입력'!$C$15)-COS((1-'1.설계입력'!$C$15)*B612),SIN((1-'1.설계입력'!$C$15)*B612))</f>
        <v>-0.81858663793102227</v>
      </c>
      <c r="D612" s="40">
        <f>'1.설계입력'!$C$6*COS(B612)-'1.설계입력'!$C$7*COS(B612+C612)-'1.설계입력'!$C$8*COS('1.설계입력'!$C$15*B612)</f>
        <v>-42.093499964046835</v>
      </c>
      <c r="E612" s="40">
        <f>-'1.설계입력'!$C$6*SIN(B612)+'1.설계입력'!$C$7*SIN(B612+C612)+'1.설계입력'!$C$8*SIN('1.설계입력'!$C$15*B612)</f>
        <v>-65.977264274274617</v>
      </c>
      <c r="F612" s="40">
        <f>ATAN2(('1.설계입력'!$C$6+'1.설계입력'!$C$33)/('1.설계입력'!$C$8*'1.설계입력'!$C$15)-COS((1-'1.설계입력'!$C$15)*B612),SIN((1-'1.설계입력'!$C$15)*B612))</f>
        <v>-0.81862442801600788</v>
      </c>
      <c r="G612" s="40">
        <f>('1.설계입력'!$C$6+'1.설계입력'!$C$33)*COS(B612)-('1.설계입력'!$C$7+'1.설계입력'!$C$34)*COS(B612+F612)-'1.설계입력'!$C$8*COS('1.설계입력'!$C$15*B612)</f>
        <v>-42.094231969776864</v>
      </c>
      <c r="H612" s="40">
        <f>-('1.설계입력'!$C$6+'1.설계입력'!$C$33)*SIN(B612)+('1.설계입력'!$C$7+'1.설계입력'!$C$34)*SIN(B612+F612)+'1.설계입력'!$C$8*SIN('1.설계입력'!$C$15*B612)</f>
        <v>-65.966855895194911</v>
      </c>
      <c r="I612" s="40">
        <f t="shared" si="28"/>
        <v>78.261498454480702</v>
      </c>
      <c r="J612" s="40">
        <f t="shared" si="29"/>
        <v>78.253117777011269</v>
      </c>
      <c r="K612" s="38">
        <f>IF(OR(A612&gt;180,'1.설계입력'!$C$39&gt;=1),"",'1.설계입력'!$C$34*(1-SIN(B612)/SQRT(1+'1.설계입력'!$C$39^2-2*'1.설계입력'!$C$39*COS(B612)))-'1.설계입력'!$C$33*(1-'1.설계입력'!$C$39*COS(B612)-SQRT(MAX(0,1-'1.설계입력'!$C$39^2))*SIN(B612))/SQRT(1+'1.설계입력'!$C$39^2-2*'1.설계입력'!$C$39*COS(B612)))</f>
        <v>5.1545763863394068E-3</v>
      </c>
    </row>
    <row r="613" spans="1:11" x14ac:dyDescent="0.3">
      <c r="A613" s="40">
        <f>A612+'1.설계입력'!$C$12</f>
        <v>121.40000000000119</v>
      </c>
      <c r="B613" s="40">
        <f t="shared" si="27"/>
        <v>2.1188297119211366</v>
      </c>
      <c r="C613" s="40">
        <f>ATAN2('1.설계입력'!$C$6/('1.설계입력'!$C$8*'1.설계입력'!$C$15)-COS((1-'1.설계입력'!$C$15)*B613),SIN((1-'1.설계입력'!$C$15)*B613))</f>
        <v>-0.80270817926509674</v>
      </c>
      <c r="D613" s="40">
        <f>'1.설계입력'!$C$6*COS(B613)-'1.설계입력'!$C$7*COS(B613+C613)-'1.설계입력'!$C$8*COS('1.설계입력'!$C$15*B613)</f>
        <v>-42.234166557642709</v>
      </c>
      <c r="E613" s="40">
        <f>-'1.설계입력'!$C$6*SIN(B613)+'1.설계입력'!$C$7*SIN(B613+C613)+'1.설계입력'!$C$8*SIN('1.설계입력'!$C$15*B613)</f>
        <v>-66.015549561149072</v>
      </c>
      <c r="F613" s="40">
        <f>ATAN2(('1.설계입력'!$C$6+'1.설계입력'!$C$33)/('1.설계입력'!$C$8*'1.설계입력'!$C$15)-COS((1-'1.설계입력'!$C$15)*B613),SIN((1-'1.설계입력'!$C$15)*B613))</f>
        <v>-0.80274096964743702</v>
      </c>
      <c r="G613" s="40">
        <f>('1.설계입력'!$C$6+'1.설계입력'!$C$33)*COS(B613)-('1.설계입력'!$C$7+'1.설계입력'!$C$34)*COS(B613+F613)-'1.설계입력'!$C$8*COS('1.설계입력'!$C$15*B613)</f>
        <v>-42.23471925394152</v>
      </c>
      <c r="H613" s="40">
        <f>-('1.설계입력'!$C$6+'1.설계입력'!$C$33)*SIN(B613)+('1.설계입력'!$C$7+'1.설계입력'!$C$34)*SIN(B613+F613)+'1.설계입력'!$C$8*SIN('1.설계입력'!$C$15*B613)</f>
        <v>-66.005097929555504</v>
      </c>
      <c r="I613" s="40">
        <f t="shared" si="28"/>
        <v>78.369494120347852</v>
      </c>
      <c r="J613" s="40">
        <f t="shared" si="29"/>
        <v>78.360988145565599</v>
      </c>
      <c r="K613" s="38">
        <f>IF(OR(A613&gt;180,'1.설계입력'!$C$39&gt;=1),"",'1.설계입력'!$C$34*(1-SIN(B613)/SQRT(1+'1.설계입력'!$C$39^2-2*'1.설계입력'!$C$39*COS(B613)))-'1.설계입력'!$C$33*(1-'1.설계입력'!$C$39*COS(B613)-SQRT(MAX(0,1-'1.설계입력'!$C$39^2))*SIN(B613))/SQRT(1+'1.설계입력'!$C$39^2-2*'1.설계입력'!$C$39*COS(B613)))</f>
        <v>5.174056148136907E-3</v>
      </c>
    </row>
    <row r="614" spans="1:11" x14ac:dyDescent="0.3">
      <c r="A614" s="40">
        <f>A613+'1.설계입력'!$C$12</f>
        <v>121.60000000000119</v>
      </c>
      <c r="B614" s="40">
        <f t="shared" si="27"/>
        <v>2.1223203704251254</v>
      </c>
      <c r="C614" s="40">
        <f>ATAN2('1.설계입력'!$C$6/('1.설계입력'!$C$8*'1.설계입력'!$C$15)-COS((1-'1.설계입력'!$C$15)*B614),SIN((1-'1.설계입력'!$C$15)*B614))</f>
        <v>-0.77580564375842231</v>
      </c>
      <c r="D614" s="40">
        <f>'1.설계입력'!$C$6*COS(B614)-'1.설계입력'!$C$7*COS(B614+C614)-'1.설계입력'!$C$8*COS('1.설계입력'!$C$15*B614)</f>
        <v>-42.360122264790334</v>
      </c>
      <c r="E614" s="40">
        <f>-'1.설계입력'!$C$6*SIN(B614)+'1.설계입력'!$C$7*SIN(B614+C614)+'1.설계입력'!$C$8*SIN('1.설계입력'!$C$15*B614)</f>
        <v>-66.046426769977273</v>
      </c>
      <c r="F614" s="40">
        <f>ATAN2(('1.설계입력'!$C$6+'1.설계입력'!$C$33)/('1.설계입력'!$C$8*'1.설계입력'!$C$15)-COS((1-'1.설계입력'!$C$15)*B614),SIN((1-'1.설계입력'!$C$15)*B614))</f>
        <v>-0.77583423593442269</v>
      </c>
      <c r="G614" s="40">
        <f>('1.설계입력'!$C$6+'1.설계입력'!$C$33)*COS(B614)-('1.설계입력'!$C$7+'1.설계입력'!$C$34)*COS(B614+F614)-'1.설계입력'!$C$8*COS('1.설계입력'!$C$15*B614)</f>
        <v>-42.360411126856945</v>
      </c>
      <c r="H614" s="40">
        <f>-('1.설계입력'!$C$6+'1.설계입력'!$C$33)*SIN(B614)+('1.설계입력'!$C$7+'1.설계입력'!$C$34)*SIN(B614+F614)+'1.설계입력'!$C$8*SIN('1.설계입력'!$C$15*B614)</f>
        <v>-66.035914777380384</v>
      </c>
      <c r="I614" s="40">
        <f t="shared" si="28"/>
        <v>78.463433823469359</v>
      </c>
      <c r="J614" s="40">
        <f t="shared" si="29"/>
        <v>78.454741547734329</v>
      </c>
      <c r="K614" s="38">
        <f>IF(OR(A614&gt;180,'1.설계입력'!$C$39&gt;=1),"",'1.설계입력'!$C$34*(1-SIN(B614)/SQRT(1+'1.설계입력'!$C$39^2-2*'1.설계입력'!$C$39*COS(B614)))-'1.설계입력'!$C$33*(1-'1.설계입력'!$C$39*COS(B614)-SQRT(MAX(0,1-'1.설계입력'!$C$39^2))*SIN(B614))/SQRT(1+'1.설계입력'!$C$39^2-2*'1.설계입력'!$C$39*COS(B614)))</f>
        <v>5.1935509532970939E-3</v>
      </c>
    </row>
    <row r="615" spans="1:11" x14ac:dyDescent="0.3">
      <c r="A615" s="40">
        <f>A614+'1.설계입력'!$C$12</f>
        <v>121.80000000000119</v>
      </c>
      <c r="B615" s="40">
        <f t="shared" si="27"/>
        <v>2.1258110289291143</v>
      </c>
      <c r="C615" s="40">
        <f>ATAN2('1.설계입력'!$C$6/('1.설계입력'!$C$8*'1.설계입력'!$C$15)-COS((1-'1.설계입력'!$C$15)*B615),SIN((1-'1.설계입력'!$C$15)*B615))</f>
        <v>-0.74121343056059064</v>
      </c>
      <c r="D615" s="40">
        <f>'1.설계입력'!$C$6*COS(B615)-'1.설계입력'!$C$7*COS(B615+C615)-'1.설계입력'!$C$8*COS('1.설계입력'!$C$15*B615)</f>
        <v>-42.483652528467942</v>
      </c>
      <c r="E615" s="40">
        <f>-'1.설계입력'!$C$6*SIN(B615)+'1.설계입력'!$C$7*SIN(B615+C615)+'1.설계입력'!$C$8*SIN('1.설계입력'!$C$15*B615)</f>
        <v>-66.072208191032175</v>
      </c>
      <c r="F615" s="40">
        <f>ATAN2(('1.설계입력'!$C$6+'1.설계입력'!$C$33)/('1.설계입력'!$C$8*'1.설계입력'!$C$15)-COS((1-'1.설계입력'!$C$15)*B615),SIN((1-'1.설계입력'!$C$15)*B615))</f>
        <v>-0.74123846462494791</v>
      </c>
      <c r="G615" s="40">
        <f>('1.설계입력'!$C$6+'1.설계입력'!$C$33)*COS(B615)-('1.설계입력'!$C$7+'1.설계입력'!$C$34)*COS(B615+F615)-'1.설계입력'!$C$8*COS('1.설계입력'!$C$15*B615)</f>
        <v>-42.483617079811964</v>
      </c>
      <c r="H615" s="40">
        <f>-('1.설계입력'!$C$6+'1.설계입력'!$C$33)*SIN(B615)+('1.설계입력'!$C$7+'1.설계입력'!$C$34)*SIN(B615+F615)+'1.설계입력'!$C$8*SIN('1.설계입력'!$C$15*B615)</f>
        <v>-66.061632108304565</v>
      </c>
      <c r="I615" s="40">
        <f t="shared" si="28"/>
        <v>78.551877300282911</v>
      </c>
      <c r="J615" s="40">
        <f t="shared" si="29"/>
        <v>78.542962491855803</v>
      </c>
      <c r="K615" s="38">
        <f>IF(OR(A615&gt;180,'1.설계입력'!$C$39&gt;=1),"",'1.설계입력'!$C$34*(1-SIN(B615)/SQRT(1+'1.설계입력'!$C$39^2-2*'1.설계입력'!$C$39*COS(B615)))-'1.설계입력'!$C$33*(1-'1.설계입력'!$C$39*COS(B615)-SQRT(MAX(0,1-'1.설계입력'!$C$39^2))*SIN(B615))/SQRT(1+'1.설계입력'!$C$39^2-2*'1.설계입력'!$C$39*COS(B615)))</f>
        <v>5.2130607167609946E-3</v>
      </c>
    </row>
    <row r="616" spans="1:11" x14ac:dyDescent="0.3">
      <c r="A616" s="40">
        <f>A615+'1.설계입력'!$C$12</f>
        <v>122.00000000000119</v>
      </c>
      <c r="B616" s="40">
        <f t="shared" si="27"/>
        <v>2.1293016874331028</v>
      </c>
      <c r="C616" s="40">
        <f>ATAN2('1.설계입력'!$C$6/('1.설계입력'!$C$8*'1.설계입력'!$C$15)-COS((1-'1.설계입력'!$C$15)*B616),SIN((1-'1.설계입력'!$C$15)*B616))</f>
        <v>-0.70108025199657864</v>
      </c>
      <c r="D616" s="40">
        <f>'1.설계입력'!$C$6*COS(B616)-'1.설계입력'!$C$7*COS(B616+C616)-'1.설계입력'!$C$8*COS('1.설계입력'!$C$15*B616)</f>
        <v>-42.612210127340305</v>
      </c>
      <c r="E616" s="40">
        <f>-'1.설계입력'!$C$6*SIN(B616)+'1.설계입력'!$C$7*SIN(B616+C616)+'1.설계입력'!$C$8*SIN('1.설계입력'!$C$15*B616)</f>
        <v>-66.093560477203653</v>
      </c>
      <c r="F616" s="40">
        <f>ATAN2(('1.설계입력'!$C$6+'1.설계입력'!$C$33)/('1.설계입력'!$C$8*'1.설계입력'!$C$15)-COS((1-'1.설계입력'!$C$15)*B616),SIN((1-'1.설계입력'!$C$15)*B616))</f>
        <v>-0.70110223036293784</v>
      </c>
      <c r="G616" s="40">
        <f>('1.설계입력'!$C$6+'1.설계입력'!$C$33)*COS(B616)-('1.설계입력'!$C$7+'1.설계입력'!$C$34)*COS(B616+F616)-'1.설계입력'!$C$8*COS('1.설계입력'!$C$15*B616)</f>
        <v>-42.611805523162772</v>
      </c>
      <c r="H616" s="40">
        <f>-('1.설계입력'!$C$6+'1.설계입력'!$C$33)*SIN(B616)+('1.설계입력'!$C$7+'1.설계입력'!$C$34)*SIN(B616+F616)+'1.설계입력'!$C$8*SIN('1.설계입력'!$C$15*B616)</f>
        <v>-66.082926233604667</v>
      </c>
      <c r="I616" s="40">
        <f t="shared" si="28"/>
        <v>78.639425153610972</v>
      </c>
      <c r="J616" s="40">
        <f t="shared" si="29"/>
        <v>78.630268405620242</v>
      </c>
      <c r="K616" s="38">
        <f>IF(OR(A616&gt;180,'1.설계입력'!$C$39&gt;=1),"",'1.설계입력'!$C$34*(1-SIN(B616)/SQRT(1+'1.설계입력'!$C$39^2-2*'1.설계입력'!$C$39*COS(B616)))-'1.설계입력'!$C$33*(1-'1.설계입력'!$C$39*COS(B616)-SQRT(MAX(0,1-'1.설계입력'!$C$39^2))*SIN(B616))/SQRT(1+'1.설계입력'!$C$39^2-2*'1.설계입력'!$C$39*COS(B616)))</f>
        <v>5.2325853536031803E-3</v>
      </c>
    </row>
    <row r="617" spans="1:11" x14ac:dyDescent="0.3">
      <c r="A617" s="40">
        <f>A616+'1.설계입력'!$C$12</f>
        <v>122.2000000000012</v>
      </c>
      <c r="B617" s="40">
        <f t="shared" si="27"/>
        <v>2.1327923459370917</v>
      </c>
      <c r="C617" s="40">
        <f>ATAN2('1.설계입력'!$C$6/('1.설계입력'!$C$8*'1.설계입력'!$C$15)-COS((1-'1.설계입력'!$C$15)*B617),SIN((1-'1.설계입력'!$C$15)*B617))</f>
        <v>-0.65684553750068875</v>
      </c>
      <c r="D617" s="40">
        <f>'1.설계입력'!$C$6*COS(B617)-'1.설계입력'!$C$7*COS(B617+C617)-'1.설계입력'!$C$8*COS('1.설계입력'!$C$15*B617)</f>
        <v>-42.750262706343378</v>
      </c>
      <c r="E617" s="40">
        <f>-'1.설계입력'!$C$6*SIN(B617)+'1.설계입력'!$C$7*SIN(B617+C617)+'1.설계입력'!$C$8*SIN('1.설계입력'!$C$15*B617)</f>
        <v>-66.110026343653956</v>
      </c>
      <c r="F617" s="40">
        <f>ATAN2(('1.설계입력'!$C$6+'1.설계입력'!$C$33)/('1.설계입력'!$C$8*'1.설계입력'!$C$15)-COS((1-'1.설계입력'!$C$15)*B617),SIN((1-'1.설계입력'!$C$15)*B617))</f>
        <v>-0.65686485423991436</v>
      </c>
      <c r="G617" s="40">
        <f>('1.설계입력'!$C$6+'1.설계입력'!$C$33)*COS(B617)-('1.설계입력'!$C$7+'1.설계입력'!$C$34)*COS(B617+F617)-'1.설계입력'!$C$8*COS('1.설계입력'!$C$15*B617)</f>
        <v>-42.749454994885106</v>
      </c>
      <c r="H617" s="40">
        <f>-('1.설계입력'!$C$6+'1.설계입력'!$C$33)*SIN(B617)+('1.설계입력'!$C$7+'1.설계입력'!$C$34)*SIN(B617+F617)+'1.설계입력'!$C$8*SIN('1.설계입력'!$C$15*B617)</f>
        <v>-66.099346886390123</v>
      </c>
      <c r="I617" s="40">
        <f t="shared" si="28"/>
        <v>78.72814328192932</v>
      </c>
      <c r="J617" s="40">
        <f t="shared" si="29"/>
        <v>78.718737039964239</v>
      </c>
      <c r="K617" s="38">
        <f>IF(OR(A617&gt;180,'1.설계입력'!$C$39&gt;=1),"",'1.설계입력'!$C$34*(1-SIN(B617)/SQRT(1+'1.설계입력'!$C$39^2-2*'1.설계입력'!$C$39*COS(B617)))-'1.설계입력'!$C$33*(1-'1.설계입력'!$C$39*COS(B617)-SQRT(MAX(0,1-'1.설계입력'!$C$39^2))*SIN(B617))/SQRT(1+'1.설계입력'!$C$39^2-2*'1.설계입력'!$C$39*COS(B617)))</f>
        <v>5.2521247790305054E-3</v>
      </c>
    </row>
    <row r="618" spans="1:11" x14ac:dyDescent="0.3">
      <c r="A618" s="40">
        <f>A617+'1.설계입력'!$C$12</f>
        <v>122.4000000000012</v>
      </c>
      <c r="B618" s="40">
        <f t="shared" si="27"/>
        <v>2.1362830044410801</v>
      </c>
      <c r="C618" s="40">
        <f>ATAN2('1.설계입력'!$C$6/('1.설계입력'!$C$8*'1.설계입력'!$C$15)-COS((1-'1.설계입력'!$C$15)*B618),SIN((1-'1.설계입력'!$C$15)*B618))</f>
        <v>-0.60950735154246294</v>
      </c>
      <c r="D618" s="40">
        <f>'1.설계입력'!$C$6*COS(B618)-'1.설계입력'!$C$7*COS(B618+C618)-'1.설계입력'!$C$8*COS('1.설계입력'!$C$15*B618)</f>
        <v>-42.90029752839218</v>
      </c>
      <c r="E618" s="40">
        <f>-'1.설계입력'!$C$6*SIN(B618)+'1.설계입력'!$C$7*SIN(B618+C618)+'1.설계입력'!$C$8*SIN('1.설계입력'!$C$15*B618)</f>
        <v>-66.120442783247469</v>
      </c>
      <c r="F618" s="40">
        <f>ATAN2(('1.설계입력'!$C$6+'1.설계입력'!$C$33)/('1.설계입력'!$C$8*'1.설계입력'!$C$15)-COS((1-'1.설계입력'!$C$15)*B618),SIN((1-'1.설계입력'!$C$15)*B618))</f>
        <v>-0.60952431735121693</v>
      </c>
      <c r="G618" s="40">
        <f>('1.설계입력'!$C$6+'1.설계입력'!$C$33)*COS(B618)-('1.설계입력'!$C$7+'1.설계입력'!$C$34)*COS(B618+F618)-'1.설계입력'!$C$8*COS('1.설계입력'!$C$15*B618)</f>
        <v>-42.899060852393688</v>
      </c>
      <c r="H618" s="40">
        <f>-('1.설계입력'!$C$6+'1.설계입력'!$C$33)*SIN(B618)+('1.설계입력'!$C$7+'1.설계입력'!$C$34)*SIN(B618+F618)+'1.설계입력'!$C$8*SIN('1.설계입력'!$C$15*B618)</f>
        <v>-66.109736206625414</v>
      </c>
      <c r="I618" s="40">
        <f t="shared" si="28"/>
        <v>78.818452673706261</v>
      </c>
      <c r="J618" s="40">
        <f t="shared" si="29"/>
        <v>78.808798007119577</v>
      </c>
      <c r="K618" s="38">
        <f>IF(OR(A618&gt;180,'1.설계입력'!$C$39&gt;=1),"",'1.설계입력'!$C$34*(1-SIN(B618)/SQRT(1+'1.설계입력'!$C$39^2-2*'1.설계입력'!$C$39*COS(B618)))-'1.설계입력'!$C$33*(1-'1.설계입력'!$C$39*COS(B618)-SQRT(MAX(0,1-'1.설계입력'!$C$39^2))*SIN(B618))/SQRT(1+'1.설계입력'!$C$39^2-2*'1.설계입력'!$C$39*COS(B618)))</f>
        <v>5.271678908380855E-3</v>
      </c>
    </row>
    <row r="619" spans="1:11" x14ac:dyDescent="0.3">
      <c r="A619" s="40">
        <f>A618+'1.설계입력'!$C$12</f>
        <v>122.6000000000012</v>
      </c>
      <c r="B619" s="40">
        <f t="shared" si="27"/>
        <v>2.139773662945069</v>
      </c>
      <c r="C619" s="40">
        <f>ATAN2('1.설계입력'!$C$6/('1.설계입력'!$C$8*'1.설계입력'!$C$15)-COS((1-'1.설계입력'!$C$15)*B619),SIN((1-'1.설계입력'!$C$15)*B619))</f>
        <v>-0.55977923114754036</v>
      </c>
      <c r="D619" s="40">
        <f>'1.설계입력'!$C$6*COS(B619)-'1.설계입력'!$C$7*COS(B619+C619)-'1.설계입력'!$C$8*COS('1.설계입력'!$C$15*B619)</f>
        <v>-43.063402768849009</v>
      </c>
      <c r="E619" s="40">
        <f>-'1.설계입력'!$C$6*SIN(B619)+'1.설계입력'!$C$7*SIN(B619+C619)+'1.설계입력'!$C$8*SIN('1.설계입력'!$C$15*B619)</f>
        <v>-66.123253319352855</v>
      </c>
      <c r="F619" s="40">
        <f>ATAN2(('1.설계입력'!$C$6+'1.설계입력'!$C$33)/('1.설계입력'!$C$8*'1.설계입력'!$C$15)-COS((1-'1.설계입력'!$C$15)*B619),SIN((1-'1.설계입력'!$C$15)*B619))</f>
        <v>-0.55979409263030311</v>
      </c>
      <c r="G619" s="40">
        <f>('1.설계입력'!$C$6+'1.설계입력'!$C$33)*COS(B619)-('1.설계입력'!$C$7+'1.설계입력'!$C$34)*COS(B619+F619)-'1.설계입력'!$C$8*COS('1.설계입력'!$C$15*B619)</f>
        <v>-43.061717639608879</v>
      </c>
      <c r="H619" s="40">
        <f>-('1.설계입력'!$C$6+'1.설계입력'!$C$33)*SIN(B619)+('1.설계입력'!$C$7+'1.설계입력'!$C$34)*SIN(B619+F619)+'1.설계입력'!$C$8*SIN('1.설계입력'!$C$15*B619)</f>
        <v>-66.112541512123684</v>
      </c>
      <c r="I619" s="40">
        <f t="shared" si="28"/>
        <v>78.909703380303114</v>
      </c>
      <c r="J619" s="40">
        <f t="shared" si="29"/>
        <v>78.899807802463499</v>
      </c>
      <c r="K619" s="38">
        <f>IF(OR(A619&gt;180,'1.설계입력'!$C$39&gt;=1),"",'1.설계입력'!$C$34*(1-SIN(B619)/SQRT(1+'1.설계입력'!$C$39^2-2*'1.설계입력'!$C$39*COS(B619)))-'1.설계입력'!$C$33*(1-'1.설계입력'!$C$39*COS(B619)-SQRT(MAX(0,1-'1.설계입력'!$C$39^2))*SIN(B619))/SQRT(1+'1.설계입력'!$C$39^2-2*'1.설계입력'!$C$39*COS(B619)))</f>
        <v>5.2912476571219235E-3</v>
      </c>
    </row>
    <row r="620" spans="1:11" x14ac:dyDescent="0.3">
      <c r="A620" s="40">
        <f>A619+'1.설계입력'!$C$12</f>
        <v>122.80000000000121</v>
      </c>
      <c r="B620" s="40">
        <f t="shared" si="27"/>
        <v>2.1432643214490579</v>
      </c>
      <c r="C620" s="40">
        <f>ATAN2('1.설계입력'!$C$6/('1.설계입력'!$C$8*'1.설계입력'!$C$15)-COS((1-'1.설계입력'!$C$15)*B620),SIN((1-'1.설계입력'!$C$15)*B620))</f>
        <v>-0.50818553785158393</v>
      </c>
      <c r="D620" s="40">
        <f>'1.설계입력'!$C$6*COS(B620)-'1.설계입력'!$C$7*COS(B620+C620)-'1.설계입력'!$C$8*COS('1.설계입력'!$C$15*B620)</f>
        <v>-43.239628253183611</v>
      </c>
      <c r="E620" s="40">
        <f>-'1.설계입력'!$C$6*SIN(B620)+'1.설계입력'!$C$7*SIN(B620+C620)+'1.설계입력'!$C$8*SIN('1.설계입력'!$C$15*B620)</f>
        <v>-66.116739240059829</v>
      </c>
      <c r="F620" s="40">
        <f>ATAN2(('1.설계입력'!$C$6+'1.설계입력'!$C$33)/('1.설계입력'!$C$8*'1.설계입력'!$C$15)-COS((1-'1.설계입력'!$C$15)*B620),SIN((1-'1.설계입력'!$C$15)*B620))</f>
        <v>-0.50819849194235966</v>
      </c>
      <c r="G620" s="40">
        <f>('1.설계입력'!$C$6+'1.설계입력'!$C$33)*COS(B620)-('1.설계입력'!$C$7+'1.설계입력'!$C$34)*COS(B620+F620)-'1.설계입력'!$C$8*COS('1.설계입력'!$C$15*B620)</f>
        <v>-43.237480442432584</v>
      </c>
      <c r="H620" s="40">
        <f>-('1.설계입력'!$C$6+'1.설계입력'!$C$33)*SIN(B620)+('1.설계입력'!$C$7+'1.설계입력'!$C$34)*SIN(B620+F620)+'1.설계입력'!$C$8*SIN('1.설계입력'!$C$15*B620)</f>
        <v>-66.106046878381179</v>
      </c>
      <c r="I620" s="40">
        <f t="shared" si="28"/>
        <v>79.000561132257673</v>
      </c>
      <c r="J620" s="40">
        <f t="shared" si="29"/>
        <v>78.990437072448657</v>
      </c>
      <c r="K620" s="38">
        <f>IF(OR(A620&gt;180,'1.설계입력'!$C$39&gt;=1),"",'1.설계입력'!$C$34*(1-SIN(B620)/SQRT(1+'1.설계입력'!$C$39^2-2*'1.설계입력'!$C$39*COS(B620)))-'1.설계입력'!$C$33*(1-'1.설계입력'!$C$39*COS(B620)-SQRT(MAX(0,1-'1.설계입력'!$C$39^2))*SIN(B620))/SQRT(1+'1.설계입력'!$C$39^2-2*'1.설계입력'!$C$39*COS(B620)))</f>
        <v>5.3108309408499838E-3</v>
      </c>
    </row>
    <row r="621" spans="1:11" x14ac:dyDescent="0.3">
      <c r="A621" s="40">
        <f>A620+'1.설계입력'!$C$12</f>
        <v>123.00000000000121</v>
      </c>
      <c r="B621" s="40">
        <f t="shared" si="27"/>
        <v>2.1467549799530463</v>
      </c>
      <c r="C621" s="40">
        <f>ATAN2('1.설계입력'!$C$6/('1.설계입력'!$C$8*'1.설계입력'!$C$15)-COS((1-'1.설계입력'!$C$15)*B621),SIN((1-'1.설계입력'!$C$15)*B621))</f>
        <v>-0.45512147353193128</v>
      </c>
      <c r="D621" s="40">
        <f>'1.설계입력'!$C$6*COS(B621)-'1.설계입력'!$C$7*COS(B621+C621)-'1.설계입력'!$C$8*COS('1.설계입력'!$C$15*B621)</f>
        <v>-43.42822757362206</v>
      </c>
      <c r="E621" s="40">
        <f>-'1.설계입력'!$C$6*SIN(B621)+'1.설계입력'!$C$7*SIN(B621+C621)+'1.설계입력'!$C$8*SIN('1.설계입력'!$C$15*B621)</f>
        <v>-66.099192407881588</v>
      </c>
      <c r="F621" s="40">
        <f>ATAN2(('1.설계입력'!$C$6+'1.설계입력'!$C$33)/('1.설계입력'!$C$8*'1.설계입력'!$C$15)-COS((1-'1.설계입력'!$C$15)*B621),SIN((1-'1.설계입력'!$C$15)*B621))</f>
        <v>-0.45513267818487063</v>
      </c>
      <c r="G621" s="40">
        <f>('1.설계입력'!$C$6+'1.설계입력'!$C$33)*COS(B621)-('1.설계입력'!$C$7+'1.설계입력'!$C$34)*COS(B621+F621)-'1.설계입력'!$C$8*COS('1.설계입력'!$C$15*B621)</f>
        <v>-43.425607373609523</v>
      </c>
      <c r="H621" s="40">
        <f>-('1.설계입력'!$C$6+'1.설계입력'!$C$33)*SIN(B621)+('1.설계입력'!$C$7+'1.설계입력'!$C$34)*SIN(B621+F621)+'1.설계입력'!$C$8*SIN('1.설계입력'!$C$15*B621)</f>
        <v>-66.088546180500657</v>
      </c>
      <c r="I621" s="40">
        <f t="shared" si="28"/>
        <v>79.08927984980302</v>
      </c>
      <c r="J621" s="40">
        <f t="shared" si="29"/>
        <v>79.078943543898319</v>
      </c>
      <c r="K621" s="38">
        <f>IF(OR(A621&gt;180,'1.설계입력'!$C$39&gt;=1),"",'1.설계입력'!$C$34*(1-SIN(B621)/SQRT(1+'1.설계입력'!$C$39^2-2*'1.설계입력'!$C$39*COS(B621)))-'1.설계입력'!$C$33*(1-'1.설계입력'!$C$39*COS(B621)-SQRT(MAX(0,1-'1.설계입력'!$C$39^2))*SIN(B621))/SQRT(1+'1.설계입력'!$C$39^2-2*'1.설계입력'!$C$39*COS(B621)))</f>
        <v>5.3304286752886912E-3</v>
      </c>
    </row>
    <row r="622" spans="1:11" x14ac:dyDescent="0.3">
      <c r="A622" s="40">
        <f>A621+'1.설계입력'!$C$12</f>
        <v>123.20000000000121</v>
      </c>
      <c r="B622" s="40">
        <f t="shared" si="27"/>
        <v>2.1502456384570352</v>
      </c>
      <c r="C622" s="40">
        <f>ATAN2('1.설계입력'!$C$6/('1.설계입력'!$C$8*'1.설계입력'!$C$15)-COS((1-'1.설계입력'!$C$15)*B622),SIN((1-'1.설계입력'!$C$15)*B622))</f>
        <v>-0.40089206957471724</v>
      </c>
      <c r="D622" s="40">
        <f>'1.설계입력'!$C$6*COS(B622)-'1.설계입력'!$C$7*COS(B622+C622)-'1.설계입력'!$C$8*COS('1.설계입력'!$C$15*B622)</f>
        <v>-43.627834679002881</v>
      </c>
      <c r="E622" s="40">
        <f>-'1.설계입력'!$C$6*SIN(B622)+'1.설계입력'!$C$7*SIN(B622+C622)+'1.설계입력'!$C$8*SIN('1.설계입력'!$C$15*B622)</f>
        <v>-66.06904562519567</v>
      </c>
      <c r="F622" s="40">
        <f>ATAN2(('1.설계입력'!$C$6+'1.설계입력'!$C$33)/('1.설계입력'!$C$8*'1.설계입력'!$C$15)-COS((1-'1.설계입력'!$C$15)*B622),SIN((1-'1.설계입력'!$C$15)*B622))</f>
        <v>-0.40090165168991082</v>
      </c>
      <c r="G622" s="40">
        <f>('1.설계입력'!$C$6+'1.설계입력'!$C$33)*COS(B622)-('1.설계입력'!$C$7+'1.설계입력'!$C$34)*COS(B622+F622)-'1.설계입력'!$C$8*COS('1.설계입력'!$C$15*B622)</f>
        <v>-43.62473638799063</v>
      </c>
      <c r="H622" s="40">
        <f>-('1.설계입력'!$C$6+'1.설계입력'!$C$33)*SIN(B622)+('1.설계입력'!$C$7+'1.설계입력'!$C$34)*SIN(B622+F622)+'1.설계입력'!$C$8*SIN('1.설계입력'!$C$15*B622)</f>
        <v>-66.058473616887127</v>
      </c>
      <c r="I622" s="40">
        <f t="shared" si="28"/>
        <v>79.173901941249511</v>
      </c>
      <c r="J622" s="40">
        <f t="shared" si="29"/>
        <v>79.163372600683488</v>
      </c>
      <c r="K622" s="38">
        <f>IF(OR(A622&gt;180,'1.설계입력'!$C$39&gt;=1),"",'1.설계입력'!$C$34*(1-SIN(B622)/SQRT(1+'1.설계입력'!$C$39^2-2*'1.설계입력'!$C$39*COS(B622)))-'1.설계입력'!$C$33*(1-'1.설계입력'!$C$39*COS(B622)-SQRT(MAX(0,1-'1.설계입력'!$C$39^2))*SIN(B622))/SQRT(1+'1.설계입력'!$C$39^2-2*'1.설계입력'!$C$39*COS(B622)))</f>
        <v>5.3500407762879041E-3</v>
      </c>
    </row>
    <row r="623" spans="1:11" x14ac:dyDescent="0.3">
      <c r="A623" s="40">
        <f>A622+'1.설계입력'!$C$12</f>
        <v>123.40000000000121</v>
      </c>
      <c r="B623" s="40">
        <f t="shared" si="27"/>
        <v>2.1537362969610236</v>
      </c>
      <c r="C623" s="40">
        <f>ATAN2('1.설계입력'!$C$6/('1.설계입력'!$C$8*'1.설계입력'!$C$15)-COS((1-'1.설계입력'!$C$15)*B623),SIN((1-'1.설계입력'!$C$15)*B623))</f>
        <v>-0.34573826681162428</v>
      </c>
      <c r="D623" s="40">
        <f>'1.설계입력'!$C$6*COS(B623)-'1.설계입력'!$C$7*COS(B623+C623)-'1.설계입력'!$C$8*COS('1.설계입력'!$C$15*B623)</f>
        <v>-43.836603413502999</v>
      </c>
      <c r="E623" s="40">
        <f>-'1.설계입력'!$C$6*SIN(B623)+'1.설계입력'!$C$7*SIN(B623+C623)+'1.설계입력'!$C$8*SIN('1.설계입력'!$C$15*B623)</f>
        <v>-66.024971043272686</v>
      </c>
      <c r="F623" s="40">
        <f>ATAN2(('1.설계입력'!$C$6+'1.설계입력'!$C$33)/('1.설계입력'!$C$8*'1.설계입력'!$C$15)-COS((1-'1.설계입력'!$C$15)*B623),SIN((1-'1.설계입력'!$C$15)*B623))</f>
        <v>-0.34574632812920486</v>
      </c>
      <c r="G623" s="40">
        <f>('1.설계입력'!$C$6+'1.설계입력'!$C$33)*COS(B623)-('1.설계입력'!$C$7+'1.설계입력'!$C$34)*COS(B623+F623)-'1.설계입력'!$C$8*COS('1.설계입력'!$C$15*B623)</f>
        <v>-43.833024961868027</v>
      </c>
      <c r="H623" s="40">
        <f>-('1.설계입력'!$C$6+'1.설계입력'!$C$33)*SIN(B623)+('1.설계입력'!$C$7+'1.설계입력'!$C$34)*SIN(B623+F623)+'1.설계입력'!$C$8*SIN('1.설계입력'!$C$15*B623)</f>
        <v>-66.014502227968734</v>
      </c>
      <c r="I623" s="40">
        <f t="shared" si="28"/>
        <v>79.252410689503563</v>
      </c>
      <c r="J623" s="40">
        <f t="shared" si="29"/>
        <v>79.241709861121961</v>
      </c>
      <c r="K623" s="38">
        <f>IF(OR(A623&gt;180,'1.설계입력'!$C$39&gt;=1),"",'1.설계입력'!$C$34*(1-SIN(B623)/SQRT(1+'1.설계입력'!$C$39^2-2*'1.설계입력'!$C$39*COS(B623)))-'1.설계입력'!$C$33*(1-'1.설계입력'!$C$39*COS(B623)-SQRT(MAX(0,1-'1.설계입력'!$C$39^2))*SIN(B623))/SQRT(1+'1.설계입력'!$C$39^2-2*'1.설계입력'!$C$39*COS(B623)))</f>
        <v>5.3696671598224919E-3</v>
      </c>
    </row>
    <row r="624" spans="1:11" x14ac:dyDescent="0.3">
      <c r="A624" s="40">
        <f>A623+'1.설계입력'!$C$12</f>
        <v>123.60000000000122</v>
      </c>
      <c r="B624" s="40">
        <f t="shared" si="27"/>
        <v>2.1572269554650125</v>
      </c>
      <c r="C624" s="40">
        <f>ATAN2('1.설계입력'!$C$6/('1.설계입력'!$C$8*'1.설계입력'!$C$15)-COS((1-'1.설계입력'!$C$15)*B624),SIN((1-'1.설계입력'!$C$15)*B624))</f>
        <v>-0.28985484957571572</v>
      </c>
      <c r="D624" s="40">
        <f>'1.설계입력'!$C$6*COS(B624)-'1.설계입력'!$C$7*COS(B624+C624)-'1.설계입력'!$C$8*COS('1.설계입력'!$C$15*B624)</f>
        <v>-44.052325553663515</v>
      </c>
      <c r="E624" s="40">
        <f>-'1.설계입력'!$C$6*SIN(B624)+'1.설계입력'!$C$7*SIN(B624+C624)+'1.설계입력'!$C$8*SIN('1.설계입력'!$C$15*B624)</f>
        <v>-65.965953329979286</v>
      </c>
      <c r="F624" s="40">
        <f>ATAN2(('1.설계입력'!$C$6+'1.설계입력'!$C$33)/('1.설계입력'!$C$8*'1.설계입력'!$C$15)-COS((1-'1.설계입력'!$C$15)*B624),SIN((1-'1.설계입력'!$C$15)*B624))</f>
        <v>-0.28986147107048937</v>
      </c>
      <c r="G624" s="40">
        <f>('1.설계입력'!$C$6+'1.설계입력'!$C$33)*COS(B624)-('1.설계입력'!$C$7+'1.설계입력'!$C$34)*COS(B624+F624)-'1.설계입력'!$C$8*COS('1.설계입력'!$C$15*B624)</f>
        <v>-44.048268218556359</v>
      </c>
      <c r="H624" s="40">
        <f>-('1.설계입력'!$C$6+'1.설계입력'!$C$33)*SIN(B624)+('1.설계입력'!$C$7+'1.설계입력'!$C$34)*SIN(B624+F624)+'1.설계입력'!$C$8*SIN('1.설계입력'!$C$15*B624)</f>
        <v>-65.955617141305652</v>
      </c>
      <c r="I624" s="40">
        <f t="shared" si="28"/>
        <v>79.32284907527567</v>
      </c>
      <c r="J624" s="40">
        <f t="shared" si="29"/>
        <v>79.312000135820398</v>
      </c>
      <c r="K624" s="38">
        <f>IF(OR(A624&gt;180,'1.설계입력'!$C$39&gt;=1),"",'1.설계입력'!$C$34*(1-SIN(B624)/SQRT(1+'1.설계입력'!$C$39^2-2*'1.설계입력'!$C$39*COS(B624)))-'1.설계입력'!$C$33*(1-'1.설계입력'!$C$39*COS(B624)-SQRT(MAX(0,1-'1.설계입력'!$C$39^2))*SIN(B624))/SQRT(1+'1.설계입력'!$C$39^2-2*'1.설계입력'!$C$39*COS(B624)))</f>
        <v>5.3893077419911953E-3</v>
      </c>
    </row>
    <row r="625" spans="1:11" x14ac:dyDescent="0.3">
      <c r="A625" s="40">
        <f>A624+'1.설계입력'!$C$12</f>
        <v>123.80000000000122</v>
      </c>
      <c r="B625" s="40">
        <f t="shared" si="27"/>
        <v>2.1607176139690014</v>
      </c>
      <c r="C625" s="40">
        <f>ATAN2('1.설계입력'!$C$6/('1.설계입력'!$C$8*'1.설계입력'!$C$15)-COS((1-'1.설계입력'!$C$15)*B625),SIN((1-'1.설계입력'!$C$15)*B625))</f>
        <v>-0.23340311918988754</v>
      </c>
      <c r="D625" s="40">
        <f>'1.설계입력'!$C$6*COS(B625)-'1.설계입력'!$C$7*COS(B625+C625)-'1.설계입력'!$C$8*COS('1.설계입력'!$C$15*B625)</f>
        <v>-44.272535840082185</v>
      </c>
      <c r="E625" s="40">
        <f>-'1.설계입력'!$C$6*SIN(B625)+'1.설계입력'!$C$7*SIN(B625+C625)+'1.설계입력'!$C$8*SIN('1.설계입력'!$C$15*B625)</f>
        <v>-65.891341889429029</v>
      </c>
      <c r="F625" s="40">
        <f>ATAN2(('1.설계입력'!$C$6+'1.설계입력'!$C$33)/('1.설계입력'!$C$8*'1.설계입력'!$C$15)-COS((1-'1.설계입력'!$C$15)*B625),SIN((1-'1.설계입력'!$C$15)*B625))</f>
        <v>-0.23340836434607334</v>
      </c>
      <c r="G625" s="40">
        <f>('1.설계입력'!$C$6+'1.설계입력'!$C$33)*COS(B625)-('1.설계입력'!$C$7+'1.설계입력'!$C$34)*COS(B625+F625)-'1.설계입력'!$C$8*COS('1.설계입력'!$C$15*B625)</f>
        <v>-44.268004015723612</v>
      </c>
      <c r="H625" s="40">
        <f>-('1.설계입력'!$C$6+'1.설계입력'!$C$33)*SIN(B625)+('1.설계입력'!$C$7+'1.설계입력'!$C$34)*SIN(B625+F625)+'1.설계입력'!$C$8*SIN('1.설계입력'!$C$15*B625)</f>
        <v>-65.88116784684324</v>
      </c>
      <c r="I625" s="40">
        <f t="shared" si="28"/>
        <v>79.383413668731748</v>
      </c>
      <c r="J625" s="40">
        <f t="shared" si="29"/>
        <v>79.372441416401287</v>
      </c>
      <c r="K625" s="38">
        <f>IF(OR(A625&gt;180,'1.설계입력'!$C$39&gt;=1),"",'1.설계입력'!$C$34*(1-SIN(B625)/SQRT(1+'1.설계입력'!$C$39^2-2*'1.설계입력'!$C$39*COS(B625)))-'1.설계입력'!$C$33*(1-'1.설계입력'!$C$39*COS(B625)-SQRT(MAX(0,1-'1.설계입력'!$C$39^2))*SIN(B625))/SQRT(1+'1.설계입력'!$C$39^2-2*'1.설계입력'!$C$39*COS(B625)))</f>
        <v>5.4089624390154627E-3</v>
      </c>
    </row>
    <row r="626" spans="1:11" x14ac:dyDescent="0.3">
      <c r="A626" s="40">
        <f>A625+'1.설계입력'!$C$12</f>
        <v>124.00000000000122</v>
      </c>
      <c r="B626" s="40">
        <f t="shared" si="27"/>
        <v>2.1642082724729899</v>
      </c>
      <c r="C626" s="40">
        <f>ATAN2('1.설계입력'!$C$6/('1.설계입력'!$C$8*'1.설계입력'!$C$15)-COS((1-'1.설계입력'!$C$15)*B626),SIN((1-'1.설계입력'!$C$15)*B626))</f>
        <v>-0.17652010855160383</v>
      </c>
      <c r="D626" s="40">
        <f>'1.설계입력'!$C$6*COS(B626)-'1.설계입력'!$C$7*COS(B626+C626)-'1.설계입력'!$C$8*COS('1.설계입력'!$C$15*B626)</f>
        <v>-44.494608515643115</v>
      </c>
      <c r="E626" s="40">
        <f>-'1.설계입력'!$C$6*SIN(B626)+'1.설계입력'!$C$7*SIN(B626+C626)+'1.설계입력'!$C$8*SIN('1.설계입력'!$C$15*B626)</f>
        <v>-65.800884924437341</v>
      </c>
      <c r="F626" s="40">
        <f>ATAN2(('1.설계입력'!$C$6+'1.설계입력'!$C$33)/('1.설계입력'!$C$8*'1.설계입력'!$C$15)-COS((1-'1.설계입력'!$C$15)*B626),SIN((1-'1.설계입력'!$C$15)*B626))</f>
        <v>-0.17652402578618948</v>
      </c>
      <c r="G626" s="40">
        <f>('1.설계입력'!$C$6+'1.설계입력'!$C$33)*COS(B626)-('1.설계입력'!$C$7+'1.설계입력'!$C$34)*COS(B626+F626)-'1.설계입력'!$C$8*COS('1.설계입력'!$C$15*B626)</f>
        <v>-44.489609517873774</v>
      </c>
      <c r="H626" s="40">
        <f>-('1.설계입력'!$C$6+'1.설계입력'!$C$33)*SIN(B626)+('1.설계입력'!$C$7+'1.설계입력'!$C$34)*SIN(B626+F626)+'1.설계입력'!$C$8*SIN('1.설계입력'!$C$15*B626)</f>
        <v>-65.790902299968323</v>
      </c>
      <c r="I626" s="40">
        <f t="shared" si="28"/>
        <v>79.432528877024851</v>
      </c>
      <c r="J626" s="40">
        <f t="shared" si="29"/>
        <v>79.421459193953751</v>
      </c>
      <c r="K626" s="38">
        <f>IF(OR(A626&gt;180,'1.설계입력'!$C$39&gt;=1),"",'1.설계입력'!$C$34*(1-SIN(B626)/SQRT(1+'1.설계입력'!$C$39^2-2*'1.설계입력'!$C$39*COS(B626)))-'1.설계입력'!$C$33*(1-'1.설계입력'!$C$39*COS(B626)-SQRT(MAX(0,1-'1.설계입력'!$C$39^2))*SIN(B626))/SQRT(1+'1.설계입력'!$C$39^2-2*'1.설계입력'!$C$39*COS(B626)))</f>
        <v>5.4286311672383228E-3</v>
      </c>
    </row>
    <row r="627" spans="1:11" x14ac:dyDescent="0.3">
      <c r="A627" s="40">
        <f>A626+'1.설계입력'!$C$12</f>
        <v>124.20000000000122</v>
      </c>
      <c r="B627" s="40">
        <f t="shared" si="27"/>
        <v>2.1676989309769787</v>
      </c>
      <c r="C627" s="40">
        <f>ATAN2('1.설계입력'!$C$6/('1.설계입력'!$C$8*'1.설계입력'!$C$15)-COS((1-'1.설계입력'!$C$15)*B627),SIN((1-'1.설계입력'!$C$15)*B627))</f>
        <v>-0.11932549771009771</v>
      </c>
      <c r="D627" s="40">
        <f>'1.설계입력'!$C$6*COS(B627)-'1.설계입력'!$C$7*COS(B627+C627)-'1.설계입력'!$C$8*COS('1.설계입력'!$C$15*B627)</f>
        <v>-44.715847563560651</v>
      </c>
      <c r="E627" s="40">
        <f>-'1.설계입력'!$C$6*SIN(B627)+'1.설계입력'!$C$7*SIN(B627+C627)+'1.설계입력'!$C$8*SIN('1.설계입력'!$C$15*B627)</f>
        <v>-65.694747225161876</v>
      </c>
      <c r="F627" s="40">
        <f>ATAN2(('1.설계입력'!$C$6+'1.설계입력'!$C$33)/('1.설계입력'!$C$8*'1.설계입력'!$C$15)-COS((1-'1.설계입력'!$C$15)*B627),SIN((1-'1.설계입력'!$C$15)*B627))</f>
        <v>-0.11932812213334548</v>
      </c>
      <c r="G627" s="40">
        <f>('1.설계입력'!$C$6+'1.설계입력'!$C$33)*COS(B627)-('1.설계입력'!$C$7+'1.설계입력'!$C$34)*COS(B627+F627)-'1.설계입력'!$C$8*COS('1.설계입력'!$C$15*B627)</f>
        <v>-44.710391454396699</v>
      </c>
      <c r="H627" s="40">
        <f>-('1.설계입력'!$C$6+'1.설계입력'!$C$33)*SIN(B627)+('1.설계입력'!$C$7+'1.설계입력'!$C$34)*SIN(B627+F627)+'1.설계입력'!$C$8*SIN('1.설계입력'!$C$15*B627)</f>
        <v>-65.684984740186309</v>
      </c>
      <c r="I627" s="40">
        <f t="shared" si="28"/>
        <v>79.468904838971497</v>
      </c>
      <c r="J627" s="40">
        <f t="shared" si="29"/>
        <v>79.457764405524884</v>
      </c>
      <c r="K627" s="38">
        <f>IF(OR(A627&gt;180,'1.설계입력'!$C$39&gt;=1),"",'1.설계입력'!$C$34*(1-SIN(B627)/SQRT(1+'1.설계입력'!$C$39^2-2*'1.설계입력'!$C$39*COS(B627)))-'1.설계입력'!$C$33*(1-'1.설계입력'!$C$39*COS(B627)-SQRT(MAX(0,1-'1.설계입력'!$C$39^2))*SIN(B627))/SQRT(1+'1.설계입력'!$C$39^2-2*'1.설계입력'!$C$39*COS(B627)))</f>
        <v>5.4483138431232802E-3</v>
      </c>
    </row>
    <row r="628" spans="1:11" x14ac:dyDescent="0.3">
      <c r="A628" s="40">
        <f>A627+'1.설계입력'!$C$12</f>
        <v>124.40000000000123</v>
      </c>
      <c r="B628" s="40">
        <f t="shared" si="27"/>
        <v>2.1711895894809672</v>
      </c>
      <c r="C628" s="40">
        <f>ATAN2('1.설계입력'!$C$6/('1.설계입력'!$C$8*'1.설계입력'!$C$15)-COS((1-'1.설계입력'!$C$15)*B628),SIN((1-'1.설계입력'!$C$15)*B628))</f>
        <v>-6.1927002472130101E-2</v>
      </c>
      <c r="D628" s="40">
        <f>'1.설계입력'!$C$6*COS(B628)-'1.설계입력'!$C$7*COS(B628+C628)-'1.설계입력'!$C$8*COS('1.설계입력'!$C$15*B628)</f>
        <v>-44.933571458936534</v>
      </c>
      <c r="E628" s="40">
        <f>-'1.설계입력'!$C$6*SIN(B628)+'1.설계입력'!$C$7*SIN(B628+C628)+'1.설계입력'!$C$8*SIN('1.설계입력'!$C$15*B628)</f>
        <v>-65.573513036019875</v>
      </c>
      <c r="F628" s="40">
        <f>ATAN2(('1.설계입력'!$C$6+'1.설계입력'!$C$33)/('1.설계입력'!$C$8*'1.설계입력'!$C$15)-COS((1-'1.설계입력'!$C$15)*B628),SIN((1-'1.설계입력'!$C$15)*B628))</f>
        <v>-6.1928357115724197E-2</v>
      </c>
      <c r="G628" s="40">
        <f>('1.설계입력'!$C$6+'1.설계입력'!$C$33)*COS(B628)-('1.설계입력'!$C$7+'1.설계입력'!$C$34)*COS(B628+F628)-'1.설계입력'!$C$8*COS('1.설계입력'!$C$15*B628)</f>
        <v>-44.927670881400637</v>
      </c>
      <c r="H628" s="40">
        <f>-('1.설계입력'!$C$6+'1.설계입력'!$C$33)*SIN(B628)+('1.설계입력'!$C$7+'1.설계입력'!$C$34)*SIN(B628+F628)+'1.설계입력'!$C$8*SIN('1.설계입력'!$C$15*B628)</f>
        <v>-65.563998580391896</v>
      </c>
      <c r="I628" s="40">
        <f t="shared" si="28"/>
        <v>79.491581038122675</v>
      </c>
      <c r="J628" s="40">
        <f t="shared" si="29"/>
        <v>79.480397084294225</v>
      </c>
      <c r="K628" s="38">
        <f>IF(OR(A628&gt;180,'1.설계입력'!$C$39&gt;=1),"",'1.설계입력'!$C$34*(1-SIN(B628)/SQRT(1+'1.설계입력'!$C$39^2-2*'1.설계입력'!$C$39*COS(B628)))-'1.설계입력'!$C$33*(1-'1.설계입력'!$C$39*COS(B628)-SQRT(MAX(0,1-'1.설계입력'!$C$39^2))*SIN(B628))/SQRT(1+'1.설계입력'!$C$39^2-2*'1.설계입력'!$C$39*COS(B628)))</f>
        <v>5.4680103832531832E-3</v>
      </c>
    </row>
    <row r="629" spans="1:11" x14ac:dyDescent="0.3">
      <c r="A629" s="40">
        <f>A628+'1.설계입력'!$C$12</f>
        <v>124.60000000000123</v>
      </c>
      <c r="B629" s="40">
        <f t="shared" si="27"/>
        <v>2.1746802479849561</v>
      </c>
      <c r="C629" s="40">
        <f>ATAN2('1.설계입력'!$C$6/('1.설계입력'!$C$8*'1.설계입력'!$C$15)-COS((1-'1.설계입력'!$C$15)*B629),SIN((1-'1.설계입력'!$C$15)*B629))</f>
        <v>-4.4247711495945937E-3</v>
      </c>
      <c r="D629" s="40">
        <f>'1.설계입력'!$C$6*COS(B629)-'1.설계입력'!$C$7*COS(B629+C629)-'1.설계입력'!$C$8*COS('1.설계입력'!$C$15*B629)</f>
        <v>-45.145192417168381</v>
      </c>
      <c r="E629" s="40">
        <f>-'1.설계입력'!$C$6*SIN(B629)+'1.설계입력'!$C$7*SIN(B629+C629)+'1.설계입력'!$C$8*SIN('1.설계입력'!$C$15*B629)</f>
        <v>-65.438175054492547</v>
      </c>
      <c r="F629" s="40">
        <f>ATAN2(('1.설계입력'!$C$6+'1.설계입력'!$C$33)/('1.설계입력'!$C$8*'1.설계입력'!$C$15)-COS((1-'1.설계입력'!$C$15)*B629),SIN((1-'1.설계입력'!$C$15)*B629))</f>
        <v>-4.4248677497972779E-3</v>
      </c>
      <c r="G629" s="40">
        <f>('1.설계입력'!$C$6+'1.설계입력'!$C$33)*COS(B629)-('1.설계입력'!$C$7+'1.설계입력'!$C$34)*COS(B629+F629)-'1.설계입력'!$C$8*COS('1.설계입력'!$C$15*B629)</f>
        <v>-45.138862433567461</v>
      </c>
      <c r="H629" s="40">
        <f>-('1.설계입력'!$C$6+'1.설계입력'!$C$33)*SIN(B629)+('1.설계입력'!$C$7+'1.설계입력'!$C$34)*SIN(B629+F629)+'1.설계입력'!$C$8*SIN('1.설계입력'!$C$15*B629)</f>
        <v>-65.428935422166404</v>
      </c>
      <c r="I629" s="40">
        <f t="shared" si="28"/>
        <v>79.499956936123979</v>
      </c>
      <c r="J629" s="40">
        <f t="shared" si="29"/>
        <v>79.488757018049725</v>
      </c>
      <c r="K629" s="38">
        <f>IF(OR(A629&gt;180,'1.설계입력'!$C$39&gt;=1),"",'1.설계입력'!$C$34*(1-SIN(B629)/SQRT(1+'1.설계입력'!$C$39^2-2*'1.설계입력'!$C$39*COS(B629)))-'1.설계입력'!$C$33*(1-'1.설계입력'!$C$39*COS(B629)-SQRT(MAX(0,1-'1.설계입력'!$C$39^2))*SIN(B629))/SQRT(1+'1.설계입력'!$C$39^2-2*'1.설계입력'!$C$39*COS(B629)))</f>
        <v>5.4877207043291625E-3</v>
      </c>
    </row>
    <row r="630" spans="1:11" x14ac:dyDescent="0.3">
      <c r="A630" s="40">
        <f>A629+'1.설계입력'!$C$12</f>
        <v>124.80000000000123</v>
      </c>
      <c r="B630" s="40">
        <f t="shared" si="27"/>
        <v>2.178170906488945</v>
      </c>
      <c r="C630" s="40">
        <f>ATAN2('1.설계입력'!$C$6/('1.설계입력'!$C$8*'1.설계입력'!$C$15)-COS((1-'1.설계입력'!$C$15)*B630),SIN((1-'1.설계입력'!$C$15)*B630))</f>
        <v>5.3084818941202323E-2</v>
      </c>
      <c r="D630" s="40">
        <f>'1.설계입력'!$C$6*COS(B630)-'1.설계입력'!$C$7*COS(B630+C630)-'1.설계입력'!$C$8*COS('1.설계입력'!$C$15*B630)</f>
        <v>-45.348289625202462</v>
      </c>
      <c r="E630" s="40">
        <f>-'1.설계입력'!$C$6*SIN(B630)+'1.설계입력'!$C$7*SIN(B630+C630)+'1.설계입력'!$C$8*SIN('1.설계입력'!$C$15*B630)</f>
        <v>-65.290110454780191</v>
      </c>
      <c r="F630" s="40">
        <f>ATAN2(('1.설계입력'!$C$6+'1.설계입력'!$C$33)/('1.설계입력'!$C$8*'1.설계입력'!$C$15)-COS((1-'1.설계입력'!$C$15)*B630),SIN((1-'1.설계입력'!$C$15)*B630))</f>
        <v>5.3085979551395761E-2</v>
      </c>
      <c r="G630" s="40">
        <f>('1.설계입력'!$C$6+'1.설계입력'!$C$33)*COS(B630)-('1.설계입력'!$C$7+'1.설계입력'!$C$34)*COS(B630+F630)-'1.설계입력'!$C$8*COS('1.설계입력'!$C$15*B630)</f>
        <v>-45.341547553896348</v>
      </c>
      <c r="H630" s="40">
        <f>-('1.설계입력'!$C$6+'1.설계입력'!$C$33)*SIN(B630)+('1.설계입력'!$C$7+'1.설계입력'!$C$34)*SIN(B630+F630)+'1.설계입력'!$C$8*SIN('1.설계입력'!$C$15*B630)</f>
        <v>-65.281171091131398</v>
      </c>
      <c r="I630" s="40">
        <f t="shared" si="28"/>
        <v>79.493810420237381</v>
      </c>
      <c r="J630" s="40">
        <f t="shared" si="29"/>
        <v>79.482622211473455</v>
      </c>
      <c r="K630" s="38">
        <f>IF(OR(A630&gt;180,'1.설계입력'!$C$39&gt;=1),"",'1.설계입력'!$C$34*(1-SIN(B630)/SQRT(1+'1.설계입력'!$C$39^2-2*'1.설계입력'!$C$39*COS(B630)))-'1.설계입력'!$C$33*(1-'1.설계입력'!$C$39*COS(B630)-SQRT(MAX(0,1-'1.설계입력'!$C$39^2))*SIN(B630))/SQRT(1+'1.설계입력'!$C$39^2-2*'1.설계입력'!$C$39*COS(B630)))</f>
        <v>5.507444723169521E-3</v>
      </c>
    </row>
    <row r="631" spans="1:11" x14ac:dyDescent="0.3">
      <c r="A631" s="40">
        <f>A630+'1.설계입력'!$C$12</f>
        <v>125.00000000000124</v>
      </c>
      <c r="B631" s="40">
        <f t="shared" si="27"/>
        <v>2.1816615649929334</v>
      </c>
      <c r="C631" s="40">
        <f>ATAN2('1.설계입력'!$C$6/('1.설계입력'!$C$8*'1.설계입력'!$C$15)-COS((1-'1.설계입력'!$C$15)*B631),SIN((1-'1.설계입력'!$C$15)*B631))</f>
        <v>0.1105056559545514</v>
      </c>
      <c r="D631" s="40">
        <f>'1.설계입력'!$C$6*COS(B631)-'1.설계입력'!$C$7*COS(B631+C631)-'1.설계입력'!$C$8*COS('1.설계입력'!$C$15*B631)</f>
        <v>-45.540675652989869</v>
      </c>
      <c r="E631" s="40">
        <f>-'1.설계입력'!$C$6*SIN(B631)+'1.설계입력'!$C$7*SIN(B631+C631)+'1.설계입력'!$C$8*SIN('1.설계입력'!$C$15*B631)</f>
        <v>-65.131044740706386</v>
      </c>
      <c r="F631" s="40">
        <f>ATAN2(('1.설계입력'!$C$6+'1.설계입력'!$C$33)/('1.설계입력'!$C$8*'1.설계입력'!$C$15)-COS((1-'1.설계입력'!$C$15)*B631),SIN((1-'1.설계입력'!$C$15)*B631))</f>
        <v>0.11050808381775733</v>
      </c>
      <c r="G631" s="40">
        <f>('1.설계입력'!$C$6+'1.설계입력'!$C$33)*COS(B631)-('1.설계입력'!$C$7+'1.설계입력'!$C$34)*COS(B631+F631)-'1.설계입력'!$C$8*COS('1.설계입력'!$C$15*B631)</f>
        <v>-45.533540899882851</v>
      </c>
      <c r="H631" s="40">
        <f>-('1.설계입력'!$C$6+'1.설계입력'!$C$33)*SIN(B631)+('1.설계입력'!$C$7+'1.설계입력'!$C$34)*SIN(B631+F631)+'1.설계입력'!$C$8*SIN('1.설계입력'!$C$15*B631)</f>
        <v>-65.122429497232986</v>
      </c>
      <c r="I631" s="40">
        <f t="shared" si="28"/>
        <v>79.47330449872284</v>
      </c>
      <c r="J631" s="40">
        <f t="shared" si="29"/>
        <v>79.462155586816195</v>
      </c>
      <c r="K631" s="38">
        <f>IF(OR(A631&gt;180,'1.설계입력'!$C$39&gt;=1),"",'1.설계입력'!$C$34*(1-SIN(B631)/SQRT(1+'1.설계입력'!$C$39^2-2*'1.설계입력'!$C$39*COS(B631)))-'1.설계입력'!$C$33*(1-'1.설계입력'!$C$39*COS(B631)-SQRT(MAX(0,1-'1.설계입력'!$C$39^2))*SIN(B631))/SQRT(1+'1.설계입력'!$C$39^2-2*'1.설계입력'!$C$39*COS(B631)))</f>
        <v>5.5271823567086932E-3</v>
      </c>
    </row>
    <row r="632" spans="1:11" x14ac:dyDescent="0.3">
      <c r="A632" s="40">
        <f>A631+'1.설계입력'!$C$12</f>
        <v>125.20000000000124</v>
      </c>
      <c r="B632" s="40">
        <f t="shared" si="27"/>
        <v>2.1851522234969223</v>
      </c>
      <c r="C632" s="40">
        <f>ATAN2('1.설계입력'!$C$6/('1.설계입력'!$C$8*'1.설계입력'!$C$15)-COS((1-'1.설계입력'!$C$15)*B632),SIN((1-'1.설계입력'!$C$15)*B632))</f>
        <v>0.16773840826631028</v>
      </c>
      <c r="D632" s="40">
        <f>'1.설계입력'!$C$6*COS(B632)-'1.설계입력'!$C$7*COS(B632+C632)-'1.설계입력'!$C$8*COS('1.설계입력'!$C$15*B632)</f>
        <v>-45.720455088017061</v>
      </c>
      <c r="E632" s="40">
        <f>-'1.설계입력'!$C$6*SIN(B632)+'1.설계입력'!$C$7*SIN(B632+C632)+'1.설계입력'!$C$8*SIN('1.설계입력'!$C$15*B632)</f>
        <v>-64.963004166091707</v>
      </c>
      <c r="F632" s="40">
        <f>ATAN2(('1.설계입력'!$C$6+'1.설계입력'!$C$33)/('1.설계입력'!$C$8*'1.설계입력'!$C$15)-COS((1-'1.설계입력'!$C$15)*B632),SIN((1-'1.설계입력'!$C$15)*B632))</f>
        <v>0.16774212463574609</v>
      </c>
      <c r="G632" s="40">
        <f>('1.설계입력'!$C$6+'1.설계입력'!$C$33)*COS(B632)-('1.설계입력'!$C$7+'1.설계입력'!$C$34)*COS(B632+F632)-'1.설계입력'!$C$8*COS('1.설계입력'!$C$15*B632)</f>
        <v>-45.712948969710517</v>
      </c>
      <c r="H632" s="40">
        <f>-('1.설계입력'!$C$6+'1.설계입력'!$C$33)*SIN(B632)+('1.설계입력'!$C$7+'1.설계입력'!$C$34)*SIN(B632+F632)+'1.설계입력'!$C$8*SIN('1.설계입력'!$C$15*B632)</f>
        <v>-64.954735058138851</v>
      </c>
      <c r="I632" s="40">
        <f t="shared" si="28"/>
        <v>79.438982393652509</v>
      </c>
      <c r="J632" s="40">
        <f t="shared" si="29"/>
        <v>79.427900072835683</v>
      </c>
      <c r="K632" s="38">
        <f>IF(OR(A632&gt;180,'1.설계입력'!$C$39&gt;=1),"",'1.설계입력'!$C$34*(1-SIN(B632)/SQRT(1+'1.설계입력'!$C$39^2-2*'1.설계입력'!$C$39*COS(B632)))-'1.설계입력'!$C$33*(1-'1.설계입력'!$C$39*COS(B632)-SQRT(MAX(0,1-'1.설계입력'!$C$39^2))*SIN(B632))/SQRT(1+'1.설계입력'!$C$39^2-2*'1.설계입력'!$C$39*COS(B632)))</f>
        <v>5.5469335219961793E-3</v>
      </c>
    </row>
    <row r="633" spans="1:11" x14ac:dyDescent="0.3">
      <c r="A633" s="40">
        <f>A632+'1.설계입력'!$C$12</f>
        <v>125.40000000000124</v>
      </c>
      <c r="B633" s="40">
        <f t="shared" si="27"/>
        <v>2.1886428820009107</v>
      </c>
      <c r="C633" s="40">
        <f>ATAN2('1.설계입력'!$C$6/('1.설계입력'!$C$8*'1.설계입력'!$C$15)-COS((1-'1.설계입력'!$C$15)*B633),SIN((1-'1.설계입력'!$C$15)*B633))</f>
        <v>0.22467679145687997</v>
      </c>
      <c r="D633" s="40">
        <f>'1.설계입력'!$C$6*COS(B633)-'1.설계입력'!$C$7*COS(B633+C633)-'1.설계입력'!$C$8*COS('1.설계입력'!$C$15*B633)</f>
        <v>-45.8860743681497</v>
      </c>
      <c r="E633" s="40">
        <f>-'1.설계입력'!$C$6*SIN(B633)+'1.설계입력'!$C$7*SIN(B633+C633)+'1.설계입력'!$C$8*SIN('1.설계입력'!$C$15*B633)</f>
        <v>-64.788257373777697</v>
      </c>
      <c r="F633" s="40">
        <f>ATAN2(('1.설계입력'!$C$6+'1.설계입력'!$C$33)/('1.설계입력'!$C$8*'1.설계입력'!$C$15)-COS((1-'1.설계입력'!$C$15)*B633),SIN((1-'1.설계입력'!$C$15)*B633))</f>
        <v>0.22468182951659146</v>
      </c>
      <c r="G633" s="40">
        <f>('1.설계입력'!$C$6+'1.설계입력'!$C$33)*COS(B633)-('1.설계입력'!$C$7+'1.설계입력'!$C$34)*COS(B633+F633)-'1.설계입력'!$C$8*COS('1.설계입력'!$C$15*B633)</f>
        <v>-45.878219924030972</v>
      </c>
      <c r="H633" s="40">
        <f>-('1.설계입력'!$C$6+'1.설계입력'!$C$33)*SIN(B633)+('1.설계입력'!$C$7+'1.설계입력'!$C$34)*SIN(B633+F633)+'1.설계입력'!$C$8*SIN('1.설계입력'!$C$15*B633)</f>
        <v>-64.780354336368291</v>
      </c>
      <c r="I633" s="40">
        <f t="shared" si="28"/>
        <v>79.391750921932854</v>
      </c>
      <c r="J633" s="40">
        <f t="shared" si="29"/>
        <v>79.380761972553415</v>
      </c>
      <c r="K633" s="38">
        <f>IF(OR(A633&gt;180,'1.설계입력'!$C$39&gt;=1),"",'1.설계입력'!$C$34*(1-SIN(B633)/SQRT(1+'1.설계입력'!$C$39^2-2*'1.설계입력'!$C$39*COS(B633)))-'1.설계입력'!$C$33*(1-'1.설계입력'!$C$39*COS(B633)-SQRT(MAX(0,1-'1.설계입력'!$C$39^2))*SIN(B633))/SQRT(1+'1.설계입력'!$C$39^2-2*'1.설계입력'!$C$39*COS(B633)))</f>
        <v>5.5666981361955055E-3</v>
      </c>
    </row>
    <row r="634" spans="1:11" x14ac:dyDescent="0.3">
      <c r="A634" s="40">
        <f>A633+'1.설계입력'!$C$12</f>
        <v>125.60000000000124</v>
      </c>
      <c r="B634" s="40">
        <f t="shared" si="27"/>
        <v>2.1921335405048996</v>
      </c>
      <c r="C634" s="40">
        <f>ATAN2('1.설계입력'!$C$6/('1.설계입력'!$C$8*'1.설계입력'!$C$15)-COS((1-'1.설계입력'!$C$15)*B634),SIN((1-'1.설계입력'!$C$15)*B634))</f>
        <v>0.2812032867450629</v>
      </c>
      <c r="D634" s="40">
        <f>'1.설계입력'!$C$6*COS(B634)-'1.설계입력'!$C$7*COS(B634+C634)-'1.설계입력'!$C$8*COS('1.설계입력'!$C$15*B634)</f>
        <v>-46.036361774864595</v>
      </c>
      <c r="E634" s="40">
        <f>-'1.설계입력'!$C$6*SIN(B634)+'1.설계입력'!$C$7*SIN(B634+C634)+'1.설계입력'!$C$8*SIN('1.설계입력'!$C$15*B634)</f>
        <v>-64.609246751330033</v>
      </c>
      <c r="F634" s="40">
        <f>ATAN2(('1.설계입력'!$C$6+'1.설계입력'!$C$33)/('1.설계입력'!$C$8*'1.설계입력'!$C$15)-COS((1-'1.설계입력'!$C$15)*B634),SIN((1-'1.설계입력'!$C$15)*B634))</f>
        <v>0.28120969276485147</v>
      </c>
      <c r="G634" s="40">
        <f>('1.설계입력'!$C$6+'1.설계입력'!$C$33)*COS(B634)-('1.설계입력'!$C$7+'1.설계입력'!$C$34)*COS(B634+F634)-'1.설계입력'!$C$8*COS('1.설계입력'!$C$15*B634)</f>
        <v>-46.028183565429842</v>
      </c>
      <c r="H634" s="40">
        <f>-('1.설계입력'!$C$6+'1.설계입력'!$C$33)*SIN(B634)+('1.설계입력'!$C$7+'1.설계입력'!$C$34)*SIN(B634+F634)+'1.설계입력'!$C$8*SIN('1.설계입력'!$C$15*B634)</f>
        <v>-64.601727387012176</v>
      </c>
      <c r="I634" s="40">
        <f t="shared" si="28"/>
        <v>79.332851778065205</v>
      </c>
      <c r="J634" s="40">
        <f t="shared" si="29"/>
        <v>79.321982222576509</v>
      </c>
      <c r="K634" s="38">
        <f>IF(OR(A634&gt;180,'1.설계입력'!$C$39&gt;=1),"",'1.설계입력'!$C$34*(1-SIN(B634)/SQRT(1+'1.설계입력'!$C$39^2-2*'1.설계입력'!$C$39*COS(B634)))-'1.설계입력'!$C$33*(1-'1.설계입력'!$C$39*COS(B634)-SQRT(MAX(0,1-'1.설계입력'!$C$39^2))*SIN(B634))/SQRT(1+'1.설계입력'!$C$39^2-2*'1.설계입력'!$C$39*COS(B634)))</f>
        <v>5.5864761165831979E-3</v>
      </c>
    </row>
    <row r="635" spans="1:11" x14ac:dyDescent="0.3">
      <c r="A635" s="40">
        <f>A634+'1.설계입력'!$C$12</f>
        <v>125.80000000000125</v>
      </c>
      <c r="B635" s="40">
        <f t="shared" si="27"/>
        <v>2.1956241990088885</v>
      </c>
      <c r="C635" s="40">
        <f>ATAN2('1.설계입력'!$C$6/('1.설계입력'!$C$8*'1.설계입력'!$C$15)-COS((1-'1.설계입력'!$C$15)*B635),SIN((1-'1.설계입력'!$C$15)*B635))</f>
        <v>0.33718393533941399</v>
      </c>
      <c r="D635" s="40">
        <f>'1.설계입력'!$C$6*COS(B635)-'1.설계입력'!$C$7*COS(B635+C635)-'1.설계입력'!$C$8*COS('1.설계입력'!$C$15*B635)</f>
        <v>-46.170556565754801</v>
      </c>
      <c r="E635" s="40">
        <f>-'1.설계입력'!$C$6*SIN(B635)+'1.설계입력'!$C$7*SIN(B635+C635)+'1.설계입력'!$C$8*SIN('1.설계입력'!$C$15*B635)</f>
        <v>-64.428509725458213</v>
      </c>
      <c r="F635" s="40">
        <f>ATAN2(('1.설계입력'!$C$6+'1.설계입력'!$C$33)/('1.설계입력'!$C$8*'1.설계입력'!$C$15)-COS((1-'1.설계입력'!$C$15)*B635),SIN((1-'1.설계입력'!$C$15)*B635))</f>
        <v>0.33719177034616993</v>
      </c>
      <c r="G635" s="40">
        <f>('1.설계입력'!$C$6+'1.설계입력'!$C$33)*COS(B635)-('1.설계입력'!$C$7+'1.설계입력'!$C$34)*COS(B635+F635)-'1.설계입력'!$C$8*COS('1.설계입력'!$C$15*B635)</f>
        <v>-46.162080454180121</v>
      </c>
      <c r="H635" s="40">
        <f>-('1.설계입력'!$C$6+'1.설계입력'!$C$33)*SIN(B635)+('1.설계입력'!$C$7+'1.설계입력'!$C$34)*SIN(B635+F635)+'1.설계입력'!$C$8*SIN('1.설계입력'!$C$15*B635)</f>
        <v>-64.421389036102738</v>
      </c>
      <c r="I635" s="40">
        <f t="shared" si="28"/>
        <v>79.263819987652795</v>
      </c>
      <c r="J635" s="40">
        <f t="shared" si="29"/>
        <v>79.25309481149047</v>
      </c>
      <c r="K635" s="38">
        <f>IF(OR(A635&gt;180,'1.설계입력'!$C$39&gt;=1),"",'1.설계입력'!$C$34*(1-SIN(B635)/SQRT(1+'1.설계입력'!$C$39^2-2*'1.설계입력'!$C$39*COS(B635)))-'1.설계입력'!$C$33*(1-'1.설계입력'!$C$39*COS(B635)-SQRT(MAX(0,1-'1.설계입력'!$C$39^2))*SIN(B635))/SQRT(1+'1.설계입력'!$C$39^2-2*'1.설계입력'!$C$39*COS(B635)))</f>
        <v>5.606267380547765E-3</v>
      </c>
    </row>
    <row r="636" spans="1:11" x14ac:dyDescent="0.3">
      <c r="A636" s="40">
        <f>A635+'1.설계입력'!$C$12</f>
        <v>126.00000000000125</v>
      </c>
      <c r="B636" s="40">
        <f t="shared" si="27"/>
        <v>2.1991148575128769</v>
      </c>
      <c r="C636" s="40">
        <f>ATAN2('1.설계입력'!$C$6/('1.설계입력'!$C$8*'1.설계입력'!$C$15)-COS((1-'1.설계입력'!$C$15)*B636),SIN((1-'1.설계입력'!$C$15)*B636))</f>
        <v>0.39246170072078157</v>
      </c>
      <c r="D636" s="40">
        <f>'1.설계입력'!$C$6*COS(B636)-'1.설계입력'!$C$7*COS(B636+C636)-'1.설계입력'!$C$8*COS('1.설계입력'!$C$15*B636)</f>
        <v>-46.288326251536311</v>
      </c>
      <c r="E636" s="40">
        <f>-'1.설계입력'!$C$6*SIN(B636)+'1.설계입력'!$C$7*SIN(B636+C636)+'1.설계입력'!$C$8*SIN('1.설계입력'!$C$15*B636)</f>
        <v>-64.248589736548354</v>
      </c>
      <c r="F636" s="40">
        <f>ATAN2(('1.설계입력'!$C$6+'1.설계입력'!$C$33)/('1.설계입력'!$C$8*'1.설계입력'!$C$15)-COS((1-'1.설계입력'!$C$15)*B636),SIN((1-'1.설계입력'!$C$15)*B636))</f>
        <v>0.39247104280925821</v>
      </c>
      <c r="G636" s="40">
        <f>('1.설계입력'!$C$6+'1.설계입력'!$C$33)*COS(B636)-('1.설계입력'!$C$7+'1.설계입력'!$C$34)*COS(B636+F636)-'1.설계입력'!$C$8*COS('1.설계입력'!$C$15*B636)</f>
        <v>-46.279579164892134</v>
      </c>
      <c r="H636" s="40">
        <f>-('1.설계입력'!$C$6+'1.설계입력'!$C$33)*SIN(B636)+('1.설계입력'!$C$7+'1.설계입력'!$C$34)*SIN(B636+F636)+'1.설계입력'!$C$8*SIN('1.설계입력'!$C$15*B636)</f>
        <v>-64.241879827892106</v>
      </c>
      <c r="I636" s="40">
        <f t="shared" si="28"/>
        <v>79.186428321423691</v>
      </c>
      <c r="J636" s="40">
        <f t="shared" si="29"/>
        <v>79.175871144565562</v>
      </c>
      <c r="K636" s="38">
        <f>IF(OR(A636&gt;180,'1.설계입력'!$C$39&gt;=1),"",'1.설계입력'!$C$34*(1-SIN(B636)/SQRT(1+'1.설계입력'!$C$39^2-2*'1.설계입력'!$C$39*COS(B636)))-'1.설계입력'!$C$33*(1-'1.설계입력'!$C$39*COS(B636)-SQRT(MAX(0,1-'1.설계입력'!$C$39^2))*SIN(B636))/SQRT(1+'1.설계입력'!$C$39^2-2*'1.설계입력'!$C$39*COS(B636)))</f>
        <v>5.626071845588697E-3</v>
      </c>
    </row>
    <row r="637" spans="1:11" x14ac:dyDescent="0.3">
      <c r="A637" s="40">
        <f>A636+'1.설계입력'!$C$12</f>
        <v>126.20000000000125</v>
      </c>
      <c r="B637" s="40">
        <f t="shared" si="27"/>
        <v>2.2026055160168658</v>
      </c>
      <c r="C637" s="40">
        <f>ATAN2('1.설계입력'!$C$6/('1.설계입력'!$C$8*'1.설계입력'!$C$15)-COS((1-'1.설계입력'!$C$15)*B637),SIN((1-'1.설계입력'!$C$15)*B637))</f>
        <v>0.4468476712611138</v>
      </c>
      <c r="D637" s="40">
        <f>'1.설계입력'!$C$6*COS(B637)-'1.설계입력'!$C$7*COS(B637+C637)-'1.설계입력'!$C$8*COS('1.설계입력'!$C$15*B637)</f>
        <v>-46.389771040797008</v>
      </c>
      <c r="E637" s="40">
        <f>-'1.설계입력'!$C$6*SIN(B637)+'1.설계입력'!$C$7*SIN(B637+C637)+'1.설계입력'!$C$8*SIN('1.설계입력'!$C$15*B637)</f>
        <v>-64.071935820123187</v>
      </c>
      <c r="F637" s="40">
        <f>ATAN2(('1.설계입력'!$C$6+'1.설계입력'!$C$33)/('1.설계입력'!$C$8*'1.설계입력'!$C$15)-COS((1-'1.설계입력'!$C$15)*B637),SIN((1-'1.설계입력'!$C$15)*B637))</f>
        <v>0.44685861872251864</v>
      </c>
      <c r="G637" s="40">
        <f>('1.설계입력'!$C$6+'1.설계입력'!$C$33)*COS(B637)-('1.설계입력'!$C$7+'1.설계입력'!$C$34)*COS(B637+F637)-'1.설계입력'!$C$8*COS('1.설계입력'!$C$15*B637)</f>
        <v>-46.380780706279005</v>
      </c>
      <c r="H637" s="40">
        <f>-('1.설계입력'!$C$6+'1.설계입력'!$C$33)*SIN(B637)+('1.설계입력'!$C$7+'1.설계입력'!$C$34)*SIN(B637+F637)+'1.설계입력'!$C$8*SIN('1.설계입력'!$C$15*B637)</f>
        <v>-64.065645562958167</v>
      </c>
      <c r="I637" s="40">
        <f t="shared" si="28"/>
        <v>79.102615740287334</v>
      </c>
      <c r="J637" s="40">
        <f t="shared" si="29"/>
        <v>79.092248421210812</v>
      </c>
      <c r="K637" s="38">
        <f>IF(OR(A637&gt;180,'1.설계입력'!$C$39&gt;=1),"",'1.설계입력'!$C$34*(1-SIN(B637)/SQRT(1+'1.설계입력'!$C$39^2-2*'1.설계입력'!$C$39*COS(B637)))-'1.설계입력'!$C$33*(1-'1.설계입력'!$C$39*COS(B637)-SQRT(MAX(0,1-'1.설계입력'!$C$39^2))*SIN(B637))/SQRT(1+'1.설계입력'!$C$39^2-2*'1.설계입력'!$C$39*COS(B637)))</f>
        <v>5.6458894293154697E-3</v>
      </c>
    </row>
    <row r="638" spans="1:11" x14ac:dyDescent="0.3">
      <c r="A638" s="40">
        <f>A637+'1.설계입력'!$C$12</f>
        <v>126.40000000000126</v>
      </c>
      <c r="B638" s="40">
        <f t="shared" si="27"/>
        <v>2.2060961745208543</v>
      </c>
      <c r="C638" s="40">
        <f>ATAN2('1.설계입력'!$C$6/('1.설계입력'!$C$8*'1.설계입력'!$C$15)-COS((1-'1.설계입력'!$C$15)*B638),SIN((1-'1.설계입력'!$C$15)*B638))</f>
        <v>0.5001090161810251</v>
      </c>
      <c r="D638" s="40">
        <f>'1.설계입력'!$C$6*COS(B638)-'1.설계입력'!$C$7*COS(B638+C638)-'1.설계입력'!$C$8*COS('1.설계입력'!$C$15*B638)</f>
        <v>-46.475414472055064</v>
      </c>
      <c r="E638" s="40">
        <f>-'1.설계입력'!$C$6*SIN(B638)+'1.설계입력'!$C$7*SIN(B638+C638)+'1.설계입력'!$C$8*SIN('1.설계입력'!$C$15*B638)</f>
        <v>-63.900788356614086</v>
      </c>
      <c r="F638" s="40">
        <f>ATAN2(('1.설계입력'!$C$6+'1.설계입력'!$C$33)/('1.설계입력'!$C$8*'1.설계입력'!$C$15)-COS((1-'1.설계입력'!$C$15)*B638),SIN((1-'1.설계입력'!$C$15)*B638))</f>
        <v>0.50012169170386256</v>
      </c>
      <c r="G638" s="40">
        <f>('1.설계입력'!$C$6+'1.설계입력'!$C$33)*COS(B638)-('1.설계입력'!$C$7+'1.설계입력'!$C$34)*COS(B638+F638)-'1.설계입력'!$C$8*COS('1.설계입력'!$C$15*B638)</f>
        <v>-46.466209122076791</v>
      </c>
      <c r="H638" s="40">
        <f>-('1.설계입력'!$C$6+'1.설계입력'!$C$33)*SIN(B638)+('1.설계입력'!$C$7+'1.설계입력'!$C$34)*SIN(B638+F638)+'1.설계입력'!$C$8*SIN('1.설계입력'!$C$15*B638)</f>
        <v>-63.894922980836313</v>
      </c>
      <c r="I638" s="40">
        <f t="shared" si="28"/>
        <v>79.014396808088662</v>
      </c>
      <c r="J638" s="40">
        <f t="shared" si="29"/>
        <v>79.004238955283768</v>
      </c>
      <c r="K638" s="38">
        <f>IF(OR(A638&gt;180,'1.설계입력'!$C$39&gt;=1),"",'1.설계입력'!$C$34*(1-SIN(B638)/SQRT(1+'1.설계입력'!$C$39^2-2*'1.설계입력'!$C$39*COS(B638)))-'1.설계입력'!$C$33*(1-'1.설계입력'!$C$39*COS(B638)-SQRT(MAX(0,1-'1.설계입력'!$C$39^2))*SIN(B638))/SQRT(1+'1.설계입력'!$C$39^2-2*'1.설계입력'!$C$39*COS(B638)))</f>
        <v>5.6657200494465701E-3</v>
      </c>
    </row>
    <row r="639" spans="1:11" x14ac:dyDescent="0.3">
      <c r="A639" s="40">
        <f>A638+'1.설계입력'!$C$12</f>
        <v>126.60000000000126</v>
      </c>
      <c r="B639" s="40">
        <f t="shared" si="27"/>
        <v>2.2095868330248432</v>
      </c>
      <c r="C639" s="40">
        <f>ATAN2('1.설계입력'!$C$6/('1.설계입력'!$C$8*'1.설계입력'!$C$15)-COS((1-'1.설계입력'!$C$15)*B639),SIN((1-'1.설계입력'!$C$15)*B639))</f>
        <v>0.55195201460112686</v>
      </c>
      <c r="D639" s="40">
        <f>'1.설계입력'!$C$6*COS(B639)-'1.설계입력'!$C$7*COS(B639+C639)-'1.설계입력'!$C$8*COS('1.설계입력'!$C$15*B639)</f>
        <v>-46.546179227649773</v>
      </c>
      <c r="E639" s="40">
        <f>-'1.설계입력'!$C$6*SIN(B639)+'1.설계입력'!$C$7*SIN(B639+C639)+'1.설계입력'!$C$8*SIN('1.설계입력'!$C$15*B639)</f>
        <v>-63.737046254768131</v>
      </c>
      <c r="F639" s="40">
        <f>ATAN2(('1.설계입력'!$C$6+'1.설계입력'!$C$33)/('1.설계입력'!$C$8*'1.설계입력'!$C$15)-COS((1-'1.설계입력'!$C$15)*B639),SIN((1-'1.설계입력'!$C$15)*B639))</f>
        <v>0.55196657090433798</v>
      </c>
      <c r="G639" s="40">
        <f>('1.설계입력'!$C$6+'1.설계입력'!$C$33)*COS(B639)-('1.설계입력'!$C$7+'1.설계입력'!$C$34)*COS(B639+F639)-'1.설계입력'!$C$8*COS('1.설계입력'!$C$15*B639)</f>
        <v>-46.536787265479781</v>
      </c>
      <c r="H639" s="40">
        <f>-('1.설계입력'!$C$6+'1.설계입력'!$C$33)*SIN(B639)+('1.설계입력'!$C$7+'1.설계입력'!$C$34)*SIN(B639+F639)+'1.설계입력'!$C$8*SIN('1.설계입력'!$C$15*B639)</f>
        <v>-63.731606840243089</v>
      </c>
      <c r="I639" s="40">
        <f t="shared" si="28"/>
        <v>78.923747161262867</v>
      </c>
      <c r="J639" s="40">
        <f t="shared" si="29"/>
        <v>78.913815516877904</v>
      </c>
      <c r="K639" s="38">
        <f>IF(OR(A639&gt;180,'1.설계입력'!$C$39&gt;=1),"",'1.설계입력'!$C$34*(1-SIN(B639)/SQRT(1+'1.설계입력'!$C$39^2-2*'1.설계입력'!$C$39*COS(B639)))-'1.설계입력'!$C$33*(1-'1.설계입력'!$C$39*COS(B639)-SQRT(MAX(0,1-'1.설계입력'!$C$39^2))*SIN(B639))/SQRT(1+'1.설계입력'!$C$39^2-2*'1.설계입력'!$C$39*COS(B639)))</f>
        <v>5.685563623808525E-3</v>
      </c>
    </row>
    <row r="640" spans="1:11" x14ac:dyDescent="0.3">
      <c r="A640" s="40">
        <f>A639+'1.설계입력'!$C$12</f>
        <v>126.80000000000126</v>
      </c>
      <c r="B640" s="40">
        <f t="shared" si="27"/>
        <v>2.213077491528832</v>
      </c>
      <c r="C640" s="40">
        <f>ATAN2('1.설계입력'!$C$6/('1.설계입력'!$C$8*'1.설계입력'!$C$15)-COS((1-'1.설계입력'!$C$15)*B640),SIN((1-'1.설계입력'!$C$15)*B640))</f>
        <v>0.60199747927651781</v>
      </c>
      <c r="D640" s="40">
        <f>'1.설계입력'!$C$6*COS(B640)-'1.설계입력'!$C$7*COS(B640+C640)-'1.설계입력'!$C$8*COS('1.설계입력'!$C$15*B640)</f>
        <v>-46.60334711946156</v>
      </c>
      <c r="E640" s="40">
        <f>-'1.설계입력'!$C$6*SIN(B640)+'1.설계입력'!$C$7*SIN(B640+C640)+'1.설계입력'!$C$8*SIN('1.설계입력'!$C$15*B640)</f>
        <v>-63.582106918418603</v>
      </c>
      <c r="F640" s="40">
        <f>ATAN2(('1.설계입력'!$C$6+'1.설계입력'!$C$33)/('1.설계입력'!$C$8*'1.설계입력'!$C$15)-COS((1-'1.설계입력'!$C$15)*B640),SIN((1-'1.설계입력'!$C$15)*B640))</f>
        <v>0.60201410668056843</v>
      </c>
      <c r="G640" s="40">
        <f>('1.설계입력'!$C$6+'1.설계입력'!$C$33)*COS(B640)-('1.설계입력'!$C$7+'1.설계입력'!$C$34)*COS(B640+F640)-'1.설계입력'!$C$8*COS('1.설계입력'!$C$15*B640)</f>
        <v>-46.593796734186839</v>
      </c>
      <c r="H640" s="40">
        <f>-('1.설계입력'!$C$6+'1.설계입력'!$C$33)*SIN(B640)+('1.설계입력'!$C$7+'1.설계입력'!$C$34)*SIN(B640+F640)+'1.설계입력'!$C$8*SIN('1.설계입력'!$C$15*B640)</f>
        <v>-63.57708972662364</v>
      </c>
      <c r="I640" s="40">
        <f t="shared" si="28"/>
        <v>78.832457039738657</v>
      </c>
      <c r="J640" s="40">
        <f t="shared" si="29"/>
        <v>78.822764682633874</v>
      </c>
      <c r="K640" s="38">
        <f>IF(OR(A640&gt;180,'1.설계입력'!$C$39&gt;=1),"",'1.설계입력'!$C$34*(1-SIN(B640)/SQRT(1+'1.설계입력'!$C$39^2-2*'1.설계입력'!$C$39*COS(B640)))-'1.설계입력'!$C$33*(1-'1.설계입력'!$C$39*COS(B640)-SQRT(MAX(0,1-'1.설계입력'!$C$39^2))*SIN(B640))/SQRT(1+'1.설계입력'!$C$39^2-2*'1.설계입력'!$C$39*COS(B640)))</f>
        <v>5.705420070334942E-3</v>
      </c>
    </row>
    <row r="641" spans="1:11" x14ac:dyDescent="0.3">
      <c r="A641" s="40">
        <f>A640+'1.설계입력'!$C$12</f>
        <v>127.00000000000126</v>
      </c>
      <c r="B641" s="40">
        <f t="shared" si="27"/>
        <v>2.2165681500328205</v>
      </c>
      <c r="C641" s="40">
        <f>ATAN2('1.설계입력'!$C$6/('1.설계입력'!$C$8*'1.설계입력'!$C$15)-COS((1-'1.설계입력'!$C$15)*B641),SIN((1-'1.설계입력'!$C$15)*B641))</f>
        <v>0.64974417413355645</v>
      </c>
      <c r="D641" s="40">
        <f>'1.설계입력'!$C$6*COS(B641)-'1.설계입력'!$C$7*COS(B641+C641)-'1.설계입력'!$C$8*COS('1.설계입력'!$C$15*B641)</f>
        <v>-46.648502414278717</v>
      </c>
      <c r="E641" s="40">
        <f>-'1.설계입력'!$C$6*SIN(B641)+'1.설계입력'!$C$7*SIN(B641+C641)+'1.설계입력'!$C$8*SIN('1.설계입력'!$C$15*B641)</f>
        <v>-63.436663519811688</v>
      </c>
      <c r="F641" s="40">
        <f>ATAN2(('1.설계입력'!$C$6+'1.설계입력'!$C$33)/('1.설계입력'!$C$8*'1.설계입력'!$C$15)-COS((1-'1.설계입력'!$C$15)*B641),SIN((1-'1.설계입력'!$C$15)*B641))</f>
        <v>0.64976311076869508</v>
      </c>
      <c r="G641" s="40">
        <f>('1.설계입력'!$C$6+'1.설계입력'!$C$33)*COS(B641)-('1.설계입력'!$C$7+'1.설계입력'!$C$34)*COS(B641+F641)-'1.설계입력'!$C$8*COS('1.설계입력'!$C$15*B641)</f>
        <v>-46.638821130327599</v>
      </c>
      <c r="H641" s="40">
        <f>-('1.설계입력'!$C$6+'1.설계입력'!$C$33)*SIN(B641)+('1.설계입력'!$C$7+'1.설계입력'!$C$34)*SIN(B641+F641)+'1.설계입력'!$C$8*SIN('1.설계입력'!$C$15*B641)</f>
        <v>-63.432059076696504</v>
      </c>
      <c r="I641" s="40">
        <f t="shared" si="28"/>
        <v>78.741939625721528</v>
      </c>
      <c r="J641" s="40">
        <f t="shared" si="29"/>
        <v>78.732494912432486</v>
      </c>
      <c r="K641" s="38">
        <f>IF(OR(A641&gt;180,'1.설계입력'!$C$39&gt;=1),"",'1.설계입력'!$C$34*(1-SIN(B641)/SQRT(1+'1.설계입력'!$C$39^2-2*'1.설계입력'!$C$39*COS(B641)))-'1.설계입력'!$C$33*(1-'1.설계입력'!$C$39*COS(B641)-SQRT(MAX(0,1-'1.설계입력'!$C$39^2))*SIN(B641))/SQRT(1+'1.설계입력'!$C$39^2-2*'1.설계입력'!$C$39*COS(B641)))</f>
        <v>5.7252893070655723E-3</v>
      </c>
    </row>
    <row r="642" spans="1:11" x14ac:dyDescent="0.3">
      <c r="A642" s="40">
        <f>A641+'1.설계입력'!$C$12</f>
        <v>127.20000000000127</v>
      </c>
      <c r="B642" s="40">
        <f t="shared" si="27"/>
        <v>2.2200588085368094</v>
      </c>
      <c r="C642" s="40">
        <f>ATAN2('1.설계입력'!$C$6/('1.설계입력'!$C$8*'1.설계입력'!$C$15)-COS((1-'1.설계입력'!$C$15)*B642),SIN((1-'1.설계입력'!$C$15)*B642))</f>
        <v>0.69451276334736534</v>
      </c>
      <c r="D642" s="40">
        <f>'1.설계입력'!$C$6*COS(B642)-'1.설계입력'!$C$7*COS(B642+C642)-'1.설계입력'!$C$8*COS('1.설계입력'!$C$15*B642)</f>
        <v>-46.683458527116635</v>
      </c>
      <c r="E642" s="40">
        <f>-'1.설계입력'!$C$6*SIN(B642)+'1.설계입력'!$C$7*SIN(B642+C642)+'1.설계입력'!$C$8*SIN('1.설계입력'!$C$15*B642)</f>
        <v>-63.300431865134207</v>
      </c>
      <c r="F642" s="40">
        <f>ATAN2(('1.설계입력'!$C$6+'1.설계입력'!$C$33)/('1.설계입력'!$C$8*'1.설계입력'!$C$15)-COS((1-'1.설계입력'!$C$15)*B642),SIN((1-'1.설계입력'!$C$15)*B642))</f>
        <v>0.69453430892965673</v>
      </c>
      <c r="G642" s="40">
        <f>('1.설계입력'!$C$6+'1.설계입력'!$C$33)*COS(B642)-('1.설계입력'!$C$7+'1.설계입력'!$C$34)*COS(B642+F642)-'1.설계입력'!$C$8*COS('1.설계입력'!$C$15*B642)</f>
        <v>-46.673672670186917</v>
      </c>
      <c r="H642" s="40">
        <f>-('1.설계입력'!$C$6+'1.설계입력'!$C$33)*SIN(B642)+('1.설계입력'!$C$7+'1.설계입력'!$C$34)*SIN(B642+F642)+'1.설계입력'!$C$8*SIN('1.설계입력'!$C$15*B642)</f>
        <v>-63.29622364767939</v>
      </c>
      <c r="I642" s="40">
        <f t="shared" si="28"/>
        <v>78.65297180886121</v>
      </c>
      <c r="J642" s="40">
        <f t="shared" si="29"/>
        <v>78.643776922149414</v>
      </c>
      <c r="K642" s="38">
        <f>IF(OR(A642&gt;180,'1.설계입력'!$C$39&gt;=1),"",'1.설계입력'!$C$34*(1-SIN(B642)/SQRT(1+'1.설계입력'!$C$39^2-2*'1.설계입력'!$C$39*COS(B642)))-'1.설계입력'!$C$33*(1-'1.설계입력'!$C$39*COS(B642)-SQRT(MAX(0,1-'1.설계입력'!$C$39^2))*SIN(B642))/SQRT(1+'1.설계입력'!$C$39^2-2*'1.설계입력'!$C$39*COS(B642)))</f>
        <v>5.7451712521453717E-3</v>
      </c>
    </row>
    <row r="643" spans="1:11" x14ac:dyDescent="0.3">
      <c r="A643" s="40">
        <f>A642+'1.설계입력'!$C$12</f>
        <v>127.40000000000127</v>
      </c>
      <c r="B643" s="40">
        <f t="shared" si="27"/>
        <v>2.2235494670407978</v>
      </c>
      <c r="C643" s="40">
        <f>ATAN2('1.설계입력'!$C$6/('1.설계입력'!$C$8*'1.설계입력'!$C$15)-COS((1-'1.설계입력'!$C$15)*B643),SIN((1-'1.설계입력'!$C$15)*B643))</f>
        <v>0.73535720769454327</v>
      </c>
      <c r="D643" s="40">
        <f>'1.설계입력'!$C$6*COS(B643)-'1.설계입력'!$C$7*COS(B643+C643)-'1.설계입력'!$C$8*COS('1.설계입력'!$C$15*B643)</f>
        <v>-46.710171113482332</v>
      </c>
      <c r="E643" s="40">
        <f>-'1.설계입력'!$C$6*SIN(B643)+'1.설계입력'!$C$7*SIN(B643+C643)+'1.설계입력'!$C$8*SIN('1.설계입력'!$C$15*B643)</f>
        <v>-63.171756493866717</v>
      </c>
      <c r="F643" s="40">
        <f>ATAN2(('1.설계입력'!$C$6+'1.설계입력'!$C$33)/('1.설계입력'!$C$8*'1.설계입력'!$C$15)-COS((1-'1.설계입력'!$C$15)*B643),SIN((1-'1.설계입력'!$C$15)*B643))</f>
        <v>0.73538174198827966</v>
      </c>
      <c r="G643" s="40">
        <f>('1.설계입력'!$C$6+'1.설계입력'!$C$33)*COS(B643)-('1.설계입력'!$C$7+'1.설계입력'!$C$34)*COS(B643+F643)-'1.설계입력'!$C$8*COS('1.설계입력'!$C$15*B643)</f>
        <v>-46.700305174608161</v>
      </c>
      <c r="H643" s="40">
        <f>-('1.설계입력'!$C$6+'1.설계입력'!$C$33)*SIN(B643)+('1.설계입력'!$C$7+'1.설계입력'!$C$34)*SIN(B643+F643)+'1.설계입력'!$C$8*SIN('1.설계입력'!$C$15*B643)</f>
        <v>-63.167918969070989</v>
      </c>
      <c r="I643" s="40">
        <f t="shared" si="28"/>
        <v>78.565328892401325</v>
      </c>
      <c r="J643" s="40">
        <f t="shared" si="29"/>
        <v>78.556377782358652</v>
      </c>
      <c r="K643" s="38">
        <f>IF(OR(A643&gt;180,'1.설계입력'!$C$39&gt;=1),"",'1.설계입력'!$C$34*(1-SIN(B643)/SQRT(1+'1.설계입력'!$C$39^2-2*'1.설계입력'!$C$39*COS(B643)))-'1.설계입력'!$C$33*(1-'1.설계입력'!$C$39*COS(B643)-SQRT(MAX(0,1-'1.설계입력'!$C$39^2))*SIN(B643))/SQRT(1+'1.설계입력'!$C$39^2-2*'1.설계입력'!$C$39*COS(B643)))</f>
        <v>5.7650658238235794E-3</v>
      </c>
    </row>
    <row r="644" spans="1:11" x14ac:dyDescent="0.3">
      <c r="A644" s="40">
        <f>A643+'1.설계입력'!$C$12</f>
        <v>127.60000000000127</v>
      </c>
      <c r="B644" s="40">
        <f t="shared" si="27"/>
        <v>2.2270401255447867</v>
      </c>
      <c r="C644" s="40">
        <f>ATAN2('1.설계입력'!$C$6/('1.설계입력'!$C$8*'1.설계입력'!$C$15)-COS((1-'1.설계입력'!$C$15)*B644),SIN((1-'1.설계입력'!$C$15)*B644))</f>
        <v>0.77091983254183472</v>
      </c>
      <c r="D644" s="40">
        <f>'1.설계입력'!$C$6*COS(B644)-'1.설계입력'!$C$7*COS(B644+C644)-'1.설계입력'!$C$8*COS('1.설계입력'!$C$15*B644)</f>
        <v>-46.730649976053598</v>
      </c>
      <c r="E644" s="40">
        <f>-'1.설계입력'!$C$6*SIN(B644)+'1.설계입력'!$C$7*SIN(B644+C644)+'1.설계입력'!$C$8*SIN('1.설계입력'!$C$15*B644)</f>
        <v>-63.047002328909144</v>
      </c>
      <c r="F644" s="40">
        <f>ATAN2(('1.설계입력'!$C$6+'1.설계입력'!$C$33)/('1.설계입력'!$C$8*'1.설계입력'!$C$15)-COS((1-'1.설계입력'!$C$15)*B644),SIN((1-'1.설계입력'!$C$15)*B644))</f>
        <v>0.77094783944660972</v>
      </c>
      <c r="G644" s="40">
        <f>('1.설계입력'!$C$6+'1.설계입력'!$C$33)*COS(B644)-('1.설계입력'!$C$7+'1.설계입력'!$C$34)*COS(B644+F644)-'1.설계입력'!$C$8*COS('1.설계입력'!$C$15*B644)</f>
        <v>-46.72072586894722</v>
      </c>
      <c r="H644" s="40">
        <f>-('1.설계입력'!$C$6+'1.설계입력'!$C$33)*SIN(B644)+('1.설계입력'!$C$7+'1.설계입력'!$C$34)*SIN(B644+F644)+'1.설계입력'!$C$8*SIN('1.설계입력'!$C$15*B644)</f>
        <v>-63.043497901132014</v>
      </c>
      <c r="I644" s="40">
        <f t="shared" si="28"/>
        <v>78.477246064358766</v>
      </c>
      <c r="J644" s="40">
        <f t="shared" si="29"/>
        <v>78.468521416752537</v>
      </c>
      <c r="K644" s="38">
        <f>IF(OR(A644&gt;180,'1.설계입력'!$C$39&gt;=1),"",'1.설계입력'!$C$34*(1-SIN(B644)/SQRT(1+'1.설계입력'!$C$39^2-2*'1.설계입력'!$C$39*COS(B644)))-'1.설계입력'!$C$33*(1-'1.설계입력'!$C$39*COS(B644)-SQRT(MAX(0,1-'1.설계입력'!$C$39^2))*SIN(B644))/SQRT(1+'1.설계입력'!$C$39^2-2*'1.설계입력'!$C$39*COS(B644)))</f>
        <v>5.7849729404528113E-3</v>
      </c>
    </row>
    <row r="645" spans="1:11" x14ac:dyDescent="0.3">
      <c r="A645" s="40">
        <f>A644+'1.설계입력'!$C$12</f>
        <v>127.80000000000128</v>
      </c>
      <c r="B645" s="40">
        <f t="shared" si="27"/>
        <v>2.2305307840487756</v>
      </c>
      <c r="C645" s="40">
        <f>ATAN2('1.설계입력'!$C$6/('1.설계입력'!$C$8*'1.설계입력'!$C$15)-COS((1-'1.설계입력'!$C$15)*B645),SIN((1-'1.설계입력'!$C$15)*B645))</f>
        <v>0.7991852310030072</v>
      </c>
      <c r="D645" s="40">
        <f>'1.설계입력'!$C$6*COS(B645)-'1.설계입력'!$C$7*COS(B645+C645)-'1.설계입력'!$C$8*COS('1.설계입력'!$C$15*B645)</f>
        <v>-46.746910556527993</v>
      </c>
      <c r="E645" s="40">
        <f>-'1.설계입력'!$C$6*SIN(B645)+'1.설계입력'!$C$7*SIN(B645+C645)+'1.설계입력'!$C$8*SIN('1.설계입력'!$C$15*B645)</f>
        <v>-62.919552629347116</v>
      </c>
      <c r="F645" s="40">
        <f>ATAN2(('1.설계입력'!$C$6+'1.설계입력'!$C$33)/('1.설계입력'!$C$8*'1.설계입력'!$C$15)-COS((1-'1.설계입력'!$C$15)*B645),SIN((1-'1.설계입력'!$C$15)*B645))</f>
        <v>0.79921732751761076</v>
      </c>
      <c r="G645" s="40">
        <f>('1.설계입력'!$C$6+'1.설계입력'!$C$33)*COS(B645)-('1.설계입력'!$C$7+'1.설계입력'!$C$34)*COS(B645+F645)-'1.설계입력'!$C$8*COS('1.설계입력'!$C$15*B645)</f>
        <v>-46.736946822729102</v>
      </c>
      <c r="H645" s="40">
        <f>-('1.설계입력'!$C$6+'1.설계입력'!$C$33)*SIN(B645)+('1.설계입력'!$C$7+'1.설계입력'!$C$34)*SIN(B645+F645)+'1.설계입력'!$C$8*SIN('1.설계입력'!$C$15*B645)</f>
        <v>-62.916326679264976</v>
      </c>
      <c r="I645" s="40">
        <f t="shared" si="28"/>
        <v>78.384588725445326</v>
      </c>
      <c r="J645" s="40">
        <f t="shared" si="29"/>
        <v>78.376057320603962</v>
      </c>
      <c r="K645" s="38">
        <f>IF(OR(A645&gt;180,'1.설계입력'!$C$39&gt;=1),"",'1.설계입력'!$C$34*(1-SIN(B645)/SQRT(1+'1.설계입력'!$C$39^2-2*'1.설계입력'!$C$39*COS(B645)))-'1.설계입력'!$C$33*(1-'1.설계입력'!$C$39*COS(B645)-SQRT(MAX(0,1-'1.설계입력'!$C$39^2))*SIN(B645))/SQRT(1+'1.설계입력'!$C$39^2-2*'1.설계입력'!$C$39*COS(B645)))</f>
        <v>5.8048925204881542E-3</v>
      </c>
    </row>
    <row r="646" spans="1:11" x14ac:dyDescent="0.3">
      <c r="A646" s="40">
        <f>A645+'1.설계입력'!$C$12</f>
        <v>128.00000000000128</v>
      </c>
      <c r="B646" s="40">
        <f t="shared" ref="B646:B709" si="30">RADIANS(A646)</f>
        <v>2.234021442552764</v>
      </c>
      <c r="C646" s="40">
        <f>ATAN2('1.설계입력'!$C$6/('1.설계입력'!$C$8*'1.설계입력'!$C$15)-COS((1-'1.설계입력'!$C$15)*B646),SIN((1-'1.설계입력'!$C$15)*B646))</f>
        <v>0.81704537838728486</v>
      </c>
      <c r="D646" s="40">
        <f>'1.설계입력'!$C$6*COS(B646)-'1.설계입력'!$C$7*COS(B646+C646)-'1.설계입력'!$C$8*COS('1.설계입력'!$C$15*B646)</f>
        <v>-46.761091906212314</v>
      </c>
      <c r="E646" s="40">
        <f>-'1.설계입력'!$C$6*SIN(B646)+'1.설계입력'!$C$7*SIN(B646+C646)+'1.설계입력'!$C$8*SIN('1.설계입력'!$C$15*B646)</f>
        <v>-62.778061201380389</v>
      </c>
      <c r="F646" s="40">
        <f>ATAN2(('1.설계입력'!$C$6+'1.설계입력'!$C$33)/('1.설계입력'!$C$8*'1.설계입력'!$C$15)-COS((1-'1.설계입력'!$C$15)*B646),SIN((1-'1.설계입력'!$C$15)*B646))</f>
        <v>0.81708234063191798</v>
      </c>
      <c r="G646" s="40">
        <f>('1.설계입력'!$C$6+'1.설계입력'!$C$33)*COS(B646)-('1.설계입력'!$C$7+'1.설계입력'!$C$34)*COS(B646+F646)-'1.설계입력'!$C$8*COS('1.설계입력'!$C$15*B646)</f>
        <v>-46.75110313221321</v>
      </c>
      <c r="H646" s="40">
        <f>-('1.설계입력'!$C$6+'1.설계입력'!$C$33)*SIN(B646)+('1.설계입력'!$C$7+'1.설계입력'!$C$34)*SIN(B646+F646)+'1.설계입력'!$C$8*SIN('1.설계입력'!$C$15*B646)</f>
        <v>-62.775033651892507</v>
      </c>
      <c r="I646" s="40">
        <f t="shared" ref="I646:I709" si="31">SQRT(D646^2+E646^2)</f>
        <v>78.279529153320127</v>
      </c>
      <c r="J646" s="40">
        <f t="shared" ref="J646:J709" si="32">SQRT(G646^2+H646^2)</f>
        <v>78.271134488233088</v>
      </c>
      <c r="K646" s="38">
        <f>IF(OR(A646&gt;180,'1.설계입력'!$C$39&gt;=1),"",'1.설계입력'!$C$34*(1-SIN(B646)/SQRT(1+'1.설계입력'!$C$39^2-2*'1.설계입력'!$C$39*COS(B646)))-'1.설계입력'!$C$33*(1-'1.설계입력'!$C$39*COS(B646)-SQRT(MAX(0,1-'1.설계입력'!$C$39^2))*SIN(B646))/SQRT(1+'1.설계입력'!$C$39^2-2*'1.설계입력'!$C$39*COS(B646)))</f>
        <v>5.8248244824862724E-3</v>
      </c>
    </row>
    <row r="647" spans="1:11" x14ac:dyDescent="0.3">
      <c r="A647" s="40">
        <f>A646+'1.설계입력'!$C$12</f>
        <v>128.20000000000127</v>
      </c>
      <c r="B647" s="40">
        <f t="shared" si="30"/>
        <v>2.2375121010567525</v>
      </c>
      <c r="C647" s="40">
        <f>ATAN2('1.설계입력'!$C$6/('1.설계입력'!$C$8*'1.설계입력'!$C$15)-COS((1-'1.설계입력'!$C$15)*B647),SIN((1-'1.설계입력'!$C$15)*B647))</f>
        <v>0.81950020104111154</v>
      </c>
      <c r="D647" s="40">
        <f>'1.설계입력'!$C$6*COS(B647)-'1.설계입력'!$C$7*COS(B647+C647)-'1.설계입력'!$C$8*COS('1.설계입력'!$C$15*B647)</f>
        <v>-46.776136808562747</v>
      </c>
      <c r="E647" s="40">
        <f>-'1.설계입력'!$C$6*SIN(B647)+'1.설계입력'!$C$7*SIN(B647+C647)+'1.설계입력'!$C$8*SIN('1.설계입력'!$C$15*B647)</f>
        <v>-62.603260832257639</v>
      </c>
      <c r="F647" s="40">
        <f>ATAN2(('1.설계입력'!$C$6+'1.설계입력'!$C$33)/('1.설계입력'!$C$8*'1.설계입력'!$C$15)-COS((1-'1.설계입력'!$C$15)*B647),SIN((1-'1.설계입력'!$C$15)*B647))</f>
        <v>0.81954295366241547</v>
      </c>
      <c r="G647" s="40">
        <f>('1.설계입력'!$C$6+'1.설계입력'!$C$33)*COS(B647)-('1.설계입력'!$C$7+'1.설계입력'!$C$34)*COS(B647+F647)-'1.설계입력'!$C$8*COS('1.설계입력'!$C$15*B647)</f>
        <v>-46.766134225811605</v>
      </c>
      <c r="H647" s="40">
        <f>-('1.설계입력'!$C$6+'1.설계입력'!$C$33)*SIN(B647)+('1.설계입력'!$C$7+'1.설계입력'!$C$34)*SIN(B647+F647)+'1.설계입력'!$C$8*SIN('1.설계입력'!$C$15*B647)</f>
        <v>-62.600311136126415</v>
      </c>
      <c r="I647" s="40">
        <f t="shared" si="31"/>
        <v>78.148418036228108</v>
      </c>
      <c r="J647" s="40">
        <f t="shared" si="32"/>
        <v>78.1400682413732</v>
      </c>
      <c r="K647" s="38">
        <f>IF(OR(A647&gt;180,'1.설계입력'!$C$39&gt;=1),"",'1.설계입력'!$C$34*(1-SIN(B647)/SQRT(1+'1.설계입력'!$C$39^2-2*'1.설계입력'!$C$39*COS(B647)))-'1.설계입력'!$C$33*(1-'1.설계입력'!$C$39*COS(B647)-SQRT(MAX(0,1-'1.설계입력'!$C$39^2))*SIN(B647))/SQRT(1+'1.설계입력'!$C$39^2-2*'1.설계입력'!$C$39*COS(B647)))</f>
        <v>5.8447687451045486E-3</v>
      </c>
    </row>
    <row r="648" spans="1:11" x14ac:dyDescent="0.3">
      <c r="A648" s="40">
        <f>A647+'1.설계입력'!$C$12</f>
        <v>128.40000000000126</v>
      </c>
      <c r="B648" s="40">
        <f t="shared" si="30"/>
        <v>2.2410027595607409</v>
      </c>
      <c r="C648" s="40">
        <f>ATAN2('1.설계입력'!$C$6/('1.설계입력'!$C$8*'1.설계입력'!$C$15)-COS((1-'1.설계입력'!$C$15)*B648),SIN((1-'1.설계입력'!$C$15)*B648))</f>
        <v>0.7981441118582655</v>
      </c>
      <c r="D648" s="40">
        <f>'1.설계입력'!$C$6*COS(B648)-'1.설계입력'!$C$7*COS(B648+C648)-'1.설계입력'!$C$8*COS('1.설계입력'!$C$15*B648)</f>
        <v>-46.798297212922414</v>
      </c>
      <c r="E648" s="40">
        <f>-'1.설계입력'!$C$6*SIN(B648)+'1.설계입력'!$C$7*SIN(B648+C648)+'1.설계입력'!$C$8*SIN('1.설계입력'!$C$15*B648)</f>
        <v>-62.362013941370336</v>
      </c>
      <c r="F648" s="40">
        <f>ATAN2(('1.설계입력'!$C$6+'1.설계입력'!$C$33)/('1.설계입력'!$C$8*'1.설계입력'!$C$15)-COS((1-'1.설계입력'!$C$15)*B648),SIN((1-'1.설계입력'!$C$15)*B648))</f>
        <v>0.79819355522276469</v>
      </c>
      <c r="G648" s="40">
        <f>('1.설계입력'!$C$6+'1.설계입력'!$C$33)*COS(B648)-('1.설계입력'!$C$7+'1.설계입력'!$C$34)*COS(B648+F648)-'1.설계입력'!$C$8*COS('1.설계입력'!$C$15*B648)</f>
        <v>-46.788293861233527</v>
      </c>
      <c r="H648" s="40">
        <f>-('1.설계입력'!$C$6+'1.설계입력'!$C$33)*SIN(B648)+('1.설계입력'!$C$7+'1.설계입력'!$C$34)*SIN(B648+F648)+'1.설계입력'!$C$8*SIN('1.설계입력'!$C$15*B648)</f>
        <v>-62.358953266980016</v>
      </c>
      <c r="I648" s="40">
        <f t="shared" si="31"/>
        <v>77.968592425749804</v>
      </c>
      <c r="J648" s="40">
        <f t="shared" si="32"/>
        <v>77.96014042444088</v>
      </c>
      <c r="K648" s="38">
        <f>IF(OR(A648&gt;180,'1.설계입력'!$C$39&gt;=1),"",'1.설계입력'!$C$34*(1-SIN(B648)/SQRT(1+'1.설계입력'!$C$39^2-2*'1.설계입력'!$C$39*COS(B648)))-'1.설계입력'!$C$33*(1-'1.설계입력'!$C$39*COS(B648)-SQRT(MAX(0,1-'1.설계입력'!$C$39^2))*SIN(B648))/SQRT(1+'1.설계입력'!$C$39^2-2*'1.설계입력'!$C$39*COS(B648)))</f>
        <v>5.8647252271001975E-3</v>
      </c>
    </row>
    <row r="649" spans="1:11" x14ac:dyDescent="0.3">
      <c r="A649" s="40">
        <f>A648+'1.설계입력'!$C$12</f>
        <v>128.60000000000124</v>
      </c>
      <c r="B649" s="40">
        <f t="shared" si="30"/>
        <v>2.2444934180647294</v>
      </c>
      <c r="C649" s="40">
        <f>ATAN2('1.설계입력'!$C$6/('1.설계입력'!$C$8*'1.설계입력'!$C$15)-COS((1-'1.설계입력'!$C$15)*B649),SIN((1-'1.설계입력'!$C$15)*B649))</f>
        <v>0.73833527495686402</v>
      </c>
      <c r="D649" s="40">
        <f>'1.설계입력'!$C$6*COS(B649)-'1.설계입력'!$C$7*COS(B649+C649)-'1.설계입력'!$C$8*COS('1.설계입력'!$C$15*B649)</f>
        <v>-46.845550275684452</v>
      </c>
      <c r="E649" s="40">
        <f>-'1.설계입력'!$C$6*SIN(B649)+'1.설계입력'!$C$7*SIN(B649+C649)+'1.설계입력'!$C$8*SIN('1.설계입력'!$C$15*B649)</f>
        <v>-61.996843815440684</v>
      </c>
      <c r="F649" s="40">
        <f>ATAN2(('1.설계입력'!$C$6+'1.설계입력'!$C$33)/('1.설계입력'!$C$8*'1.설계입력'!$C$15)-COS((1-'1.설계입력'!$C$15)*B649),SIN((1-'1.설계입력'!$C$15)*B649))</f>
        <v>0.73839150331575132</v>
      </c>
      <c r="G649" s="40">
        <f>('1.설계입력'!$C$6+'1.설계입력'!$C$33)*COS(B649)-('1.설계입력'!$C$7+'1.설계입력'!$C$34)*COS(B649+F649)-'1.설계입력'!$C$8*COS('1.설계입력'!$C$15*B649)</f>
        <v>-46.835582494891128</v>
      </c>
      <c r="H649" s="40">
        <f>-('1.설계입력'!$C$6+'1.설계입력'!$C$33)*SIN(B649)+('1.설계입력'!$C$7+'1.설계입력'!$C$34)*SIN(B649+F649)+'1.설계입력'!$C$8*SIN('1.설계입력'!$C$15*B649)</f>
        <v>-61.993363045050302</v>
      </c>
      <c r="I649" s="40">
        <f t="shared" si="31"/>
        <v>77.705303703851683</v>
      </c>
      <c r="J649" s="40">
        <f t="shared" si="32"/>
        <v>77.69651761354018</v>
      </c>
      <c r="K649" s="38">
        <f>IF(OR(A649&gt;180,'1.설계입력'!$C$39&gt;=1),"",'1.설계입력'!$C$34*(1-SIN(B649)/SQRT(1+'1.설계입력'!$C$39^2-2*'1.설계입력'!$C$39*COS(B649)))-'1.설계입력'!$C$33*(1-'1.설계입력'!$C$39*COS(B649)-SQRT(MAX(0,1-'1.설계입력'!$C$39^2))*SIN(B649))/SQRT(1+'1.설계입력'!$C$39^2-2*'1.설계입력'!$C$39*COS(B649)))</f>
        <v>5.8846938473294131E-3</v>
      </c>
    </row>
    <row r="650" spans="1:11" x14ac:dyDescent="0.3">
      <c r="A650" s="40">
        <f>A649+'1.설계입력'!$C$12</f>
        <v>128.80000000000123</v>
      </c>
      <c r="B650" s="40">
        <f t="shared" si="30"/>
        <v>2.2479840765687178</v>
      </c>
      <c r="C650" s="40">
        <f>ATAN2('1.설계입력'!$C$6/('1.설계입력'!$C$8*'1.설계입력'!$C$15)-COS((1-'1.설계입력'!$C$15)*B650),SIN((1-'1.설계입력'!$C$15)*B650))</f>
        <v>0.61479477133902449</v>
      </c>
      <c r="D650" s="40">
        <f>'1.설계입력'!$C$6*COS(B650)-'1.설계입력'!$C$7*COS(B650+C650)-'1.설계입력'!$C$8*COS('1.설계입력'!$C$15*B650)</f>
        <v>-46.974072347345405</v>
      </c>
      <c r="E650" s="40">
        <f>-'1.설계입력'!$C$6*SIN(B650)+'1.설계입력'!$C$7*SIN(B650+C650)+'1.설계입력'!$C$8*SIN('1.설계입력'!$C$15*B650)</f>
        <v>-61.414075518901093</v>
      </c>
      <c r="F650" s="40">
        <f>ATAN2(('1.설계입력'!$C$6+'1.설계입력'!$C$33)/('1.설계입력'!$C$8*'1.설계입력'!$C$15)-COS((1-'1.설계입력'!$C$15)*B650),SIN((1-'1.설계입력'!$C$15)*B650))</f>
        <v>0.61485424684940038</v>
      </c>
      <c r="G650" s="40">
        <f>('1.설계입력'!$C$6+'1.설계입력'!$C$33)*COS(B650)-('1.설계입력'!$C$7+'1.설계입력'!$C$34)*COS(B650+F650)-'1.설계입력'!$C$8*COS('1.설계입력'!$C$15*B650)</f>
        <v>-46.964277076594946</v>
      </c>
      <c r="H650" s="40">
        <f>-('1.설계입력'!$C$6+'1.설계입력'!$C$33)*SIN(B650)+('1.설계입력'!$C$7+'1.설계입력'!$C$34)*SIN(B650+F650)+'1.설계입력'!$C$8*SIN('1.설계입력'!$C$15*B650)</f>
        <v>-61.409659505992373</v>
      </c>
      <c r="I650" s="40">
        <f t="shared" si="31"/>
        <v>77.319157682523453</v>
      </c>
      <c r="J650" s="40">
        <f t="shared" si="32"/>
        <v>77.309699274858787</v>
      </c>
      <c r="K650" s="38">
        <f>IF(OR(A650&gt;180,'1.설계입력'!$C$39&gt;=1),"",'1.설계입력'!$C$34*(1-SIN(B650)/SQRT(1+'1.설계입력'!$C$39^2-2*'1.설계입력'!$C$39*COS(B650)))-'1.설계입력'!$C$33*(1-'1.설계입력'!$C$39*COS(B650)-SQRT(MAX(0,1-'1.설계입력'!$C$39^2))*SIN(B650))/SQRT(1+'1.설계입력'!$C$39^2-2*'1.설계입력'!$C$39*COS(B650)))</f>
        <v>5.9046745247465244E-3</v>
      </c>
    </row>
    <row r="651" spans="1:11" x14ac:dyDescent="0.3">
      <c r="A651" s="40">
        <f>A650+'1.설계입력'!$C$12</f>
        <v>129.00000000000122</v>
      </c>
      <c r="B651" s="40">
        <f t="shared" si="30"/>
        <v>2.2514747350727062</v>
      </c>
      <c r="C651" s="40">
        <f>ATAN2('1.설계입력'!$C$6/('1.설계입력'!$C$8*'1.설계입력'!$C$15)-COS((1-'1.설계입력'!$C$15)*B651),SIN((1-'1.설계입력'!$C$15)*B651))</f>
        <v>0.39147436995417162</v>
      </c>
      <c r="D651" s="40">
        <f>'1.설계입력'!$C$6*COS(B651)-'1.설계입력'!$C$7*COS(B651+C651)-'1.설계입력'!$C$8*COS('1.설계입력'!$C$15*B651)</f>
        <v>-47.341343778913874</v>
      </c>
      <c r="E651" s="40">
        <f>-'1.설계입력'!$C$6*SIN(B651)+'1.설계입력'!$C$7*SIN(B651+C651)+'1.설계입력'!$C$8*SIN('1.설계입력'!$C$15*B651)</f>
        <v>-60.51399193467428</v>
      </c>
      <c r="F651" s="40">
        <f>ATAN2(('1.설계입력'!$C$6+'1.설계입력'!$C$33)/('1.설계입력'!$C$8*'1.설계입력'!$C$15)-COS((1-'1.설계입력'!$C$15)*B651),SIN((1-'1.설계입력'!$C$15)*B651))</f>
        <v>0.39152245779603362</v>
      </c>
      <c r="G651" s="40">
        <f>('1.설계입력'!$C$6+'1.설계입력'!$C$33)*COS(B651)-('1.설계입력'!$C$7+'1.설계입력'!$C$34)*COS(B651+F651)-'1.설계입력'!$C$8*COS('1.설계입력'!$C$15*B651)</f>
        <v>-47.332187034613682</v>
      </c>
      <c r="H651" s="40">
        <f>-('1.설계입력'!$C$6+'1.설계입력'!$C$33)*SIN(B651)+('1.설계입력'!$C$7+'1.설계입력'!$C$34)*SIN(B651+F651)+'1.설계입력'!$C$8*SIN('1.설계입력'!$C$15*B651)</f>
        <v>-60.507878354563182</v>
      </c>
      <c r="I651" s="40">
        <f t="shared" si="31"/>
        <v>76.831933794895022</v>
      </c>
      <c r="J651" s="40">
        <f t="shared" si="32"/>
        <v>76.821476635445293</v>
      </c>
      <c r="K651" s="38">
        <f>IF(OR(A651&gt;180,'1.설계입력'!$C$39&gt;=1),"",'1.설계입력'!$C$34*(1-SIN(B651)/SQRT(1+'1.설계입력'!$C$39^2-2*'1.설계입력'!$C$39*COS(B651)))-'1.설계입력'!$C$33*(1-'1.설계입력'!$C$39*COS(B651)-SQRT(MAX(0,1-'1.설계입력'!$C$39^2))*SIN(B651))/SQRT(1+'1.설계입력'!$C$39^2-2*'1.설계입력'!$C$39*COS(B651)))</f>
        <v>5.9246671784031627E-3</v>
      </c>
    </row>
    <row r="652" spans="1:11" x14ac:dyDescent="0.3">
      <c r="A652" s="40">
        <f>A651+'1.설계입력'!$C$12</f>
        <v>129.20000000000121</v>
      </c>
      <c r="B652" s="40">
        <f t="shared" si="30"/>
        <v>2.2549653935766951</v>
      </c>
      <c r="C652" s="40">
        <f>ATAN2('1.설계입력'!$C$6/('1.설계입력'!$C$8*'1.설계입력'!$C$15)-COS((1-'1.설계입력'!$C$15)*B652),SIN((1-'1.설계입력'!$C$15)*B652))</f>
        <v>5.7019672652603479E-2</v>
      </c>
      <c r="D652" s="40">
        <f>'1.설계입력'!$C$6*COS(B652)-'1.설계입력'!$C$7*COS(B652+C652)-'1.설계입력'!$C$8*COS('1.설계입력'!$C$15*B652)</f>
        <v>-48.202249478730941</v>
      </c>
      <c r="E652" s="40">
        <f>-'1.설계입력'!$C$6*SIN(B652)+'1.설계입력'!$C$7*SIN(B652+C652)+'1.설계입력'!$C$8*SIN('1.설계입력'!$C$15*B652)</f>
        <v>-59.412766005243348</v>
      </c>
      <c r="F652" s="40">
        <f>ATAN2(('1.설계입력'!$C$6+'1.설계입력'!$C$33)/('1.설계입력'!$C$8*'1.설계입력'!$C$15)-COS((1-'1.설계입력'!$C$15)*B652),SIN((1-'1.설계입력'!$C$15)*B652))</f>
        <v>5.7027686171560482E-2</v>
      </c>
      <c r="G652" s="40">
        <f>('1.설계입력'!$C$6+'1.설계입력'!$C$33)*COS(B652)-('1.설계입력'!$C$7+'1.설계입력'!$C$34)*COS(B652+F652)-'1.설계입력'!$C$8*COS('1.설계입력'!$C$15*B652)</f>
        <v>-48.194797656098807</v>
      </c>
      <c r="H652" s="40">
        <f>-('1.설계입력'!$C$6+'1.설계입력'!$C$33)*SIN(B652)+('1.설계입력'!$C$7+'1.설계입력'!$C$34)*SIN(B652+F652)+'1.설계입력'!$C$8*SIN('1.설계입력'!$C$15*B652)</f>
        <v>-59.404410264522447</v>
      </c>
      <c r="I652" s="40">
        <f t="shared" si="31"/>
        <v>76.507082150632414</v>
      </c>
      <c r="J652" s="40">
        <f t="shared" si="32"/>
        <v>76.495898452060857</v>
      </c>
      <c r="K652" s="38">
        <f>IF(OR(A652&gt;180,'1.설계입력'!$C$39&gt;=1),"",'1.설계입력'!$C$34*(1-SIN(B652)/SQRT(1+'1.설계입력'!$C$39^2-2*'1.설계입력'!$C$39*COS(B652)))-'1.설계입력'!$C$33*(1-'1.설계입력'!$C$39*COS(B652)-SQRT(MAX(0,1-'1.설계입력'!$C$39^2))*SIN(B652))/SQRT(1+'1.설계입력'!$C$39^2-2*'1.설계입력'!$C$39*COS(B652)))</f>
        <v>5.9446717274474273E-3</v>
      </c>
    </row>
    <row r="653" spans="1:11" x14ac:dyDescent="0.3">
      <c r="A653" s="40">
        <f>A652+'1.설계입력'!$C$12</f>
        <v>129.4000000000012</v>
      </c>
      <c r="B653" s="40">
        <f t="shared" si="30"/>
        <v>2.2584560520806836</v>
      </c>
      <c r="C653" s="40">
        <f>ATAN2('1.설계입력'!$C$6/('1.설계입력'!$C$8*'1.설계입력'!$C$15)-COS((1-'1.설계입력'!$C$15)*B653),SIN((1-'1.설계입력'!$C$15)*B653))</f>
        <v>-0.29868854833852665</v>
      </c>
      <c r="D653" s="40">
        <f>'1.설계입력'!$C$6*COS(B653)-'1.설계입력'!$C$7*COS(B653+C653)-'1.설계입력'!$C$8*COS('1.설계입력'!$C$15*B653)</f>
        <v>-49.451945796805397</v>
      </c>
      <c r="E653" s="40">
        <f>-'1.설계입력'!$C$6*SIN(B653)+'1.설계입력'!$C$7*SIN(B653+C653)+'1.설계입력'!$C$8*SIN('1.설계입력'!$C$15*B653)</f>
        <v>-58.620966603506936</v>
      </c>
      <c r="F653" s="40">
        <f>ATAN2(('1.설계입력'!$C$6+'1.설계입력'!$C$33)/('1.설계입력'!$C$8*'1.설계입력'!$C$15)-COS((1-'1.설계입력'!$C$15)*B653),SIN((1-'1.설계입력'!$C$15)*B653))</f>
        <v>-0.29872747868517718</v>
      </c>
      <c r="G653" s="40">
        <f>('1.설계입력'!$C$6+'1.설계입력'!$C$33)*COS(B653)-('1.설계입력'!$C$7+'1.설계입력'!$C$34)*COS(B653+F653)-'1.설계입력'!$C$8*COS('1.설계입력'!$C$15*B653)</f>
        <v>-49.447050697266178</v>
      </c>
      <c r="H653" s="40">
        <f>-('1.설계입력'!$C$6+'1.설계입력'!$C$33)*SIN(B653)+('1.설계입력'!$C$7+'1.설계입력'!$C$34)*SIN(B653+F653)+'1.설계입력'!$C$8*SIN('1.설계입력'!$C$15*B653)</f>
        <v>-58.611017029689336</v>
      </c>
      <c r="I653" s="40">
        <f t="shared" si="31"/>
        <v>76.693628605117226</v>
      </c>
      <c r="J653" s="40">
        <f t="shared" si="32"/>
        <v>76.682867316712574</v>
      </c>
      <c r="K653" s="38">
        <f>IF(OR(A653&gt;180,'1.설계입력'!$C$39&gt;=1),"",'1.설계입력'!$C$34*(1-SIN(B653)/SQRT(1+'1.설계입력'!$C$39^2-2*'1.설계입력'!$C$39*COS(B653)))-'1.설계입력'!$C$33*(1-'1.설계입력'!$C$39*COS(B653)-SQRT(MAX(0,1-'1.설계입력'!$C$39^2))*SIN(B653))/SQRT(1+'1.설계입력'!$C$39^2-2*'1.설계입력'!$C$39*COS(B653)))</f>
        <v>5.9646880911230675E-3</v>
      </c>
    </row>
    <row r="654" spans="1:11" x14ac:dyDescent="0.3">
      <c r="A654" s="40">
        <f>A653+'1.설계입력'!$C$12</f>
        <v>129.60000000000119</v>
      </c>
      <c r="B654" s="40">
        <f t="shared" si="30"/>
        <v>2.261946710584672</v>
      </c>
      <c r="C654" s="40">
        <f>ATAN2('1.설계입력'!$C$6/('1.설계입력'!$C$8*'1.설계입력'!$C$15)-COS((1-'1.설계입력'!$C$15)*B654),SIN((1-'1.설계입력'!$C$15)*B654))</f>
        <v>-0.55839642317601901</v>
      </c>
      <c r="D654" s="40">
        <f>'1.설계입력'!$C$6*COS(B654)-'1.설계입력'!$C$7*COS(B654+C654)-'1.설계입력'!$C$8*COS('1.설계입력'!$C$15*B654)</f>
        <v>-50.525784187920415</v>
      </c>
      <c r="E654" s="40">
        <f>-'1.설계입력'!$C$6*SIN(B654)+'1.설계입력'!$C$7*SIN(B654+C654)+'1.설계입력'!$C$8*SIN('1.설계입력'!$C$15*B654)</f>
        <v>-58.335603522397939</v>
      </c>
      <c r="F654" s="40">
        <f>ATAN2(('1.설계입력'!$C$6+'1.설계입력'!$C$33)/('1.설계입력'!$C$8*'1.설계입력'!$C$15)-COS((1-'1.설계입력'!$C$15)*B654),SIN((1-'1.설계입력'!$C$15)*B654))</f>
        <v>-0.55845474899337422</v>
      </c>
      <c r="G654" s="40">
        <f>('1.설계입력'!$C$6+'1.설계입력'!$C$33)*COS(B654)-('1.설계입력'!$C$7+'1.설계입력'!$C$34)*COS(B654+F654)-'1.설계입력'!$C$8*COS('1.설계입력'!$C$15*B654)</f>
        <v>-50.522967741803342</v>
      </c>
      <c r="H654" s="40">
        <f>-('1.설계입력'!$C$6+'1.설계입력'!$C$33)*SIN(B654)+('1.설계입력'!$C$7+'1.설계입력'!$C$34)*SIN(B654+F654)+'1.설계입력'!$C$8*SIN('1.설계입력'!$C$15*B654)</f>
        <v>-58.325155265402344</v>
      </c>
      <c r="I654" s="40">
        <f t="shared" si="31"/>
        <v>77.174461489062011</v>
      </c>
      <c r="J654" s="40">
        <f t="shared" si="32"/>
        <v>77.164719957844667</v>
      </c>
      <c r="K654" s="38">
        <f>IF(OR(A654&gt;180,'1.설계입력'!$C$39&gt;=1),"",'1.설계입력'!$C$34*(1-SIN(B654)/SQRT(1+'1.설계입력'!$C$39^2-2*'1.설계입력'!$C$39*COS(B654)))-'1.설계입력'!$C$33*(1-'1.설계입력'!$C$39*COS(B654)-SQRT(MAX(0,1-'1.설계입력'!$C$39^2))*SIN(B654))/SQRT(1+'1.설계입력'!$C$39^2-2*'1.설계입력'!$C$39*COS(B654)))</f>
        <v>5.984716188768691E-3</v>
      </c>
    </row>
    <row r="655" spans="1:11" x14ac:dyDescent="0.3">
      <c r="A655" s="40">
        <f>A654+'1.설계입력'!$C$12</f>
        <v>129.80000000000118</v>
      </c>
      <c r="B655" s="40">
        <f t="shared" si="30"/>
        <v>2.2654373690886604</v>
      </c>
      <c r="C655" s="40">
        <f>ATAN2('1.설계입력'!$C$6/('1.설계입력'!$C$8*'1.설계입력'!$C$15)-COS((1-'1.설계입력'!$C$15)*B655),SIN((1-'1.설계입력'!$C$15)*B655))</f>
        <v>-0.70864663909706849</v>
      </c>
      <c r="D655" s="40">
        <f>'1.설계입력'!$C$6*COS(B655)-'1.설계입력'!$C$7*COS(B655+C655)-'1.설계입력'!$C$8*COS('1.설계입력'!$C$15*B655)</f>
        <v>-51.220594524181699</v>
      </c>
      <c r="E655" s="40">
        <f>-'1.설계입력'!$C$6*SIN(B655)+'1.설계입력'!$C$7*SIN(B655+C655)+'1.설계입력'!$C$8*SIN('1.설계입력'!$C$15*B655)</f>
        <v>-58.295433897560855</v>
      </c>
      <c r="F655" s="40">
        <f>ATAN2(('1.설계입력'!$C$6+'1.설계입력'!$C$33)/('1.설계입력'!$C$8*'1.설계입력'!$C$15)-COS((1-'1.설계입력'!$C$15)*B655),SIN((1-'1.설계입력'!$C$15)*B655))</f>
        <v>-0.70870455997880577</v>
      </c>
      <c r="G655" s="40">
        <f>('1.설계입력'!$C$6+'1.설계입력'!$C$33)*COS(B655)-('1.설계입력'!$C$7+'1.설계입력'!$C$34)*COS(B655+F655)-'1.설계입력'!$C$8*COS('1.설계입력'!$C$15*B655)</f>
        <v>-51.218955755561616</v>
      </c>
      <c r="H655" s="40">
        <f>-('1.설계입력'!$C$6+'1.설계입력'!$C$33)*SIN(B655)+('1.설계입력'!$C$7+'1.설계입력'!$C$34)*SIN(B655+F655)+'1.설계입력'!$C$8*SIN('1.설계입력'!$C$15*B655)</f>
        <v>-58.28495627111274</v>
      </c>
      <c r="I655" s="40">
        <f t="shared" si="31"/>
        <v>77.600946622547838</v>
      </c>
      <c r="J655" s="40">
        <f t="shared" si="32"/>
        <v>77.591994150271091</v>
      </c>
      <c r="K655" s="38">
        <f>IF(OR(A655&gt;180,'1.설계입력'!$C$39&gt;=1),"",'1.설계입력'!$C$34*(1-SIN(B655)/SQRT(1+'1.설계입력'!$C$39^2-2*'1.설계입력'!$C$39*COS(B655)))-'1.설계입력'!$C$33*(1-'1.설계입력'!$C$39*COS(B655)-SQRT(MAX(0,1-'1.설계입력'!$C$39^2))*SIN(B655))/SQRT(1+'1.설계입력'!$C$39^2-2*'1.설계입력'!$C$39*COS(B655)))</f>
        <v>6.0047559398169531E-3</v>
      </c>
    </row>
    <row r="656" spans="1:11" x14ac:dyDescent="0.3">
      <c r="A656" s="40">
        <f>A655+'1.설계입력'!$C$12</f>
        <v>130.00000000000117</v>
      </c>
      <c r="B656" s="40">
        <f t="shared" si="30"/>
        <v>2.2689280275926489</v>
      </c>
      <c r="C656" s="40">
        <f>ATAN2('1.설계입력'!$C$6/('1.설계입력'!$C$8*'1.설계입력'!$C$15)-COS((1-'1.설계입력'!$C$15)*B656),SIN((1-'1.설계입력'!$C$15)*B656))</f>
        <v>-0.78475731155779693</v>
      </c>
      <c r="D656" s="40">
        <f>'1.설계입력'!$C$6*COS(B656)-'1.설계입력'!$C$7*COS(B656+C656)-'1.설계입력'!$C$8*COS('1.설계입력'!$C$15*B656)</f>
        <v>-51.645114309875709</v>
      </c>
      <c r="E656" s="40">
        <f>-'1.설계입력'!$C$6*SIN(B656)+'1.설계입력'!$C$7*SIN(B656+C656)+'1.설계입력'!$C$8*SIN('1.설계입력'!$C$15*B656)</f>
        <v>-58.317612731000295</v>
      </c>
      <c r="F656" s="40">
        <f>ATAN2(('1.설계입력'!$C$6+'1.설계입력'!$C$33)/('1.설계입력'!$C$8*'1.설계입력'!$C$15)-COS((1-'1.설계입력'!$C$15)*B656),SIN((1-'1.설계입력'!$C$15)*B656))</f>
        <v>-0.78480891466923774</v>
      </c>
      <c r="G656" s="40">
        <f>('1.설계입력'!$C$6+'1.설계입력'!$C$33)*COS(B656)-('1.설계입력'!$C$7+'1.설계입력'!$C$34)*COS(B656+F656)-'1.설계입력'!$C$8*COS('1.설계입력'!$C$15*B656)</f>
        <v>-51.644028512937282</v>
      </c>
      <c r="H656" s="40">
        <f>-('1.설계입력'!$C$6+'1.설계입력'!$C$33)*SIN(B656)+('1.설계입력'!$C$7+'1.설계입력'!$C$34)*SIN(B656+F656)+'1.설계입력'!$C$8*SIN('1.설계입력'!$C$15*B656)</f>
        <v>-58.307186265141738</v>
      </c>
      <c r="I656" s="40">
        <f t="shared" si="31"/>
        <v>77.89840683045486</v>
      </c>
      <c r="J656" s="40">
        <f t="shared" si="32"/>
        <v>77.889881571376222</v>
      </c>
      <c r="K656" s="38">
        <f>IF(OR(A656&gt;180,'1.설계입력'!$C$39&gt;=1),"",'1.설계입력'!$C$34*(1-SIN(B656)/SQRT(1+'1.설계입력'!$C$39^2-2*'1.설계입력'!$C$39*COS(B656)))-'1.설계입력'!$C$33*(1-'1.설계입력'!$C$39*COS(B656)-SQRT(MAX(0,1-'1.설계입력'!$C$39^2))*SIN(B656))/SQRT(1+'1.설계입력'!$C$39^2-2*'1.설계입력'!$C$39*COS(B656)))</f>
        <v>6.0248072637937708E-3</v>
      </c>
    </row>
    <row r="657" spans="1:11" x14ac:dyDescent="0.3">
      <c r="A657" s="40">
        <f>A656+'1.설계입력'!$C$12</f>
        <v>130.20000000000115</v>
      </c>
      <c r="B657" s="40">
        <f t="shared" si="30"/>
        <v>2.2724186860966373</v>
      </c>
      <c r="C657" s="40">
        <f>ATAN2('1.설계입력'!$C$6/('1.설계입력'!$C$8*'1.설계입력'!$C$15)-COS((1-'1.설계입력'!$C$15)*B657),SIN((1-'1.설계입력'!$C$15)*B657))</f>
        <v>-0.81598793491512334</v>
      </c>
      <c r="D657" s="40">
        <f>'1.설계입력'!$C$6*COS(B657)-'1.설계입력'!$C$7*COS(B657+C657)-'1.설계입력'!$C$8*COS('1.설계입력'!$C$15*B657)</f>
        <v>-51.916774718131407</v>
      </c>
      <c r="E657" s="40">
        <f>-'1.설계입력'!$C$6*SIN(B657)+'1.설계입력'!$C$7*SIN(B657+C657)+'1.설계입력'!$C$8*SIN('1.설계입력'!$C$15*B657)</f>
        <v>-58.345537281858661</v>
      </c>
      <c r="F657" s="40">
        <f>ATAN2(('1.설계입력'!$C$6+'1.설계입력'!$C$33)/('1.설계입력'!$C$8*'1.설계입력'!$C$15)-COS((1-'1.설계입력'!$C$15)*B657),SIN((1-'1.설계입력'!$C$15)*B657))</f>
        <v>-0.81603266269601016</v>
      </c>
      <c r="G657" s="40">
        <f>('1.설계입력'!$C$6+'1.설계입력'!$C$33)*COS(B657)-('1.설계입력'!$C$7+'1.설계입력'!$C$34)*COS(B657+F657)-'1.설계입력'!$C$8*COS('1.설계입력'!$C$15*B657)</f>
        <v>-51.91587624423066</v>
      </c>
      <c r="H657" s="40">
        <f>-('1.설계입력'!$C$6+'1.설계입력'!$C$33)*SIN(B657)+('1.설계입력'!$C$7+'1.설계입력'!$C$34)*SIN(B657+F657)+'1.설계입력'!$C$8*SIN('1.설계입력'!$C$15*B657)</f>
        <v>-58.335142890397577</v>
      </c>
      <c r="I657" s="40">
        <f t="shared" si="31"/>
        <v>78.09963647701548</v>
      </c>
      <c r="J657" s="40">
        <f t="shared" si="32"/>
        <v>78.091274174835803</v>
      </c>
      <c r="K657" s="38">
        <f>IF(OR(A657&gt;180,'1.설계입력'!$C$39&gt;=1),"",'1.설계입력'!$C$34*(1-SIN(B657)/SQRT(1+'1.설계입력'!$C$39^2-2*'1.설계입력'!$C$39*COS(B657)))-'1.설계입력'!$C$33*(1-'1.설계입력'!$C$39*COS(B657)-SQRT(MAX(0,1-'1.설계입력'!$C$39^2))*SIN(B657))/SQRT(1+'1.설계입력'!$C$39^2-2*'1.설계입력'!$C$39*COS(B657)))</f>
        <v>6.0448700803175572E-3</v>
      </c>
    </row>
    <row r="658" spans="1:11" x14ac:dyDescent="0.3">
      <c r="A658" s="40">
        <f>A657+'1.설계입력'!$C$12</f>
        <v>130.40000000000114</v>
      </c>
      <c r="B658" s="40">
        <f t="shared" si="30"/>
        <v>2.2759093446006258</v>
      </c>
      <c r="C658" s="40">
        <f>ATAN2('1.설계입력'!$C$6/('1.설계입력'!$C$8*'1.설계입력'!$C$15)-COS((1-'1.설계입력'!$C$15)*B658),SIN((1-'1.설계입력'!$C$15)*B658))</f>
        <v>-0.81974597988725195</v>
      </c>
      <c r="D658" s="40">
        <f>'1.설계입력'!$C$6*COS(B658)-'1.설계입력'!$C$7*COS(B658+C658)-'1.설계입력'!$C$8*COS('1.설계입력'!$C$15*B658)</f>
        <v>-52.10701408026349</v>
      </c>
      <c r="E658" s="40">
        <f>-'1.설계입력'!$C$6*SIN(B658)+'1.설계입력'!$C$7*SIN(B658+C658)+'1.설계입력'!$C$8*SIN('1.설계입력'!$C$15*B658)</f>
        <v>-58.367759172254637</v>
      </c>
      <c r="F658" s="40">
        <f>ATAN2(('1.설계입력'!$C$6+'1.설계입력'!$C$33)/('1.설계입력'!$C$8*'1.설계입력'!$C$15)-COS((1-'1.설계입력'!$C$15)*B658),SIN((1-'1.설계입력'!$C$15)*B658))</f>
        <v>-0.81978462037232669</v>
      </c>
      <c r="G658" s="40">
        <f>('1.설계입력'!$C$6+'1.설계입력'!$C$33)*COS(B658)-('1.설계입력'!$C$7+'1.설계입력'!$C$34)*COS(B658+F658)-'1.설계입력'!$C$8*COS('1.설계입력'!$C$15*B658)</f>
        <v>-52.106085261429897</v>
      </c>
      <c r="H658" s="40">
        <f>-('1.설계입력'!$C$6+'1.설계입력'!$C$33)*SIN(B658)+('1.설계입력'!$C$7+'1.설계입력'!$C$34)*SIN(B658+F658)+'1.설계입력'!$C$8*SIN('1.설계입력'!$C$15*B658)</f>
        <v>-58.357369283034622</v>
      </c>
      <c r="I658" s="40">
        <f t="shared" si="31"/>
        <v>78.242803037411008</v>
      </c>
      <c r="J658" s="40">
        <f t="shared" si="32"/>
        <v>78.234434048620017</v>
      </c>
      <c r="K658" s="38">
        <f>IF(OR(A658&gt;180,'1.설계입력'!$C$39&gt;=1),"",'1.설계입력'!$C$34*(1-SIN(B658)/SQRT(1+'1.설계입력'!$C$39^2-2*'1.설계입력'!$C$39*COS(B658)))-'1.설계입력'!$C$33*(1-'1.설계입력'!$C$39*COS(B658)-SQRT(MAX(0,1-'1.설계입력'!$C$39^2))*SIN(B658))/SQRT(1+'1.설계입력'!$C$39^2-2*'1.설계입력'!$C$39*COS(B658)))</f>
        <v>6.0649443090984414E-3</v>
      </c>
    </row>
    <row r="659" spans="1:11" x14ac:dyDescent="0.3">
      <c r="A659" s="40">
        <f>A658+'1.설계입력'!$C$12</f>
        <v>130.60000000000113</v>
      </c>
      <c r="B659" s="40">
        <f t="shared" si="30"/>
        <v>2.2794000031046142</v>
      </c>
      <c r="C659" s="40">
        <f>ATAN2('1.설계입력'!$C$6/('1.설계입력'!$C$8*'1.설계입력'!$C$15)-COS((1-'1.설계입력'!$C$15)*B659),SIN((1-'1.설계입력'!$C$15)*B659))</f>
        <v>-0.80597399290903526</v>
      </c>
      <c r="D659" s="40">
        <f>'1.설계입력'!$C$6*COS(B659)-'1.설계입력'!$C$7*COS(B659+C659)-'1.설계입력'!$C$8*COS('1.설계입력'!$C$15*B659)</f>
        <v>-52.256005854570944</v>
      </c>
      <c r="E659" s="40">
        <f>-'1.설계입력'!$C$6*SIN(B659)+'1.설계입력'!$C$7*SIN(B659+C659)+'1.설계입력'!$C$8*SIN('1.설계입력'!$C$15*B659)</f>
        <v>-58.383828892427296</v>
      </c>
      <c r="F659" s="40">
        <f>ATAN2(('1.설계입력'!$C$6+'1.설계입력'!$C$33)/('1.설계입력'!$C$8*'1.설계입력'!$C$15)-COS((1-'1.설계입력'!$C$15)*B659),SIN((1-'1.설계입력'!$C$15)*B659))</f>
        <v>-0.80600749614410905</v>
      </c>
      <c r="G659" s="40">
        <f>('1.설계입력'!$C$6+'1.설계입력'!$C$33)*COS(B659)-('1.설계입력'!$C$7+'1.설계입력'!$C$34)*COS(B659+F659)-'1.설계입력'!$C$8*COS('1.설계입력'!$C$15*B659)</f>
        <v>-52.254909556405806</v>
      </c>
      <c r="H659" s="40">
        <f>-('1.설계입력'!$C$6+'1.설계입력'!$C$33)*SIN(B659)+('1.설계입력'!$C$7+'1.설계입력'!$C$34)*SIN(B659+F659)+'1.설계입력'!$C$8*SIN('1.설계입력'!$C$15*B659)</f>
        <v>-58.373426575903672</v>
      </c>
      <c r="I659" s="40">
        <f t="shared" si="31"/>
        <v>78.35407854102543</v>
      </c>
      <c r="J659" s="40">
        <f t="shared" si="32"/>
        <v>78.345596576709838</v>
      </c>
      <c r="K659" s="38">
        <f>IF(OR(A659&gt;180,'1.설계입력'!$C$39&gt;=1),"",'1.설계입력'!$C$34*(1-SIN(B659)/SQRT(1+'1.설계입력'!$C$39^2-2*'1.설계입력'!$C$39*COS(B659)))-'1.설계입력'!$C$33*(1-'1.설계입력'!$C$39*COS(B659)-SQRT(MAX(0,1-'1.설계입력'!$C$39^2))*SIN(B659))/SQRT(1+'1.설계입력'!$C$39^2-2*'1.설계입력'!$C$39*COS(B659)))</f>
        <v>6.0850298699375131E-3</v>
      </c>
    </row>
    <row r="660" spans="1:11" x14ac:dyDescent="0.3">
      <c r="A660" s="40">
        <f>A659+'1.설계입력'!$C$12</f>
        <v>130.80000000000112</v>
      </c>
      <c r="B660" s="40">
        <f t="shared" si="30"/>
        <v>2.2828906616086027</v>
      </c>
      <c r="C660" s="40">
        <f>ATAN2('1.설계입력'!$C$6/('1.설계입력'!$C$8*'1.설계입력'!$C$15)-COS((1-'1.설계입력'!$C$15)*B660),SIN((1-'1.설계입력'!$C$15)*B660))</f>
        <v>-0.78051163836354842</v>
      </c>
      <c r="D660" s="40">
        <f>'1.설계입력'!$C$6*COS(B660)-'1.설계입력'!$C$7*COS(B660+C660)-'1.설계입력'!$C$8*COS('1.설계입력'!$C$15*B660)</f>
        <v>-52.386723885964741</v>
      </c>
      <c r="E660" s="40">
        <f>-'1.설계입력'!$C$6*SIN(B660)+'1.설계입력'!$C$7*SIN(B660+C660)+'1.설계입력'!$C$8*SIN('1.설계입력'!$C$15*B660)</f>
        <v>-58.394820303243655</v>
      </c>
      <c r="F660" s="40">
        <f>ATAN2(('1.설계입력'!$C$6+'1.설계입력'!$C$33)/('1.설계입력'!$C$8*'1.설계입력'!$C$15)-COS((1-'1.설계입력'!$C$15)*B660),SIN((1-'1.설계입력'!$C$15)*B660))</f>
        <v>-0.78054083090717752</v>
      </c>
      <c r="G660" s="40">
        <f>('1.설계입력'!$C$6+'1.설계입력'!$C$33)*COS(B660)-('1.설계입력'!$C$7+'1.설계입력'!$C$34)*COS(B660+F660)-'1.설계입력'!$C$8*COS('1.설계입력'!$C$15*B660)</f>
        <v>-52.385368762780487</v>
      </c>
      <c r="H660" s="40">
        <f>-('1.설계입력'!$C$6+'1.설계입력'!$C$33)*SIN(B660)+('1.설계입력'!$C$7+'1.설계입력'!$C$34)*SIN(B660+F660)+'1.설계입력'!$C$8*SIN('1.설계입력'!$C$15*B660)</f>
        <v>-58.38440056967174</v>
      </c>
      <c r="I660" s="40">
        <f t="shared" si="31"/>
        <v>78.449498900582057</v>
      </c>
      <c r="J660" s="40">
        <f t="shared" si="32"/>
        <v>78.440838153938557</v>
      </c>
      <c r="K660" s="38">
        <f>IF(OR(A660&gt;180,'1.설계입력'!$C$39&gt;=1),"",'1.설계입력'!$C$34*(1-SIN(B660)/SQRT(1+'1.설계입력'!$C$39^2-2*'1.설계입력'!$C$39*COS(B660)))-'1.설계입력'!$C$33*(1-'1.설계입력'!$C$39*COS(B660)-SQRT(MAX(0,1-'1.설계입력'!$C$39^2))*SIN(B660))/SQRT(1+'1.설계입력'!$C$39^2-2*'1.설계입력'!$C$39*COS(B660)))</f>
        <v>6.1051266827260794E-3</v>
      </c>
    </row>
    <row r="661" spans="1:11" x14ac:dyDescent="0.3">
      <c r="A661" s="40">
        <f>A660+'1.설계입력'!$C$12</f>
        <v>131.00000000000111</v>
      </c>
      <c r="B661" s="40">
        <f t="shared" si="30"/>
        <v>2.2863813201125911</v>
      </c>
      <c r="C661" s="40">
        <f>ATAN2('1.설계입력'!$C$6/('1.설계입력'!$C$8*'1.설계입력'!$C$15)-COS((1-'1.설계입력'!$C$15)*B661),SIN((1-'1.설계입력'!$C$15)*B661))</f>
        <v>-0.74693982265840175</v>
      </c>
      <c r="D661" s="40">
        <f>'1.설계입력'!$C$6*COS(B661)-'1.설계입력'!$C$7*COS(B661+C661)-'1.설계입력'!$C$8*COS('1.설계입력'!$C$15*B661)</f>
        <v>-52.512700213932838</v>
      </c>
      <c r="E661" s="40">
        <f>-'1.설계입력'!$C$6*SIN(B661)+'1.설계입력'!$C$7*SIN(B661+C661)+'1.설계입력'!$C$8*SIN('1.설계입력'!$C$15*B661)</f>
        <v>-58.401181882817866</v>
      </c>
      <c r="F661" s="40">
        <f>ATAN2(('1.설계입력'!$C$6+'1.설계입력'!$C$33)/('1.설계입력'!$C$8*'1.설계입력'!$C$15)-COS((1-'1.설계입력'!$C$15)*B661),SIN((1-'1.설계입력'!$C$15)*B661))</f>
        <v>-0.74696536832649119</v>
      </c>
      <c r="G661" s="40">
        <f>('1.설계입력'!$C$6+'1.설계입력'!$C$33)*COS(B661)-('1.설계입력'!$C$7+'1.설계입력'!$C$34)*COS(B661+F661)-'1.설계입력'!$C$8*COS('1.설계입력'!$C$15*B661)</f>
        <v>-52.51102270267242</v>
      </c>
      <c r="H661" s="40">
        <f>-('1.설계입력'!$C$6+'1.설계입력'!$C$33)*SIN(B661)+('1.설계입력'!$C$7+'1.설계입력'!$C$34)*SIN(B661+F661)+'1.설계입력'!$C$8*SIN('1.설계입력'!$C$15*B661)</f>
        <v>-58.390749475639872</v>
      </c>
      <c r="I661" s="40">
        <f t="shared" si="31"/>
        <v>78.53840925985422</v>
      </c>
      <c r="J661" s="40">
        <f t="shared" si="32"/>
        <v>78.529530302985492</v>
      </c>
      <c r="K661" s="38">
        <f>IF(OR(A661&gt;180,'1.설계입력'!$C$39&gt;=1),"",'1.설계입력'!$C$34*(1-SIN(B661)/SQRT(1+'1.설계입력'!$C$39^2-2*'1.설계입력'!$C$39*COS(B661)))-'1.설계입력'!$C$33*(1-'1.설계입력'!$C$39*COS(B661)-SQRT(MAX(0,1-'1.설계입력'!$C$39^2))*SIN(B661))/SQRT(1+'1.설계입력'!$C$39^2-2*'1.설계입력'!$C$39*COS(B661)))</f>
        <v>6.1252346674449173E-3</v>
      </c>
    </row>
    <row r="662" spans="1:11" x14ac:dyDescent="0.3">
      <c r="A662" s="40">
        <f>A661+'1.설계입력'!$C$12</f>
        <v>131.2000000000011</v>
      </c>
      <c r="B662" s="40">
        <f t="shared" si="30"/>
        <v>2.2898719786165795</v>
      </c>
      <c r="C662" s="40">
        <f>ATAN2('1.설계입력'!$C$6/('1.설계입력'!$C$8*'1.설계입력'!$C$15)-COS((1-'1.설계입력'!$C$15)*B662),SIN((1-'1.설계입력'!$C$15)*B662))</f>
        <v>-0.70755148623688913</v>
      </c>
      <c r="D662" s="40">
        <f>'1.설계입력'!$C$6*COS(B662)-'1.설계입력'!$C$7*COS(B662+C662)-'1.설계입력'!$C$8*COS('1.설계입력'!$C$15*B662)</f>
        <v>-52.642018698421083</v>
      </c>
      <c r="E662" s="40">
        <f>-'1.설계입력'!$C$6*SIN(B662)+'1.설계입력'!$C$7*SIN(B662+C662)+'1.설계입력'!$C$8*SIN('1.설계입력'!$C$15*B662)</f>
        <v>-58.402495483473494</v>
      </c>
      <c r="F662" s="40">
        <f>ATAN2(('1.설계입력'!$C$6+'1.설계입력'!$C$33)/('1.설계입력'!$C$8*'1.설계입력'!$C$15)-COS((1-'1.설계입력'!$C$15)*B662),SIN((1-'1.설계입력'!$C$15)*B662))</f>
        <v>-0.70757390666622355</v>
      </c>
      <c r="G662" s="40">
        <f>('1.설계입력'!$C$6+'1.설계입력'!$C$33)*COS(B662)-('1.설계입력'!$C$7+'1.설계입력'!$C$34)*COS(B662+F662)-'1.설계입력'!$C$8*COS('1.설계입력'!$C$15*B662)</f>
        <v>-52.63997327478689</v>
      </c>
      <c r="H662" s="40">
        <f>-('1.설계입력'!$C$6+'1.설계입력'!$C$33)*SIN(B662)+('1.설계입력'!$C$7+'1.설계입력'!$C$34)*SIN(B662+F662)+'1.설계입력'!$C$8*SIN('1.설계입력'!$C$15*B662)</f>
        <v>-58.392062500546281</v>
      </c>
      <c r="I662" s="40">
        <f t="shared" si="31"/>
        <v>78.625909287855336</v>
      </c>
      <c r="J662" s="40">
        <f t="shared" si="32"/>
        <v>78.616790505832668</v>
      </c>
      <c r="K662" s="38">
        <f>IF(OR(A662&gt;180,'1.설계입력'!$C$39&gt;=1),"",'1.설계입력'!$C$34*(1-SIN(B662)/SQRT(1+'1.설계입력'!$C$39^2-2*'1.설계입력'!$C$39*COS(B662)))-'1.설계입력'!$C$33*(1-'1.설계입력'!$C$39*COS(B662)-SQRT(MAX(0,1-'1.설계입력'!$C$39^2))*SIN(B662))/SQRT(1+'1.설계입력'!$C$39^2-2*'1.설계입력'!$C$39*COS(B662)))</f>
        <v>6.1453537441635469E-3</v>
      </c>
    </row>
    <row r="663" spans="1:11" x14ac:dyDescent="0.3">
      <c r="A663" s="40">
        <f>A662+'1.설계입력'!$C$12</f>
        <v>131.40000000000109</v>
      </c>
      <c r="B663" s="40">
        <f t="shared" si="30"/>
        <v>2.293362637120568</v>
      </c>
      <c r="C663" s="40">
        <f>ATAN2('1.설계입력'!$C$6/('1.설계입력'!$C$8*'1.설계입력'!$C$15)-COS((1-'1.설계입력'!$C$15)*B663),SIN((1-'1.설계입력'!$C$15)*B663))</f>
        <v>-0.66387397902014467</v>
      </c>
      <c r="D663" s="40">
        <f>'1.설계입력'!$C$6*COS(B663)-'1.설계입력'!$C$7*COS(B663+C663)-'1.설계입력'!$C$8*COS('1.설계입력'!$C$15*B663)</f>
        <v>-52.779412905037105</v>
      </c>
      <c r="E663" s="40">
        <f>-'1.설계입력'!$C$6*SIN(B663)+'1.설계입력'!$C$7*SIN(B663+C663)+'1.설계입력'!$C$8*SIN('1.설계입력'!$C$15*B663)</f>
        <v>-58.397673190108783</v>
      </c>
      <c r="F663" s="40">
        <f>ATAN2(('1.설계입력'!$C$6+'1.설계입력'!$C$33)/('1.설계입력'!$C$8*'1.설계입력'!$C$15)-COS((1-'1.설계입력'!$C$15)*B663),SIN((1-'1.설계입력'!$C$15)*B663))</f>
        <v>-0.66389368318036102</v>
      </c>
      <c r="G663" s="40">
        <f>('1.설계입력'!$C$6+'1.설계입력'!$C$33)*COS(B663)-('1.설계입력'!$C$7+'1.설계입력'!$C$34)*COS(B663+F663)-'1.설계입력'!$C$8*COS('1.설계입력'!$C$15*B663)</f>
        <v>-52.776966543571682</v>
      </c>
      <c r="H663" s="40">
        <f>-('1.설계입력'!$C$6+'1.설계입력'!$C$33)*SIN(B663)+('1.설계입력'!$C$7+'1.설계입력'!$C$34)*SIN(B663+F663)+'1.설계입력'!$C$8*SIN('1.설계입력'!$C$15*B663)</f>
        <v>-58.387257161324563</v>
      </c>
      <c r="I663" s="40">
        <f t="shared" si="31"/>
        <v>78.714386617816871</v>
      </c>
      <c r="J663" s="40">
        <f t="shared" si="32"/>
        <v>78.70501887658709</v>
      </c>
      <c r="K663" s="38">
        <f>IF(OR(A663&gt;180,'1.설계입력'!$C$39&gt;=1),"",'1.설계입력'!$C$34*(1-SIN(B663)/SQRT(1+'1.설계입력'!$C$39^2-2*'1.설계입력'!$C$39*COS(B663)))-'1.설계입력'!$C$33*(1-'1.설계입력'!$C$39*COS(B663)-SQRT(MAX(0,1-'1.설계입력'!$C$39^2))*SIN(B663))/SQRT(1+'1.설계입력'!$C$39^2-2*'1.설계입력'!$C$39*COS(B663)))</f>
        <v>6.16548383303951E-3</v>
      </c>
    </row>
    <row r="664" spans="1:11" x14ac:dyDescent="0.3">
      <c r="A664" s="40">
        <f>A663+'1.설계입력'!$C$12</f>
        <v>131.60000000000107</v>
      </c>
      <c r="B664" s="40">
        <f t="shared" si="30"/>
        <v>2.2968532956245564</v>
      </c>
      <c r="C664" s="40">
        <f>ATAN2('1.설계입력'!$C$6/('1.설계입력'!$C$8*'1.설계입력'!$C$15)-COS((1-'1.설계입력'!$C$15)*B664),SIN((1-'1.설계입력'!$C$15)*B664))</f>
        <v>-0.61696101303576201</v>
      </c>
      <c r="D664" s="40">
        <f>'1.설계입력'!$C$6*COS(B664)-'1.설계입력'!$C$7*COS(B664+C664)-'1.설계입력'!$C$8*COS('1.설계입력'!$C$15*B664)</f>
        <v>-52.927421033588068</v>
      </c>
      <c r="E664" s="40">
        <f>-'1.설계입력'!$C$6*SIN(B664)+'1.설계입력'!$C$7*SIN(B664+C664)+'1.설계입력'!$C$8*SIN('1.설계입력'!$C$15*B664)</f>
        <v>-58.385211231760302</v>
      </c>
      <c r="F664" s="40">
        <f>ATAN2(('1.설계입력'!$C$6+'1.설계입력'!$C$33)/('1.설계입력'!$C$8*'1.설계입력'!$C$15)-COS((1-'1.설계입력'!$C$15)*B664),SIN((1-'1.설계입력'!$C$15)*B664))</f>
        <v>-0.61697832305854161</v>
      </c>
      <c r="G664" s="40">
        <f>('1.설계입력'!$C$6+'1.설계입력'!$C$33)*COS(B664)-('1.설계입력'!$C$7+'1.설계입력'!$C$34)*COS(B664+F664)-'1.설계입력'!$C$8*COS('1.설계입력'!$C$15*B664)</f>
        <v>-52.924549904851844</v>
      </c>
      <c r="H664" s="40">
        <f>-('1.설계입력'!$C$6+'1.설계입력'!$C$33)*SIN(B664)+('1.설계입력'!$C$7+'1.설계입력'!$C$34)*SIN(B664+F664)+'1.설계입력'!$C$8*SIN('1.설계입력'!$C$15*B664)</f>
        <v>-58.37483365918861</v>
      </c>
      <c r="I664" s="40">
        <f t="shared" si="31"/>
        <v>78.804471877197244</v>
      </c>
      <c r="J664" s="40">
        <f t="shared" si="32"/>
        <v>78.794855081845881</v>
      </c>
      <c r="K664" s="38">
        <f>IF(OR(A664&gt;180,'1.설계입력'!$C$39&gt;=1),"",'1.설계입력'!$C$34*(1-SIN(B664)/SQRT(1+'1.설계입력'!$C$39^2-2*'1.설계입력'!$C$39*COS(B664)))-'1.설계입력'!$C$33*(1-'1.설계입력'!$C$39*COS(B664)-SQRT(MAX(0,1-'1.설계입력'!$C$39^2))*SIN(B664))/SQRT(1+'1.설계입력'!$C$39^2-2*'1.설계입력'!$C$39*COS(B664)))</f>
        <v>6.1856248543176564E-3</v>
      </c>
    </row>
    <row r="665" spans="1:11" x14ac:dyDescent="0.3">
      <c r="A665" s="40">
        <f>A664+'1.설계입력'!$C$12</f>
        <v>131.80000000000106</v>
      </c>
      <c r="B665" s="40">
        <f t="shared" si="30"/>
        <v>2.3003439541285449</v>
      </c>
      <c r="C665" s="40">
        <f>ATAN2('1.설계입력'!$C$6/('1.설계입력'!$C$8*'1.설계입력'!$C$15)-COS((1-'1.설계입력'!$C$15)*B665),SIN((1-'1.설계입력'!$C$15)*B665))</f>
        <v>-0.56756253571424398</v>
      </c>
      <c r="D665" s="40">
        <f>'1.설계입력'!$C$6*COS(B665)-'1.설계입력'!$C$7*COS(B665+C665)-'1.설계입력'!$C$8*COS('1.설계입력'!$C$15*B665)</f>
        <v>-53.087059835347929</v>
      </c>
      <c r="E665" s="40">
        <f>-'1.설계입력'!$C$6*SIN(B665)+'1.설계입력'!$C$7*SIN(B665+C665)+'1.설계입력'!$C$8*SIN('1.설계입력'!$C$15*B665)</f>
        <v>-58.363411795529053</v>
      </c>
      <c r="F665" s="40">
        <f>ATAN2(('1.설계입력'!$C$6+'1.설계입력'!$C$33)/('1.설계입력'!$C$8*'1.설계입력'!$C$15)-COS((1-'1.설계입력'!$C$15)*B665),SIN((1-'1.설계입력'!$C$15)*B665))</f>
        <v>-0.56757770701737909</v>
      </c>
      <c r="G665" s="40">
        <f>('1.설계입력'!$C$6+'1.설계입력'!$C$33)*COS(B665)-('1.설계입력'!$C$7+'1.설계입력'!$C$34)*COS(B665+F665)-'1.설계입력'!$C$8*COS('1.설계입력'!$C$15*B665)</f>
        <v>-53.083747248043451</v>
      </c>
      <c r="H665" s="40">
        <f>-('1.설계입력'!$C$6+'1.설계입력'!$C$33)*SIN(B665)+('1.설계입력'!$C$7+'1.설계입력'!$C$34)*SIN(B665+F665)+'1.설계입력'!$C$8*SIN('1.설계입력'!$C$15*B665)</f>
        <v>-58.353097049873647</v>
      </c>
      <c r="I665" s="40">
        <f t="shared" si="31"/>
        <v>78.895651073910983</v>
      </c>
      <c r="J665" s="40">
        <f t="shared" si="32"/>
        <v>78.885791858902778</v>
      </c>
      <c r="K665" s="38">
        <f>IF(OR(A665&gt;180,'1.설계입력'!$C$39&gt;=1),"",'1.설계입력'!$C$34*(1-SIN(B665)/SQRT(1+'1.설계입력'!$C$39^2-2*'1.설계입력'!$C$39*COS(B665)))-'1.설계입력'!$C$33*(1-'1.설계입력'!$C$39*COS(B665)-SQRT(MAX(0,1-'1.설계입력'!$C$39^2))*SIN(B665))/SQRT(1+'1.설계입력'!$C$39^2-2*'1.설계입력'!$C$39*COS(B665)))</f>
        <v>6.2057767283294363E-3</v>
      </c>
    </row>
    <row r="666" spans="1:11" x14ac:dyDescent="0.3">
      <c r="A666" s="40">
        <f>A665+'1.설계입력'!$C$12</f>
        <v>132.00000000000105</v>
      </c>
      <c r="B666" s="40">
        <f t="shared" si="30"/>
        <v>2.3038346126325333</v>
      </c>
      <c r="C666" s="40">
        <f>ATAN2('1.설계입력'!$C$6/('1.설계입력'!$C$8*'1.설계입력'!$C$15)-COS((1-'1.설계입력'!$C$15)*B666),SIN((1-'1.설계입력'!$C$15)*B666))</f>
        <v>-0.51622742831667157</v>
      </c>
      <c r="D666" s="40">
        <f>'1.설계입력'!$C$6*COS(B666)-'1.설계입력'!$C$7*COS(B666+C666)-'1.설계입력'!$C$8*COS('1.설계입력'!$C$15*B666)</f>
        <v>-53.258244751107434</v>
      </c>
      <c r="E666" s="40">
        <f>-'1.설계입력'!$C$6*SIN(B666)+'1.설계입력'!$C$7*SIN(B666+C666)+'1.설계입력'!$C$8*SIN('1.설계입력'!$C$15*B666)</f>
        <v>-58.330559991740884</v>
      </c>
      <c r="F666" s="40">
        <f>ATAN2(('1.설계입력'!$C$6+'1.설계입력'!$C$33)/('1.설계입력'!$C$8*'1.설계입력'!$C$15)-COS((1-'1.설계입력'!$C$15)*B666),SIN((1-'1.설계입력'!$C$15)*B666))</f>
        <v>-0.5162406646988682</v>
      </c>
      <c r="G666" s="40">
        <f>('1.설계입력'!$C$6+'1.설계입력'!$C$33)*COS(B666)-('1.설계입력'!$C$7+'1.설계입력'!$C$34)*COS(B666+F666)-'1.설계입력'!$C$8*COS('1.설계입력'!$C$15*B666)</f>
        <v>-53.254479815434912</v>
      </c>
      <c r="H666" s="40">
        <f>-('1.설계입력'!$C$6+'1.설계입력'!$C$33)*SIN(B666)+('1.설계입력'!$C$7+'1.설계입력'!$C$34)*SIN(B666+F666)+'1.설계입력'!$C$8*SIN('1.설계입력'!$C$15*B666)</f>
        <v>-58.320334464166713</v>
      </c>
      <c r="I666" s="40">
        <f t="shared" si="31"/>
        <v>78.986675223856238</v>
      </c>
      <c r="J666" s="40">
        <f t="shared" si="32"/>
        <v>78.976585342902965</v>
      </c>
      <c r="K666" s="38">
        <f>IF(OR(A666&gt;180,'1.설계입력'!$C$39&gt;=1),"",'1.설계입력'!$C$34*(1-SIN(B666)/SQRT(1+'1.설계입력'!$C$39^2-2*'1.설계입력'!$C$39*COS(B666)))-'1.설계입력'!$C$33*(1-'1.설계입력'!$C$39*COS(B666)-SQRT(MAX(0,1-'1.설계입력'!$C$39^2))*SIN(B666))/SQRT(1+'1.설계입력'!$C$39^2-2*'1.설계입력'!$C$39*COS(B666)))</f>
        <v>6.2259393754922135E-3</v>
      </c>
    </row>
    <row r="667" spans="1:11" x14ac:dyDescent="0.3">
      <c r="A667" s="40">
        <f>A666+'1.설계입력'!$C$12</f>
        <v>132.20000000000104</v>
      </c>
      <c r="B667" s="40">
        <f t="shared" si="30"/>
        <v>2.3073252711365217</v>
      </c>
      <c r="C667" s="40">
        <f>ATAN2('1.설계입력'!$C$6/('1.설계입력'!$C$8*'1.설계입력'!$C$15)-COS((1-'1.설계입력'!$C$15)*B667),SIN((1-'1.설계입력'!$C$15)*B667))</f>
        <v>-0.46336781521271386</v>
      </c>
      <c r="D667" s="40">
        <f>'1.설계입력'!$C$6*COS(B667)-'1.설계입력'!$C$7*COS(B667+C667)-'1.설계입력'!$C$8*COS('1.설계입력'!$C$15*B667)</f>
        <v>-53.4400716216376</v>
      </c>
      <c r="E667" s="40">
        <f>-'1.설계입력'!$C$6*SIN(B667)+'1.설계입력'!$C$7*SIN(B667+C667)+'1.설계입력'!$C$8*SIN('1.설계입력'!$C$15*B667)</f>
        <v>-58.285061037741784</v>
      </c>
      <c r="F667" s="40">
        <f>ATAN2(('1.설계입력'!$C$6+'1.설계입력'!$C$33)/('1.설계입력'!$C$8*'1.설계입력'!$C$15)-COS((1-'1.설계입력'!$C$15)*B667),SIN((1-'1.설계입력'!$C$15)*B667))</f>
        <v>-0.46337928004952367</v>
      </c>
      <c r="G667" s="40">
        <f>('1.설계입력'!$C$6+'1.설계입력'!$C$33)*COS(B667)-('1.설계입력'!$C$7+'1.설계입력'!$C$34)*COS(B667+F667)-'1.설계입력'!$C$8*COS('1.설계입력'!$C$15*B667)</f>
        <v>-53.435848345024084</v>
      </c>
      <c r="H667" s="40">
        <f>-('1.설계입력'!$C$6+'1.설계입력'!$C$33)*SIN(B667)+('1.설계입력'!$C$7+'1.설계입력'!$C$34)*SIN(B667+F667)+'1.설계입력'!$C$8*SIN('1.설계입력'!$C$15*B667)</f>
        <v>-58.274952471340342</v>
      </c>
      <c r="I667" s="40">
        <f t="shared" si="31"/>
        <v>79.075847103265616</v>
      </c>
      <c r="J667" s="40">
        <f t="shared" si="32"/>
        <v>79.065542266460099</v>
      </c>
      <c r="K667" s="38">
        <f>IF(OR(A667&gt;180,'1.설계입력'!$C$39&gt;=1),"",'1.설계입력'!$C$34*(1-SIN(B667)/SQRT(1+'1.설계입력'!$C$39^2-2*'1.설계입력'!$C$39*COS(B667)))-'1.설계입력'!$C$33*(1-'1.설계입력'!$C$39*COS(B667)-SQRT(MAX(0,1-'1.설계입력'!$C$39^2))*SIN(B667))/SQRT(1+'1.설계입력'!$C$39^2-2*'1.설계입력'!$C$39*COS(B667)))</f>
        <v>6.2461127163085687E-3</v>
      </c>
    </row>
    <row r="668" spans="1:11" x14ac:dyDescent="0.3">
      <c r="A668" s="40">
        <f>A667+'1.설계입력'!$C$12</f>
        <v>132.40000000000103</v>
      </c>
      <c r="B668" s="40">
        <f t="shared" si="30"/>
        <v>2.3108159296405102</v>
      </c>
      <c r="C668" s="40">
        <f>ATAN2('1.설계입력'!$C$6/('1.설계입력'!$C$8*'1.설계입력'!$C$15)-COS((1-'1.설계입력'!$C$15)*B668),SIN((1-'1.설계입력'!$C$15)*B668))</f>
        <v>-0.4093006467506668</v>
      </c>
      <c r="D668" s="40">
        <f>'1.설계입력'!$C$6*COS(B668)-'1.설계입력'!$C$7*COS(B668+C668)-'1.설계입력'!$C$8*COS('1.설계입력'!$C$15*B668)</f>
        <v>-53.631020508481292</v>
      </c>
      <c r="E668" s="40">
        <f>-'1.설계입력'!$C$6*SIN(B668)+'1.설계입력'!$C$7*SIN(B668+C668)+'1.설계입력'!$C$8*SIN('1.설계입력'!$C$15*B668)</f>
        <v>-58.225545015397564</v>
      </c>
      <c r="F668" s="40">
        <f>ATAN2(('1.설계입력'!$C$6+'1.설계입력'!$C$33)/('1.설계입력'!$C$8*'1.설계입력'!$C$15)-COS((1-'1.설계입력'!$C$15)*B668),SIN((1-'1.설계입력'!$C$15)*B668))</f>
        <v>-0.40931047129226023</v>
      </c>
      <c r="G668" s="40">
        <f>('1.설계입력'!$C$6+'1.설계입력'!$C$33)*COS(B668)-('1.설계입력'!$C$7+'1.설계입력'!$C$34)*COS(B668+F668)-'1.설계입력'!$C$8*COS('1.설계입력'!$C$15*B668)</f>
        <v>-53.626337157802617</v>
      </c>
      <c r="H668" s="40">
        <f>-('1.설계입력'!$C$6+'1.설계입력'!$C$33)*SIN(B668)+('1.설계입력'!$C$7+'1.설계입력'!$C$34)*SIN(B668+F668)+'1.설계입력'!$C$8*SIN('1.설계입력'!$C$15*B668)</f>
        <v>-58.21558196323749</v>
      </c>
      <c r="I668" s="40">
        <f t="shared" si="31"/>
        <v>79.16123074536695</v>
      </c>
      <c r="J668" s="40">
        <f t="shared" si="32"/>
        <v>79.150729752041727</v>
      </c>
      <c r="K668" s="38">
        <f>IF(OR(A668&gt;180,'1.설계입력'!$C$39&gt;=1),"",'1.설계입력'!$C$34*(1-SIN(B668)/SQRT(1+'1.설계입력'!$C$39^2-2*'1.설계입력'!$C$39*COS(B668)))-'1.설계입력'!$C$33*(1-'1.설계입력'!$C$39*COS(B668)-SQRT(MAX(0,1-'1.설계입력'!$C$39^2))*SIN(B668))/SQRT(1+'1.설계입력'!$C$39^2-2*'1.설계입력'!$C$39*COS(B668)))</f>
        <v>6.2662966713656273E-3</v>
      </c>
    </row>
    <row r="669" spans="1:11" x14ac:dyDescent="0.3">
      <c r="A669" s="40">
        <f>A668+'1.설계입력'!$C$12</f>
        <v>132.60000000000102</v>
      </c>
      <c r="B669" s="40">
        <f t="shared" si="30"/>
        <v>2.3143065881444986</v>
      </c>
      <c r="C669" s="40">
        <f>ATAN2('1.설계입력'!$C$6/('1.설계입력'!$C$8*'1.설계입력'!$C$15)-COS((1-'1.설계입력'!$C$15)*B669),SIN((1-'1.설계입력'!$C$15)*B669))</f>
        <v>-0.35427539292343507</v>
      </c>
      <c r="D669" s="40">
        <f>'1.설계입력'!$C$6*COS(B669)-'1.설계입력'!$C$7*COS(B669+C669)-'1.설계입력'!$C$8*COS('1.설계입력'!$C$15*B669)</f>
        <v>-53.829114311953049</v>
      </c>
      <c r="E669" s="40">
        <f>-'1.설계입력'!$C$6*SIN(B669)+'1.설계입력'!$C$7*SIN(B669+C669)+'1.설계입력'!$C$8*SIN('1.설계입력'!$C$15*B669)</f>
        <v>-58.15094525384454</v>
      </c>
      <c r="F669" s="40">
        <f>ATAN2(('1.설계입력'!$C$6+'1.설계입력'!$C$33)/('1.설계입력'!$C$8*'1.설계입력'!$C$15)-COS((1-'1.설계입력'!$C$15)*B669),SIN((1-'1.설계입력'!$C$15)*B669))</f>
        <v>-0.35428368246216491</v>
      </c>
      <c r="G669" s="40">
        <f>('1.설계입력'!$C$6+'1.설계입력'!$C$33)*COS(B669)-('1.설계입력'!$C$7+'1.설계입력'!$C$34)*COS(B669+F669)-'1.설계입력'!$C$8*COS('1.설계입력'!$C$15*B669)</f>
        <v>-53.823972943459559</v>
      </c>
      <c r="H669" s="40">
        <f>-('1.설계입력'!$C$6+'1.설계입력'!$C$33)*SIN(B669)+('1.설계입력'!$C$7+'1.설계입력'!$C$34)*SIN(B669+F669)+'1.설계입력'!$C$8*SIN('1.설계입력'!$C$15*B669)</f>
        <v>-58.141156627209767</v>
      </c>
      <c r="I669" s="40">
        <f t="shared" si="31"/>
        <v>79.240810076152897</v>
      </c>
      <c r="J669" s="40">
        <f t="shared" si="32"/>
        <v>79.230134149627716</v>
      </c>
      <c r="K669" s="38">
        <f>IF(OR(A669&gt;180,'1.설계입력'!$C$39&gt;=1),"",'1.설계입력'!$C$34*(1-SIN(B669)/SQRT(1+'1.설계입력'!$C$39^2-2*'1.설계입력'!$C$39*COS(B669)))-'1.설계입력'!$C$33*(1-'1.설계입력'!$C$39*COS(B669)-SQRT(MAX(0,1-'1.설계입력'!$C$39^2))*SIN(B669))/SQRT(1+'1.설계입력'!$C$39^2-2*'1.설계입력'!$C$39*COS(B669)))</f>
        <v>6.2864911613343894E-3</v>
      </c>
    </row>
    <row r="670" spans="1:11" x14ac:dyDescent="0.3">
      <c r="A670" s="40">
        <f>A669+'1.설계입력'!$C$12</f>
        <v>132.80000000000101</v>
      </c>
      <c r="B670" s="40">
        <f t="shared" si="30"/>
        <v>2.3177972466484871</v>
      </c>
      <c r="C670" s="40">
        <f>ATAN2('1.설계입력'!$C$6/('1.설계입력'!$C$8*'1.설계입력'!$C$15)-COS((1-'1.설계입력'!$C$15)*B670),SIN((1-'1.설계입력'!$C$15)*B670))</f>
        <v>-0.29849300737044904</v>
      </c>
      <c r="D670" s="40">
        <f>'1.설계입력'!$C$6*COS(B670)-'1.설계입력'!$C$7*COS(B670+C670)-'1.설계입력'!$C$8*COS('1.설계입력'!$C$15*B670)</f>
        <v>-54.032050176334266</v>
      </c>
      <c r="E670" s="40">
        <f>-'1.설계입력'!$C$6*SIN(B670)+'1.설계입력'!$C$7*SIN(B670+C670)+'1.설계입력'!$C$8*SIN('1.설계입력'!$C$15*B670)</f>
        <v>-58.060554704116548</v>
      </c>
      <c r="F670" s="40">
        <f>ATAN2(('1.설계입력'!$C$6+'1.설계입력'!$C$33)/('1.설계입력'!$C$8*'1.설계입력'!$C$15)-COS((1-'1.설계입력'!$C$15)*B670),SIN((1-'1.설계입력'!$C$15)*B670))</f>
        <v>-0.29849984583817346</v>
      </c>
      <c r="G670" s="40">
        <f>('1.설계입력'!$C$6+'1.설계입력'!$C$33)*COS(B670)-('1.설계입력'!$C$7+'1.설계입력'!$C$34)*COS(B670+F670)-'1.설계입력'!$C$8*COS('1.설계입력'!$C$15*B670)</f>
        <v>-54.0264562724972</v>
      </c>
      <c r="H670" s="40">
        <f>-('1.설계입력'!$C$6+'1.설계입력'!$C$33)*SIN(B670)+('1.설계입력'!$C$7+'1.설계입력'!$C$34)*SIN(B670+F670)+'1.설계입력'!$C$8*SIN('1.설계입력'!$C$15*B670)</f>
        <v>-58.050969386013463</v>
      </c>
      <c r="I670" s="40">
        <f t="shared" si="31"/>
        <v>79.312612230386236</v>
      </c>
      <c r="J670" s="40">
        <f t="shared" si="32"/>
        <v>79.301784494549196</v>
      </c>
      <c r="K670" s="38">
        <f>IF(OR(A670&gt;180,'1.설계입력'!$C$39&gt;=1),"",'1.설계입력'!$C$34*(1-SIN(B670)/SQRT(1+'1.설계입력'!$C$39^2-2*'1.설계입력'!$C$39*COS(B670)))-'1.설계입력'!$C$33*(1-'1.설계입력'!$C$39*COS(B670)-SQRT(MAX(0,1-'1.설계입력'!$C$39^2))*SIN(B670))/SQRT(1+'1.설계입력'!$C$39^2-2*'1.설계입력'!$C$39*COS(B670)))</f>
        <v>6.3066961069690609E-3</v>
      </c>
    </row>
    <row r="671" spans="1:11" x14ac:dyDescent="0.3">
      <c r="A671" s="40">
        <f>A670+'1.설계입력'!$C$12</f>
        <v>133.00000000000099</v>
      </c>
      <c r="B671" s="40">
        <f t="shared" si="30"/>
        <v>2.3212879051524755</v>
      </c>
      <c r="C671" s="40">
        <f>ATAN2('1.설계입력'!$C$6/('1.설계입력'!$C$8*'1.설계입력'!$C$15)-COS((1-'1.설계입력'!$C$15)*B671),SIN((1-'1.설계입력'!$C$15)*B671))</f>
        <v>-0.2421192721430207</v>
      </c>
      <c r="D671" s="40">
        <f>'1.설계입력'!$C$6*COS(B671)-'1.설계입력'!$C$7*COS(B671+C671)-'1.설계입력'!$C$8*COS('1.설계입력'!$C$15*B671)</f>
        <v>-54.237313631572491</v>
      </c>
      <c r="E671" s="40">
        <f>-'1.설계입력'!$C$6*SIN(B671)+'1.설계입력'!$C$7*SIN(B671+C671)+'1.설계입력'!$C$8*SIN('1.설계입력'!$C$15*B671)</f>
        <v>-57.954063345300824</v>
      </c>
      <c r="F671" s="40">
        <f>ATAN2(('1.설계입력'!$C$6+'1.설계입력'!$C$33)/('1.설계입력'!$C$8*'1.설계입력'!$C$15)-COS((1-'1.설계입력'!$C$15)*B671),SIN((1-'1.설계입력'!$C$15)*B671))</f>
        <v>-0.24212472553828757</v>
      </c>
      <c r="G671" s="40">
        <f>('1.설계입력'!$C$6+'1.설계입력'!$C$33)*COS(B671)-('1.설계입력'!$C$7+'1.설계입력'!$C$34)*COS(B671+F671)-'1.설계입력'!$C$8*COS('1.설계입력'!$C$15*B671)</f>
        <v>-54.23127580633853</v>
      </c>
      <c r="H671" s="40">
        <f>-('1.설계입력'!$C$6+'1.설계입력'!$C$33)*SIN(B671)+('1.설계입력'!$C$7+'1.설계입력'!$C$34)*SIN(B671+F671)+'1.설계입력'!$C$8*SIN('1.설계입력'!$C$15*B671)</f>
        <v>-57.944709852054892</v>
      </c>
      <c r="I671" s="40">
        <f t="shared" si="31"/>
        <v>79.374804870315742</v>
      </c>
      <c r="J671" s="40">
        <f t="shared" si="32"/>
        <v>79.363849928175654</v>
      </c>
      <c r="K671" s="38">
        <f>IF(OR(A671&gt;180,'1.설계입력'!$C$39&gt;=1),"",'1.설계입력'!$C$34*(1-SIN(B671)/SQRT(1+'1.설계입력'!$C$39^2-2*'1.설계입력'!$C$39*COS(B671)))-'1.설계입력'!$C$33*(1-'1.설계입력'!$C$39*COS(B671)-SQRT(MAX(0,1-'1.설계입력'!$C$39^2))*SIN(B671))/SQRT(1+'1.설계입력'!$C$39^2-2*'1.설계입력'!$C$39*COS(B671)))</f>
        <v>6.3269114291064129E-3</v>
      </c>
    </row>
    <row r="672" spans="1:11" x14ac:dyDescent="0.3">
      <c r="A672" s="40">
        <f>A671+'1.설계입력'!$C$12</f>
        <v>133.20000000000098</v>
      </c>
      <c r="B672" s="40">
        <f t="shared" si="30"/>
        <v>2.324778563656464</v>
      </c>
      <c r="C672" s="40">
        <f>ATAN2('1.설계입력'!$C$6/('1.설계입력'!$C$8*'1.설계입력'!$C$15)-COS((1-'1.설계입력'!$C$15)*B672),SIN((1-'1.설계입력'!$C$15)*B672))</f>
        <v>-0.18529445647699416</v>
      </c>
      <c r="D672" s="40">
        <f>'1.설계입력'!$C$6*COS(B672)-'1.설계입력'!$C$7*COS(B672+C672)-'1.설계입력'!$C$8*COS('1.설계입력'!$C$15*B672)</f>
        <v>-54.442280875814724</v>
      </c>
      <c r="E672" s="40">
        <f>-'1.설계입력'!$C$6*SIN(B672)+'1.설계입력'!$C$7*SIN(B672+C672)+'1.설계입력'!$C$8*SIN('1.설계입력'!$C$15*B672)</f>
        <v>-57.831578759495542</v>
      </c>
      <c r="F672" s="40">
        <f>ATAN2(('1.설계입력'!$C$6+'1.설계입력'!$C$33)/('1.설계입력'!$C$8*'1.설계입력'!$C$15)-COS((1-'1.설계입력'!$C$15)*B672),SIN((1-'1.설계입력'!$C$15)*B672))</f>
        <v>-0.18529857540539874</v>
      </c>
      <c r="G672" s="40">
        <f>('1.설계입력'!$C$6+'1.설계입력'!$C$33)*COS(B672)-('1.설계입력'!$C$7+'1.설계입력'!$C$34)*COS(B672+F672)-'1.설계입력'!$C$8*COS('1.설계입력'!$C$15*B672)</f>
        <v>-54.435810623204645</v>
      </c>
      <c r="H672" s="40">
        <f>-('1.설계입력'!$C$6+'1.설계입력'!$C$33)*SIN(B672)+('1.설계입력'!$C$7+'1.설계입력'!$C$34)*SIN(B672+F672)+'1.설계입력'!$C$8*SIN('1.설계입력'!$C$15*B672)</f>
        <v>-57.822484938434798</v>
      </c>
      <c r="I672" s="40">
        <f t="shared" si="31"/>
        <v>79.425773202259975</v>
      </c>
      <c r="J672" s="40">
        <f t="shared" si="32"/>
        <v>79.414716788898261</v>
      </c>
      <c r="K672" s="38">
        <f>IF(OR(A672&gt;180,'1.설계입력'!$C$39&gt;=1),"",'1.설계입력'!$C$34*(1-SIN(B672)/SQRT(1+'1.설계입력'!$C$39^2-2*'1.설계입력'!$C$39*COS(B672)))-'1.설계입력'!$C$33*(1-'1.설계입력'!$C$39*COS(B672)-SQRT(MAX(0,1-'1.설계입력'!$C$39^2))*SIN(B672))/SQRT(1+'1.설계입력'!$C$39^2-2*'1.설계입력'!$C$39*COS(B672)))</f>
        <v>6.3471370486651232E-3</v>
      </c>
    </row>
    <row r="673" spans="1:11" x14ac:dyDescent="0.3">
      <c r="A673" s="40">
        <f>A672+'1.설계입력'!$C$12</f>
        <v>133.40000000000097</v>
      </c>
      <c r="B673" s="40">
        <f t="shared" si="30"/>
        <v>2.3282692221604524</v>
      </c>
      <c r="C673" s="40">
        <f>ATAN2('1.설계입력'!$C$6/('1.설계입력'!$C$8*'1.설계입력'!$C$15)-COS((1-'1.설계입력'!$C$15)*B673),SIN((1-'1.설계입력'!$C$15)*B673))</f>
        <v>-0.1281405282230243</v>
      </c>
      <c r="D673" s="40">
        <f>'1.설계입력'!$C$6*COS(B673)-'1.설계입력'!$C$7*COS(B673+C673)-'1.설계입력'!$C$8*COS('1.설계입력'!$C$15*B673)</f>
        <v>-54.644311962279218</v>
      </c>
      <c r="E673" s="40">
        <f>-'1.설계입력'!$C$6*SIN(B673)+'1.설계입력'!$C$7*SIN(B673+C673)+'1.설계입력'!$C$8*SIN('1.설계입력'!$C$15*B673)</f>
        <v>-57.693631446672882</v>
      </c>
      <c r="F673" s="40">
        <f>ATAN2(('1.설계입력'!$C$6+'1.설계입력'!$C$33)/('1.설계입력'!$C$8*'1.설계입력'!$C$15)-COS((1-'1.설계입력'!$C$15)*B673),SIN((1-'1.설계입력'!$C$15)*B673))</f>
        <v>-0.12814334974994793</v>
      </c>
      <c r="G673" s="40">
        <f>('1.설계입력'!$C$6+'1.설계입력'!$C$33)*COS(B673)-('1.설계입력'!$C$7+'1.설계입력'!$C$34)*COS(B673+F673)-'1.설계입력'!$C$8*COS('1.설계입력'!$C$15*B673)</f>
        <v>-54.637423431599856</v>
      </c>
      <c r="H673" s="40">
        <f>-('1.설계입력'!$C$6+'1.설계입력'!$C$33)*SIN(B673)+('1.설계입력'!$C$7+'1.설계입력'!$C$34)*SIN(B673+F673)+'1.설계입력'!$C$8*SIN('1.설계입력'!$C$15*B673)</f>
        <v>-57.684824201341485</v>
      </c>
      <c r="I673" s="40">
        <f t="shared" si="31"/>
        <v>79.464180228172083</v>
      </c>
      <c r="J673" s="40">
        <f t="shared" si="32"/>
        <v>79.453048918110184</v>
      </c>
      <c r="K673" s="38">
        <f>IF(OR(A673&gt;180,'1.설계입력'!$C$39&gt;=1),"",'1.설계입력'!$C$34*(1-SIN(B673)/SQRT(1+'1.설계입력'!$C$39^2-2*'1.설계입력'!$C$39*COS(B673)))-'1.설계입력'!$C$33*(1-'1.설계입력'!$C$39*COS(B673)-SQRT(MAX(0,1-'1.설계입력'!$C$39^2))*SIN(B673))/SQRT(1+'1.설계입력'!$C$39^2-2*'1.설계입력'!$C$39*COS(B673)))</f>
        <v>6.3673728866451458E-3</v>
      </c>
    </row>
    <row r="674" spans="1:11" x14ac:dyDescent="0.3">
      <c r="A674" s="40">
        <f>A673+'1.설계입력'!$C$12</f>
        <v>133.60000000000096</v>
      </c>
      <c r="B674" s="40">
        <f t="shared" si="30"/>
        <v>2.3317598806644408</v>
      </c>
      <c r="C674" s="40">
        <f>ATAN2('1.설계입력'!$C$6/('1.설계입력'!$C$8*'1.설계입력'!$C$15)-COS((1-'1.설계입력'!$C$15)*B674),SIN((1-'1.설계입력'!$C$15)*B674))</f>
        <v>-7.0766737900959858E-2</v>
      </c>
      <c r="D674" s="40">
        <f>'1.설계입력'!$C$6*COS(B674)-'1.설계입력'!$C$7*COS(B674+C674)-'1.설계입력'!$C$8*COS('1.설계입력'!$C$15*B674)</f>
        <v>-54.840836087837538</v>
      </c>
      <c r="E674" s="40">
        <f>-'1.설계입력'!$C$6*SIN(B674)+'1.설계입력'!$C$7*SIN(B674+C674)+'1.설계입력'!$C$8*SIN('1.설계입력'!$C$15*B674)</f>
        <v>-57.54116611919077</v>
      </c>
      <c r="F674" s="40">
        <f>ATAN2(('1.설계입력'!$C$6+'1.설계입력'!$C$33)/('1.설계입력'!$C$8*'1.설계입력'!$C$15)-COS((1-'1.설계입력'!$C$15)*B674),SIN((1-'1.설계입력'!$C$15)*B674))</f>
        <v>-7.0768286854987469E-2</v>
      </c>
      <c r="G674" s="40">
        <f>('1.설계입력'!$C$6+'1.설계입력'!$C$33)*COS(B674)-('1.설계입력'!$C$7+'1.설계입력'!$C$34)*COS(B674+F674)-'1.설계입력'!$C$8*COS('1.설계입력'!$C$15*B674)</f>
        <v>-54.833545874048347</v>
      </c>
      <c r="H674" s="40">
        <f>-('1.설계입력'!$C$6+'1.설계입력'!$C$33)*SIN(B674)+('1.설계입력'!$C$7+'1.설계입력'!$C$34)*SIN(B674+F674)+'1.설계입력'!$C$8*SIN('1.설계입력'!$C$15*B674)</f>
        <v>-57.532671155801083</v>
      </c>
      <c r="I674" s="40">
        <f t="shared" si="31"/>
        <v>79.489012455617868</v>
      </c>
      <c r="J674" s="40">
        <f t="shared" si="32"/>
        <v>79.47783340934069</v>
      </c>
      <c r="K674" s="38">
        <f>IF(OR(A674&gt;180,'1.설계입력'!$C$39&gt;=1),"",'1.설계입력'!$C$34*(1-SIN(B674)/SQRT(1+'1.설계입력'!$C$39^2-2*'1.설계입력'!$C$39*COS(B674)))-'1.설계입력'!$C$33*(1-'1.설계입력'!$C$39*COS(B674)-SQRT(MAX(0,1-'1.설계입력'!$C$39^2))*SIN(B674))/SQRT(1+'1.설계입력'!$C$39^2-2*'1.설계입력'!$C$39*COS(B674)))</f>
        <v>6.387618864127087E-3</v>
      </c>
    </row>
    <row r="675" spans="1:11" x14ac:dyDescent="0.3">
      <c r="A675" s="40">
        <f>A674+'1.설계입력'!$C$12</f>
        <v>133.80000000000095</v>
      </c>
      <c r="B675" s="40">
        <f t="shared" si="30"/>
        <v>2.3352505391684293</v>
      </c>
      <c r="C675" s="40">
        <f>ATAN2('1.설계입력'!$C$6/('1.설계입력'!$C$8*'1.설계입력'!$C$15)-COS((1-'1.설계입력'!$C$15)*B675),SIN((1-'1.설계입력'!$C$15)*B675))</f>
        <v>-1.3274139783690778E-2</v>
      </c>
      <c r="D675" s="40">
        <f>'1.설계입력'!$C$6*COS(B675)-'1.설계입력'!$C$7*COS(B675+C675)-'1.설계입력'!$C$8*COS('1.설계입력'!$C$15*B675)</f>
        <v>-55.029429242168753</v>
      </c>
      <c r="E675" s="40">
        <f>-'1.설계입력'!$C$6*SIN(B675)+'1.설계입력'!$C$7*SIN(B675+C675)+'1.설계입력'!$C$8*SIN('1.설계입력'!$C$15*B675)</f>
        <v>-57.375520036763291</v>
      </c>
      <c r="F675" s="40">
        <f>ATAN2(('1.설계입력'!$C$6+'1.설계입력'!$C$33)/('1.설계입력'!$C$8*'1.설계입력'!$C$15)-COS((1-'1.설계입력'!$C$15)*B675),SIN((1-'1.설계입력'!$C$15)*B675))</f>
        <v>-1.3274429603961923E-2</v>
      </c>
      <c r="G675" s="40">
        <f>('1.설계입력'!$C$6+'1.설계입력'!$C$33)*COS(B675)-('1.설계입력'!$C$7+'1.설계입력'!$C$34)*COS(B675+F675)-'1.설계입력'!$C$8*COS('1.설계입력'!$C$15*B675)</f>
        <v>-55.021756183323006</v>
      </c>
      <c r="H675" s="40">
        <f>-('1.설계입력'!$C$6+'1.설계입력'!$C$33)*SIN(B675)+('1.설계입력'!$C$7+'1.설계입력'!$C$34)*SIN(B675+F675)+'1.설계입력'!$C$8*SIN('1.설계입력'!$C$15*B675)</f>
        <v>-57.367361627034086</v>
      </c>
      <c r="I675" s="40">
        <f t="shared" si="31"/>
        <v>79.499612465771705</v>
      </c>
      <c r="J675" s="40">
        <f t="shared" si="32"/>
        <v>79.488413203082288</v>
      </c>
      <c r="K675" s="38">
        <f>IF(OR(A675&gt;180,'1.설계입력'!$C$39&gt;=1),"",'1.설계입력'!$C$34*(1-SIN(B675)/SQRT(1+'1.설계입력'!$C$39^2-2*'1.설계입력'!$C$39*COS(B675)))-'1.설계입력'!$C$33*(1-'1.설계입력'!$C$39*COS(B675)-SQRT(MAX(0,1-'1.설계입력'!$C$39^2))*SIN(B675))/SQRT(1+'1.설계입력'!$C$39^2-2*'1.설계입력'!$C$39*COS(B675)))</f>
        <v>6.4078749022715674E-3</v>
      </c>
    </row>
    <row r="676" spans="1:11" x14ac:dyDescent="0.3">
      <c r="A676" s="40">
        <f>A675+'1.설계입력'!$C$12</f>
        <v>134.00000000000094</v>
      </c>
      <c r="B676" s="40">
        <f t="shared" si="30"/>
        <v>2.3387411976724182</v>
      </c>
      <c r="C676" s="40">
        <f>ATAN2('1.설계입력'!$C$6/('1.설계입력'!$C$8*'1.설계입력'!$C$15)-COS((1-'1.설계입력'!$C$15)*B676),SIN((1-'1.설계입력'!$C$15)*B676))</f>
        <v>4.4240540883326074E-2</v>
      </c>
      <c r="D676" s="40">
        <f>'1.설계입력'!$C$6*COS(B676)-'1.설계입력'!$C$7*COS(B676+C676)-'1.설계입력'!$C$8*COS('1.설계입력'!$C$15*B676)</f>
        <v>-55.207883916121169</v>
      </c>
      <c r="E676" s="40">
        <f>-'1.설계입력'!$C$6*SIN(B676)+'1.설계입력'!$C$7*SIN(B676+C676)+'1.설계입력'!$C$8*SIN('1.설계입력'!$C$15*B676)</f>
        <v>-57.198389354407325</v>
      </c>
      <c r="F676" s="40">
        <f>ATAN2(('1.설계입력'!$C$6+'1.설계입력'!$C$33)/('1.설계입력'!$C$8*'1.설계입력'!$C$15)-COS((1-'1.설계입력'!$C$15)*B676),SIN((1-'1.설계입력'!$C$15)*B676))</f>
        <v>4.4241507697174484E-2</v>
      </c>
      <c r="G676" s="40">
        <f>('1.설계입력'!$C$6+'1.설계입력'!$C$33)*COS(B676)-('1.설계입력'!$C$7+'1.설계입력'!$C$34)*COS(B676+F676)-'1.설계입력'!$C$8*COS('1.설계입력'!$C$15*B676)</f>
        <v>-55.199848891967541</v>
      </c>
      <c r="H676" s="40">
        <f>-('1.설계입력'!$C$6+'1.설계입력'!$C$33)*SIN(B676)+('1.설계입력'!$C$7+'1.설계입력'!$C$34)*SIN(B676+F676)+'1.설계입력'!$C$8*SIN('1.설계입력'!$C$15*B676)</f>
        <v>-57.190590110767523</v>
      </c>
      <c r="I676" s="40">
        <f t="shared" si="31"/>
        <v>79.495699199606307</v>
      </c>
      <c r="J676" s="40">
        <f t="shared" si="32"/>
        <v>79.484507389263413</v>
      </c>
      <c r="K676" s="38">
        <f>IF(OR(A676&gt;180,'1.설계입력'!$C$39&gt;=1),"",'1.설계입력'!$C$34*(1-SIN(B676)/SQRT(1+'1.설계입력'!$C$39^2-2*'1.설계입력'!$C$39*COS(B676)))-'1.설계입력'!$C$33*(1-'1.설계입력'!$C$39*COS(B676)-SQRT(MAX(0,1-'1.설계입력'!$C$39^2))*SIN(B676))/SQRT(1+'1.설계입력'!$C$39^2-2*'1.설계입력'!$C$39*COS(B676)))</f>
        <v>6.4281409223186309E-3</v>
      </c>
    </row>
    <row r="677" spans="1:11" x14ac:dyDescent="0.3">
      <c r="A677" s="40">
        <f>A676+'1.설계입력'!$C$12</f>
        <v>134.20000000000093</v>
      </c>
      <c r="B677" s="40">
        <f t="shared" si="30"/>
        <v>2.3422318561764066</v>
      </c>
      <c r="C677" s="40">
        <f>ATAN2('1.설계입력'!$C$6/('1.설계입력'!$C$8*'1.설계입력'!$C$15)-COS((1-'1.설계입력'!$C$15)*B677),SIN((1-'1.설계입력'!$C$15)*B677))</f>
        <v>0.10168137574126089</v>
      </c>
      <c r="D677" s="40">
        <f>'1.설계입력'!$C$6*COS(B677)-'1.설계입력'!$C$7*COS(B677+C677)-'1.설계입력'!$C$8*COS('1.설계입력'!$C$15*B677)</f>
        <v>-55.374270241600492</v>
      </c>
      <c r="E677" s="40">
        <f>-'1.설계입력'!$C$6*SIN(B677)+'1.설계입력'!$C$7*SIN(B677+C677)+'1.설계입력'!$C$8*SIN('1.설계입력'!$C$15*B677)</f>
        <v>-57.011784411510511</v>
      </c>
      <c r="F677" s="40">
        <f>ATAN2(('1.설계입력'!$C$6+'1.설계입력'!$C$33)/('1.설계입력'!$C$8*'1.설계입력'!$C$15)-COS((1-'1.설계입력'!$C$15)*B677),SIN((1-'1.설계입력'!$C$15)*B677))</f>
        <v>0.10168360754608516</v>
      </c>
      <c r="G677" s="40">
        <f>('1.설계입력'!$C$6+'1.설계입력'!$C$33)*COS(B677)-('1.설계입력'!$C$7+'1.설계입력'!$C$34)*COS(B677+F677)-'1.설계입력'!$C$8*COS('1.설계입력'!$C$15*B677)</f>
        <v>-55.36589596878126</v>
      </c>
      <c r="H677" s="40">
        <f>-('1.설계입력'!$C$6+'1.설계입력'!$C$33)*SIN(B677)+('1.설계입력'!$C$7+'1.설계입력'!$C$34)*SIN(B677+F677)+'1.설계입력'!$C$8*SIN('1.설계입력'!$C$15*B677)</f>
        <v>-57.004365070995917</v>
      </c>
      <c r="I677" s="40">
        <f t="shared" si="31"/>
        <v>79.477376444962971</v>
      </c>
      <c r="J677" s="40">
        <f t="shared" si="32"/>
        <v>79.466219701035783</v>
      </c>
      <c r="K677" s="38">
        <f>IF(OR(A677&gt;180,'1.설계입력'!$C$39&gt;=1),"",'1.설계입력'!$C$34*(1-SIN(B677)/SQRT(1+'1.설계입력'!$C$39^2-2*'1.설계입력'!$C$39*COS(B677)))-'1.설계입력'!$C$33*(1-'1.설계입력'!$C$39*COS(B677)-SQRT(MAX(0,1-'1.설계입력'!$C$39^2))*SIN(B677))/SQRT(1+'1.설계입력'!$C$39^2-2*'1.설계입력'!$C$39*COS(B677)))</f>
        <v>6.4484168455871118E-3</v>
      </c>
    </row>
    <row r="678" spans="1:11" x14ac:dyDescent="0.3">
      <c r="A678" s="40">
        <f>A677+'1.설계입력'!$C$12</f>
        <v>134.40000000000092</v>
      </c>
      <c r="B678" s="40">
        <f t="shared" si="30"/>
        <v>2.3457225146803951</v>
      </c>
      <c r="C678" s="40">
        <f>ATAN2('1.설계입력'!$C$6/('1.설계입력'!$C$8*'1.설계입력'!$C$15)-COS((1-'1.설계입력'!$C$15)*B678),SIN((1-'1.설계입력'!$C$15)*B678))</f>
        <v>0.15894976206714526</v>
      </c>
      <c r="D678" s="40">
        <f>'1.설계입력'!$C$6*COS(B678)-'1.설계입력'!$C$7*COS(B678+C678)-'1.설계입력'!$C$8*COS('1.설계입력'!$C$15*B678)</f>
        <v>-55.5269877552754</v>
      </c>
      <c r="E678" s="40">
        <f>-'1.설계입력'!$C$6*SIN(B678)+'1.설계입력'!$C$7*SIN(B678+C678)+'1.설계입력'!$C$8*SIN('1.설계입력'!$C$15*B678)</f>
        <v>-56.817974851805268</v>
      </c>
      <c r="F678" s="40">
        <f>ATAN2(('1.설계입력'!$C$6+'1.설계입력'!$C$33)/('1.설계입력'!$C$8*'1.설계입력'!$C$15)-COS((1-'1.설계입력'!$C$15)*B678),SIN((1-'1.설계입력'!$C$15)*B678))</f>
        <v>0.15895327835464881</v>
      </c>
      <c r="G678" s="40">
        <f>('1.설계입력'!$C$6+'1.설계입력'!$C$33)*COS(B678)-('1.설계입력'!$C$7+'1.설계입력'!$C$34)*COS(B678+F678)-'1.설계입력'!$C$8*COS('1.설계입력'!$C$15*B678)</f>
        <v>-55.518298575324849</v>
      </c>
      <c r="H678" s="40">
        <f>-('1.설계입력'!$C$6+'1.설계입력'!$C$33)*SIN(B678)+('1.설계입력'!$C$7+'1.설계입력'!$C$34)*SIN(B678+F678)+'1.설계입력'!$C$8*SIN('1.설계입력'!$C$15*B678)</f>
        <v>-56.810954064890552</v>
      </c>
      <c r="I678" s="40">
        <f t="shared" si="31"/>
        <v>79.445129715010722</v>
      </c>
      <c r="J678" s="40">
        <f t="shared" si="32"/>
        <v>79.434035390769495</v>
      </c>
      <c r="K678" s="38">
        <f>IF(OR(A678&gt;180,'1.설계입력'!$C$39&gt;=1),"",'1.설계입력'!$C$34*(1-SIN(B678)/SQRT(1+'1.설계입력'!$C$39^2-2*'1.설계입력'!$C$39*COS(B678)))-'1.설계입력'!$C$33*(1-'1.설계입력'!$C$39*COS(B678)-SQRT(MAX(0,1-'1.설계입력'!$C$39^2))*SIN(B678))/SQRT(1+'1.설계입력'!$C$39^2-2*'1.설계입력'!$C$39*COS(B678)))</f>
        <v>6.4687025934740613E-3</v>
      </c>
    </row>
    <row r="679" spans="1:11" x14ac:dyDescent="0.3">
      <c r="A679" s="40">
        <f>A678+'1.설계입력'!$C$12</f>
        <v>134.6000000000009</v>
      </c>
      <c r="B679" s="40">
        <f t="shared" si="30"/>
        <v>2.3492131731843835</v>
      </c>
      <c r="C679" s="40">
        <f>ATAN2('1.설계입력'!$C$6/('1.설계입력'!$C$8*'1.설계입력'!$C$15)-COS((1-'1.설계입력'!$C$15)*B679),SIN((1-'1.설계입력'!$C$15)*B679))</f>
        <v>0.21594074619867326</v>
      </c>
      <c r="D679" s="40">
        <f>'1.설계입력'!$C$6*COS(B679)-'1.설계입력'!$C$7*COS(B679+C679)-'1.설계입력'!$C$8*COS('1.설계입력'!$C$15*B679)</f>
        <v>-55.664806887796196</v>
      </c>
      <c r="E679" s="40">
        <f>-'1.설계입력'!$C$6*SIN(B679)+'1.설계입력'!$C$7*SIN(B679+C679)+'1.설계입력'!$C$8*SIN('1.설계입력'!$C$15*B679)</f>
        <v>-56.619425396658777</v>
      </c>
      <c r="F679" s="40">
        <f>ATAN2(('1.설계입력'!$C$6+'1.설계입력'!$C$33)/('1.설계입력'!$C$8*'1.설계입력'!$C$15)-COS((1-'1.설계입력'!$C$15)*B679),SIN((1-'1.설계입력'!$C$15)*B679))</f>
        <v>0.21594557825386598</v>
      </c>
      <c r="G679" s="40">
        <f>('1.설계입력'!$C$6+'1.설계입력'!$C$33)*COS(B679)-('1.설계입력'!$C$7+'1.설계입력'!$C$34)*COS(B679+F679)-'1.설계입력'!$C$8*COS('1.설계입력'!$C$15*B679)</f>
        <v>-55.655828544450515</v>
      </c>
      <c r="H679" s="40">
        <f>-('1.설계입력'!$C$6+'1.설계입력'!$C$33)*SIN(B679)+('1.설계입력'!$C$7+'1.설계입력'!$C$34)*SIN(B679+F679)+'1.설계입력'!$C$8*SIN('1.설계입력'!$C$15*B679)</f>
        <v>-56.612819516734135</v>
      </c>
      <c r="I679" s="40">
        <f t="shared" si="31"/>
        <v>79.399811448790302</v>
      </c>
      <c r="J679" s="40">
        <f t="shared" si="32"/>
        <v>79.388806418811882</v>
      </c>
      <c r="K679" s="38">
        <f>IF(OR(A679&gt;180,'1.설계입력'!$C$39&gt;=1),"",'1.설계입력'!$C$34*(1-SIN(B679)/SQRT(1+'1.설계입력'!$C$39^2-2*'1.설계입력'!$C$39*COS(B679)))-'1.설계입력'!$C$33*(1-'1.설계입력'!$C$39*COS(B679)-SQRT(MAX(0,1-'1.설계입력'!$C$39^2))*SIN(B679))/SQRT(1+'1.설계입력'!$C$39^2-2*'1.설계입력'!$C$39*COS(B679)))</f>
        <v>6.4889980874541422E-3</v>
      </c>
    </row>
    <row r="680" spans="1:11" x14ac:dyDescent="0.3">
      <c r="A680" s="40">
        <f>A679+'1.설계입력'!$C$12</f>
        <v>134.80000000000089</v>
      </c>
      <c r="B680" s="40">
        <f t="shared" si="30"/>
        <v>2.3527038316883719</v>
      </c>
      <c r="C680" s="40">
        <f>ATAN2('1.설계입력'!$C$6/('1.설계입력'!$C$8*'1.설계입력'!$C$15)-COS((1-'1.설계입력'!$C$15)*B680),SIN((1-'1.설계입력'!$C$15)*B680))</f>
        <v>0.27253884836892356</v>
      </c>
      <c r="D680" s="40">
        <f>'1.설계입력'!$C$6*COS(B680)-'1.설계입력'!$C$7*COS(B680+C680)-'1.설계입력'!$C$8*COS('1.설계입력'!$C$15*B680)</f>
        <v>-55.786899238260297</v>
      </c>
      <c r="E680" s="40">
        <f>-'1.설계입력'!$C$6*SIN(B680)+'1.설계입력'!$C$7*SIN(B680+C680)+'1.설계입력'!$C$8*SIN('1.설계입력'!$C$15*B680)</f>
        <v>-56.41872295937231</v>
      </c>
      <c r="F680" s="40">
        <f>ATAN2(('1.설계입력'!$C$6+'1.설계입력'!$C$33)/('1.설계입력'!$C$8*'1.설계입력'!$C$15)-COS((1-'1.설계입력'!$C$15)*B680),SIN((1-'1.설계입력'!$C$15)*B680))</f>
        <v>0.27254504035374522</v>
      </c>
      <c r="G680" s="40">
        <f>('1.설계입력'!$C$6+'1.설계입력'!$C$33)*COS(B680)-('1.설계입력'!$C$7+'1.설계입력'!$C$34)*COS(B680+F680)-'1.설계입력'!$C$8*COS('1.설계입력'!$C$15*B680)</f>
        <v>-55.777658640487147</v>
      </c>
      <c r="H680" s="40">
        <f>-('1.설계입력'!$C$6+'1.설계입력'!$C$33)*SIN(B680)+('1.설계입력'!$C$7+'1.설계입력'!$C$34)*SIN(B680+F680)+'1.설계입력'!$C$8*SIN('1.설계입력'!$C$15*B680)</f>
        <v>-56.412545827509113</v>
      </c>
      <c r="I680" s="40">
        <f t="shared" si="31"/>
        <v>79.3426141930439</v>
      </c>
      <c r="J680" s="40">
        <f t="shared" si="32"/>
        <v>79.331724613520961</v>
      </c>
      <c r="K680" s="38">
        <f>IF(OR(A680&gt;180,'1.설계입력'!$C$39&gt;=1),"",'1.설계입력'!$C$34*(1-SIN(B680)/SQRT(1+'1.설계입력'!$C$39^2-2*'1.설계입력'!$C$39*COS(B680)))-'1.설계입력'!$C$33*(1-'1.설계입력'!$C$39*COS(B680)-SQRT(MAX(0,1-'1.설계입력'!$C$39^2))*SIN(B680))/SQRT(1+'1.설계입력'!$C$39^2-2*'1.설계입력'!$C$39*COS(B680)))</f>
        <v>6.5093032490790527E-3</v>
      </c>
    </row>
    <row r="681" spans="1:11" x14ac:dyDescent="0.3">
      <c r="A681" s="40">
        <f>A680+'1.설계입력'!$C$12</f>
        <v>135.00000000000088</v>
      </c>
      <c r="B681" s="40">
        <f t="shared" si="30"/>
        <v>2.3561944901923604</v>
      </c>
      <c r="C681" s="40">
        <f>ATAN2('1.설계입력'!$C$6/('1.설계입력'!$C$8*'1.설계입력'!$C$15)-COS((1-'1.설계입력'!$C$15)*B681),SIN((1-'1.설계입력'!$C$15)*B681))</f>
        <v>0.32861302815378352</v>
      </c>
      <c r="D681" s="40">
        <f>'1.설계입력'!$C$6*COS(B681)-'1.설계입력'!$C$7*COS(B681+C681)-'1.설계입력'!$C$8*COS('1.설계입력'!$C$15*B681)</f>
        <v>-55.89285566656482</v>
      </c>
      <c r="E681" s="40">
        <f>-'1.설계입력'!$C$6*SIN(B681)+'1.설계입력'!$C$7*SIN(B681+C681)+'1.설계입력'!$C$8*SIN('1.설계입력'!$C$15*B681)</f>
        <v>-56.218495536675952</v>
      </c>
      <c r="F681" s="40">
        <f>ATAN2(('1.설계입력'!$C$6+'1.설계입력'!$C$33)/('1.설계입력'!$C$8*'1.설계입력'!$C$15)-COS((1-'1.설계입력'!$C$15)*B681),SIN((1-'1.설계입력'!$C$15)*B681))</f>
        <v>0.3286206386921503</v>
      </c>
      <c r="G681" s="40">
        <f>('1.설계입력'!$C$6+'1.설계입력'!$C$33)*COS(B681)-('1.설계입력'!$C$7+'1.설계입력'!$C$34)*COS(B681+F681)-'1.설계입력'!$C$8*COS('1.설계입력'!$C$15*B681)</f>
        <v>-55.883380633194079</v>
      </c>
      <c r="H681" s="40">
        <f>-('1.설계입력'!$C$6+'1.설계입력'!$C$33)*SIN(B681)+('1.설계입력'!$C$7+'1.설계입력'!$C$34)*SIN(B681+F681)+'1.설계입력'!$C$8*SIN('1.설계입력'!$C$15*B681)</f>
        <v>-56.212758254551048</v>
      </c>
      <c r="I681" s="40">
        <f t="shared" si="31"/>
        <v>79.275031094101124</v>
      </c>
      <c r="J681" s="40">
        <f t="shared" si="32"/>
        <v>79.26428212996727</v>
      </c>
      <c r="K681" s="38">
        <f>IF(OR(A681&gt;180,'1.설계입력'!$C$39&gt;=1),"",'1.설계입력'!$C$34*(1-SIN(B681)/SQRT(1+'1.설계입력'!$C$39^2-2*'1.설계입력'!$C$39*COS(B681)))-'1.설계입력'!$C$33*(1-'1.설계입력'!$C$39*COS(B681)-SQRT(MAX(0,1-'1.설계입력'!$C$39^2))*SIN(B681))/SQRT(1+'1.설계입력'!$C$39^2-2*'1.설계입력'!$C$39*COS(B681)))</f>
        <v>6.5296179999769438E-3</v>
      </c>
    </row>
    <row r="682" spans="1:11" x14ac:dyDescent="0.3">
      <c r="A682" s="40">
        <f>A681+'1.설계입력'!$C$12</f>
        <v>135.20000000000087</v>
      </c>
      <c r="B682" s="40">
        <f t="shared" si="30"/>
        <v>2.3596851486963488</v>
      </c>
      <c r="C682" s="40">
        <f>ATAN2('1.설계입력'!$C$6/('1.설계입력'!$C$8*'1.설계입력'!$C$15)-COS((1-'1.설계입력'!$C$15)*B682),SIN((1-'1.설계입력'!$C$15)*B682))</f>
        <v>0.38401030765225536</v>
      </c>
      <c r="D682" s="40">
        <f>'1.설계입력'!$C$6*COS(B682)-'1.설계입력'!$C$7*COS(B682+C682)-'1.설계입력'!$C$8*COS('1.설계입력'!$C$15*B682)</f>
        <v>-55.982691191106177</v>
      </c>
      <c r="E682" s="40">
        <f>-'1.설계입력'!$C$6*SIN(B682)+'1.설계입력'!$C$7*SIN(B682+C682)+'1.설계입력'!$C$8*SIN('1.설계입력'!$C$15*B682)</f>
        <v>-56.021322872868502</v>
      </c>
      <c r="F682" s="40">
        <f>ATAN2(('1.설계입력'!$C$6+'1.설계입력'!$C$33)/('1.설계입력'!$C$8*'1.설계입력'!$C$15)-COS((1-'1.설계입력'!$C$15)*B682),SIN((1-'1.설계입력'!$C$15)*B682))</f>
        <v>0.38401941203243473</v>
      </c>
      <c r="G682" s="40">
        <f>('1.설계입력'!$C$6+'1.설계입력'!$C$33)*COS(B682)-('1.설계입력'!$C$7+'1.설계입력'!$C$34)*COS(B682+F682)-'1.설계입력'!$C$8*COS('1.설계입력'!$C$15*B682)</f>
        <v>-55.973010171916954</v>
      </c>
      <c r="H682" s="40">
        <f>-('1.설계입력'!$C$6+'1.설계입력'!$C$33)*SIN(B682)+('1.설계입력'!$C$7+'1.설계입력'!$C$34)*SIN(B682+F682)+'1.설계입력'!$C$8*SIN('1.설계입력'!$C$15*B682)</f>
        <v>-56.01603355391844</v>
      </c>
      <c r="I682" s="40">
        <f t="shared" si="31"/>
        <v>79.198802575701464</v>
      </c>
      <c r="J682" s="40">
        <f t="shared" si="32"/>
        <v>79.188218080843541</v>
      </c>
      <c r="K682" s="38">
        <f>IF(OR(A682&gt;180,'1.설계입력'!$C$39&gt;=1),"",'1.설계입력'!$C$34*(1-SIN(B682)/SQRT(1+'1.설계입력'!$C$39^2-2*'1.설계입력'!$C$39*COS(B682)))-'1.설계입력'!$C$33*(1-'1.설계입력'!$C$39*COS(B682)-SQRT(MAX(0,1-'1.설계입력'!$C$39^2))*SIN(B682))/SQRT(1+'1.설계입력'!$C$39^2-2*'1.설계입력'!$C$39*COS(B682)))</f>
        <v>6.5499422618518566E-3</v>
      </c>
    </row>
    <row r="683" spans="1:11" x14ac:dyDescent="0.3">
      <c r="A683" s="40">
        <f>A682+'1.설계입력'!$C$12</f>
        <v>135.40000000000086</v>
      </c>
      <c r="B683" s="40">
        <f t="shared" si="30"/>
        <v>2.3631758072003373</v>
      </c>
      <c r="C683" s="40">
        <f>ATAN2('1.설계입력'!$C$6/('1.설계입력'!$C$8*'1.설계입력'!$C$15)-COS((1-'1.설계입력'!$C$15)*B683),SIN((1-'1.설계입력'!$C$15)*B683))</f>
        <v>0.43854736601309069</v>
      </c>
      <c r="D683" s="40">
        <f>'1.설계입력'!$C$6*COS(B683)-'1.설계입력'!$C$7*COS(B683+C683)-'1.설계입력'!$C$8*COS('1.설계입력'!$C$15*B683)</f>
        <v>-56.056835578738259</v>
      </c>
      <c r="E683" s="40">
        <f>-'1.설계입력'!$C$6*SIN(B683)+'1.설계입력'!$C$7*SIN(B683+C683)+'1.설계입력'!$C$8*SIN('1.설계입력'!$C$15*B683)</f>
        <v>-55.82963814661008</v>
      </c>
      <c r="F683" s="40">
        <f>ATAN2(('1.설계입력'!$C$6+'1.설계입력'!$C$33)/('1.설계입력'!$C$8*'1.설계입력'!$C$15)-COS((1-'1.설계입력'!$C$15)*B683),SIN((1-'1.설계입력'!$C$15)*B683))</f>
        <v>0.43855805917611013</v>
      </c>
      <c r="G683" s="40">
        <f>('1.설계입력'!$C$6+'1.설계입력'!$C$33)*COS(B683)-('1.설계입력'!$C$7+'1.설계입력'!$C$34)*COS(B683+F683)-'1.설계입력'!$C$8*COS('1.설계입력'!$C$15*B683)</f>
        <v>-56.0469773451821</v>
      </c>
      <c r="H683" s="40">
        <f>-('1.설계입력'!$C$6+'1.설계입력'!$C$33)*SIN(B683)+('1.설계입력'!$C$7+'1.설계입력'!$C$34)*SIN(B683+F683)+'1.설계입력'!$C$8*SIN('1.설계입력'!$C$15*B683)</f>
        <v>-55.824801631126334</v>
      </c>
      <c r="I683" s="40">
        <f t="shared" si="31"/>
        <v>79.115847405454204</v>
      </c>
      <c r="J683" s="40">
        <f t="shared" si="32"/>
        <v>79.105449538486042</v>
      </c>
      <c r="K683" s="38">
        <f>IF(OR(A683&gt;180,'1.설계입력'!$C$39&gt;=1),"",'1.설계입력'!$C$34*(1-SIN(B683)/SQRT(1+'1.설계입력'!$C$39^2-2*'1.설계입력'!$C$39*COS(B683)))-'1.설계입력'!$C$33*(1-'1.설계입력'!$C$39*COS(B683)-SQRT(MAX(0,1-'1.설계입력'!$C$39^2))*SIN(B683))/SQRT(1+'1.설계입력'!$C$39^2-2*'1.설계입력'!$C$39*COS(B683)))</f>
        <v>6.5702759564831561E-3</v>
      </c>
    </row>
    <row r="684" spans="1:11" x14ac:dyDescent="0.3">
      <c r="A684" s="40">
        <f>A683+'1.설계입력'!$C$12</f>
        <v>135.60000000000085</v>
      </c>
      <c r="B684" s="40">
        <f t="shared" si="30"/>
        <v>2.3666664657043257</v>
      </c>
      <c r="C684" s="40">
        <f>ATAN2('1.설계입력'!$C$6/('1.설계입력'!$C$8*'1.설계입력'!$C$15)-COS((1-'1.설계입력'!$C$15)*B684),SIN((1-'1.설계입력'!$C$15)*B684))</f>
        <v>0.49199908581391522</v>
      </c>
      <c r="D684" s="40">
        <f>'1.설계입력'!$C$6*COS(B684)-'1.설계입력'!$C$7*COS(B684+C684)-'1.설계입력'!$C$8*COS('1.설계입력'!$C$15*B684)</f>
        <v>-56.116108311749279</v>
      </c>
      <c r="E684" s="40">
        <f>-'1.설계입력'!$C$6*SIN(B684)+'1.설계입력'!$C$7*SIN(B684+C684)+'1.설계입력'!$C$8*SIN('1.설계입력'!$C$15*B684)</f>
        <v>-55.645618685421447</v>
      </c>
      <c r="F684" s="40">
        <f>ATAN2(('1.설계입력'!$C$6+'1.설계입력'!$C$33)/('1.설계입력'!$C$8*'1.설계입력'!$C$15)-COS((1-'1.설계입력'!$C$15)*B684),SIN((1-'1.설계입력'!$C$15)*B684))</f>
        <v>0.49201148636906056</v>
      </c>
      <c r="G684" s="40">
        <f>('1.설계입력'!$C$6+'1.설계입력'!$C$33)*COS(B684)-('1.설계입력'!$C$7+'1.설계입력'!$C$34)*COS(B684+F684)-'1.설계입력'!$C$8*COS('1.설계입력'!$C$15*B684)</f>
        <v>-56.106101607916884</v>
      </c>
      <c r="H684" s="40">
        <f>-('1.설계입력'!$C$6+'1.설계입력'!$C$33)*SIN(B684)+('1.설계입력'!$C$7+'1.설계입력'!$C$34)*SIN(B684+F684)+'1.설계입력'!$C$8*SIN('1.설계입력'!$C$15*B684)</f>
        <v>-55.64123619845742</v>
      </c>
      <c r="I684" s="40">
        <f t="shared" si="31"/>
        <v>79.028175298049874</v>
      </c>
      <c r="J684" s="40">
        <f t="shared" si="32"/>
        <v>79.017984050027636</v>
      </c>
      <c r="K684" s="38">
        <f>IF(OR(A684&gt;180,'1.설계입력'!$C$39&gt;=1),"",'1.설계입력'!$C$34*(1-SIN(B684)/SQRT(1+'1.설계입력'!$C$39^2-2*'1.설계입력'!$C$39*COS(B684)))-'1.설계입력'!$C$33*(1-'1.설계입력'!$C$39*COS(B684)-SQRT(MAX(0,1-'1.설계입력'!$C$39^2))*SIN(B684))/SQRT(1+'1.설계입력'!$C$39^2-2*'1.설계입력'!$C$39*COS(B684)))</f>
        <v>6.5906190057249776E-3</v>
      </c>
    </row>
    <row r="685" spans="1:11" x14ac:dyDescent="0.3">
      <c r="A685" s="40">
        <f>A684+'1.설계입력'!$C$12</f>
        <v>135.80000000000084</v>
      </c>
      <c r="B685" s="40">
        <f t="shared" si="30"/>
        <v>2.3701571242083141</v>
      </c>
      <c r="C685" s="40">
        <f>ATAN2('1.설계입력'!$C$6/('1.설계입력'!$C$8*'1.설계입력'!$C$15)-COS((1-'1.설계입력'!$C$15)*B685),SIN((1-'1.설계입력'!$C$15)*B685))</f>
        <v>0.54408248315084373</v>
      </c>
      <c r="D685" s="40">
        <f>'1.설계입력'!$C$6*COS(B685)-'1.설계입력'!$C$7*COS(B685+C685)-'1.설계입력'!$C$8*COS('1.설계입력'!$C$15*B685)</f>
        <v>-56.161676254225632</v>
      </c>
      <c r="E685" s="40">
        <f>-'1.설계입력'!$C$6*SIN(B685)+'1.설계입력'!$C$7*SIN(B685+C685)+'1.설계입력'!$C$8*SIN('1.설계입력'!$C$15*B685)</f>
        <v>-55.471061625866767</v>
      </c>
      <c r="F685" s="40">
        <f>ATAN2(('1.설계입력'!$C$6+'1.설계입력'!$C$33)/('1.설계입력'!$C$8*'1.설계입력'!$C$15)-COS((1-'1.설계입력'!$C$15)*B685),SIN((1-'1.설계입력'!$C$15)*B685))</f>
        <v>0.54409673875970954</v>
      </c>
      <c r="G685" s="40">
        <f>('1.설계입력'!$C$6+'1.설계입력'!$C$33)*COS(B685)-('1.설계입력'!$C$7+'1.설계입력'!$C$34)*COS(B685+F685)-'1.설계입력'!$C$8*COS('1.설계입력'!$C$15*B685)</f>
        <v>-56.151549394806906</v>
      </c>
      <c r="H685" s="40">
        <f>-('1.설계입력'!$C$6+'1.설계입력'!$C$33)*SIN(B685)+('1.설계입력'!$C$7+'1.설계입력'!$C$34)*SIN(B685+F685)+'1.설계입력'!$C$8*SIN('1.설계입력'!$C$15*B685)</f>
        <v>-55.467130345911762</v>
      </c>
      <c r="I685" s="40">
        <f t="shared" si="31"/>
        <v>78.937776492533402</v>
      </c>
      <c r="J685" s="40">
        <f t="shared" si="32"/>
        <v>78.927809093169472</v>
      </c>
      <c r="K685" s="38">
        <f>IF(OR(A685&gt;180,'1.설계입력'!$C$39&gt;=1),"",'1.설계입력'!$C$34*(1-SIN(B685)/SQRT(1+'1.설계입력'!$C$39^2-2*'1.설계입력'!$C$39*COS(B685)))-'1.설계입력'!$C$33*(1-'1.설계입력'!$C$39*COS(B685)-SQRT(MAX(0,1-'1.설계입력'!$C$39^2))*SIN(B685))/SQRT(1+'1.설계입력'!$C$39^2-2*'1.설계입력'!$C$39*COS(B685)))</f>
        <v>6.610971331505686E-3</v>
      </c>
    </row>
    <row r="686" spans="1:11" x14ac:dyDescent="0.3">
      <c r="A686" s="40">
        <f>A685+'1.설계입력'!$C$12</f>
        <v>136.00000000000082</v>
      </c>
      <c r="B686" s="40">
        <f t="shared" si="30"/>
        <v>2.3736477827123026</v>
      </c>
      <c r="C686" s="40">
        <f>ATAN2('1.설계입력'!$C$6/('1.설계입력'!$C$8*'1.설계입력'!$C$15)-COS((1-'1.설계입력'!$C$15)*B686),SIN((1-'1.설계입력'!$C$15)*B686))</f>
        <v>0.59443353331815629</v>
      </c>
      <c r="D686" s="40">
        <f>'1.설계입력'!$C$6*COS(B686)-'1.설계입력'!$C$7*COS(B686+C686)-'1.설계입력'!$C$8*COS('1.설계입력'!$C$15*B686)</f>
        <v>-56.194991748766519</v>
      </c>
      <c r="E686" s="40">
        <f>-'1.설계입력'!$C$6*SIN(B686)+'1.설계입력'!$C$7*SIN(B686+C686)+'1.설계입력'!$C$8*SIN('1.설계입력'!$C$15*B686)</f>
        <v>-55.307236883904949</v>
      </c>
      <c r="F686" s="40">
        <f>ATAN2(('1.설계입력'!$C$6+'1.설계입력'!$C$33)/('1.설계입력'!$C$8*'1.설계입력'!$C$15)-COS((1-'1.설계입력'!$C$15)*B686),SIN((1-'1.설계입력'!$C$15)*B686))</f>
        <v>0.5944498279274899</v>
      </c>
      <c r="G686" s="40">
        <f>('1.설계입력'!$C$6+'1.설계입력'!$C$33)*COS(B686)-('1.설계입력'!$C$7+'1.설계입력'!$C$34)*COS(B686+F686)-'1.설계입력'!$C$8*COS('1.설계입력'!$C$15*B686)</f>
        <v>-56.184772145035168</v>
      </c>
      <c r="H686" s="40">
        <f>-('1.설계입력'!$C$6+'1.설계입력'!$C$33)*SIN(B686)+('1.설계입력'!$C$7+'1.설계입력'!$C$34)*SIN(B686+F686)+'1.설계입력'!$C$8*SIN('1.설계입력'!$C$15*B686)</f>
        <v>-55.303749372451882</v>
      </c>
      <c r="I686" s="40">
        <f t="shared" si="31"/>
        <v>78.8464808940533</v>
      </c>
      <c r="J686" s="40">
        <f t="shared" si="32"/>
        <v>78.836751046960899</v>
      </c>
      <c r="K686" s="38">
        <f>IF(OR(A686&gt;180,'1.설계입력'!$C$39&gt;=1),"",'1.설계입력'!$C$34*(1-SIN(B686)/SQRT(1+'1.설계입력'!$C$39^2-2*'1.설계입력'!$C$39*COS(B686)))-'1.설계입력'!$C$33*(1-'1.설계입력'!$C$39*COS(B686)-SQRT(MAX(0,1-'1.설계입력'!$C$39^2))*SIN(B686))/SQRT(1+'1.설계입력'!$C$39^2-2*'1.설계입력'!$C$39*COS(B686)))</f>
        <v>6.6313328558273267E-3</v>
      </c>
    </row>
    <row r="687" spans="1:11" x14ac:dyDescent="0.3">
      <c r="A687" s="40">
        <f>A686+'1.설계입력'!$C$12</f>
        <v>136.20000000000081</v>
      </c>
      <c r="B687" s="40">
        <f t="shared" si="30"/>
        <v>2.377138441216291</v>
      </c>
      <c r="C687" s="40">
        <f>ATAN2('1.설계입력'!$C$6/('1.설계입력'!$C$8*'1.설계입력'!$C$15)-COS((1-'1.설계입력'!$C$15)*B687),SIN((1-'1.설계입력'!$C$15)*B687))</f>
        <v>0.6425728230600799</v>
      </c>
      <c r="D687" s="40">
        <f>'1.설계입력'!$C$6*COS(B687)-'1.설계입력'!$C$7*COS(B687+C687)-'1.설계입력'!$C$8*COS('1.설계입력'!$C$15*B687)</f>
        <v>-56.217707999067088</v>
      </c>
      <c r="E687" s="40">
        <f>-'1.설계입력'!$C$6*SIN(B687)+'1.설계입력'!$C$7*SIN(B687+C687)+'1.설계입력'!$C$8*SIN('1.설계입력'!$C$15*B687)</f>
        <v>-55.154703603649367</v>
      </c>
      <c r="F687" s="40">
        <f>ATAN2(('1.설계입력'!$C$6+'1.설계입력'!$C$33)/('1.설계입력'!$C$8*'1.설계입력'!$C$15)-COS((1-'1.설계입력'!$C$15)*B687),SIN((1-'1.설계입력'!$C$15)*B687))</f>
        <v>0.64259138664973592</v>
      </c>
      <c r="G687" s="40">
        <f>('1.설계입력'!$C$6+'1.설계입력'!$C$33)*COS(B687)-('1.설계입력'!$C$7+'1.설계입력'!$C$34)*COS(B687+F687)-'1.설계입력'!$C$8*COS('1.설계입력'!$C$15*B687)</f>
        <v>-56.207421585535592</v>
      </c>
      <c r="H687" s="40">
        <f>-('1.설계입력'!$C$6+'1.설계입력'!$C$33)*SIN(B687)+('1.설계입력'!$C$7+'1.설계입력'!$C$34)*SIN(B687+F687)+'1.설계입력'!$C$8*SIN('1.설계입력'!$C$15*B687)</f>
        <v>-55.151647015841618</v>
      </c>
      <c r="I687" s="40">
        <f t="shared" si="31"/>
        <v>78.755774532886051</v>
      </c>
      <c r="J687" s="40">
        <f t="shared" si="32"/>
        <v>78.746291403812307</v>
      </c>
      <c r="K687" s="38">
        <f>IF(OR(A687&gt;180,'1.설계입력'!$C$39&gt;=1),"",'1.설계입력'!$C$34*(1-SIN(B687)/SQRT(1+'1.설계입력'!$C$39^2-2*'1.설계입력'!$C$39*COS(B687)))-'1.설계입력'!$C$33*(1-'1.설계입력'!$C$39*COS(B687)-SQRT(MAX(0,1-'1.설계입력'!$C$39^2))*SIN(B687))/SQRT(1+'1.설계입력'!$C$39^2-2*'1.설계입력'!$C$39*COS(B687)))</f>
        <v>6.651703500765091E-3</v>
      </c>
    </row>
    <row r="688" spans="1:11" x14ac:dyDescent="0.3">
      <c r="A688" s="40">
        <f>A687+'1.설계입력'!$C$12</f>
        <v>136.4000000000008</v>
      </c>
      <c r="B688" s="40">
        <f t="shared" si="30"/>
        <v>2.3806290997202795</v>
      </c>
      <c r="C688" s="40">
        <f>ATAN2('1.설계입력'!$C$6/('1.설계입력'!$C$8*'1.설계입력'!$C$15)-COS((1-'1.설계입력'!$C$15)*B688),SIN((1-'1.설계입력'!$C$15)*B688))</f>
        <v>0.68785316398722107</v>
      </c>
      <c r="D688" s="40">
        <f>'1.설계입력'!$C$6*COS(B688)-'1.설계입력'!$C$7*COS(B688+C688)-'1.설계입력'!$C$8*COS('1.설계입력'!$C$15*B688)</f>
        <v>-56.231567490410171</v>
      </c>
      <c r="E688" s="40">
        <f>-'1.설계입력'!$C$6*SIN(B688)+'1.설계입력'!$C$7*SIN(B688+C688)+'1.설계입력'!$C$8*SIN('1.설계입력'!$C$15*B688)</f>
        <v>-55.013065121326385</v>
      </c>
      <c r="F688" s="40">
        <f>ATAN2(('1.설계입력'!$C$6+'1.설계입력'!$C$33)/('1.설계입력'!$C$8*'1.설계입력'!$C$15)-COS((1-'1.설계입력'!$C$15)*B688),SIN((1-'1.설계입력'!$C$15)*B688))</f>
        <v>0.68787428572754172</v>
      </c>
      <c r="G688" s="40">
        <f>('1.설계입력'!$C$6+'1.설계입력'!$C$33)*COS(B688)-('1.설계입력'!$C$7+'1.설계입력'!$C$34)*COS(B688+F688)-'1.설계입력'!$C$8*COS('1.설계입력'!$C$15*B688)</f>
        <v>-56.221238012793002</v>
      </c>
      <c r="H688" s="40">
        <f>-('1.설계입력'!$C$6+'1.설계입력'!$C$33)*SIN(B688)+('1.설계입력'!$C$7+'1.설계입력'!$C$34)*SIN(B688+F688)+'1.설계입력'!$C$8*SIN('1.설계입력'!$C$15*B688)</f>
        <v>-55.010420065960162</v>
      </c>
      <c r="I688" s="40">
        <f t="shared" si="31"/>
        <v>78.666552717605796</v>
      </c>
      <c r="J688" s="40">
        <f t="shared" si="32"/>
        <v>78.6573195546639</v>
      </c>
      <c r="K688" s="38">
        <f>IF(OR(A688&gt;180,'1.설계입력'!$C$39&gt;=1),"",'1.설계입력'!$C$34*(1-SIN(B688)/SQRT(1+'1.설계입력'!$C$39^2-2*'1.설계입력'!$C$39*COS(B688)))-'1.설계입력'!$C$33*(1-'1.설계입력'!$C$39*COS(B688)-SQRT(MAX(0,1-'1.설계입력'!$C$39^2))*SIN(B688))/SQRT(1+'1.설계입력'!$C$39^2-2*'1.설계입력'!$C$39*COS(B688)))</f>
        <v>6.6720831884668017E-3</v>
      </c>
    </row>
    <row r="689" spans="1:11" x14ac:dyDescent="0.3">
      <c r="A689" s="40">
        <f>A688+'1.설계입력'!$C$12</f>
        <v>136.60000000000079</v>
      </c>
      <c r="B689" s="40">
        <f t="shared" si="30"/>
        <v>2.3841197582242679</v>
      </c>
      <c r="C689" s="40">
        <f>ATAN2('1.설계입력'!$C$6/('1.설계입력'!$C$8*'1.설계입력'!$C$15)-COS((1-'1.설계입력'!$C$15)*B689),SIN((1-'1.설계입력'!$C$15)*B689))</f>
        <v>0.72937719305346671</v>
      </c>
      <c r="D689" s="40">
        <f>'1.설계입력'!$C$6*COS(B689)-'1.설계입력'!$C$7*COS(B689+C689)-'1.설계입력'!$C$8*COS('1.설계입력'!$C$15*B689)</f>
        <v>-56.238258372932798</v>
      </c>
      <c r="E689" s="40">
        <f>-'1.설계입력'!$C$6*SIN(B689)+'1.설계입력'!$C$7*SIN(B689+C689)+'1.설계입력'!$C$8*SIN('1.설계입력'!$C$15*B689)</f>
        <v>-54.880616791922364</v>
      </c>
      <c r="F689" s="40">
        <f>ATAN2(('1.설계입력'!$C$6+'1.설계입력'!$C$33)/('1.설계입력'!$C$8*'1.설계입력'!$C$15)-COS((1-'1.설계입력'!$C$15)*B689),SIN((1-'1.설계입력'!$C$15)*B689))</f>
        <v>0.72940123897264164</v>
      </c>
      <c r="G689" s="40">
        <f>('1.설계입력'!$C$6+'1.설계입력'!$C$33)*COS(B689)-('1.설계입력'!$C$7+'1.설계입력'!$C$34)*COS(B689+F689)-'1.설계입력'!$C$8*COS('1.설계입력'!$C$15*B689)</f>
        <v>-56.227906481879195</v>
      </c>
      <c r="H689" s="40">
        <f>-('1.설계입력'!$C$6+'1.설계입력'!$C$33)*SIN(B689)+('1.설계입력'!$C$7+'1.설계입력'!$C$34)*SIN(B689+F689)+'1.설계입력'!$C$8*SIN('1.설계입력'!$C$15*B689)</f>
        <v>-54.878355615833705</v>
      </c>
      <c r="I689" s="40">
        <f t="shared" si="31"/>
        <v>78.578774515021408</v>
      </c>
      <c r="J689" s="40">
        <f t="shared" si="32"/>
        <v>78.569786702223254</v>
      </c>
      <c r="K689" s="38">
        <f>IF(OR(A689&gt;180,'1.설계입력'!$C$39&gt;=1),"",'1.설계입력'!$C$34*(1-SIN(B689)/SQRT(1+'1.설계입력'!$C$39^2-2*'1.설계입력'!$C$39*COS(B689)))-'1.설계입력'!$C$33*(1-'1.설계입력'!$C$39*COS(B689)-SQRT(MAX(0,1-'1.설계입력'!$C$39^2))*SIN(B689))/SQRT(1+'1.설계입력'!$C$39^2-2*'1.설계입력'!$C$39*COS(B689)))</f>
        <v>6.6924718411523788E-3</v>
      </c>
    </row>
    <row r="690" spans="1:11" x14ac:dyDescent="0.3">
      <c r="A690" s="40">
        <f>A689+'1.설계입력'!$C$12</f>
        <v>136.80000000000078</v>
      </c>
      <c r="B690" s="40">
        <f t="shared" si="30"/>
        <v>2.3876104167282564</v>
      </c>
      <c r="C690" s="40">
        <f>ATAN2('1.설계입력'!$C$6/('1.설계입력'!$C$8*'1.설계입력'!$C$15)-COS((1-'1.설계입력'!$C$15)*B690),SIN((1-'1.설계입력'!$C$15)*B690))</f>
        <v>0.76586332366963994</v>
      </c>
      <c r="D690" s="40">
        <f>'1.설계입력'!$C$6*COS(B690)-'1.설계입력'!$C$7*COS(B690+C690)-'1.설계입력'!$C$8*COS('1.설계입력'!$C$15*B690)</f>
        <v>-56.239235257244623</v>
      </c>
      <c r="E690" s="40">
        <f>-'1.설계입력'!$C$6*SIN(B690)+'1.설계입력'!$C$7*SIN(B690+C690)+'1.설계입력'!$C$8*SIN('1.설계입력'!$C$15*B690)</f>
        <v>-54.753801140857746</v>
      </c>
      <c r="F690" s="40">
        <f>ATAN2(('1.설계입력'!$C$6+'1.설계입력'!$C$33)/('1.설계입력'!$C$8*'1.설계입력'!$C$15)-COS((1-'1.설계입력'!$C$15)*B690),SIN((1-'1.설계입력'!$C$15)*B690))</f>
        <v>0.76589075985005373</v>
      </c>
      <c r="G690" s="40">
        <f>('1.설계입력'!$C$6+'1.설계입력'!$C$33)*COS(B690)-('1.설계입력'!$C$7+'1.설계입력'!$C$34)*COS(B690+F690)-'1.설계입력'!$C$8*COS('1.설계입력'!$C$15*B690)</f>
        <v>-56.228877334196426</v>
      </c>
      <c r="H690" s="40">
        <f>-('1.설계입력'!$C$6+'1.설계입력'!$C$33)*SIN(B690)+('1.설계입력'!$C$7+'1.설계입력'!$C$34)*SIN(B690+F690)+'1.설계입력'!$C$8*SIN('1.설계입력'!$C$15*B690)</f>
        <v>-54.751885238543778</v>
      </c>
      <c r="I690" s="40">
        <f t="shared" si="31"/>
        <v>78.49095694213635</v>
      </c>
      <c r="J690" s="40">
        <f t="shared" si="32"/>
        <v>78.482199150117964</v>
      </c>
      <c r="K690" s="38">
        <f>IF(OR(A690&gt;180,'1.설계입력'!$C$39&gt;=1),"",'1.설계입력'!$C$34*(1-SIN(B690)/SQRT(1+'1.설계입력'!$C$39^2-2*'1.설계입력'!$C$39*COS(B690)))-'1.설계입력'!$C$33*(1-'1.설계입력'!$C$39*COS(B690)-SQRT(MAX(0,1-'1.설계입력'!$C$39^2))*SIN(B690))/SQRT(1+'1.설계입력'!$C$39^2-2*'1.설계입력'!$C$39*COS(B690)))</f>
        <v>6.7128693811133369E-3</v>
      </c>
    </row>
    <row r="691" spans="1:11" x14ac:dyDescent="0.3">
      <c r="A691" s="40">
        <f>A690+'1.설계입력'!$C$12</f>
        <v>137.00000000000077</v>
      </c>
      <c r="B691" s="40">
        <f t="shared" si="30"/>
        <v>2.3911010752322448</v>
      </c>
      <c r="C691" s="40">
        <f>ATAN2('1.설계입력'!$C$6/('1.설계입력'!$C$8*'1.설계입력'!$C$15)-COS((1-'1.설계입력'!$C$15)*B691),SIN((1-'1.설계입력'!$C$15)*B691))</f>
        <v>0.79541947802419266</v>
      </c>
      <c r="D691" s="40">
        <f>'1.설계입력'!$C$6*COS(B691)-'1.설계입력'!$C$7*COS(B691+C691)-'1.설계입력'!$C$8*COS('1.설계입력'!$C$15*B691)</f>
        <v>-56.235512152587027</v>
      </c>
      <c r="E691" s="40">
        <f>-'1.설계입력'!$C$6*SIN(B691)+'1.설계입력'!$C$7*SIN(B691+C691)+'1.설계입력'!$C$8*SIN('1.설계입력'!$C$15*B691)</f>
        <v>-54.626305041912474</v>
      </c>
      <c r="F691" s="40">
        <f>ATAN2(('1.설계입력'!$C$6+'1.설계입력'!$C$33)/('1.설계입력'!$C$8*'1.설계입력'!$C$15)-COS((1-'1.설계입력'!$C$15)*B691),SIN((1-'1.설계입력'!$C$15)*B691))</f>
        <v>0.79545089903637112</v>
      </c>
      <c r="G691" s="40">
        <f>('1.설계입력'!$C$6+'1.설계입력'!$C$33)*COS(B691)-('1.설계입력'!$C$7+'1.설계입력'!$C$34)*COS(B691+F691)-'1.설계입력'!$C$8*COS('1.설계입력'!$C$15*B691)</f>
        <v>-56.225158787955642</v>
      </c>
      <c r="H691" s="40">
        <f>-('1.설계입력'!$C$6+'1.설계입력'!$C$33)*SIN(B691)+('1.설계입력'!$C$7+'1.설계입력'!$C$34)*SIN(B691+F691)+'1.설계입력'!$C$8*SIN('1.설계입력'!$C$15*B691)</f>
        <v>-54.624680451954454</v>
      </c>
      <c r="I691" s="40">
        <f t="shared" si="31"/>
        <v>78.39940069666244</v>
      </c>
      <c r="J691" s="40">
        <f t="shared" si="32"/>
        <v>78.390842546875078</v>
      </c>
      <c r="K691" s="38">
        <f>IF(OR(A691&gt;180,'1.설계입력'!$C$39&gt;=1),"",'1.설계입력'!$C$34*(1-SIN(B691)/SQRT(1+'1.설계입력'!$C$39^2-2*'1.설계입력'!$C$39*COS(B691)))-'1.설계입력'!$C$33*(1-'1.설계입력'!$C$39*COS(B691)-SQRT(MAX(0,1-'1.설계입력'!$C$39^2))*SIN(B691))/SQRT(1+'1.설계입력'!$C$39^2-2*'1.설계입력'!$C$39*COS(B691)))</f>
        <v>6.7332757307122723E-3</v>
      </c>
    </row>
    <row r="692" spans="1:11" x14ac:dyDescent="0.3">
      <c r="A692" s="40">
        <f>A691+'1.설계입력'!$C$12</f>
        <v>137.20000000000076</v>
      </c>
      <c r="B692" s="40">
        <f t="shared" si="30"/>
        <v>2.3945917337362332</v>
      </c>
      <c r="C692" s="40">
        <f>ATAN2('1.설계입력'!$C$6/('1.설계입력'!$C$8*'1.설계입력'!$C$15)-COS((1-'1.설계입력'!$C$15)*B692),SIN((1-'1.설계입력'!$C$15)*B692))</f>
        <v>0.81514572447463884</v>
      </c>
      <c r="D692" s="40">
        <f>'1.설계입력'!$C$6*COS(B692)-'1.설계입력'!$C$7*COS(B692+C692)-'1.설계입력'!$C$8*COS('1.설계입력'!$C$15*B692)</f>
        <v>-56.227481969625629</v>
      </c>
      <c r="E692" s="40">
        <f>-'1.설계입력'!$C$6*SIN(B692)+'1.설계입력'!$C$7*SIN(B692+C692)+'1.설계입력'!$C$8*SIN('1.설계입력'!$C$15*B692)</f>
        <v>-54.487469013036282</v>
      </c>
      <c r="F692" s="40">
        <f>ATAN2(('1.설계입력'!$C$6+'1.설계입력'!$C$33)/('1.설계입력'!$C$8*'1.설계입력'!$C$15)-COS((1-'1.설계입력'!$C$15)*B692),SIN((1-'1.설계입력'!$C$15)*B692))</f>
        <v>0.81518188100732802</v>
      </c>
      <c r="G692" s="40">
        <f>('1.설계입력'!$C$6+'1.설계입력'!$C$33)*COS(B692)-('1.설계입력'!$C$7+'1.설계입력'!$C$34)*COS(B692+F692)-'1.설계입력'!$C$8*COS('1.설계입력'!$C$15*B692)</f>
        <v>-56.2171360772615</v>
      </c>
      <c r="H692" s="40">
        <f>-('1.설계입력'!$C$6+'1.설계입력'!$C$33)*SIN(B692)+('1.설계입력'!$C$7+'1.설계입력'!$C$34)*SIN(B692+F692)+'1.설계입력'!$C$8*SIN('1.설계입력'!$C$15*B692)</f>
        <v>-54.486058873278132</v>
      </c>
      <c r="I692" s="40">
        <f t="shared" si="31"/>
        <v>78.296960401353786</v>
      </c>
      <c r="J692" s="40">
        <f t="shared" si="32"/>
        <v>78.288549611495981</v>
      </c>
      <c r="K692" s="38">
        <f>IF(OR(A692&gt;180,'1.설계입력'!$C$39&gt;=1),"",'1.설계입력'!$C$34*(1-SIN(B692)/SQRT(1+'1.설계입력'!$C$39^2-2*'1.설계입력'!$C$39*COS(B692)))-'1.설계입력'!$C$33*(1-'1.설계입력'!$C$39*COS(B692)-SQRT(MAX(0,1-'1.설계입력'!$C$39^2))*SIN(B692))/SQRT(1+'1.설계입력'!$C$39^2-2*'1.설계입력'!$C$39*COS(B692)))</f>
        <v>6.7536908123823659E-3</v>
      </c>
    </row>
    <row r="693" spans="1:11" x14ac:dyDescent="0.3">
      <c r="A693" s="40">
        <f>A692+'1.설계입력'!$C$12</f>
        <v>137.40000000000074</v>
      </c>
      <c r="B693" s="40">
        <f t="shared" si="30"/>
        <v>2.3980823922402217</v>
      </c>
      <c r="C693" s="40">
        <f>ATAN2('1.설계입력'!$C$6/('1.설계입력'!$C$8*'1.설계입력'!$C$15)-COS((1-'1.설계입력'!$C$15)*B693),SIN((1-'1.설계입력'!$C$15)*B693))</f>
        <v>0.82040803908476667</v>
      </c>
      <c r="D693" s="40">
        <f>'1.설계입력'!$C$6*COS(B693)-'1.설계입력'!$C$7*COS(B693+C693)-'1.설계입력'!$C$8*COS('1.설계입력'!$C$15*B693)</f>
        <v>-56.214989158716314</v>
      </c>
      <c r="E693" s="40">
        <f>-'1.설계입력'!$C$6*SIN(B693)+'1.설계입력'!$C$7*SIN(B693+C693)+'1.설계입력'!$C$8*SIN('1.설계입력'!$C$15*B693)</f>
        <v>-54.319334726691856</v>
      </c>
      <c r="F693" s="40">
        <f>ATAN2(('1.설계입력'!$C$6+'1.설계입력'!$C$33)/('1.설계입력'!$C$8*'1.설계입력'!$C$15)-COS((1-'1.설계입력'!$C$15)*B693),SIN((1-'1.설계입력'!$C$15)*B693))</f>
        <v>0.82044983748246103</v>
      </c>
      <c r="G693" s="40">
        <f>('1.설계입력'!$C$6+'1.설계입력'!$C$33)*COS(B693)-('1.설계입력'!$C$7+'1.설계입력'!$C$34)*COS(B693+F693)-'1.설계입력'!$C$8*COS('1.설계입력'!$C$15*B693)</f>
        <v>-56.204644068332293</v>
      </c>
      <c r="H693" s="40">
        <f>-('1.설계입력'!$C$6+'1.설계입력'!$C$33)*SIN(B693)+('1.설계입력'!$C$7+'1.설계입력'!$C$34)*SIN(B693+F693)+'1.설계입력'!$C$8*SIN('1.설계입력'!$C$15*B693)</f>
        <v>-54.318025706300283</v>
      </c>
      <c r="I693" s="40">
        <f t="shared" si="31"/>
        <v>78.171063260422557</v>
      </c>
      <c r="J693" s="40">
        <f t="shared" si="32"/>
        <v>78.162714458226304</v>
      </c>
      <c r="K693" s="38">
        <f>IF(OR(A693&gt;180,'1.설계입력'!$C$39&gt;=1),"",'1.설계입력'!$C$34*(1-SIN(B693)/SQRT(1+'1.설계입력'!$C$39^2-2*'1.설계입력'!$C$39*COS(B693)))-'1.설계입력'!$C$33*(1-'1.설계입력'!$C$39*COS(B693)-SQRT(MAX(0,1-'1.설계입력'!$C$39^2))*SIN(B693))/SQRT(1+'1.설계입력'!$C$39^2-2*'1.설계입력'!$C$39*COS(B693)))</f>
        <v>6.7741145486268882E-3</v>
      </c>
    </row>
    <row r="694" spans="1:11" x14ac:dyDescent="0.3">
      <c r="A694" s="40">
        <f>A693+'1.설계입력'!$C$12</f>
        <v>137.60000000000073</v>
      </c>
      <c r="B694" s="40">
        <f t="shared" si="30"/>
        <v>2.4015730507442101</v>
      </c>
      <c r="C694" s="40">
        <f>ATAN2('1.설계입력'!$C$6/('1.설계입력'!$C$8*'1.설계입력'!$C$15)-COS((1-'1.설계입력'!$C$15)*B694),SIN((1-'1.설계입력'!$C$15)*B694))</f>
        <v>0.80346762980174613</v>
      </c>
      <c r="D694" s="40">
        <f>'1.설계입력'!$C$6*COS(B694)-'1.설계입력'!$C$7*COS(B694+C694)-'1.설계입력'!$C$8*COS('1.설계입력'!$C$15*B694)</f>
        <v>-56.198503691555445</v>
      </c>
      <c r="E694" s="40">
        <f>-'1.설계입력'!$C$6*SIN(B694)+'1.설계입력'!$C$7*SIN(B694+C694)+'1.설계입력'!$C$8*SIN('1.설계입력'!$C$15*B694)</f>
        <v>-54.090974054756792</v>
      </c>
      <c r="F694" s="40">
        <f>ATAN2(('1.설계입력'!$C$6+'1.설계입력'!$C$33)/('1.설계입력'!$C$8*'1.설계입력'!$C$15)-COS((1-'1.설계입력'!$C$15)*B694),SIN((1-'1.설계입력'!$C$15)*B694))</f>
        <v>0.80351600055841421</v>
      </c>
      <c r="G694" s="40">
        <f>('1.설계입력'!$C$6+'1.설계입력'!$C$33)*COS(B694)-('1.설계입력'!$C$7+'1.설계입력'!$C$34)*COS(B694+F694)-'1.설계입력'!$C$8*COS('1.설계입력'!$C$15*B694)</f>
        <v>-56.188143075825202</v>
      </c>
      <c r="H694" s="40">
        <f>-('1.설계입력'!$C$6+'1.설계입력'!$C$33)*SIN(B694)+('1.설계입력'!$C$7+'1.설계입력'!$C$34)*SIN(B694+F694)+'1.설계입력'!$C$8*SIN('1.설계입력'!$C$15*B694)</f>
        <v>-54.089590786053456</v>
      </c>
      <c r="I694" s="40">
        <f t="shared" si="31"/>
        <v>78.000674941708951</v>
      </c>
      <c r="J694" s="40">
        <f t="shared" si="32"/>
        <v>77.992251241467073</v>
      </c>
      <c r="K694" s="38">
        <f>IF(OR(A694&gt;180,'1.설계입력'!$C$39&gt;=1),"",'1.설계입력'!$C$34*(1-SIN(B694)/SQRT(1+'1.설계입력'!$C$39^2-2*'1.설계입력'!$C$39*COS(B694)))-'1.설계입력'!$C$33*(1-'1.설계입력'!$C$39*COS(B694)-SQRT(MAX(0,1-'1.설계입력'!$C$39^2))*SIN(B694))/SQRT(1+'1.설계입력'!$C$39^2-2*'1.설계입력'!$C$39*COS(B694)))</f>
        <v>6.7945468620187102E-3</v>
      </c>
    </row>
    <row r="695" spans="1:11" x14ac:dyDescent="0.3">
      <c r="A695" s="40">
        <f>A694+'1.설계입력'!$C$12</f>
        <v>137.80000000000072</v>
      </c>
      <c r="B695" s="40">
        <f t="shared" si="30"/>
        <v>2.4050637092481986</v>
      </c>
      <c r="C695" s="40">
        <f>ATAN2('1.설계입력'!$C$6/('1.설계입력'!$C$8*'1.설계입력'!$C$15)-COS((1-'1.설계입력'!$C$15)*B695),SIN((1-'1.설계입력'!$C$15)*B695))</f>
        <v>0.75089819220297982</v>
      </c>
      <c r="D695" s="40">
        <f>'1.설계입력'!$C$6*COS(B695)-'1.설계입력'!$C$7*COS(B695+C695)-'1.설계입력'!$C$8*COS('1.설계입력'!$C$15*B695)</f>
        <v>-56.184479948852548</v>
      </c>
      <c r="E695" s="40">
        <f>-'1.설계입력'!$C$6*SIN(B695)+'1.설계입력'!$C$7*SIN(B695+C695)+'1.설계입력'!$C$8*SIN('1.설계입력'!$C$15*B695)</f>
        <v>-53.747787556170813</v>
      </c>
      <c r="F695" s="40">
        <f>ATAN2(('1.설계입력'!$C$6+'1.설계입력'!$C$33)/('1.설계입력'!$C$8*'1.설계입력'!$C$15)-COS((1-'1.설계입력'!$C$15)*B695),SIN((1-'1.설계입력'!$C$15)*B695))</f>
        <v>0.75095345864240581</v>
      </c>
      <c r="G695" s="40">
        <f>('1.설계입력'!$C$6+'1.설계입력'!$C$33)*COS(B695)-('1.설계입력'!$C$7+'1.설계입력'!$C$34)*COS(B695+F695)-'1.설계입력'!$C$8*COS('1.설계입력'!$C$15*B695)</f>
        <v>-56.174087479806708</v>
      </c>
      <c r="H695" s="40">
        <f>-('1.설계입력'!$C$6+'1.설계입력'!$C$33)*SIN(B695)+('1.설계입력'!$C$7+'1.설계입력'!$C$34)*SIN(B695+F695)+'1.설계입력'!$C$8*SIN('1.설계입력'!$C$15*B695)</f>
        <v>-53.746043099705986</v>
      </c>
      <c r="I695" s="40">
        <f t="shared" si="31"/>
        <v>77.75294498799569</v>
      </c>
      <c r="J695" s="40">
        <f t="shared" si="32"/>
        <v>77.744229709120077</v>
      </c>
      <c r="K695" s="38">
        <f>IF(OR(A695&gt;180,'1.설계입력'!$C$39&gt;=1),"",'1.설계입력'!$C$34*(1-SIN(B695)/SQRT(1+'1.설계입력'!$C$39^2-2*'1.설계입력'!$C$39*COS(B695)))-'1.설계입력'!$C$33*(1-'1.설계입력'!$C$39*COS(B695)-SQRT(MAX(0,1-'1.설계입력'!$C$39^2))*SIN(B695))/SQRT(1+'1.설계입력'!$C$39^2-2*'1.설계입력'!$C$39*COS(B695)))</f>
        <v>6.8149876751998299E-3</v>
      </c>
    </row>
    <row r="696" spans="1:11" x14ac:dyDescent="0.3">
      <c r="A696" s="40">
        <f>A695+'1.설계입력'!$C$12</f>
        <v>138.00000000000071</v>
      </c>
      <c r="B696" s="40">
        <f t="shared" si="30"/>
        <v>2.408554367752187</v>
      </c>
      <c r="C696" s="40">
        <f>ATAN2('1.설계입력'!$C$6/('1.설계입력'!$C$8*'1.설계입력'!$C$15)-COS((1-'1.설계입력'!$C$15)*B696),SIN((1-'1.설계입력'!$C$15)*B696))</f>
        <v>0.63934492164439916</v>
      </c>
      <c r="D696" s="40">
        <f>'1.설계입력'!$C$6*COS(B696)-'1.설계입력'!$C$7*COS(B696+C696)-'1.설계입력'!$C$8*COS('1.설계입력'!$C$15*B696)</f>
        <v>-56.205419742371184</v>
      </c>
      <c r="E696" s="40">
        <f>-'1.설계입력'!$C$6*SIN(B696)+'1.설계입력'!$C$7*SIN(B696+C696)+'1.설계입력'!$C$8*SIN('1.설계입력'!$C$15*B696)</f>
        <v>-53.19544623981254</v>
      </c>
      <c r="F696" s="40">
        <f>ATAN2(('1.설계입력'!$C$6+'1.설계입력'!$C$33)/('1.설계입력'!$C$8*'1.설계입력'!$C$15)-COS((1-'1.설계입력'!$C$15)*B696),SIN((1-'1.설계입력'!$C$15)*B696))</f>
        <v>0.63940445098549104</v>
      </c>
      <c r="G696" s="40">
        <f>('1.설계입력'!$C$6+'1.설계입력'!$C$33)*COS(B696)-('1.설계입력'!$C$7+'1.설계입력'!$C$34)*COS(B696+F696)-'1.설계입력'!$C$8*COS('1.설계입력'!$C$15*B696)</f>
        <v>-56.195029204688922</v>
      </c>
      <c r="H696" s="40">
        <f>-('1.설계입력'!$C$6+'1.설계입력'!$C$33)*SIN(B696)+('1.설계입력'!$C$7+'1.설계입력'!$C$34)*SIN(B696+F696)+'1.설계입력'!$C$8*SIN('1.설계입력'!$C$15*B696)</f>
        <v>-53.192851682262052</v>
      </c>
      <c r="I696" s="40">
        <f t="shared" si="31"/>
        <v>77.38736789081868</v>
      </c>
      <c r="J696" s="40">
        <f t="shared" si="32"/>
        <v>77.378038081919399</v>
      </c>
      <c r="K696" s="38">
        <f>IF(OR(A696&gt;180,'1.설계입력'!$C$39&gt;=1),"",'1.설계입력'!$C$34*(1-SIN(B696)/SQRT(1+'1.설계입력'!$C$39^2-2*'1.설계입력'!$C$39*COS(B696)))-'1.설계입력'!$C$33*(1-'1.설계입력'!$C$39*COS(B696)-SQRT(MAX(0,1-'1.설계입력'!$C$39^2))*SIN(B696))/SQRT(1+'1.설계입력'!$C$39^2-2*'1.설계입력'!$C$39*COS(B696)))</f>
        <v>6.8354369108808901E-3</v>
      </c>
    </row>
    <row r="697" spans="1:11" x14ac:dyDescent="0.3">
      <c r="A697" s="40">
        <f>A696+'1.설계입력'!$C$12</f>
        <v>138.2000000000007</v>
      </c>
      <c r="B697" s="40">
        <f t="shared" si="30"/>
        <v>2.4120450262561755</v>
      </c>
      <c r="C697" s="40">
        <f>ATAN2('1.설계입력'!$C$6/('1.설계입력'!$C$8*'1.설계입력'!$C$15)-COS((1-'1.설계입력'!$C$15)*B697),SIN((1-'1.설계입력'!$C$15)*B697))</f>
        <v>0.43361336162659686</v>
      </c>
      <c r="D697" s="40">
        <f>'1.설계입력'!$C$6*COS(B697)-'1.설계입력'!$C$7*COS(B697+C697)-'1.설계입력'!$C$8*COS('1.설계입력'!$C$15*B697)</f>
        <v>-56.379419374944725</v>
      </c>
      <c r="E697" s="40">
        <f>-'1.설계입력'!$C$6*SIN(B697)+'1.설계입력'!$C$7*SIN(B697+C697)+'1.설계입력'!$C$8*SIN('1.설계입력'!$C$15*B697)</f>
        <v>-52.307111907896342</v>
      </c>
      <c r="F697" s="40">
        <f>ATAN2(('1.설계입력'!$C$6+'1.설계입력'!$C$33)/('1.설계입력'!$C$8*'1.설계입력'!$C$15)-COS((1-'1.설계입력'!$C$15)*B697),SIN((1-'1.설계입력'!$C$15)*B697))</f>
        <v>0.43366487162224049</v>
      </c>
      <c r="G697" s="40">
        <f>('1.설계입력'!$C$6+'1.설계입력'!$C$33)*COS(B697)-('1.설계입력'!$C$7+'1.설계입력'!$C$34)*COS(B697+F697)-'1.설계입력'!$C$8*COS('1.설계입력'!$C$15*B697)</f>
        <v>-56.369300300783379</v>
      </c>
      <c r="H697" s="40">
        <f>-('1.설계입력'!$C$6+'1.설계입력'!$C$33)*SIN(B697)+('1.설계입력'!$C$7+'1.설계입력'!$C$34)*SIN(B697+F697)+'1.설계입력'!$C$8*SIN('1.설계입력'!$C$15*B697)</f>
        <v>-52.302880908920223</v>
      </c>
      <c r="I697" s="40">
        <f t="shared" si="31"/>
        <v>76.906910516552955</v>
      </c>
      <c r="J697" s="40">
        <f t="shared" si="32"/>
        <v>76.896614800474723</v>
      </c>
      <c r="K697" s="38">
        <f>IF(OR(A697&gt;180,'1.설계입력'!$C$39&gt;=1),"",'1.설계입력'!$C$34*(1-SIN(B697)/SQRT(1+'1.설계입력'!$C$39^2-2*'1.설계입력'!$C$39*COS(B697)))-'1.설계입력'!$C$33*(1-'1.설계입력'!$C$39*COS(B697)-SQRT(MAX(0,1-'1.설계입력'!$C$39^2))*SIN(B697))/SQRT(1+'1.설계입력'!$C$39^2-2*'1.설계입력'!$C$39*COS(B697)))</f>
        <v>6.8558944918407083E-3</v>
      </c>
    </row>
    <row r="698" spans="1:11" x14ac:dyDescent="0.3">
      <c r="A698" s="40">
        <f>A697+'1.설계입력'!$C$12</f>
        <v>138.40000000000069</v>
      </c>
      <c r="B698" s="40">
        <f t="shared" si="30"/>
        <v>2.4155356847601639</v>
      </c>
      <c r="C698" s="40">
        <f>ATAN2('1.설계입력'!$C$6/('1.설계입력'!$C$8*'1.설계입력'!$C$15)-COS((1-'1.설계입력'!$C$15)*B698),SIN((1-'1.설계입력'!$C$15)*B698))</f>
        <v>0.11344458338090284</v>
      </c>
      <c r="D698" s="40">
        <f>'1.설계입력'!$C$6*COS(B698)-'1.설계입력'!$C$7*COS(B698+C698)-'1.설계입력'!$C$8*COS('1.설계입력'!$C$15*B698)</f>
        <v>-56.967839032112352</v>
      </c>
      <c r="E698" s="40">
        <f>-'1.설계입력'!$C$6*SIN(B698)+'1.설계입력'!$C$7*SIN(B698+C698)+'1.설계입력'!$C$8*SIN('1.설계입력'!$C$15*B698)</f>
        <v>-51.099934924045243</v>
      </c>
      <c r="F698" s="40">
        <f>ATAN2(('1.설계입력'!$C$6+'1.설계입력'!$C$33)/('1.설계입력'!$C$8*'1.설계입력'!$C$15)-COS((1-'1.설계입력'!$C$15)*B698),SIN((1-'1.설계입력'!$C$15)*B698))</f>
        <v>0.11346039632619516</v>
      </c>
      <c r="G698" s="40">
        <f>('1.설계입력'!$C$6+'1.설계입력'!$C$33)*COS(B698)-('1.설계입력'!$C$7+'1.설계입력'!$C$34)*COS(B698+F698)-'1.설계입력'!$C$8*COS('1.설계입력'!$C$15*B698)</f>
        <v>-56.958857410347953</v>
      </c>
      <c r="H698" s="40">
        <f>-('1.설계입력'!$C$6+'1.설계입력'!$C$33)*SIN(B698)+('1.설계입력'!$C$7+'1.설계입력'!$C$34)*SIN(B698+F698)+'1.설계입력'!$C$8*SIN('1.설계입력'!$C$15*B698)</f>
        <v>-51.093271052637931</v>
      </c>
      <c r="I698" s="40">
        <f t="shared" si="31"/>
        <v>76.52802122902645</v>
      </c>
      <c r="J698" s="40">
        <f t="shared" si="32"/>
        <v>76.516885615860502</v>
      </c>
      <c r="K698" s="38">
        <f>IF(OR(A698&gt;180,'1.설계입력'!$C$39&gt;=1),"",'1.설계입력'!$C$34*(1-SIN(B698)/SQRT(1+'1.설계입력'!$C$39^2-2*'1.설계입력'!$C$39*COS(B698)))-'1.설계입력'!$C$33*(1-'1.설계입력'!$C$39*COS(B698)-SQRT(MAX(0,1-'1.설계입력'!$C$39^2))*SIN(B698))/SQRT(1+'1.설계입력'!$C$39^2-2*'1.설계입력'!$C$39*COS(B698)))</f>
        <v>6.8763603409258255E-3</v>
      </c>
    </row>
    <row r="699" spans="1:11" x14ac:dyDescent="0.3">
      <c r="A699" s="40">
        <f>A698+'1.설계입력'!$C$12</f>
        <v>138.60000000000068</v>
      </c>
      <c r="B699" s="40">
        <f t="shared" si="30"/>
        <v>2.4190263432641528</v>
      </c>
      <c r="C699" s="40">
        <f>ATAN2('1.설계입력'!$C$6/('1.설계입력'!$C$8*'1.설계입력'!$C$15)-COS((1-'1.설계입력'!$C$15)*B699),SIN((1-'1.설계입력'!$C$15)*B699))</f>
        <v>-0.24835429785621252</v>
      </c>
      <c r="D699" s="40">
        <f>'1.설계입력'!$C$6*COS(B699)-'1.설계입력'!$C$7*COS(B699+C699)-'1.설계입력'!$C$8*COS('1.설계입력'!$C$15*B699)</f>
        <v>-58.037422637416768</v>
      </c>
      <c r="E699" s="40">
        <f>-'1.설계입력'!$C$6*SIN(B699)+'1.설계입력'!$C$7*SIN(B699+C699)+'1.설계입력'!$C$8*SIN('1.설계입력'!$C$15*B699)</f>
        <v>-50.044271945759739</v>
      </c>
      <c r="F699" s="40">
        <f>ATAN2(('1.설계입력'!$C$6+'1.설계입력'!$C$33)/('1.설계입력'!$C$8*'1.설계입력'!$C$15)-COS((1-'1.설계입력'!$C$15)*B699),SIN((1-'1.설계입력'!$C$15)*B699))</f>
        <v>-0.24838747470427489</v>
      </c>
      <c r="G699" s="40">
        <f>('1.설계입력'!$C$6+'1.설계입력'!$C$33)*COS(B699)-('1.설계입력'!$C$7+'1.설계입력'!$C$34)*COS(B699+F699)-'1.설계입력'!$C$8*COS('1.설계입력'!$C$15*B699)</f>
        <v>-58.030634280457591</v>
      </c>
      <c r="H699" s="40">
        <f>-('1.설계입력'!$C$6+'1.설계입력'!$C$33)*SIN(B699)+('1.설계입력'!$C$7+'1.설계입력'!$C$34)*SIN(B699+F699)+'1.설계입력'!$C$8*SIN('1.설계입력'!$C$15*B699)</f>
        <v>-50.035461023627477</v>
      </c>
      <c r="I699" s="40">
        <f t="shared" si="31"/>
        <v>76.634010602181661</v>
      </c>
      <c r="J699" s="40">
        <f t="shared" si="32"/>
        <v>76.623115799601649</v>
      </c>
      <c r="K699" s="38">
        <f>IF(OR(A699&gt;180,'1.설계입력'!$C$39&gt;=1),"",'1.설계입력'!$C$34*(1-SIN(B699)/SQRT(1+'1.설계입력'!$C$39^2-2*'1.설계입력'!$C$39*COS(B699)))-'1.설계입력'!$C$33*(1-'1.설계입력'!$C$39*COS(B699)-SQRT(MAX(0,1-'1.설계입력'!$C$39^2))*SIN(B699))/SQRT(1+'1.설계입력'!$C$39^2-2*'1.설계입력'!$C$39*COS(B699)))</f>
        <v>6.8968343810500449E-3</v>
      </c>
    </row>
    <row r="700" spans="1:11" x14ac:dyDescent="0.3">
      <c r="A700" s="40">
        <f>A699+'1.설계입력'!$C$12</f>
        <v>138.80000000000067</v>
      </c>
      <c r="B700" s="40">
        <f t="shared" si="30"/>
        <v>2.4225170017681412</v>
      </c>
      <c r="C700" s="40">
        <f>ATAN2('1.설계입력'!$C$6/('1.설계입력'!$C$8*'1.설계입력'!$C$15)-COS((1-'1.설계입력'!$C$15)*B700),SIN((1-'1.설계입력'!$C$15)*B700))</f>
        <v>-0.52626875194728173</v>
      </c>
      <c r="D700" s="40">
        <f>'1.설계입력'!$C$6*COS(B700)-'1.설계입력'!$C$7*COS(B700+C700)-'1.설계입력'!$C$8*COS('1.설계입력'!$C$15*B700)</f>
        <v>-59.09465306648395</v>
      </c>
      <c r="E700" s="40">
        <f>-'1.설계입력'!$C$6*SIN(B700)+'1.설계입력'!$C$7*SIN(B700+C700)+'1.설계입력'!$C$8*SIN('1.설계입력'!$C$15*B700)</f>
        <v>-49.518303078930636</v>
      </c>
      <c r="F700" s="40">
        <f>ATAN2(('1.설계입력'!$C$6+'1.설계입력'!$C$33)/('1.설계입력'!$C$8*'1.설계입력'!$C$15)-COS((1-'1.설계입력'!$C$15)*B700),SIN((1-'1.설계입력'!$C$15)*B700))</f>
        <v>-0.52632584653440784</v>
      </c>
      <c r="G700" s="40">
        <f>('1.설계입력'!$C$6+'1.설계입력'!$C$33)*COS(B700)-('1.설계입력'!$C$7+'1.설계입력'!$C$34)*COS(B700+F700)-'1.설계입력'!$C$8*COS('1.설계입력'!$C$15*B700)</f>
        <v>-59.089947540625523</v>
      </c>
      <c r="H700" s="40">
        <f>-('1.설계입력'!$C$6+'1.설계입력'!$C$33)*SIN(B700)+('1.설계입력'!$C$7+'1.설계입력'!$C$34)*SIN(B700+F700)+'1.설계입력'!$C$8*SIN('1.설계입력'!$C$15*B700)</f>
        <v>-49.508513177668483</v>
      </c>
      <c r="I700" s="40">
        <f t="shared" si="31"/>
        <v>77.098899868058638</v>
      </c>
      <c r="J700" s="40">
        <f t="shared" si="32"/>
        <v>77.089005554730377</v>
      </c>
      <c r="K700" s="38">
        <f>IF(OR(A700&gt;180,'1.설계입력'!$C$39&gt;=1),"",'1.설계입력'!$C$34*(1-SIN(B700)/SQRT(1+'1.설계입력'!$C$39^2-2*'1.설계입력'!$C$39*COS(B700)))-'1.설계입력'!$C$33*(1-'1.설계입력'!$C$39*COS(B700)-SQRT(MAX(0,1-'1.설계입력'!$C$39^2))*SIN(B700))/SQRT(1+'1.설계입력'!$C$39^2-2*'1.설계입력'!$C$39*COS(B700)))</f>
        <v>6.9173165351939635E-3</v>
      </c>
    </row>
    <row r="701" spans="1:11" x14ac:dyDescent="0.3">
      <c r="A701" s="40">
        <f>A700+'1.설계입력'!$C$12</f>
        <v>139.00000000000065</v>
      </c>
      <c r="B701" s="40">
        <f t="shared" si="30"/>
        <v>2.4260076602721297</v>
      </c>
      <c r="C701" s="40">
        <f>ATAN2('1.설계입력'!$C$6/('1.설계입력'!$C$8*'1.설계입력'!$C$15)-COS((1-'1.설계입력'!$C$15)*B701),SIN((1-'1.설계입력'!$C$15)*B701))</f>
        <v>-0.69127080375501004</v>
      </c>
      <c r="D701" s="40">
        <f>'1.설계입력'!$C$6*COS(B701)-'1.설계입력'!$C$7*COS(B701+C701)-'1.설계입력'!$C$8*COS('1.설계입력'!$C$15*B701)</f>
        <v>-59.823818014799599</v>
      </c>
      <c r="E701" s="40">
        <f>-'1.설계입력'!$C$6*SIN(B701)+'1.설계입력'!$C$7*SIN(B701+C701)+'1.설계입력'!$C$8*SIN('1.설계입력'!$C$15*B701)</f>
        <v>-49.337442873591073</v>
      </c>
      <c r="F701" s="40">
        <f>ATAN2(('1.설계입력'!$C$6+'1.설계입력'!$C$33)/('1.설계입력'!$C$8*'1.설계입력'!$C$15)-COS((1-'1.설계입력'!$C$15)*B701),SIN((1-'1.설계입력'!$C$15)*B701))</f>
        <v>-0.69132940343751625</v>
      </c>
      <c r="G701" s="40">
        <f>('1.설계입력'!$C$6+'1.설계입력'!$C$33)*COS(B701)-('1.설계입력'!$C$7+'1.설계입력'!$C$34)*COS(B701+F701)-'1.설계입력'!$C$8*COS('1.설계입력'!$C$15*B701)</f>
        <v>-59.820388162406843</v>
      </c>
      <c r="H701" s="40">
        <f>-('1.설계입력'!$C$6+'1.설계입력'!$C$33)*SIN(B701)+('1.설계입력'!$C$7+'1.설계입력'!$C$34)*SIN(B701+F701)+'1.설계입력'!$C$8*SIN('1.설계입력'!$C$15*B701)</f>
        <v>-49.32737937061313</v>
      </c>
      <c r="I701" s="40">
        <f t="shared" si="31"/>
        <v>77.544003450768031</v>
      </c>
      <c r="J701" s="40">
        <f t="shared" si="32"/>
        <v>77.53495466867453</v>
      </c>
      <c r="K701" s="38">
        <f>IF(OR(A701&gt;180,'1.설계입력'!$C$39&gt;=1),"",'1.설계입력'!$C$34*(1-SIN(B701)/SQRT(1+'1.설계입력'!$C$39^2-2*'1.설계입력'!$C$39*COS(B701)))-'1.설계입력'!$C$33*(1-'1.설계입력'!$C$39*COS(B701)-SQRT(MAX(0,1-'1.설계입력'!$C$39^2))*SIN(B701))/SQRT(1+'1.설계입력'!$C$39^2-2*'1.설계입력'!$C$39*COS(B701)))</f>
        <v>6.9378067264045627E-3</v>
      </c>
    </row>
    <row r="702" spans="1:11" x14ac:dyDescent="0.3">
      <c r="A702" s="40">
        <f>A701+'1.설계입력'!$C$12</f>
        <v>139.20000000000064</v>
      </c>
      <c r="B702" s="40">
        <f t="shared" si="30"/>
        <v>2.4294983187761181</v>
      </c>
      <c r="C702" s="40">
        <f>ATAN2('1.설계입력'!$C$6/('1.설계입력'!$C$8*'1.설계입력'!$C$15)-COS((1-'1.설계입력'!$C$15)*B702),SIN((1-'1.설계입력'!$C$15)*B702))</f>
        <v>-0.77654519894732055</v>
      </c>
      <c r="D702" s="40">
        <f>'1.설계입력'!$C$6*COS(B702)-'1.설계입력'!$C$7*COS(B702+C702)-'1.설계입력'!$C$8*COS('1.설계입력'!$C$15*B702)</f>
        <v>-60.278115556716003</v>
      </c>
      <c r="E702" s="40">
        <f>-'1.설계입력'!$C$6*SIN(B702)+'1.설계입력'!$C$7*SIN(B702+C702)+'1.설계입력'!$C$8*SIN('1.설계입력'!$C$15*B702)</f>
        <v>-49.282113876791449</v>
      </c>
      <c r="F702" s="40">
        <f>ATAN2(('1.설계입력'!$C$6+'1.설계입력'!$C$33)/('1.설계입력'!$C$8*'1.설계입력'!$C$15)-COS((1-'1.설계입력'!$C$15)*B702),SIN((1-'1.설계입력'!$C$15)*B702))</f>
        <v>-0.77659787589825569</v>
      </c>
      <c r="G702" s="40">
        <f>('1.설계입력'!$C$6+'1.설계입력'!$C$33)*COS(B702)-('1.설계입력'!$C$7+'1.설계입력'!$C$34)*COS(B702+F702)-'1.설계입력'!$C$8*COS('1.설계입력'!$C$15*B702)</f>
        <v>-60.275314573184787</v>
      </c>
      <c r="H702" s="40">
        <f>-('1.설계입력'!$C$6+'1.설계입력'!$C$33)*SIN(B702)+('1.설계입력'!$C$7+'1.설계입력'!$C$34)*SIN(B702+F702)+'1.설계입력'!$C$8*SIN('1.설계입력'!$C$15*B702)</f>
        <v>-49.271998272904796</v>
      </c>
      <c r="I702" s="40">
        <f t="shared" si="31"/>
        <v>77.859989489042746</v>
      </c>
      <c r="J702" s="40">
        <f t="shared" si="32"/>
        <v>77.851418488692389</v>
      </c>
      <c r="K702" s="38">
        <f>IF(OR(A702&gt;180,'1.설계입력'!$C$39&gt;=1),"",'1.설계입력'!$C$34*(1-SIN(B702)/SQRT(1+'1.설계입력'!$C$39^2-2*'1.설계입력'!$C$39*COS(B702)))-'1.설계입력'!$C$33*(1-'1.설계입력'!$C$39*COS(B702)-SQRT(MAX(0,1-'1.설계입력'!$C$39^2))*SIN(B702))/SQRT(1+'1.설계입력'!$C$39^2-2*'1.설계입력'!$C$39*COS(B702)))</f>
        <v>6.9583048777947416E-3</v>
      </c>
    </row>
    <row r="703" spans="1:11" x14ac:dyDescent="0.3">
      <c r="A703" s="40">
        <f>A702+'1.설계입력'!$C$12</f>
        <v>139.40000000000063</v>
      </c>
      <c r="B703" s="40">
        <f t="shared" si="30"/>
        <v>2.4329889772801065</v>
      </c>
      <c r="C703" s="40">
        <f>ATAN2('1.설계입력'!$C$6/('1.설계입력'!$C$8*'1.설계입력'!$C$15)-COS((1-'1.설계입력'!$C$15)*B703),SIN((1-'1.설계입력'!$C$15)*B703))</f>
        <v>-0.81329921113300874</v>
      </c>
      <c r="D703" s="40">
        <f>'1.설계입력'!$C$6*COS(B703)-'1.설계입력'!$C$7*COS(B703+C703)-'1.설계입력'!$C$8*COS('1.설계입력'!$C$15*B703)</f>
        <v>-60.568405281423288</v>
      </c>
      <c r="E703" s="40">
        <f>-'1.설계입력'!$C$6*SIN(B703)+'1.설계입력'!$C$7*SIN(B703+C703)+'1.설계입력'!$C$8*SIN('1.설계입력'!$C$15*B703)</f>
        <v>-49.263631289613286</v>
      </c>
      <c r="F703" s="40">
        <f>ATAN2(('1.설계입력'!$C$6+'1.설계입력'!$C$33)/('1.설계입력'!$C$8*'1.설계입력'!$C$15)-COS((1-'1.설계입력'!$C$15)*B703),SIN((1-'1.설계입력'!$C$15)*B703))</f>
        <v>-0.81334495783114724</v>
      </c>
      <c r="G703" s="40">
        <f>('1.설계입력'!$C$6+'1.설계입력'!$C$33)*COS(B703)-('1.설계입력'!$C$7+'1.설계입력'!$C$34)*COS(B703+F703)-'1.설계입력'!$C$8*COS('1.설계입력'!$C$15*B703)</f>
        <v>-60.565838799710392</v>
      </c>
      <c r="H703" s="40">
        <f>-('1.설계입력'!$C$6+'1.설계입력'!$C$33)*SIN(B703)+('1.설계입력'!$C$7+'1.설계입력'!$C$34)*SIN(B703+F703)+'1.설계입력'!$C$8*SIN('1.설계입력'!$C$15*B703)</f>
        <v>-49.253514612202665</v>
      </c>
      <c r="I703" s="40">
        <f t="shared" si="31"/>
        <v>78.07328023193152</v>
      </c>
      <c r="J703" s="40">
        <f t="shared" si="32"/>
        <v>78.064905887133207</v>
      </c>
      <c r="K703" s="38">
        <f>IF(OR(A703&gt;180,'1.설계입력'!$C$39&gt;=1),"",'1.설계입력'!$C$34*(1-SIN(B703)/SQRT(1+'1.설계입력'!$C$39^2-2*'1.설계입력'!$C$39*COS(B703)))-'1.설계입력'!$C$33*(1-'1.설계입력'!$C$39*COS(B703)-SQRT(MAX(0,1-'1.설계입력'!$C$39^2))*SIN(B703))/SQRT(1+'1.설계입력'!$C$39^2-2*'1.설계입력'!$C$39*COS(B703)))</f>
        <v>6.9788109125428974E-3</v>
      </c>
    </row>
    <row r="704" spans="1:11" x14ac:dyDescent="0.3">
      <c r="A704" s="40">
        <f>A703+'1.설계입력'!$C$12</f>
        <v>139.60000000000062</v>
      </c>
      <c r="B704" s="40">
        <f t="shared" si="30"/>
        <v>2.436479635784095</v>
      </c>
      <c r="C704" s="40">
        <f>ATAN2('1.설계입력'!$C$6/('1.설계입력'!$C$8*'1.설계입력'!$C$15)-COS((1-'1.설계입력'!$C$15)*B704),SIN((1-'1.설계입력'!$C$15)*B704))</f>
        <v>-0.82049791612029876</v>
      </c>
      <c r="D704" s="40">
        <f>'1.설계입력'!$C$6*COS(B704)-'1.설계입력'!$C$7*COS(B704+C704)-'1.설계입력'!$C$8*COS('1.설계입력'!$C$15*B704)</f>
        <v>-60.769115068808034</v>
      </c>
      <c r="E704" s="40">
        <f>-'1.설계입력'!$C$6*SIN(B704)+'1.설계입력'!$C$7*SIN(B704+C704)+'1.설계입력'!$C$8*SIN('1.설계입력'!$C$15*B704)</f>
        <v>-49.25454934252771</v>
      </c>
      <c r="F704" s="40">
        <f>ATAN2(('1.설계입력'!$C$6+'1.설계입력'!$C$33)/('1.설계입력'!$C$8*'1.설계입력'!$C$15)-COS((1-'1.설계입력'!$C$15)*B704),SIN((1-'1.설계입력'!$C$15)*B704))</f>
        <v>-0.82053742990943035</v>
      </c>
      <c r="G704" s="40">
        <f>('1.설계입력'!$C$6+'1.설계입력'!$C$33)*COS(B704)-('1.설계입력'!$C$7+'1.설계입력'!$C$34)*COS(B704+F704)-'1.설계입력'!$C$8*COS('1.설계입력'!$C$15*B704)</f>
        <v>-60.766546636613313</v>
      </c>
      <c r="H704" s="40">
        <f>-('1.설계입력'!$C$6+'1.설계입력'!$C$33)*SIN(B704)+('1.설계입력'!$C$7+'1.설계입력'!$C$34)*SIN(B704+F704)+'1.설계입력'!$C$8*SIN('1.설계입력'!$C$15*B704)</f>
        <v>-49.244441287706778</v>
      </c>
      <c r="I704" s="40">
        <f t="shared" si="31"/>
        <v>78.223372320435843</v>
      </c>
      <c r="J704" s="40">
        <f t="shared" si="32"/>
        <v>78.215012547963582</v>
      </c>
      <c r="K704" s="38">
        <f>IF(OR(A704&gt;180,'1.설계입력'!$C$39&gt;=1),"",'1.설계입력'!$C$34*(1-SIN(B704)/SQRT(1+'1.설계입력'!$C$39^2-2*'1.설계입력'!$C$39*COS(B704)))-'1.설계입력'!$C$33*(1-'1.설계입력'!$C$39*COS(B704)-SQRT(MAX(0,1-'1.설계입력'!$C$39^2))*SIN(B704))/SQRT(1+'1.설계입력'!$C$39^2-2*'1.설계입력'!$C$39*COS(B704)))</f>
        <v>6.999324753892493E-3</v>
      </c>
    </row>
    <row r="705" spans="1:11" x14ac:dyDescent="0.3">
      <c r="A705" s="40">
        <f>A704+'1.설계입력'!$C$12</f>
        <v>139.80000000000061</v>
      </c>
      <c r="B705" s="40">
        <f t="shared" si="30"/>
        <v>2.4399702942880834</v>
      </c>
      <c r="C705" s="40">
        <f>ATAN2('1.설계입력'!$C$6/('1.설계입력'!$C$8*'1.설계입력'!$C$15)-COS((1-'1.설계입력'!$C$15)*B705),SIN((1-'1.설계입력'!$C$15)*B705))</f>
        <v>-0.80896725152958848</v>
      </c>
      <c r="D705" s="40">
        <f>'1.설계입력'!$C$6*COS(B705)-'1.설계입력'!$C$7*COS(B705+C705)-'1.설계입력'!$C$8*COS('1.설계입력'!$C$15*B705)</f>
        <v>-60.923371550207548</v>
      </c>
      <c r="E705" s="40">
        <f>-'1.설계입력'!$C$6*SIN(B705)+'1.설계입력'!$C$7*SIN(B705+C705)+'1.설계입력'!$C$8*SIN('1.설계입력'!$C$15*B705)</f>
        <v>-49.246645437228096</v>
      </c>
      <c r="F705" s="40">
        <f>ATAN2(('1.설계입력'!$C$6+'1.설계입력'!$C$33)/('1.설계입력'!$C$8*'1.설계입력'!$C$15)-COS((1-'1.설계입력'!$C$15)*B705),SIN((1-'1.설계입력'!$C$15)*B705))</f>
        <v>-0.80900148721959753</v>
      </c>
      <c r="G705" s="40">
        <f>('1.설계입력'!$C$6+'1.설계입력'!$C$33)*COS(B705)-('1.설계입력'!$C$7+'1.설계입력'!$C$34)*COS(B705+F705)-'1.설계입력'!$C$8*COS('1.설계입력'!$C$15*B705)</f>
        <v>-60.920653374274949</v>
      </c>
      <c r="H705" s="40">
        <f>-('1.설계입력'!$C$6+'1.설계입력'!$C$33)*SIN(B705)+('1.설계입력'!$C$7+'1.설계입력'!$C$34)*SIN(B705+F705)+'1.설계입력'!$C$8*SIN('1.설계입력'!$C$15*B705)</f>
        <v>-49.236550940364303</v>
      </c>
      <c r="I705" s="40">
        <f t="shared" si="31"/>
        <v>78.33830026152404</v>
      </c>
      <c r="J705" s="40">
        <f t="shared" si="32"/>
        <v>78.329840776371086</v>
      </c>
      <c r="K705" s="38">
        <f>IF(OR(A705&gt;180,'1.설계입력'!$C$39&gt;=1),"",'1.설계입력'!$C$34*(1-SIN(B705)/SQRT(1+'1.설계입력'!$C$39^2-2*'1.설계입력'!$C$39*COS(B705)))-'1.설계입력'!$C$33*(1-'1.설계입력'!$C$39*COS(B705)-SQRT(MAX(0,1-'1.설계입력'!$C$39^2))*SIN(B705))/SQRT(1+'1.설계입력'!$C$39^2-2*'1.설계입력'!$C$39*COS(B705)))</f>
        <v>7.0198463251516414E-3</v>
      </c>
    </row>
    <row r="706" spans="1:11" x14ac:dyDescent="0.3">
      <c r="A706" s="40">
        <f>A705+'1.설계입력'!$C$12</f>
        <v>140.0000000000006</v>
      </c>
      <c r="B706" s="40">
        <f t="shared" si="30"/>
        <v>2.4434609527920719</v>
      </c>
      <c r="C706" s="40">
        <f>ATAN2('1.설계입력'!$C$6/('1.설계입력'!$C$8*'1.설계입력'!$C$15)-COS((1-'1.설계입력'!$C$15)*B706),SIN((1-'1.설계입력'!$C$15)*B706))</f>
        <v>-0.78502806713854889</v>
      </c>
      <c r="D706" s="40">
        <f>'1.설계입력'!$C$6*COS(B706)-'1.설계입력'!$C$7*COS(B706+C706)-'1.설계입력'!$C$8*COS('1.설계입력'!$C$15*B706)</f>
        <v>-61.056007705773162</v>
      </c>
      <c r="E706" s="40">
        <f>-'1.설계입력'!$C$6*SIN(B706)+'1.설계입력'!$C$7*SIN(B706+C706)+'1.설계입력'!$C$8*SIN('1.설계입력'!$C$15*B706)</f>
        <v>-49.236964713872119</v>
      </c>
      <c r="F706" s="40">
        <f>ATAN2(('1.설계입력'!$C$6+'1.설계입력'!$C$33)/('1.설계입력'!$C$8*'1.설계입력'!$C$15)-COS((1-'1.설계입력'!$C$15)*B706),SIN((1-'1.설계입력'!$C$15)*B706))</f>
        <v>-0.78505787571186469</v>
      </c>
      <c r="G706" s="40">
        <f>('1.설계입력'!$C$6+'1.설계입력'!$C$33)*COS(B706)-('1.설계입력'!$C$7+'1.설계입력'!$C$34)*COS(B706+F706)-'1.설계입력'!$C$8*COS('1.설계입력'!$C$15*B706)</f>
        <v>-61.053043037554723</v>
      </c>
      <c r="H706" s="40">
        <f>-('1.설계입력'!$C$6+'1.설계입력'!$C$33)*SIN(B706)+('1.설계입력'!$C$7+'1.설계입력'!$C$34)*SIN(B706+F706)+'1.설계입력'!$C$8*SIN('1.설계입력'!$C$15*B706)</f>
        <v>-49.226892701782091</v>
      </c>
      <c r="I706" s="40">
        <f t="shared" si="31"/>
        <v>78.435417836603122</v>
      </c>
      <c r="J706" s="40">
        <f t="shared" si="32"/>
        <v>78.426787701768561</v>
      </c>
      <c r="K706" s="38">
        <f>IF(OR(A706&gt;180,'1.설계입력'!$C$39&gt;=1),"",'1.설계입력'!$C$34*(1-SIN(B706)/SQRT(1+'1.설계입력'!$C$39^2-2*'1.설계입력'!$C$39*COS(B706)))-'1.설계입력'!$C$33*(1-'1.설계입력'!$C$39*COS(B706)-SQRT(MAX(0,1-'1.설계입력'!$C$39^2))*SIN(B706))/SQRT(1+'1.설계입력'!$C$39^2-2*'1.설계입력'!$C$39*COS(B706)))</f>
        <v>7.04037554969268E-3</v>
      </c>
    </row>
    <row r="707" spans="1:11" x14ac:dyDescent="0.3">
      <c r="A707" s="40">
        <f>A706+'1.설계입력'!$C$12</f>
        <v>140.20000000000059</v>
      </c>
      <c r="B707" s="40">
        <f t="shared" si="30"/>
        <v>2.4469516112960603</v>
      </c>
      <c r="C707" s="40">
        <f>ATAN2('1.설계입력'!$C$6/('1.설계입력'!$C$8*'1.설계입력'!$C$15)-COS((1-'1.설계입력'!$C$15)*B707),SIN((1-'1.설계입력'!$C$15)*B707))</f>
        <v>-0.7525299652374946</v>
      </c>
      <c r="D707" s="40">
        <f>'1.설계입력'!$C$6*COS(B707)-'1.설계입력'!$C$7*COS(B707+C707)-'1.설계입력'!$C$8*COS('1.설계입력'!$C$15*B707)</f>
        <v>-61.181584901408549</v>
      </c>
      <c r="E707" s="40">
        <f>-'1.설계입력'!$C$6*SIN(B707)+'1.설계입력'!$C$7*SIN(B707+C707)+'1.설계입력'!$C$8*SIN('1.설계입력'!$C$15*B707)</f>
        <v>-49.223730231431318</v>
      </c>
      <c r="F707" s="40">
        <f>ATAN2(('1.설계입력'!$C$6+'1.설계입력'!$C$33)/('1.설계입력'!$C$8*'1.설계입력'!$C$15)-COS((1-'1.설계입력'!$C$15)*B707),SIN((1-'1.설계입력'!$C$15)*B707))</f>
        <v>-0.75255603479655386</v>
      </c>
      <c r="G707" s="40">
        <f>('1.설계입력'!$C$6+'1.설계입력'!$C$33)*COS(B707)-('1.설계입력'!$C$7+'1.설계입력'!$C$34)*COS(B707+F707)-'1.설계입력'!$C$8*COS('1.설계입력'!$C$15*B707)</f>
        <v>-61.178308098248152</v>
      </c>
      <c r="H707" s="40">
        <f>-('1.설계입력'!$C$6+'1.설계입력'!$C$33)*SIN(B707)+('1.설계입력'!$C$7+'1.설계입력'!$C$34)*SIN(B707+F707)+'1.설계입력'!$C$8*SIN('1.설계입력'!$C$15*B707)</f>
        <v>-49.213694826304781</v>
      </c>
      <c r="I707" s="40">
        <f t="shared" si="31"/>
        <v>78.524912919053833</v>
      </c>
      <c r="J707" s="40">
        <f t="shared" si="32"/>
        <v>78.516069312089442</v>
      </c>
      <c r="K707" s="38">
        <f>IF(OR(A707&gt;180,'1.설계입력'!$C$39&gt;=1),"",'1.설계입력'!$C$34*(1-SIN(B707)/SQRT(1+'1.설계입력'!$C$39^2-2*'1.설계입력'!$C$39*COS(B707)))-'1.설계입력'!$C$33*(1-'1.설계입력'!$C$39*COS(B707)-SQRT(MAX(0,1-'1.설계입력'!$C$39^2))*SIN(B707))/SQRT(1+'1.설계입력'!$C$39^2-2*'1.설계입력'!$C$39*COS(B707)))</f>
        <v>7.0609123509517754E-3</v>
      </c>
    </row>
    <row r="708" spans="1:11" x14ac:dyDescent="0.3">
      <c r="A708" s="40">
        <f>A707+'1.설계입력'!$C$12</f>
        <v>140.40000000000057</v>
      </c>
      <c r="B708" s="40">
        <f t="shared" si="30"/>
        <v>2.4504422698000488</v>
      </c>
      <c r="C708" s="40">
        <f>ATAN2('1.설계입력'!$C$6/('1.설계입력'!$C$8*'1.설계입력'!$C$15)-COS((1-'1.설계입력'!$C$15)*B708),SIN((1-'1.설계입력'!$C$15)*B708))</f>
        <v>-0.71392208455611439</v>
      </c>
      <c r="D708" s="40">
        <f>'1.설계입력'!$C$6*COS(B708)-'1.설계입력'!$C$7*COS(B708+C708)-'1.설계입력'!$C$8*COS('1.설계입력'!$C$15*B708)</f>
        <v>-61.308695155424388</v>
      </c>
      <c r="E708" s="40">
        <f>-'1.설계입력'!$C$6*SIN(B708)+'1.설계입력'!$C$7*SIN(B708+C708)+'1.설계입력'!$C$8*SIN('1.설계입력'!$C$15*B708)</f>
        <v>-49.205248231863735</v>
      </c>
      <c r="F708" s="40">
        <f>ATAN2(('1.설계입력'!$C$6+'1.설계입력'!$C$33)/('1.설계입력'!$C$8*'1.설계입력'!$C$15)-COS((1-'1.설계입력'!$C$15)*B708),SIN((1-'1.설계입력'!$C$15)*B708))</f>
        <v>-0.71394495667817126</v>
      </c>
      <c r="G708" s="40">
        <f>('1.설계입력'!$C$6+'1.설계입력'!$C$33)*COS(B708)-('1.설계입력'!$C$7+'1.설계입력'!$C$34)*COS(B708+F708)-'1.설계입력'!$C$8*COS('1.설계입력'!$C$15*B708)</f>
        <v>-61.305060755140751</v>
      </c>
      <c r="H708" s="40">
        <f>-('1.설계입력'!$C$6+'1.설계입력'!$C$33)*SIN(B708)+('1.설계입력'!$C$7+'1.설계입력'!$C$34)*SIN(B708+F708)+'1.설계입력'!$C$8*SIN('1.설계입력'!$C$15*B708)</f>
        <v>-49.195268071916317</v>
      </c>
      <c r="I708" s="40">
        <f t="shared" si="31"/>
        <v>78.612419853481725</v>
      </c>
      <c r="J708" s="40">
        <f t="shared" si="32"/>
        <v>78.603338827680901</v>
      </c>
      <c r="K708" s="38">
        <f>IF(OR(A708&gt;180,'1.설계입력'!$C$39&gt;=1),"",'1.설계입력'!$C$34*(1-SIN(B708)/SQRT(1+'1.설계입력'!$C$39^2-2*'1.설계입력'!$C$39*COS(B708)))-'1.설계입력'!$C$33*(1-'1.설계입력'!$C$39*COS(B708)-SQRT(MAX(0,1-'1.설계입력'!$C$39^2))*SIN(B708))/SQRT(1+'1.설계입력'!$C$39^2-2*'1.설계입력'!$C$39*COS(B708)))</f>
        <v>7.0814566524285034E-3</v>
      </c>
    </row>
    <row r="709" spans="1:11" x14ac:dyDescent="0.3">
      <c r="A709" s="40">
        <f>A708+'1.설계입력'!$C$12</f>
        <v>140.60000000000056</v>
      </c>
      <c r="B709" s="40">
        <f t="shared" si="30"/>
        <v>2.4539329283040372</v>
      </c>
      <c r="C709" s="40">
        <f>ATAN2('1.설계입력'!$C$6/('1.설계입력'!$C$8*'1.설계입력'!$C$15)-COS((1-'1.설계입력'!$C$15)*B709),SIN((1-'1.설계입력'!$C$15)*B709))</f>
        <v>-0.67082641042335101</v>
      </c>
      <c r="D709" s="40">
        <f>'1.설계입력'!$C$6*COS(B709)-'1.설계입력'!$C$7*COS(B709+C709)-'1.설계입력'!$C$8*COS('1.설계입력'!$C$15*B709)</f>
        <v>-61.442268206819932</v>
      </c>
      <c r="E709" s="40">
        <f>-'1.설계입력'!$C$6*SIN(B709)+'1.설계입력'!$C$7*SIN(B709+C709)+'1.설계입력'!$C$8*SIN('1.설계입력'!$C$15*B709)</f>
        <v>-49.179702745937469</v>
      </c>
      <c r="F709" s="40">
        <f>ATAN2(('1.설계입력'!$C$6+'1.설계입력'!$C$33)/('1.설계입력'!$C$8*'1.설계입력'!$C$15)-COS((1-'1.설계입력'!$C$15)*B709),SIN((1-'1.설계입력'!$C$15)*B709))</f>
        <v>-0.67084650959046599</v>
      </c>
      <c r="G709" s="40">
        <f>('1.설계입력'!$C$6+'1.설계입력'!$C$33)*COS(B709)-('1.설계입력'!$C$7+'1.설계입력'!$C$34)*COS(B709+F709)-'1.설계입력'!$C$8*COS('1.설계입력'!$C$15*B709)</f>
        <v>-61.43824466144337</v>
      </c>
      <c r="H709" s="40">
        <f>-('1.설계입력'!$C$6+'1.설계입력'!$C$33)*SIN(B709)+('1.설계입력'!$C$7+'1.설계입력'!$C$34)*SIN(B709+F709)+'1.설계입력'!$C$8*SIN('1.설계입력'!$C$15*B709)</f>
        <v>-49.169799978287386</v>
      </c>
      <c r="I709" s="40">
        <f t="shared" si="31"/>
        <v>78.700670166000265</v>
      </c>
      <c r="J709" s="40">
        <f t="shared" si="32"/>
        <v>78.691340927602482</v>
      </c>
      <c r="K709" s="38">
        <f>IF(OR(A709&gt;180,'1.설계입력'!$C$39&gt;=1),"",'1.설계입력'!$C$34*(1-SIN(B709)/SQRT(1+'1.설계입력'!$C$39^2-2*'1.설계입력'!$C$39*COS(B709)))-'1.설계입력'!$C$33*(1-'1.설계입력'!$C$39*COS(B709)-SQRT(MAX(0,1-'1.설계입력'!$C$39^2))*SIN(B709))/SQRT(1+'1.설계입력'!$C$39^2-2*'1.설계입력'!$C$39*COS(B709)))</f>
        <v>7.1020083776854662E-3</v>
      </c>
    </row>
    <row r="710" spans="1:11" x14ac:dyDescent="0.3">
      <c r="A710" s="40">
        <f>A709+'1.설계입력'!$C$12</f>
        <v>140.80000000000055</v>
      </c>
      <c r="B710" s="40">
        <f t="shared" ref="B710:B773" si="33">RADIANS(A710)</f>
        <v>2.4574235868080256</v>
      </c>
      <c r="C710" s="40">
        <f>ATAN2('1.설계입력'!$C$6/('1.설계입력'!$C$8*'1.설계입력'!$C$15)-COS((1-'1.설계입력'!$C$15)*B710),SIN((1-'1.설계입력'!$C$15)*B710))</f>
        <v>-0.6243562237470619</v>
      </c>
      <c r="D710" s="40">
        <f>'1.설계입력'!$C$6*COS(B710)-'1.설계입력'!$C$7*COS(B710+C710)-'1.설계입력'!$C$8*COS('1.설계입력'!$C$15*B710)</f>
        <v>-61.584857485821949</v>
      </c>
      <c r="E710" s="40">
        <f>-'1.설계입력'!$C$6*SIN(B710)+'1.설계입력'!$C$7*SIN(B710+C710)+'1.설계입력'!$C$8*SIN('1.설계입력'!$C$15*B710)</f>
        <v>-49.145204359921351</v>
      </c>
      <c r="F710" s="40">
        <f>ATAN2(('1.설계입력'!$C$6+'1.설계입력'!$C$33)/('1.설계입력'!$C$8*'1.설계입력'!$C$15)-COS((1-'1.설계입력'!$C$15)*B710),SIN((1-'1.설계입력'!$C$15)*B710))</f>
        <v>-0.62437388400049665</v>
      </c>
      <c r="G710" s="40">
        <f>('1.설계입력'!$C$6+'1.설계입력'!$C$33)*COS(B710)-('1.설계입력'!$C$7+'1.설계입력'!$C$34)*COS(B710+F710)-'1.설계입력'!$C$8*COS('1.설계입력'!$C$15*B710)</f>
        <v>-61.580423397364818</v>
      </c>
      <c r="H710" s="40">
        <f>-('1.설계입력'!$C$6+'1.설계입력'!$C$33)*SIN(B710)+('1.설계입력'!$C$7+'1.설계입력'!$C$34)*SIN(B710+F710)+'1.설계입력'!$C$8*SIN('1.설계입력'!$C$15*B710)</f>
        <v>-49.135403707635149</v>
      </c>
      <c r="I710" s="40">
        <f t="shared" ref="I710:I773" si="34">SQRT(D710^2+E710^2)</f>
        <v>78.790518358032344</v>
      </c>
      <c r="J710" s="40">
        <f t="shared" ref="J710:J773" si="35">SQRT(G710^2+H710^2)</f>
        <v>78.7809395939843</v>
      </c>
      <c r="K710" s="38">
        <f>IF(OR(A710&gt;180,'1.설계입력'!$C$39&gt;=1),"",'1.설계입력'!$C$34*(1-SIN(B710)/SQRT(1+'1.설계입력'!$C$39^2-2*'1.설계입력'!$C$39*COS(B710)))-'1.설계입력'!$C$33*(1-'1.설계입력'!$C$39*COS(B710)-SQRT(MAX(0,1-'1.설계입력'!$C$39^2))*SIN(B710))/SQRT(1+'1.설계입력'!$C$39^2-2*'1.설계입력'!$C$39*COS(B710)))</f>
        <v>7.1225674503478786E-3</v>
      </c>
    </row>
    <row r="711" spans="1:11" x14ac:dyDescent="0.3">
      <c r="A711" s="40">
        <f>A710+'1.설계입력'!$C$12</f>
        <v>141.00000000000054</v>
      </c>
      <c r="B711" s="40">
        <f t="shared" si="33"/>
        <v>2.4609142453120141</v>
      </c>
      <c r="C711" s="40">
        <f>ATAN2('1.설계입력'!$C$6/('1.설계입력'!$C$8*'1.설계입력'!$C$15)-COS((1-'1.설계입력'!$C$15)*B711),SIN((1-'1.설계입력'!$C$15)*B711))</f>
        <v>-0.57530026069393414</v>
      </c>
      <c r="D711" s="40">
        <f>'1.설계입력'!$C$6*COS(B711)-'1.설계입력'!$C$7*COS(B711+C711)-'1.설계입력'!$C$8*COS('1.설계입력'!$C$15*B711)</f>
        <v>-61.737396456286071</v>
      </c>
      <c r="E711" s="40">
        <f>-'1.설계입력'!$C$6*SIN(B711)+'1.설계입력'!$C$7*SIN(B711+C711)+'1.설계입력'!$C$8*SIN('1.설계입력'!$C$15*B711)</f>
        <v>-49.099898748894375</v>
      </c>
      <c r="F711" s="40">
        <f>ATAN2(('1.설계입력'!$C$6+'1.설계입력'!$C$33)/('1.설계입력'!$C$8*'1.설계입력'!$C$15)-COS((1-'1.설계입력'!$C$15)*B711),SIN((1-'1.설계입력'!$C$15)*B711))</f>
        <v>-0.57531574661977725</v>
      </c>
      <c r="G711" s="40">
        <f>('1.설계입력'!$C$6+'1.설계입력'!$C$33)*COS(B711)-('1.설계입력'!$C$7+'1.설계입력'!$C$34)*COS(B711+F711)-'1.설계입력'!$C$8*COS('1.설계입력'!$C$15*B711)</f>
        <v>-61.732538213496838</v>
      </c>
      <c r="H711" s="40">
        <f>-('1.설계입력'!$C$6+'1.설계입력'!$C$33)*SIN(B711)+('1.설계입력'!$C$7+'1.설계입력'!$C$34)*SIN(B711+F711)+'1.설계입력'!$C$8*SIN('1.설계입력'!$C$15*B711)</f>
        <v>-49.090226728727316</v>
      </c>
      <c r="I711" s="40">
        <f t="shared" si="34"/>
        <v>78.881595941970673</v>
      </c>
      <c r="J711" s="40">
        <f t="shared" si="35"/>
        <v>78.871773370190567</v>
      </c>
      <c r="K711" s="38">
        <f>IF(OR(A711&gt;180,'1.설계입력'!$C$39&gt;=1),"",'1.설계입력'!$C$34*(1-SIN(B711)/SQRT(1+'1.설계입력'!$C$39^2-2*'1.설계입력'!$C$39*COS(B711)))-'1.설계입력'!$C$33*(1-'1.설계입력'!$C$39*COS(B711)-SQRT(MAX(0,1-'1.설계입력'!$C$39^2))*SIN(B711))/SQRT(1+'1.설계입력'!$C$39^2-2*'1.설계입력'!$C$39*COS(B711)))</f>
        <v>7.1431337941032028E-3</v>
      </c>
    </row>
    <row r="712" spans="1:11" x14ac:dyDescent="0.3">
      <c r="A712" s="40">
        <f>A711+'1.설계입력'!$C$12</f>
        <v>141.20000000000053</v>
      </c>
      <c r="B712" s="40">
        <f t="shared" si="33"/>
        <v>2.4644049038160025</v>
      </c>
      <c r="C712" s="40">
        <f>ATAN2('1.설계입력'!$C$6/('1.설계입력'!$C$8*'1.설계입력'!$C$15)-COS((1-'1.설계입력'!$C$15)*B712),SIN((1-'1.설계입력'!$C$15)*B712))</f>
        <v>-0.52423341567882453</v>
      </c>
      <c r="D712" s="40">
        <f>'1.설계입력'!$C$6*COS(B712)-'1.설계입력'!$C$7*COS(B712+C712)-'1.설계입력'!$C$8*COS('1.설계입력'!$C$15*B712)</f>
        <v>-61.899672005281467</v>
      </c>
      <c r="E712" s="40">
        <f>-'1.설계입력'!$C$6*SIN(B712)+'1.설계입력'!$C$7*SIN(B712+C712)+'1.설계입력'!$C$8*SIN('1.설계입력'!$C$15*B712)</f>
        <v>-49.042075854170463</v>
      </c>
      <c r="F712" s="40">
        <f>ATAN2(('1.설계입력'!$C$6+'1.설계입력'!$C$33)/('1.설계입력'!$C$8*'1.설계입력'!$C$15)-COS((1-'1.설계입력'!$C$15)*B712),SIN((1-'1.설계입력'!$C$15)*B712))</f>
        <v>-0.5242469382035343</v>
      </c>
      <c r="G712" s="40">
        <f>('1.설계입력'!$C$6+'1.설계입력'!$C$33)*COS(B712)-('1.설계입력'!$C$7+'1.설계입력'!$C$34)*COS(B712+F712)-'1.설계입력'!$C$8*COS('1.설계입력'!$C$15*B712)</f>
        <v>-61.894382236018785</v>
      </c>
      <c r="H712" s="40">
        <f>-('1.설계입력'!$C$6+'1.설계입력'!$C$33)*SIN(B712)+('1.설계입력'!$C$7+'1.설계입력'!$C$34)*SIN(B712+F712)+'1.설계입력'!$C$8*SIN('1.설계입력'!$C$15*B712)</f>
        <v>-49.03256013462132</v>
      </c>
      <c r="I712" s="40">
        <f t="shared" si="34"/>
        <v>78.972745921916854</v>
      </c>
      <c r="J712" s="40">
        <f t="shared" si="35"/>
        <v>78.962690593302696</v>
      </c>
      <c r="K712" s="38">
        <f>IF(OR(A712&gt;180,'1.설계입력'!$C$39&gt;=1),"",'1.설계입력'!$C$34*(1-SIN(B712)/SQRT(1+'1.설계입력'!$C$39^2-2*'1.설계입력'!$C$39*COS(B712)))-'1.설계입력'!$C$33*(1-'1.설계입력'!$C$39*COS(B712)-SQRT(MAX(0,1-'1.설계입력'!$C$39^2))*SIN(B712))/SQRT(1+'1.설계입력'!$C$39^2-2*'1.설계입력'!$C$39*COS(B712)))</f>
        <v>7.1637073327007472E-3</v>
      </c>
    </row>
    <row r="713" spans="1:11" x14ac:dyDescent="0.3">
      <c r="A713" s="40">
        <f>A712+'1.설계입력'!$C$12</f>
        <v>141.40000000000052</v>
      </c>
      <c r="B713" s="40">
        <f t="shared" si="33"/>
        <v>2.467895562319991</v>
      </c>
      <c r="C713" s="40">
        <f>ATAN2('1.설계입력'!$C$6/('1.설계입력'!$C$8*'1.설계입력'!$C$15)-COS((1-'1.설계입력'!$C$15)*B713),SIN((1-'1.설계입력'!$C$15)*B713))</f>
        <v>-0.47158570349945078</v>
      </c>
      <c r="D713" s="40">
        <f>'1.설계입력'!$C$6*COS(B713)-'1.설계입력'!$C$7*COS(B713+C713)-'1.설계입력'!$C$8*COS('1.설계입력'!$C$15*B713)</f>
        <v>-62.070641595259751</v>
      </c>
      <c r="E713" s="40">
        <f>-'1.설계입력'!$C$6*SIN(B713)+'1.설계입력'!$C$7*SIN(B713+C713)+'1.설계입력'!$C$8*SIN('1.설계입력'!$C$15*B713)</f>
        <v>-48.970263027944327</v>
      </c>
      <c r="F713" s="40">
        <f>ATAN2(('1.설계입력'!$C$6+'1.설계입력'!$C$33)/('1.설계입력'!$C$8*'1.설계입력'!$C$15)-COS((1-'1.설계입력'!$C$15)*B713),SIN((1-'1.설계입력'!$C$15)*B713))</f>
        <v>-0.4715974316149078</v>
      </c>
      <c r="G713" s="40">
        <f>('1.설계입력'!$C$6+'1.설계입력'!$C$33)*COS(B713)-('1.설계입력'!$C$7+'1.설계입력'!$C$34)*COS(B713+F713)-'1.설계입력'!$C$8*COS('1.설계입력'!$C$15*B713)</f>
        <v>-62.064918110109573</v>
      </c>
      <c r="H713" s="40">
        <f>-('1.설계입력'!$C$6+'1.설계입력'!$C$33)*SIN(B713)+('1.설계입력'!$C$7+'1.설계입력'!$C$34)*SIN(B713+F713)+'1.설계입력'!$C$8*SIN('1.설계입력'!$C$15*B713)</f>
        <v>-48.960931899632783</v>
      </c>
      <c r="I713" s="40">
        <f t="shared" si="34"/>
        <v>79.06232483979484</v>
      </c>
      <c r="J713" s="40">
        <f t="shared" si="35"/>
        <v>79.052051918309402</v>
      </c>
      <c r="K713" s="38">
        <f>IF(OR(A713&gt;180,'1.설계입력'!$C$39&gt;=1),"",'1.설계입력'!$C$34*(1-SIN(B713)/SQRT(1+'1.설계입력'!$C$39^2-2*'1.설계입력'!$C$39*COS(B713)))-'1.설계입력'!$C$33*(1-'1.설계입력'!$C$39*COS(B713)-SQRT(MAX(0,1-'1.설계입력'!$C$39^2))*SIN(B713))/SQRT(1+'1.설계입력'!$C$39^2-2*'1.설계입력'!$C$39*COS(B713)))</f>
        <v>7.1842879899512956E-3</v>
      </c>
    </row>
    <row r="714" spans="1:11" x14ac:dyDescent="0.3">
      <c r="A714" s="40">
        <f>A713+'1.설계입력'!$C$12</f>
        <v>141.60000000000051</v>
      </c>
      <c r="B714" s="40">
        <f t="shared" si="33"/>
        <v>2.4713862208239794</v>
      </c>
      <c r="C714" s="40">
        <f>ATAN2('1.설계입력'!$C$6/('1.설계입력'!$C$8*'1.설계입력'!$C$15)-COS((1-'1.설계입력'!$C$15)*B714),SIN((1-'1.설계입력'!$C$15)*B714))</f>
        <v>-0.41768663938939882</v>
      </c>
      <c r="D714" s="40">
        <f>'1.설계입력'!$C$6*COS(B714)-'1.설계입력'!$C$7*COS(B714+C714)-'1.설계입력'!$C$8*COS('1.설계입력'!$C$15*B714)</f>
        <v>-62.248661214187209</v>
      </c>
      <c r="E714" s="40">
        <f>-'1.설계입력'!$C$6*SIN(B714)+'1.설계입력'!$C$7*SIN(B714+C714)+'1.설계입력'!$C$8*SIN('1.설계입력'!$C$15*B714)</f>
        <v>-48.883298730108621</v>
      </c>
      <c r="F714" s="40">
        <f>ATAN2(('1.설계입력'!$C$6+'1.설계입력'!$C$33)/('1.설계입력'!$C$8*'1.설계입력'!$C$15)-COS((1-'1.설계입력'!$C$15)*B714),SIN((1-'1.설계입력'!$C$15)*B714))</f>
        <v>-0.4176967088407661</v>
      </c>
      <c r="G714" s="40">
        <f>('1.설계입력'!$C$6+'1.설계입력'!$C$33)*COS(B714)-('1.설계입력'!$C$7+'1.설계입력'!$C$34)*COS(B714+F714)-'1.설계입력'!$C$8*COS('1.설계입력'!$C$15*B714)</f>
        <v>-62.242506254436243</v>
      </c>
      <c r="H714" s="40">
        <f>-('1.설계입력'!$C$6+'1.설계입력'!$C$33)*SIN(B714)+('1.설계입력'!$C$7+'1.설계입력'!$C$34)*SIN(B714+F714)+'1.설계입력'!$C$8*SIN('1.설계입력'!$C$15*B714)</f>
        <v>-48.874180661956487</v>
      </c>
      <c r="I714" s="40">
        <f t="shared" si="34"/>
        <v>79.148422079632738</v>
      </c>
      <c r="J714" s="40">
        <f t="shared" si="35"/>
        <v>79.137949936873497</v>
      </c>
      <c r="K714" s="38">
        <f>IF(OR(A714&gt;180,'1.설계입력'!$C$39&gt;=1),"",'1.설계입력'!$C$34*(1-SIN(B714)/SQRT(1+'1.설계입력'!$C$39^2-2*'1.설계입력'!$C$39*COS(B714)))-'1.설계입력'!$C$33*(1-'1.설계입력'!$C$39*COS(B714)-SQRT(MAX(0,1-'1.설계입력'!$C$39^2))*SIN(B714))/SQRT(1+'1.설계입력'!$C$39^2-2*'1.설계입력'!$C$39*COS(B714)))</f>
        <v>7.204875689726737E-3</v>
      </c>
    </row>
    <row r="715" spans="1:11" x14ac:dyDescent="0.3">
      <c r="A715" s="40">
        <f>A714+'1.설계입력'!$C$12</f>
        <v>141.80000000000049</v>
      </c>
      <c r="B715" s="40">
        <f t="shared" si="33"/>
        <v>2.4748768793279678</v>
      </c>
      <c r="C715" s="40">
        <f>ATAN2('1.설계입력'!$C$6/('1.설계입력'!$C$8*'1.설계입력'!$C$15)-COS((1-'1.설계입력'!$C$15)*B715),SIN((1-'1.설계입력'!$C$15)*B715))</f>
        <v>-0.36279466557403839</v>
      </c>
      <c r="D715" s="40">
        <f>'1.설계입력'!$C$6*COS(B715)-'1.설계입력'!$C$7*COS(B715+C715)-'1.설계입력'!$C$8*COS('1.설계입력'!$C$15*B715)</f>
        <v>-62.431660554661839</v>
      </c>
      <c r="E715" s="40">
        <f>-'1.설계입력'!$C$6*SIN(B715)+'1.설계입력'!$C$7*SIN(B715+C715)+'1.설계입력'!$C$8*SIN('1.설계입력'!$C$15*B715)</f>
        <v>-48.780387253182042</v>
      </c>
      <c r="F715" s="40">
        <f>ATAN2(('1.설계입력'!$C$6+'1.설계입력'!$C$33)/('1.설계입력'!$C$8*'1.설계입력'!$C$15)-COS((1-'1.설계입력'!$C$15)*B715),SIN((1-'1.설계입력'!$C$15)*B715))</f>
        <v>-0.36280318531394151</v>
      </c>
      <c r="G715" s="40">
        <f>('1.설계입력'!$C$6+'1.설계입력'!$C$33)*COS(B715)-('1.설계입력'!$C$7+'1.설계입력'!$C$34)*COS(B715+F715)-'1.설계입력'!$C$8*COS('1.설계입력'!$C$15*B715)</f>
        <v>-62.425080233067881</v>
      </c>
      <c r="H715" s="40">
        <f>-('1.설계입력'!$C$6+'1.설계입력'!$C$33)*SIN(B715)+('1.설계입력'!$C$7+'1.설계입력'!$C$34)*SIN(B715+F715)+'1.설계입력'!$C$8*SIN('1.설계입력'!$C$15*B715)</f>
        <v>-48.77151051343462</v>
      </c>
      <c r="I715" s="40">
        <f t="shared" si="34"/>
        <v>79.229025111905329</v>
      </c>
      <c r="J715" s="40">
        <f t="shared" si="35"/>
        <v>79.218374635352291</v>
      </c>
      <c r="K715" s="38">
        <f>IF(OR(A715&gt;180,'1.설계입력'!$C$39&gt;=1),"",'1.설계입력'!$C$34*(1-SIN(B715)/SQRT(1+'1.설계입력'!$C$39^2-2*'1.설계입력'!$C$39*COS(B715)))-'1.설계입력'!$C$33*(1-'1.설계입력'!$C$39*COS(B715)-SQRT(MAX(0,1-'1.설계입력'!$C$39^2))*SIN(B715))/SQRT(1+'1.설계입력'!$C$39^2-2*'1.설계입력'!$C$39*COS(B715)))</f>
        <v>7.22547035595969E-3</v>
      </c>
    </row>
    <row r="716" spans="1:11" x14ac:dyDescent="0.3">
      <c r="A716" s="40">
        <f>A715+'1.설계입력'!$C$12</f>
        <v>142.00000000000048</v>
      </c>
      <c r="B716" s="40">
        <f t="shared" si="33"/>
        <v>2.4783675378319563</v>
      </c>
      <c r="C716" s="40">
        <f>ATAN2('1.설계입력'!$C$6/('1.설계입력'!$C$8*'1.설계입력'!$C$15)-COS((1-'1.설계입력'!$C$15)*B716),SIN((1-'1.설계입력'!$C$15)*B716))</f>
        <v>-0.30711721724507629</v>
      </c>
      <c r="D716" s="40">
        <f>'1.설계입력'!$C$6*COS(B716)-'1.설계입력'!$C$7*COS(B716+C716)-'1.설계입력'!$C$8*COS('1.설계입력'!$C$15*B716)</f>
        <v>-62.617285612499295</v>
      </c>
      <c r="E716" s="40">
        <f>-'1.설계입력'!$C$6*SIN(B716)+'1.설계입력'!$C$7*SIN(B716+C716)+'1.설계입력'!$C$8*SIN('1.설계입력'!$C$15*B716)</f>
        <v>-48.661135863478613</v>
      </c>
      <c r="F716" s="40">
        <f>ATAN2(('1.설계입력'!$C$6+'1.설계입력'!$C$33)/('1.설계입력'!$C$8*'1.설계입력'!$C$15)-COS((1-'1.설계입력'!$C$15)*B716),SIN((1-'1.설계입력'!$C$15)*B716))</f>
        <v>-0.30712427424300526</v>
      </c>
      <c r="G716" s="40">
        <f>('1.설계입력'!$C$6+'1.설계입력'!$C$33)*COS(B716)-('1.설계입력'!$C$7+'1.설계입력'!$C$34)*COS(B716+F716)-'1.설계입력'!$C$8*COS('1.설계입력'!$C$15*B716)</f>
        <v>-62.610289478100093</v>
      </c>
      <c r="H716" s="40">
        <f>-('1.설계입력'!$C$6+'1.설계입력'!$C$33)*SIN(B716)+('1.설계입력'!$C$7+'1.설계입력'!$C$34)*SIN(B716+F716)+'1.설계입력'!$C$8*SIN('1.설계입력'!$C$15*B716)</f>
        <v>-48.652528189987699</v>
      </c>
      <c r="I716" s="40">
        <f t="shared" si="34"/>
        <v>79.302147518218163</v>
      </c>
      <c r="J716" s="40">
        <f t="shared" si="35"/>
        <v>79.291341568982418</v>
      </c>
      <c r="K716" s="38">
        <f>IF(OR(A716&gt;180,'1.설계입력'!$C$39&gt;=1),"",'1.설계입력'!$C$34*(1-SIN(B716)/SQRT(1+'1.설계입력'!$C$39^2-2*'1.설계입력'!$C$39*COS(B716)))-'1.설계입력'!$C$33*(1-'1.설계입력'!$C$39*COS(B716)-SQRT(MAX(0,1-'1.설계입력'!$C$39^2))*SIN(B716))/SQRT(1+'1.설계입력'!$C$39^2-2*'1.설계입력'!$C$39*COS(B716)))</f>
        <v>7.2460719126431509E-3</v>
      </c>
    </row>
    <row r="717" spans="1:11" x14ac:dyDescent="0.3">
      <c r="A717" s="40">
        <f>A716+'1.설계입력'!$C$12</f>
        <v>142.20000000000047</v>
      </c>
      <c r="B717" s="40">
        <f t="shared" si="33"/>
        <v>2.4818581963359447</v>
      </c>
      <c r="C717" s="40">
        <f>ATAN2('1.설계입력'!$C$6/('1.설계입력'!$C$8*'1.설계입력'!$C$15)-COS((1-'1.설계입력'!$C$15)*B717),SIN((1-'1.설계입력'!$C$15)*B717))</f>
        <v>-0.25082478347382969</v>
      </c>
      <c r="D717" s="40">
        <f>'1.설계입력'!$C$6*COS(B717)-'1.설계입력'!$C$7*COS(B717+C717)-'1.설계입력'!$C$8*COS('1.설계입력'!$C$15*B717)</f>
        <v>-62.803019982804344</v>
      </c>
      <c r="E717" s="40">
        <f>-'1.설계입력'!$C$6*SIN(B717)+'1.설계입력'!$C$7*SIN(B717+C717)+'1.설계입력'!$C$8*SIN('1.설계입력'!$C$15*B717)</f>
        <v>-48.525575782654556</v>
      </c>
      <c r="F717" s="40">
        <f>ATAN2(('1.설계입력'!$C$6+'1.설계입력'!$C$33)/('1.설계입력'!$C$8*'1.설계입력'!$C$15)-COS((1-'1.설계입력'!$C$15)*B717),SIN((1-'1.설계입력'!$C$15)*B717))</f>
        <v>-0.25083044630240997</v>
      </c>
      <c r="G717" s="40">
        <f>('1.설계입력'!$C$6+'1.설계입력'!$C$33)*COS(B717)-('1.설계입력'!$C$7+'1.설계입력'!$C$34)*COS(B717+F717)-'1.설계입력'!$C$8*COS('1.설계입력'!$C$15*B717)</f>
        <v>-62.795620666143812</v>
      </c>
      <c r="H717" s="40">
        <f>-('1.설계입력'!$C$6+'1.설계입력'!$C$33)*SIN(B717)+('1.설계입력'!$C$7+'1.설계입력'!$C$34)*SIN(B717+F717)+'1.설계입력'!$C$8*SIN('1.설계입력'!$C$15*B717)</f>
        <v>-48.517264091095306</v>
      </c>
      <c r="I717" s="40">
        <f t="shared" si="34"/>
        <v>79.365929869174167</v>
      </c>
      <c r="J717" s="40">
        <f t="shared" si="35"/>
        <v>79.354992846898512</v>
      </c>
      <c r="K717" s="38">
        <f>IF(OR(A717&gt;180,'1.설계입력'!$C$39&gt;=1),"",'1.설계입력'!$C$34*(1-SIN(B717)/SQRT(1+'1.설계입력'!$C$39^2-2*'1.설계입력'!$C$39*COS(B717)))-'1.설계입력'!$C$33*(1-'1.설계입력'!$C$39*COS(B717)-SQRT(MAX(0,1-'1.설계입력'!$C$39^2))*SIN(B717))/SQRT(1+'1.설계입력'!$C$39^2-2*'1.설계입력'!$C$39*COS(B717)))</f>
        <v>7.2666802838301323E-3</v>
      </c>
    </row>
    <row r="718" spans="1:11" x14ac:dyDescent="0.3">
      <c r="A718" s="40">
        <f>A717+'1.설계입력'!$C$12</f>
        <v>142.40000000000046</v>
      </c>
      <c r="B718" s="40">
        <f t="shared" si="33"/>
        <v>2.4853488548399332</v>
      </c>
      <c r="C718" s="40">
        <f>ATAN2('1.설계입력'!$C$6/('1.설계입력'!$C$8*'1.설계입력'!$C$15)-COS((1-'1.설계입력'!$C$15)*B718),SIN((1-'1.설계입력'!$C$15)*B718))</f>
        <v>-0.19406103898000862</v>
      </c>
      <c r="D718" s="40">
        <f>'1.설계입력'!$C$6*COS(B718)-'1.설계입력'!$C$7*COS(B718+C718)-'1.설계입력'!$C$8*COS('1.설계입력'!$C$15*B718)</f>
        <v>-62.986291088867993</v>
      </c>
      <c r="E718" s="40">
        <f>-'1.설계입력'!$C$6*SIN(B718)+'1.설계입력'!$C$7*SIN(B718+C718)+'1.설계입력'!$C$8*SIN('1.설계입력'!$C$15*B718)</f>
        <v>-48.374168277374515</v>
      </c>
      <c r="F718" s="40">
        <f>ATAN2(('1.설계입력'!$C$6+'1.설계입력'!$C$33)/('1.설계입력'!$C$8*'1.설계입력'!$C$15)-COS((1-'1.설계입력'!$C$15)*B718),SIN((1-'1.설계입력'!$C$15)*B718))</f>
        <v>-0.1940653604770326</v>
      </c>
      <c r="G718" s="40">
        <f>('1.설계입력'!$C$6+'1.설계입력'!$C$33)*COS(B718)-('1.설계입력'!$C$7+'1.설계입력'!$C$34)*COS(B718+F718)-'1.설계입력'!$C$8*COS('1.설계입력'!$C$15*B718)</f>
        <v>-62.978503999221957</v>
      </c>
      <c r="H718" s="40">
        <f>-('1.설계입력'!$C$6+'1.설계입력'!$C$33)*SIN(B718)+('1.설계입력'!$C$7+'1.설계입력'!$C$34)*SIN(B718+F718)+'1.설계입력'!$C$8*SIN('1.설계입력'!$C$15*B718)</f>
        <v>-48.366178399179219</v>
      </c>
      <c r="I718" s="40">
        <f t="shared" si="34"/>
        <v>79.418719592167676</v>
      </c>
      <c r="J718" s="40">
        <f t="shared" si="35"/>
        <v>79.407677077983124</v>
      </c>
      <c r="K718" s="38">
        <f>IF(OR(A718&gt;180,'1.설계입력'!$C$39&gt;=1),"",'1.설계입력'!$C$34*(1-SIN(B718)/SQRT(1+'1.설계입력'!$C$39^2-2*'1.설계입력'!$C$39*COS(B718)))-'1.설계입력'!$C$33*(1-'1.설계입력'!$C$39*COS(B718)-SQRT(MAX(0,1-'1.설계입력'!$C$39^2))*SIN(B718))/SQRT(1+'1.설계입력'!$C$39^2-2*'1.설계입력'!$C$39*COS(B718)))</f>
        <v>7.2872953936333057E-3</v>
      </c>
    </row>
    <row r="719" spans="1:11" x14ac:dyDescent="0.3">
      <c r="A719" s="40">
        <f>A718+'1.설계입력'!$C$12</f>
        <v>142.60000000000045</v>
      </c>
      <c r="B719" s="40">
        <f t="shared" si="33"/>
        <v>2.4888395133439216</v>
      </c>
      <c r="C719" s="40">
        <f>ATAN2('1.설계입력'!$C$6/('1.설계입력'!$C$8*'1.설계입력'!$C$15)-COS((1-'1.설계입력'!$C$15)*B719),SIN((1-'1.설계입력'!$C$15)*B719))</f>
        <v>-0.13695037052029768</v>
      </c>
      <c r="D719" s="40">
        <f>'1.설계입력'!$C$6*COS(B719)-'1.설계입력'!$C$7*COS(B719+C719)-'1.설계입력'!$C$8*COS('1.설계입력'!$C$15*B719)</f>
        <v>-63.164564651868879</v>
      </c>
      <c r="E719" s="40">
        <f>-'1.설계입력'!$C$6*SIN(B719)+'1.설계입력'!$C$7*SIN(B719+C719)+'1.설계입력'!$C$8*SIN('1.설계입력'!$C$15*B719)</f>
        <v>-48.207796981580579</v>
      </c>
      <c r="F719" s="40">
        <f>ATAN2(('1.설계입력'!$C$6+'1.설계입력'!$C$33)/('1.설계입력'!$C$8*'1.설계입력'!$C$15)-COS((1-'1.설계입력'!$C$15)*B719),SIN((1-'1.설계입력'!$C$15)*B719))</f>
        <v>-0.13695338973693902</v>
      </c>
      <c r="G719" s="40">
        <f>('1.설계입력'!$C$6+'1.설계입력'!$C$33)*COS(B719)-('1.설계입력'!$C$7+'1.설계입력'!$C$34)*COS(B719+F719)-'1.설계입력'!$C$8*COS('1.설계입력'!$C$15*B719)</f>
        <v>-63.156407707482039</v>
      </c>
      <c r="H719" s="40">
        <f>-('1.설계입력'!$C$6+'1.설계입력'!$C$33)*SIN(B719)+('1.설계입력'!$C$7+'1.설계입력'!$C$34)*SIN(B719+F719)+'1.설계입력'!$C$8*SIN('1.설계입력'!$C$15*B719)</f>
        <v>-48.200153425558149</v>
      </c>
      <c r="I719" s="40">
        <f t="shared" si="34"/>
        <v>79.459133631555616</v>
      </c>
      <c r="J719" s="40">
        <f t="shared" si="35"/>
        <v>79.448012088163935</v>
      </c>
      <c r="K719" s="38">
        <f>IF(OR(A719&gt;180,'1.설계입력'!$C$39&gt;=1),"",'1.설계입력'!$C$34*(1-SIN(B719)/SQRT(1+'1.설계입력'!$C$39^2-2*'1.설계입력'!$C$39*COS(B719)))-'1.설계입력'!$C$33*(1-'1.설계입력'!$C$39*COS(B719)-SQRT(MAX(0,1-'1.설계입력'!$C$39^2))*SIN(B719))/SQRT(1+'1.설계입력'!$C$39^2-2*'1.설계입력'!$C$39*COS(B719)))</f>
        <v>7.3079171662246561E-3</v>
      </c>
    </row>
    <row r="720" spans="1:11" x14ac:dyDescent="0.3">
      <c r="A720" s="40">
        <f>A719+'1.설계입력'!$C$12</f>
        <v>142.80000000000044</v>
      </c>
      <c r="B720" s="40">
        <f t="shared" si="33"/>
        <v>2.4923301718479101</v>
      </c>
      <c r="C720" s="40">
        <f>ATAN2('1.설계입력'!$C$6/('1.설계입력'!$C$8*'1.설계입력'!$C$15)-COS((1-'1.설계입력'!$C$15)*B720),SIN((1-'1.설계입력'!$C$15)*B720))</f>
        <v>-7.9603669563702489E-2</v>
      </c>
      <c r="D720" s="40">
        <f>'1.설계입력'!$C$6*COS(B720)-'1.설계입력'!$C$7*COS(B720+C720)-'1.설계입력'!$C$8*COS('1.설계입력'!$C$15*B720)</f>
        <v>-63.335428977743078</v>
      </c>
      <c r="E720" s="40">
        <f>-'1.설계입력'!$C$6*SIN(B720)+'1.설계입력'!$C$7*SIN(B720+C720)+'1.설계입력'!$C$8*SIN('1.설계입력'!$C$15*B720)</f>
        <v>-48.027747490956109</v>
      </c>
      <c r="F720" s="40">
        <f>ATAN2(('1.설계입력'!$C$6+'1.설계입력'!$C$33)/('1.설계입력'!$C$8*'1.설계입력'!$C$15)-COS((1-'1.설계입력'!$C$15)*B720),SIN((1-'1.설계입력'!$C$15)*B720))</f>
        <v>-7.9605413145390949E-2</v>
      </c>
      <c r="G720" s="40">
        <f>('1.설계입력'!$C$6+'1.설계입력'!$C$33)*COS(B720)-('1.설계입력'!$C$7+'1.설계입력'!$C$34)*COS(B720+F720)-'1.설계입력'!$C$8*COS('1.설계입력'!$C$15*B720)</f>
        <v>-63.326922356054247</v>
      </c>
      <c r="H720" s="40">
        <f>-('1.설계입력'!$C$6+'1.설계입력'!$C$33)*SIN(B720)+('1.설계입력'!$C$7+'1.설계입력'!$C$34)*SIN(B720+F720)+'1.설계입력'!$C$8*SIN('1.설계입력'!$C$15*B720)</f>
        <v>-48.020473224048295</v>
      </c>
      <c r="I720" s="40">
        <f t="shared" si="34"/>
        <v>79.486106288141826</v>
      </c>
      <c r="J720" s="40">
        <f t="shared" si="35"/>
        <v>79.474932801174873</v>
      </c>
      <c r="K720" s="38">
        <f>IF(OR(A720&gt;180,'1.설계입력'!$C$39&gt;=1),"",'1.설계입력'!$C$34*(1-SIN(B720)/SQRT(1+'1.설계입력'!$C$39^2-2*'1.설계입력'!$C$39*COS(B720)))-'1.설계입력'!$C$33*(1-'1.설계입력'!$C$39*COS(B720)-SQRT(MAX(0,1-'1.설계입력'!$C$39^2))*SIN(B720))/SQRT(1+'1.설계입력'!$C$39^2-2*'1.설계입력'!$C$39*COS(B720)))</f>
        <v>7.3285455258351468E-3</v>
      </c>
    </row>
    <row r="721" spans="1:11" x14ac:dyDescent="0.3">
      <c r="A721" s="40">
        <f>A720+'1.설계입력'!$C$12</f>
        <v>143.00000000000043</v>
      </c>
      <c r="B721" s="40">
        <f t="shared" si="33"/>
        <v>2.4958208303518985</v>
      </c>
      <c r="C721" s="40">
        <f>ATAN2('1.설계입력'!$C$6/('1.설계입력'!$C$8*'1.설계입력'!$C$15)-COS((1-'1.설계입력'!$C$15)*B721),SIN((1-'1.설계입력'!$C$15)*B721))</f>
        <v>-2.2122987273294304E-2</v>
      </c>
      <c r="D721" s="40">
        <f>'1.설계입력'!$C$6*COS(B721)-'1.설계입력'!$C$7*COS(B721+C721)-'1.설계입력'!$C$8*COS('1.설계입력'!$C$15*B721)</f>
        <v>-63.496669603720619</v>
      </c>
      <c r="E721" s="40">
        <f>-'1.설계입력'!$C$6*SIN(B721)+'1.설계입력'!$C$7*SIN(B721+C721)+'1.설계입력'!$C$8*SIN('1.설계입력'!$C$15*B721)</f>
        <v>-47.835675236701555</v>
      </c>
      <c r="F721" s="40">
        <f>ATAN2(('1.설계입력'!$C$6+'1.설계입력'!$C$33)/('1.설계입력'!$C$8*'1.설계입력'!$C$15)-COS((1-'1.설계입력'!$C$15)*B721),SIN((1-'1.설계입력'!$C$15)*B721))</f>
        <v>-2.2123470372638464E-2</v>
      </c>
      <c r="G721" s="40">
        <f>('1.설계입력'!$C$6+'1.설계입력'!$C$33)*COS(B721)-('1.설계입력'!$C$7+'1.설계입력'!$C$34)*COS(B721+F721)-'1.설계입력'!$C$8*COS('1.설계입력'!$C$15*B721)</f>
        <v>-63.487835502371965</v>
      </c>
      <c r="H721" s="40">
        <f>-('1.설계입력'!$C$6+'1.설계입력'!$C$33)*SIN(B721)+('1.설계입력'!$C$7+'1.설계입력'!$C$34)*SIN(B721+F721)+'1.설계입력'!$C$8*SIN('1.설계입력'!$C$15*B721)</f>
        <v>-47.828791480275505</v>
      </c>
      <c r="I721" s="40">
        <f t="shared" si="34"/>
        <v>79.498923741867344</v>
      </c>
      <c r="J721" s="40">
        <f t="shared" si="35"/>
        <v>79.487725789834485</v>
      </c>
      <c r="K721" s="38">
        <f>IF(OR(A721&gt;180,'1.설계입력'!$C$39&gt;=1),"",'1.설계입력'!$C$34*(1-SIN(B721)/SQRT(1+'1.설계입력'!$C$39^2-2*'1.설계입력'!$C$39*COS(B721)))-'1.설계입력'!$C$33*(1-'1.설계입력'!$C$39*COS(B721)-SQRT(MAX(0,1-'1.설계입력'!$C$39^2))*SIN(B721))/SQRT(1+'1.설계입력'!$C$39^2-2*'1.설계입력'!$C$39*COS(B721)))</f>
        <v>7.3491803967543727E-3</v>
      </c>
    </row>
    <row r="722" spans="1:11" x14ac:dyDescent="0.3">
      <c r="A722" s="40">
        <f>A721+'1.설계입력'!$C$12</f>
        <v>143.20000000000041</v>
      </c>
      <c r="B722" s="40">
        <f t="shared" si="33"/>
        <v>2.4993114888558869</v>
      </c>
      <c r="C722" s="40">
        <f>ATAN2('1.설계입력'!$C$6/('1.설계입력'!$C$8*'1.설계입력'!$C$15)-COS((1-'1.설계입력'!$C$15)*B722),SIN((1-'1.설계입력'!$C$15)*B722))</f>
        <v>3.5394520094269646E-2</v>
      </c>
      <c r="D722" s="40">
        <f>'1.설계입력'!$C$6*COS(B722)-'1.설계입력'!$C$7*COS(B722+C722)-'1.설계입력'!$C$8*COS('1.설계입력'!$C$15*B722)</f>
        <v>-63.646334231917407</v>
      </c>
      <c r="E722" s="40">
        <f>-'1.설계입력'!$C$6*SIN(B722)+'1.설계입력'!$C$7*SIN(B722+C722)+'1.설계입력'!$C$8*SIN('1.설계입력'!$C$15*B722)</f>
        <v>-47.633562645513464</v>
      </c>
      <c r="F722" s="40">
        <f>ATAN2(('1.설계입력'!$C$6+'1.설계입력'!$C$33)/('1.설계입력'!$C$8*'1.설계입력'!$C$15)-COS((1-'1.설계입력'!$C$15)*B722),SIN((1-'1.설계입력'!$C$15)*B722))</f>
        <v>3.539529330903711E-2</v>
      </c>
      <c r="G722" s="40">
        <f>('1.설계입력'!$C$6+'1.설계입력'!$C$33)*COS(B722)-('1.설계입력'!$C$7+'1.설계입력'!$C$34)*COS(B722+F722)-'1.설계입력'!$C$8*COS('1.설계입력'!$C$15*B722)</f>
        <v>-63.637196633780853</v>
      </c>
      <c r="H722" s="40">
        <f>-('1.설계입력'!$C$6+'1.설계입력'!$C$33)*SIN(B722)+('1.설계입력'!$C$7+'1.설계입력'!$C$34)*SIN(B722+F722)+'1.설계입력'!$C$8*SIN('1.설계입력'!$C$15*B722)</f>
        <v>-47.627088684121667</v>
      </c>
      <c r="I722" s="40">
        <f t="shared" si="34"/>
        <v>79.497246187934067</v>
      </c>
      <c r="J722" s="40">
        <f t="shared" si="35"/>
        <v>79.486051429994177</v>
      </c>
      <c r="K722" s="38">
        <f>IF(OR(A722&gt;180,'1.설계입력'!$C$39&gt;=1),"",'1.설계입력'!$C$34*(1-SIN(B722)/SQRT(1+'1.설계입력'!$C$39^2-2*'1.설계입력'!$C$39*COS(B722)))-'1.설계입력'!$C$33*(1-'1.설계입력'!$C$39*COS(B722)-SQRT(MAX(0,1-'1.설계입력'!$C$39^2))*SIN(B722))/SQRT(1+'1.설계입력'!$C$39^2-2*'1.설계입력'!$C$39*COS(B722)))</f>
        <v>7.3698217033302312E-3</v>
      </c>
    </row>
    <row r="723" spans="1:11" x14ac:dyDescent="0.3">
      <c r="A723" s="40">
        <f>A722+'1.설계입력'!$C$12</f>
        <v>143.4000000000004</v>
      </c>
      <c r="B723" s="40">
        <f t="shared" si="33"/>
        <v>2.5028021473598758</v>
      </c>
      <c r="C723" s="40">
        <f>ATAN2('1.설계입력'!$C$6/('1.설계입력'!$C$8*'1.설계입력'!$C$15)-COS((1-'1.설계입력'!$C$15)*B723),SIN((1-'1.설계입력'!$C$15)*B723))</f>
        <v>9.2853026011271808E-2</v>
      </c>
      <c r="D723" s="40">
        <f>'1.설계입력'!$C$6*COS(B723)-'1.설계입력'!$C$7*COS(B723+C723)-'1.설계입력'!$C$8*COS('1.설계입력'!$C$15*B723)</f>
        <v>-63.78278751863818</v>
      </c>
      <c r="E723" s="40">
        <f>-'1.설계입력'!$C$6*SIN(B723)+'1.설계입력'!$C$7*SIN(B723+C723)+'1.설계입력'!$C$8*SIN('1.설계입력'!$C$15*B723)</f>
        <v>-47.423666601810119</v>
      </c>
      <c r="F723" s="40">
        <f>ATAN2(('1.설계입력'!$C$6+'1.설계입력'!$C$33)/('1.설계입력'!$C$8*'1.설계입력'!$C$15)-COS((1-'1.설계입력'!$C$15)*B723),SIN((1-'1.설계입력'!$C$15)*B723))</f>
        <v>9.2855062217799822E-2</v>
      </c>
      <c r="G723" s="40">
        <f>('1.설계입력'!$C$6+'1.설계입력'!$C$33)*COS(B723)-('1.설계입력'!$C$7+'1.설계입력'!$C$34)*COS(B723+F723)-'1.설계입력'!$C$8*COS('1.설계입력'!$C$15*B723)</f>
        <v>-63.773371955597959</v>
      </c>
      <c r="H723" s="40">
        <f>-('1.설계입력'!$C$6+'1.설계입력'!$C$33)*SIN(B723)+('1.설계입력'!$C$7+'1.설계입력'!$C$34)*SIN(B723+F723)+'1.설계입력'!$C$8*SIN('1.설계입력'!$C$15*B723)</f>
        <v>-47.417619601526731</v>
      </c>
      <c r="I723" s="40">
        <f t="shared" si="34"/>
        <v>79.481118120012539</v>
      </c>
      <c r="J723" s="40">
        <f t="shared" si="35"/>
        <v>79.469954191896576</v>
      </c>
      <c r="K723" s="38">
        <f>IF(OR(A723&gt;180,'1.설계입력'!$C$39&gt;=1),"",'1.설계입력'!$C$34*(1-SIN(B723)/SQRT(1+'1.설계입력'!$C$39^2-2*'1.설계입력'!$C$39*COS(B723)))-'1.설계입력'!$C$33*(1-'1.설계입력'!$C$39*COS(B723)-SQRT(MAX(0,1-'1.설계입력'!$C$39^2))*SIN(B723))/SQRT(1+'1.설계입력'!$C$39^2-2*'1.설계입력'!$C$39*COS(B723)))</f>
        <v>7.3904693699685959E-3</v>
      </c>
    </row>
    <row r="724" spans="1:11" x14ac:dyDescent="0.3">
      <c r="A724" s="40">
        <f>A723+'1.설계입력'!$C$12</f>
        <v>143.60000000000039</v>
      </c>
      <c r="B724" s="40">
        <f t="shared" si="33"/>
        <v>2.5062928058638643</v>
      </c>
      <c r="C724" s="40">
        <f>ATAN2('1.설계입력'!$C$6/('1.설계입력'!$C$8*'1.설계입력'!$C$15)-COS((1-'1.설계입력'!$C$15)*B724),SIN((1-'1.설계입력'!$C$15)*B724))</f>
        <v>0.15015457019111897</v>
      </c>
      <c r="D724" s="40">
        <f>'1.설계입력'!$C$6*COS(B724)-'1.설계입력'!$C$7*COS(B724+C724)-'1.설계입력'!$C$8*COS('1.설계입력'!$C$15*B724)</f>
        <v>-63.904755086405629</v>
      </c>
      <c r="E724" s="40">
        <f>-'1.설계입력'!$C$6*SIN(B724)+'1.설계입력'!$C$7*SIN(B724+C724)+'1.설계입력'!$C$8*SIN('1.설계입력'!$C$15*B724)</f>
        <v>-47.208457223531582</v>
      </c>
      <c r="F724" s="40">
        <f>ATAN2(('1.설계입력'!$C$6+'1.설계입력'!$C$33)/('1.설계입력'!$C$8*'1.설계입력'!$C$15)-COS((1-'1.설계입력'!$C$15)*B724),SIN((1-'1.설계입력'!$C$15)*B724))</f>
        <v>0.15015788713509629</v>
      </c>
      <c r="G724" s="40">
        <f>('1.설계입력'!$C$6+'1.설계입력'!$C$33)*COS(B724)-('1.설계입력'!$C$7+'1.설계입력'!$C$34)*COS(B724+F724)-'1.설계입력'!$C$8*COS('1.설계입력'!$C$15*B724)</f>
        <v>-63.895088397468548</v>
      </c>
      <c r="H724" s="40">
        <f>-('1.설계입력'!$C$6+'1.설계입력'!$C$33)*SIN(B724)+('1.설계입력'!$C$7+'1.설계입력'!$C$34)*SIN(B724+F724)+'1.설계입력'!$C$8*SIN('1.설계입력'!$C$15*B724)</f>
        <v>-47.202852056819395</v>
      </c>
      <c r="I724" s="40">
        <f t="shared" si="34"/>
        <v>79.450966992727643</v>
      </c>
      <c r="J724" s="40">
        <f t="shared" si="35"/>
        <v>79.439861301605376</v>
      </c>
      <c r="K724" s="38">
        <f>IF(OR(A724&gt;180,'1.설계입력'!$C$39&gt;=1),"",'1.설계입력'!$C$34*(1-SIN(B724)/SQRT(1+'1.설계입력'!$C$39^2-2*'1.설계입력'!$C$39*COS(B724)))-'1.설계입력'!$C$33*(1-'1.설계입력'!$C$39*COS(B724)-SQRT(MAX(0,1-'1.설계입력'!$C$39^2))*SIN(B724))/SQRT(1+'1.설계입력'!$C$39^2-2*'1.설계입력'!$C$39*COS(B724)))</f>
        <v>7.4111233211329799E-3</v>
      </c>
    </row>
    <row r="725" spans="1:11" x14ac:dyDescent="0.3">
      <c r="A725" s="40">
        <f>A724+'1.설계입력'!$C$12</f>
        <v>143.80000000000038</v>
      </c>
      <c r="B725" s="40">
        <f t="shared" si="33"/>
        <v>2.5097834643678527</v>
      </c>
      <c r="C725" s="40">
        <f>ATAN2('1.설계입력'!$C$6/('1.설계입력'!$C$8*'1.설계입력'!$C$15)-COS((1-'1.설계입력'!$C$15)*B725),SIN((1-'1.설계입력'!$C$15)*B725))</f>
        <v>0.2071954315896726</v>
      </c>
      <c r="D725" s="40">
        <f>'1.설계입력'!$C$6*COS(B725)-'1.설계입력'!$C$7*COS(B725+C725)-'1.설계입력'!$C$8*COS('1.설계입력'!$C$15*B725)</f>
        <v>-64.011356015907452</v>
      </c>
      <c r="E725" s="40">
        <f>-'1.설계입력'!$C$6*SIN(B725)+'1.설계입력'!$C$7*SIN(B725+C725)+'1.설계입력'!$C$8*SIN('1.설계입력'!$C$15*B725)</f>
        <v>-46.990548919316304</v>
      </c>
      <c r="F725" s="40">
        <f>ATAN2(('1.설계입력'!$C$6+'1.설계입력'!$C$33)/('1.설계입력'!$C$8*'1.설계입력'!$C$15)-COS((1-'1.설계입력'!$C$15)*B725),SIN((1-'1.설계입력'!$C$15)*B725))</f>
        <v>0.20720005868257629</v>
      </c>
      <c r="G725" s="40">
        <f>('1.설계입력'!$C$6+'1.설계입력'!$C$33)*COS(B725)-('1.설계입력'!$C$7+'1.설계입력'!$C$34)*COS(B725+F725)-'1.설계입력'!$C$8*COS('1.설계입력'!$C$15*B725)</f>
        <v>-64.001466095507553</v>
      </c>
      <c r="H725" s="40">
        <f>-('1.설계입력'!$C$6+'1.설계입력'!$C$33)*SIN(B725)+('1.설계입력'!$C$7+'1.설계입력'!$C$34)*SIN(B725+F725)+'1.설계입력'!$C$8*SIN('1.설계입력'!$C$15*B725)</f>
        <v>-46.985397992864449</v>
      </c>
      <c r="I725" s="40">
        <f t="shared" si="34"/>
        <v>79.407590233767394</v>
      </c>
      <c r="J725" s="40">
        <f t="shared" si="35"/>
        <v>79.396569742793517</v>
      </c>
      <c r="K725" s="38">
        <f>IF(OR(A725&gt;180,'1.설계입력'!$C$39&gt;=1),"",'1.설계입력'!$C$34*(1-SIN(B725)/SQRT(1+'1.설계입력'!$C$39^2-2*'1.설계입력'!$C$39*COS(B725)))-'1.설계입력'!$C$33*(1-'1.설계입력'!$C$39*COS(B725)-SQRT(MAX(0,1-'1.설계입력'!$C$39^2))*SIN(B725))/SQRT(1+'1.설계입력'!$C$39^2-2*'1.설계입력'!$C$39*COS(B725)))</f>
        <v>7.4317834813442387E-3</v>
      </c>
    </row>
    <row r="726" spans="1:11" x14ac:dyDescent="0.3">
      <c r="A726" s="40">
        <f>A725+'1.설계입력'!$C$12</f>
        <v>144.00000000000037</v>
      </c>
      <c r="B726" s="40">
        <f t="shared" si="33"/>
        <v>2.5132741228718412</v>
      </c>
      <c r="C726" s="40">
        <f>ATAN2('1.설계입력'!$C$6/('1.설계입력'!$C$8*'1.설계입력'!$C$15)-COS((1-'1.설계입력'!$C$15)*B726),SIN((1-'1.설계입력'!$C$15)*B726))</f>
        <v>0.26386205120321599</v>
      </c>
      <c r="D726" s="40">
        <f>'1.설계입력'!$C$6*COS(B726)-'1.설계입력'!$C$7*COS(B726+C726)-'1.설계입력'!$C$8*COS('1.설계입력'!$C$15*B726)</f>
        <v>-64.102123009017959</v>
      </c>
      <c r="E726" s="40">
        <f>-'1.설계입력'!$C$6*SIN(B726)+'1.설계입력'!$C$7*SIN(B726+C726)+'1.설계입력'!$C$8*SIN('1.설계입력'!$C$15*B726)</f>
        <v>-46.772624582470186</v>
      </c>
      <c r="F726" s="40">
        <f>ATAN2(('1.설계입력'!$C$6+'1.설계입력'!$C$33)/('1.설계입력'!$C$8*'1.설계입력'!$C$15)-COS((1-'1.설계입력'!$C$15)*B726),SIN((1-'1.설계입력'!$C$15)*B726))</f>
        <v>0.26386803053642022</v>
      </c>
      <c r="G726" s="40">
        <f>('1.설계입력'!$C$6+'1.설계입력'!$C$33)*COS(B726)-('1.설계입력'!$C$7+'1.설계입력'!$C$34)*COS(B726+F726)-'1.설계입력'!$C$8*COS('1.설계입력'!$C$15*B726)</f>
        <v>-64.09203854118563</v>
      </c>
      <c r="H726" s="40">
        <f>-('1.설계입력'!$C$6+'1.설계입력'!$C$33)*SIN(B726)+('1.설계입력'!$C$7+'1.설계입력'!$C$34)*SIN(B726+F726)+'1.설계입력'!$C$8*SIN('1.설계입력'!$C$15*B726)</f>
        <v>-46.76793766348716</v>
      </c>
      <c r="I726" s="40">
        <f t="shared" si="34"/>
        <v>79.352130309122543</v>
      </c>
      <c r="J726" s="40">
        <f t="shared" si="35"/>
        <v>79.34122130179648</v>
      </c>
      <c r="K726" s="38">
        <f>IF(OR(A726&gt;180,'1.설계입력'!$C$39&gt;=1),"",'1.설계입력'!$C$34*(1-SIN(B726)/SQRT(1+'1.설계입력'!$C$39^2-2*'1.설계입력'!$C$39*COS(B726)))-'1.설계입력'!$C$33*(1-'1.설계입력'!$C$39*COS(B726)-SQRT(MAX(0,1-'1.설계입력'!$C$39^2))*SIN(B726))/SQRT(1+'1.설계입력'!$C$39^2-2*'1.설계입력'!$C$39*COS(B726)))</f>
        <v>7.4524497751802359E-3</v>
      </c>
    </row>
    <row r="727" spans="1:11" x14ac:dyDescent="0.3">
      <c r="A727" s="40">
        <f>A726+'1.설계입력'!$C$12</f>
        <v>144.20000000000036</v>
      </c>
      <c r="B727" s="40">
        <f t="shared" si="33"/>
        <v>2.5167647813758296</v>
      </c>
      <c r="C727" s="40">
        <f>ATAN2('1.설계입력'!$C$6/('1.설계입력'!$C$8*'1.설계입력'!$C$15)-COS((1-'1.설계입력'!$C$15)*B727),SIN((1-'1.설계입력'!$C$15)*B727))</f>
        <v>0.32002615733444184</v>
      </c>
      <c r="D727" s="40">
        <f>'1.설계입력'!$C$6*COS(B727)-'1.설계입력'!$C$7*COS(B727+C727)-'1.설계입력'!$C$8*COS('1.설계입력'!$C$15*B727)</f>
        <v>-64.177009350299116</v>
      </c>
      <c r="E727" s="40">
        <f>-'1.설계입력'!$C$6*SIN(B727)+'1.설계입력'!$C$7*SIN(B727+C727)+'1.설계입력'!$C$8*SIN('1.설계입력'!$C$15*B727)</f>
        <v>-46.557353554913632</v>
      </c>
      <c r="F727" s="40">
        <f>ATAN2(('1.설계입력'!$C$6+'1.설계입력'!$C$33)/('1.설계입력'!$C$8*'1.설계입력'!$C$15)-COS((1-'1.설계입력'!$C$15)*B727),SIN((1-'1.설계입력'!$C$15)*B727))</f>
        <v>0.32003354518069593</v>
      </c>
      <c r="G727" s="40">
        <f>('1.설계입력'!$C$6+'1.설계입력'!$C$33)*COS(B727)-('1.설계입력'!$C$7+'1.설계입력'!$C$34)*COS(B727+F727)-'1.설계입력'!$C$8*COS('1.설계입력'!$C$15*B727)</f>
        <v>-64.166759523648366</v>
      </c>
      <c r="H727" s="40">
        <f>-('1.설계입력'!$C$6+'1.설계입력'!$C$33)*SIN(B727)+('1.설계입력'!$C$7+'1.설계입력'!$C$34)*SIN(B727+F727)+'1.설계입력'!$C$8*SIN('1.설계입력'!$C$15*B727)</f>
        <v>-46.55313758980607</v>
      </c>
      <c r="I727" s="40">
        <f t="shared" si="34"/>
        <v>79.286037227153741</v>
      </c>
      <c r="J727" s="40">
        <f t="shared" si="35"/>
        <v>79.275265040371409</v>
      </c>
      <c r="K727" s="38">
        <f>IF(OR(A727&gt;180,'1.설계입력'!$C$39&gt;=1),"",'1.설계입력'!$C$34*(1-SIN(B727)/SQRT(1+'1.설계입력'!$C$39^2-2*'1.설계입력'!$C$39*COS(B727)))-'1.설계입력'!$C$33*(1-'1.설계입력'!$C$39*COS(B727)-SQRT(MAX(0,1-'1.설계입력'!$C$39^2))*SIN(B727))/SQRT(1+'1.설계입력'!$C$39^2-2*'1.설계입력'!$C$39*COS(B727)))</f>
        <v>7.4731221272755473E-3</v>
      </c>
    </row>
    <row r="728" spans="1:11" x14ac:dyDescent="0.3">
      <c r="A728" s="40">
        <f>A727+'1.설계입력'!$C$12</f>
        <v>144.40000000000035</v>
      </c>
      <c r="B728" s="40">
        <f t="shared" si="33"/>
        <v>2.520255439879818</v>
      </c>
      <c r="C728" s="40">
        <f>ATAN2('1.설계입력'!$C$6/('1.설계입력'!$C$8*'1.설계입력'!$C$15)-COS((1-'1.설계입력'!$C$15)*B728),SIN((1-'1.설계입력'!$C$15)*B728))</f>
        <v>0.37553863366528378</v>
      </c>
      <c r="D728" s="40">
        <f>'1.설계입력'!$C$6*COS(B728)-'1.설계입력'!$C$7*COS(B728+C728)-'1.설계입력'!$C$8*COS('1.설계입력'!$C$15*B728)</f>
        <v>-64.236381689725263</v>
      </c>
      <c r="E728" s="40">
        <f>-'1.설계입력'!$C$6*SIN(B728)+'1.설계입력'!$C$7*SIN(B728+C728)+'1.설계입력'!$C$8*SIN('1.설계입력'!$C$15*B728)</f>
        <v>-46.347303600484139</v>
      </c>
      <c r="F728" s="40">
        <f>ATAN2(('1.설계입력'!$C$6+'1.설계입력'!$C$33)/('1.설계입력'!$C$8*'1.설계입력'!$C$15)-COS((1-'1.설계입력'!$C$15)*B728),SIN((1-'1.설계입력'!$C$15)*B728))</f>
        <v>0.37554750257664382</v>
      </c>
      <c r="G728" s="40">
        <f>('1.설계입력'!$C$6+'1.설계입력'!$C$33)*COS(B728)-('1.설계입력'!$C$7+'1.설계입력'!$C$34)*COS(B728+F728)-'1.설계입력'!$C$8*COS('1.설계입력'!$C$15*B728)</f>
        <v>-64.225995886863302</v>
      </c>
      <c r="H728" s="40">
        <f>-('1.설계입력'!$C$6+'1.설계입력'!$C$33)*SIN(B728)+('1.설계입력'!$C$7+'1.설계입력'!$C$34)*SIN(B728+F728)+'1.설계입력'!$C$8*SIN('1.설계입력'!$C$15*B728)</f>
        <v>-46.34356251742377</v>
      </c>
      <c r="I728" s="40">
        <f t="shared" si="34"/>
        <v>79.211017438381148</v>
      </c>
      <c r="J728" s="40">
        <f t="shared" si="35"/>
        <v>79.20040615088881</v>
      </c>
      <c r="K728" s="38">
        <f>IF(OR(A728&gt;180,'1.설계입력'!$C$39&gt;=1),"",'1.설계입력'!$C$34*(1-SIN(B728)/SQRT(1+'1.설계입력'!$C$39^2-2*'1.설계입력'!$C$39*COS(B728)))-'1.설계입력'!$C$33*(1-'1.설계입력'!$C$39*COS(B728)-SQRT(MAX(0,1-'1.설계입력'!$C$39^2))*SIN(B728))/SQRT(1+'1.설계입력'!$C$39^2-2*'1.설계입력'!$C$39*COS(B728)))</f>
        <v>7.4938004623211433E-3</v>
      </c>
    </row>
    <row r="729" spans="1:11" x14ac:dyDescent="0.3">
      <c r="A729" s="40">
        <f>A728+'1.설계입력'!$C$12</f>
        <v>144.60000000000034</v>
      </c>
      <c r="B729" s="40">
        <f t="shared" si="33"/>
        <v>2.5237460983838065</v>
      </c>
      <c r="C729" s="40">
        <f>ATAN2('1.설계입력'!$C$6/('1.설계입력'!$C$8*'1.설계입력'!$C$15)-COS((1-'1.설계입력'!$C$15)*B729),SIN((1-'1.설계입력'!$C$15)*B729))</f>
        <v>0.43022148195970872</v>
      </c>
      <c r="D729" s="40">
        <f>'1.설계입력'!$C$6*COS(B729)-'1.설계입력'!$C$7*COS(B729+C729)-'1.설계입력'!$C$8*COS('1.설계입력'!$C$15*B729)</f>
        <v>-64.280997470800273</v>
      </c>
      <c r="E729" s="40">
        <f>-'1.설계입력'!$C$6*SIN(B729)+'1.설계입력'!$C$7*SIN(B729+C729)+'1.설계입력'!$C$8*SIN('1.설계입력'!$C$15*B729)</f>
        <v>-46.144846461762768</v>
      </c>
      <c r="F729" s="40">
        <f>ATAN2(('1.설계입력'!$C$6+'1.설계입력'!$C$33)/('1.설계입력'!$C$8*'1.설계입력'!$C$15)-COS((1-'1.설계입력'!$C$15)*B729),SIN((1-'1.설계입력'!$C$15)*B729))</f>
        <v>0.4302319236214156</v>
      </c>
      <c r="G729" s="40">
        <f>('1.설계입력'!$C$6+'1.설계입력'!$C$33)*COS(B729)-('1.설계입력'!$C$7+'1.설계입력'!$C$34)*COS(B729+F729)-'1.설계입력'!$C$8*COS('1.설계입력'!$C$15*B729)</f>
        <v>-64.270504923569376</v>
      </c>
      <c r="H729" s="40">
        <f>-('1.설계입력'!$C$6+'1.설계입력'!$C$33)*SIN(B729)+('1.설계입력'!$C$7+'1.설계입력'!$C$34)*SIN(B729+F729)+'1.설계입력'!$C$8*SIN('1.설계입력'!$C$15*B729)</f>
        <v>-46.141580944875109</v>
      </c>
      <c r="I729" s="40">
        <f t="shared" si="34"/>
        <v>79.128967457061464</v>
      </c>
      <c r="J729" s="40">
        <f t="shared" si="35"/>
        <v>79.118539516493968</v>
      </c>
      <c r="K729" s="38">
        <f>IF(OR(A729&gt;180,'1.설계입력'!$C$39&gt;=1),"",'1.설계입력'!$C$34*(1-SIN(B729)/SQRT(1+'1.설계입력'!$C$39^2-2*'1.설계입력'!$C$39*COS(B729)))-'1.설계입력'!$C$33*(1-'1.설계입력'!$C$39*COS(B729)-SQRT(MAX(0,1-'1.설계입력'!$C$39^2))*SIN(B729))/SQRT(1+'1.설계입력'!$C$39^2-2*'1.설계입력'!$C$39*COS(B729)))</f>
        <v>7.5144847050640983E-3</v>
      </c>
    </row>
    <row r="730" spans="1:11" x14ac:dyDescent="0.3">
      <c r="A730" s="40">
        <f>A729+'1.설계입력'!$C$12</f>
        <v>144.80000000000032</v>
      </c>
      <c r="B730" s="40">
        <f t="shared" si="33"/>
        <v>2.5272367568877949</v>
      </c>
      <c r="C730" s="40">
        <f>ATAN2('1.설계입력'!$C$6/('1.설계입력'!$C$8*'1.설계입력'!$C$15)-COS((1-'1.설계입력'!$C$15)*B730),SIN((1-'1.설계입력'!$C$15)*B730))</f>
        <v>0.48385692243202616</v>
      </c>
      <c r="D730" s="40">
        <f>'1.설계입력'!$C$6*COS(B730)-'1.설계입력'!$C$7*COS(B730+C730)-'1.설계입력'!$C$8*COS('1.설계입력'!$C$15*B730)</f>
        <v>-64.311965463000959</v>
      </c>
      <c r="E730" s="40">
        <f>-'1.설계입력'!$C$6*SIN(B730)+'1.설계입력'!$C$7*SIN(B730+C730)+'1.설계입력'!$C$8*SIN('1.설계입력'!$C$15*B730)</f>
        <v>-45.952055468239124</v>
      </c>
      <c r="F730" s="40">
        <f>ATAN2(('1.설계입력'!$C$6+'1.설계입력'!$C$33)/('1.설계입력'!$C$8*'1.설계입력'!$C$15)-COS((1-'1.설계입력'!$C$15)*B730),SIN((1-'1.설계입력'!$C$15)*B730))</f>
        <v>0.48386905150066817</v>
      </c>
      <c r="G730" s="40">
        <f>('1.설계입력'!$C$6+'1.설계입력'!$C$33)*COS(B730)-('1.설계입력'!$C$7+'1.설계입력'!$C$34)*COS(B730+F730)-'1.설계입력'!$C$8*COS('1.설계입력'!$C$15*B730)</f>
        <v>-64.301394861556844</v>
      </c>
      <c r="H730" s="40">
        <f>-('1.설계입력'!$C$6+'1.설계입력'!$C$33)*SIN(B730)+('1.설계입력'!$C$7+'1.설계입력'!$C$34)*SIN(B730+F730)+'1.설계입력'!$C$8*SIN('1.설계입력'!$C$15*B730)</f>
        <v>-45.949262685240605</v>
      </c>
      <c r="I730" s="40">
        <f t="shared" si="34"/>
        <v>79.041889548962288</v>
      </c>
      <c r="J730" s="40">
        <f t="shared" si="35"/>
        <v>79.031665314980515</v>
      </c>
      <c r="K730" s="38">
        <f>IF(OR(A730&gt;180,'1.설계입력'!$C$39&gt;=1),"",'1.설계입력'!$C$34*(1-SIN(B730)/SQRT(1+'1.설계입력'!$C$39^2-2*'1.설계입력'!$C$39*COS(B730)))-'1.설계입력'!$C$33*(1-'1.설계입력'!$C$39*COS(B730)-SQRT(MAX(0,1-'1.설계입력'!$C$39^2))*SIN(B730))/SQRT(1+'1.설계입력'!$C$39^2-2*'1.설계입력'!$C$39*COS(B730)))</f>
        <v>7.5351747803072862E-3</v>
      </c>
    </row>
    <row r="731" spans="1:11" x14ac:dyDescent="0.3">
      <c r="A731" s="40">
        <f>A730+'1.설계입력'!$C$12</f>
        <v>145.00000000000031</v>
      </c>
      <c r="B731" s="40">
        <f t="shared" si="33"/>
        <v>2.5307274153917834</v>
      </c>
      <c r="C731" s="40">
        <f>ATAN2('1.설계입력'!$C$6/('1.설계입력'!$C$8*'1.설계입력'!$C$15)-COS((1-'1.설계입력'!$C$15)*B731),SIN((1-'1.설계입력'!$C$15)*B731))</f>
        <v>0.53617216719482019</v>
      </c>
      <c r="D731" s="40">
        <f>'1.설계입력'!$C$6*COS(B731)-'1.설계입력'!$C$7*COS(B731+C731)-'1.설계입력'!$C$8*COS('1.설계입력'!$C$15*B731)</f>
        <v>-64.330687219410066</v>
      </c>
      <c r="E731" s="40">
        <f>-'1.설계입력'!$C$6*SIN(B731)+'1.설계입력'!$C$7*SIN(B731+C731)+'1.설계입력'!$C$8*SIN('1.설계입력'!$C$15*B731)</f>
        <v>-45.770591815917015</v>
      </c>
      <c r="F731" s="40">
        <f>ATAN2(('1.설계입력'!$C$6+'1.설계입력'!$C$33)/('1.설계입력'!$C$8*'1.설계입력'!$C$15)-COS((1-'1.설계입력'!$C$15)*B731),SIN((1-'1.설계입력'!$C$15)*B731))</f>
        <v>0.5361861264445662</v>
      </c>
      <c r="G731" s="40">
        <f>('1.설계입력'!$C$6+'1.설계입력'!$C$33)*COS(B731)-('1.설계입력'!$C$7+'1.설계입력'!$C$34)*COS(B731+F731)-'1.설계입력'!$C$8*COS('1.설계입력'!$C$15*B731)</f>
        <v>-64.320066257933675</v>
      </c>
      <c r="H731" s="40">
        <f>-('1.설계입력'!$C$6+'1.설계입력'!$C$33)*SIN(B731)+('1.설계입력'!$C$7+'1.설계입력'!$C$34)*SIN(B731+F731)+'1.설계입력'!$C$8*SIN('1.설계입력'!$C$15*B731)</f>
        <v>-45.76826507159624</v>
      </c>
      <c r="I731" s="40">
        <f t="shared" si="34"/>
        <v>78.951785244545675</v>
      </c>
      <c r="J731" s="40">
        <f t="shared" si="35"/>
        <v>78.941782416467348</v>
      </c>
      <c r="K731" s="38">
        <f>IF(OR(A731&gt;180,'1.설계입력'!$C$39&gt;=1),"",'1.설계입력'!$C$34*(1-SIN(B731)/SQRT(1+'1.설계입력'!$C$39^2-2*'1.설계입력'!$C$39*COS(B731)))-'1.설계입력'!$C$33*(1-'1.설계입력'!$C$39*COS(B731)-SQRT(MAX(0,1-'1.설계입력'!$C$39^2))*SIN(B731))/SQRT(1+'1.설계입력'!$C$39^2-2*'1.설계입력'!$C$39*COS(B731)))</f>
        <v>7.5558706129090908E-3</v>
      </c>
    </row>
    <row r="732" spans="1:11" x14ac:dyDescent="0.3">
      <c r="A732" s="40">
        <f>A731+'1.설계입력'!$C$12</f>
        <v>145.2000000000003</v>
      </c>
      <c r="B732" s="40">
        <f t="shared" si="33"/>
        <v>2.5342180738957718</v>
      </c>
      <c r="C732" s="40">
        <f>ATAN2('1.설계입력'!$C$6/('1.설계입력'!$C$8*'1.설계입력'!$C$15)-COS((1-'1.설계입력'!$C$15)*B732),SIN((1-'1.설계입력'!$C$15)*B732))</f>
        <v>0.58681755378975953</v>
      </c>
      <c r="D732" s="40">
        <f>'1.설계입력'!$C$6*COS(B732)-'1.설계입력'!$C$7*COS(B732+C732)-'1.설계입력'!$C$8*COS('1.설계입력'!$C$15*B732)</f>
        <v>-64.338776211366607</v>
      </c>
      <c r="E732" s="40">
        <f>-'1.설계입력'!$C$6*SIN(B732)+'1.설계입력'!$C$7*SIN(B732+C732)+'1.설계입력'!$C$8*SIN('1.설계입력'!$C$15*B732)</f>
        <v>-45.601572999647708</v>
      </c>
      <c r="F732" s="40">
        <f>ATAN2(('1.설계입력'!$C$6+'1.설계입력'!$C$33)/('1.설계입력'!$C$8*'1.설계입력'!$C$15)-COS((1-'1.설계입력'!$C$15)*B732),SIN((1-'1.설계입력'!$C$15)*B732))</f>
        <v>0.58683352102263808</v>
      </c>
      <c r="G732" s="40">
        <f>('1.설계입력'!$C$6+'1.설계입력'!$C$33)*COS(B732)-('1.설계입력'!$C$7+'1.설계입력'!$C$34)*COS(B732+F732)-'1.설계입력'!$C$8*COS('1.설계입력'!$C$15*B732)</f>
        <v>-64.328131045242316</v>
      </c>
      <c r="H732" s="40">
        <f>-('1.설계입력'!$C$6+'1.설계입력'!$C$33)*SIN(B732)+('1.설계입력'!$C$7+'1.설계입력'!$C$34)*SIN(B732+F732)+'1.설계입력'!$C$8*SIN('1.설계입력'!$C$15*B732)</f>
        <v>-45.59970127216009</v>
      </c>
      <c r="I732" s="40">
        <f t="shared" si="34"/>
        <v>78.860519808193715</v>
      </c>
      <c r="J732" s="40">
        <f t="shared" si="35"/>
        <v>78.850752690663043</v>
      </c>
      <c r="K732" s="38">
        <f>IF(OR(A732&gt;180,'1.설계입력'!$C$39&gt;=1),"",'1.설계입력'!$C$34*(1-SIN(B732)/SQRT(1+'1.설계입력'!$C$39^2-2*'1.설계입력'!$C$39*COS(B732)))-'1.설계입력'!$C$33*(1-'1.설계입력'!$C$39*COS(B732)-SQRT(MAX(0,1-'1.설계입력'!$C$39^2))*SIN(B732))/SQRT(1+'1.설계입력'!$C$39^2-2*'1.설계입력'!$C$39*COS(B732)))</f>
        <v>7.5765721277831228E-3</v>
      </c>
    </row>
    <row r="733" spans="1:11" x14ac:dyDescent="0.3">
      <c r="A733" s="40">
        <f>A732+'1.설계입력'!$C$12</f>
        <v>145.40000000000029</v>
      </c>
      <c r="B733" s="40">
        <f t="shared" si="33"/>
        <v>2.5377087323997602</v>
      </c>
      <c r="C733" s="40">
        <f>ATAN2('1.설계입력'!$C$6/('1.설계입력'!$C$8*'1.설계입력'!$C$15)-COS((1-'1.설계입력'!$C$15)*B733),SIN((1-'1.설계입력'!$C$15)*B733))</f>
        <v>0.63533427384689978</v>
      </c>
      <c r="D733" s="40">
        <f>'1.설계입력'!$C$6*COS(B733)-'1.설계입력'!$C$7*COS(B733+C733)-'1.설계입력'!$C$8*COS('1.설계입력'!$C$15*B733)</f>
        <v>-64.337949661338911</v>
      </c>
      <c r="E733" s="40">
        <f>-'1.설계입력'!$C$6*SIN(B733)+'1.설계입력'!$C$7*SIN(B733+C733)+'1.설계입력'!$C$8*SIN('1.설계입력'!$C$15*B733)</f>
        <v>-45.445411408294284</v>
      </c>
      <c r="F733" s="40">
        <f>ATAN2(('1.설계입력'!$C$6+'1.설계입력'!$C$33)/('1.설계입력'!$C$8*'1.설계입력'!$C$15)-COS((1-'1.설계입력'!$C$15)*B733),SIN((1-'1.설계입력'!$C$15)*B733))</f>
        <v>0.6353524712016172</v>
      </c>
      <c r="G733" s="40">
        <f>('1.설계입력'!$C$6+'1.설계입력'!$C$33)*COS(B733)-('1.설계입력'!$C$7+'1.설계입력'!$C$34)*COS(B733+F733)-'1.설계입력'!$C$8*COS('1.설계입력'!$C$15*B733)</f>
        <v>-64.32730423839503</v>
      </c>
      <c r="H733" s="40">
        <f>-('1.설계입력'!$C$6+'1.설계입력'!$C$33)*SIN(B733)+('1.설계입력'!$C$7+'1.설계입력'!$C$34)*SIN(B733+F733)+'1.설계입력'!$C$8*SIN('1.설계입력'!$C$15*B733)</f>
        <v>-45.44397869927473</v>
      </c>
      <c r="I733" s="40">
        <f t="shared" si="34"/>
        <v>78.769646341050077</v>
      </c>
      <c r="J733" s="40">
        <f t="shared" si="35"/>
        <v>78.760124876736768</v>
      </c>
      <c r="K733" s="38">
        <f>IF(OR(A733&gt;180,'1.설계입력'!$C$39&gt;=1),"",'1.설계입력'!$C$34*(1-SIN(B733)/SQRT(1+'1.설계입력'!$C$39^2-2*'1.설계입력'!$C$39*COS(B733)))-'1.설계입력'!$C$33*(1-'1.설계입력'!$C$39*COS(B733)-SQRT(MAX(0,1-'1.설계입력'!$C$39^2))*SIN(B733))/SQRT(1+'1.설계입력'!$C$39^2-2*'1.설계입력'!$C$39*COS(B733)))</f>
        <v>7.5972792498979237E-3</v>
      </c>
    </row>
    <row r="734" spans="1:11" x14ac:dyDescent="0.3">
      <c r="A734" s="40">
        <f>A733+'1.설계입력'!$C$12</f>
        <v>145.60000000000028</v>
      </c>
      <c r="B734" s="40">
        <f t="shared" si="33"/>
        <v>2.5411993909037487</v>
      </c>
      <c r="C734" s="40">
        <f>ATAN2('1.설계입력'!$C$6/('1.설계입력'!$C$8*'1.설계입력'!$C$15)-COS((1-'1.설계입력'!$C$15)*B734),SIN((1-'1.설계입력'!$C$15)*B734))</f>
        <v>0.6811053756257599</v>
      </c>
      <c r="D734" s="40">
        <f>'1.설계입력'!$C$6*COS(B734)-'1.설계입력'!$C$7*COS(B734+C734)-'1.설계입력'!$C$8*COS('1.설계입력'!$C$15*B734)</f>
        <v>-64.32988539789055</v>
      </c>
      <c r="E734" s="40">
        <f>-'1.설계입력'!$C$6*SIN(B734)+'1.설계입력'!$C$7*SIN(B734+C734)+'1.설계입력'!$C$8*SIN('1.설계입력'!$C$15*B734)</f>
        <v>-45.30160124755573</v>
      </c>
      <c r="F734" s="40">
        <f>ATAN2(('1.설계입력'!$C$6+'1.설계입력'!$C$33)/('1.설계입력'!$C$8*'1.설계입력'!$C$15)-COS((1-'1.설계입력'!$C$15)*B734),SIN((1-'1.설계입력'!$C$15)*B734))</f>
        <v>0.68112608214289461</v>
      </c>
      <c r="G734" s="40">
        <f>('1.설계입력'!$C$6+'1.설계입력'!$C$33)*COS(B734)-('1.설계입력'!$C$7+'1.설계입력'!$C$34)*COS(B734+F734)-'1.설계입력'!$C$8*COS('1.설계입력'!$C$15*B734)</f>
        <v>-64.319260607419267</v>
      </c>
      <c r="H734" s="40">
        <f>-('1.설계입력'!$C$6+'1.설계입력'!$C$33)*SIN(B734)+('1.설계입력'!$C$7+'1.설계입력'!$C$34)*SIN(B734+F734)+'1.설계입력'!$C$8*SIN('1.설계입력'!$C$15*B734)</f>
        <v>-45.300585631907843</v>
      </c>
      <c r="I734" s="40">
        <f t="shared" si="34"/>
        <v>78.680170506286231</v>
      </c>
      <c r="J734" s="40">
        <f t="shared" si="35"/>
        <v>78.670898963205772</v>
      </c>
      <c r="K734" s="38">
        <f>IF(OR(A734&gt;180,'1.설계입력'!$C$39&gt;=1),"",'1.설계입력'!$C$34*(1-SIN(B734)/SQRT(1+'1.설계입력'!$C$39^2-2*'1.설계입력'!$C$39*COS(B734)))-'1.설계입력'!$C$33*(1-'1.설계입력'!$C$39*COS(B734)-SQRT(MAX(0,1-'1.설계입력'!$C$39^2))*SIN(B734))/SQRT(1+'1.설계입력'!$C$39^2-2*'1.설계입력'!$C$39*COS(B734)))</f>
        <v>7.6179919042766962E-3</v>
      </c>
    </row>
    <row r="735" spans="1:11" x14ac:dyDescent="0.3">
      <c r="A735" s="40">
        <f>A734+'1.설계입력'!$C$12</f>
        <v>145.80000000000027</v>
      </c>
      <c r="B735" s="40">
        <f t="shared" si="33"/>
        <v>2.5446900494077371</v>
      </c>
      <c r="C735" s="40">
        <f>ATAN2('1.설계입력'!$C$6/('1.설계입력'!$C$8*'1.설계입력'!$C$15)-COS((1-'1.설계입력'!$C$15)*B735),SIN((1-'1.설계입력'!$C$15)*B735))</f>
        <v>0.72327907311048689</v>
      </c>
      <c r="D735" s="40">
        <f>'1.설계입력'!$C$6*COS(B735)-'1.설계입력'!$C$7*COS(B735+C735)-'1.설계입력'!$C$8*COS('1.설계입력'!$C$15*B735)</f>
        <v>-64.316032116296199</v>
      </c>
      <c r="E735" s="40">
        <f>-'1.설계입력'!$C$6*SIN(B735)+'1.설계입력'!$C$7*SIN(B735+C735)+'1.설계입력'!$C$8*SIN('1.설계입력'!$C$15*B735)</f>
        <v>-45.168413585852576</v>
      </c>
      <c r="F735" s="40">
        <f>ATAN2(('1.설계입력'!$C$6+'1.설계입력'!$C$33)/('1.설계입력'!$C$8*'1.설계입력'!$C$15)-COS((1-'1.설계입력'!$C$15)*B735),SIN((1-'1.설계입력'!$C$15)*B735))</f>
        <v>0.72330264163082281</v>
      </c>
      <c r="G735" s="40">
        <f>('1.설계입력'!$C$6+'1.설계입력'!$C$33)*COS(B735)-('1.설계입력'!$C$7+'1.설계입력'!$C$34)*COS(B735+F735)-'1.설계입력'!$C$8*COS('1.설계입력'!$C$15*B735)</f>
        <v>-64.305444670576449</v>
      </c>
      <c r="H735" s="40">
        <f>-('1.설계입력'!$C$6+'1.설계입력'!$C$33)*SIN(B735)+('1.설계입력'!$C$7+'1.설계입력'!$C$34)*SIN(B735+F735)+'1.설계입력'!$C$8*SIN('1.설계입력'!$C$15*B735)</f>
        <v>-45.167785765667261</v>
      </c>
      <c r="I735" s="40">
        <f t="shared" si="34"/>
        <v>78.592223362410834</v>
      </c>
      <c r="J735" s="40">
        <f t="shared" si="35"/>
        <v>78.583198492131785</v>
      </c>
      <c r="K735" s="38">
        <f>IF(OR(A735&gt;180,'1.설계입력'!$C$39&gt;=1),"",'1.설계입력'!$C$34*(1-SIN(B735)/SQRT(1+'1.설계입력'!$C$39^2-2*'1.설계입력'!$C$39*COS(B735)))-'1.설계입력'!$C$33*(1-'1.설계입력'!$C$39*COS(B735)-SQRT(MAX(0,1-'1.설계입력'!$C$39^2))*SIN(B735))/SQRT(1+'1.설계입력'!$C$39^2-2*'1.설계입력'!$C$39*COS(B735)))</f>
        <v>7.6387100159970344E-3</v>
      </c>
    </row>
    <row r="736" spans="1:11" x14ac:dyDescent="0.3">
      <c r="A736" s="40">
        <f>A735+'1.설계입력'!$C$12</f>
        <v>146.00000000000026</v>
      </c>
      <c r="B736" s="40">
        <f t="shared" si="33"/>
        <v>2.5481807079117256</v>
      </c>
      <c r="C736" s="40">
        <f>ATAN2('1.설계입력'!$C$6/('1.설계입력'!$C$8*'1.설계입력'!$C$15)-COS((1-'1.설계입력'!$C$15)*B736),SIN((1-'1.설계입력'!$C$15)*B736))</f>
        <v>0.76064465464244124</v>
      </c>
      <c r="D736" s="40">
        <f>'1.설계입력'!$C$6*COS(B736)-'1.설계입력'!$C$7*COS(B736+C736)-'1.설계입력'!$C$8*COS('1.설계입력'!$C$15*B736)</f>
        <v>-64.297356538582747</v>
      </c>
      <c r="E736" s="40">
        <f>-'1.설계입력'!$C$6*SIN(B736)+'1.설계입력'!$C$7*SIN(B736+C736)+'1.설계입력'!$C$8*SIN('1.설계입력'!$C$15*B736)</f>
        <v>-45.042423674552133</v>
      </c>
      <c r="F736" s="40">
        <f>ATAN2(('1.설계입력'!$C$6+'1.설계입력'!$C$33)/('1.설계입력'!$C$8*'1.설계입력'!$C$15)-COS((1-'1.설계입력'!$C$15)*B736),SIN((1-'1.설계입력'!$C$15)*B736))</f>
        <v>0.76067153411268495</v>
      </c>
      <c r="G736" s="40">
        <f>('1.설계입력'!$C$6+'1.설계입력'!$C$33)*COS(B736)-('1.설계입력'!$C$7+'1.설계입력'!$C$34)*COS(B736+F736)-'1.설계입력'!$C$8*COS('1.설계입력'!$C$15*B736)</f>
        <v>-64.28681745831895</v>
      </c>
      <c r="H736" s="40">
        <f>-('1.설계입력'!$C$6+'1.설계입력'!$C$33)*SIN(B736)+('1.설계입력'!$C$7+'1.설계입력'!$C$34)*SIN(B736+F736)+'1.설계입력'!$C$8*SIN('1.설계입력'!$C$15*B736)</f>
        <v>-45.042144688783281</v>
      </c>
      <c r="I736" s="40">
        <f t="shared" si="34"/>
        <v>78.504585778968888</v>
      </c>
      <c r="J736" s="40">
        <f t="shared" si="35"/>
        <v>78.495794136275293</v>
      </c>
      <c r="K736" s="38">
        <f>IF(OR(A736&gt;180,'1.설계입력'!$C$39&gt;=1),"",'1.설계입력'!$C$34*(1-SIN(B736)/SQRT(1+'1.설계입력'!$C$39^2-2*'1.설계입력'!$C$39*COS(B736)))-'1.설계입력'!$C$33*(1-'1.설계입력'!$C$39*COS(B736)-SQRT(MAX(0,1-'1.설계입력'!$C$39^2))*SIN(B736))/SQRT(1+'1.설계입력'!$C$39^2-2*'1.설계입력'!$C$39*COS(B736)))</f>
        <v>7.6594335101906313E-3</v>
      </c>
    </row>
    <row r="737" spans="1:11" x14ac:dyDescent="0.3">
      <c r="A737" s="40">
        <f>A736+'1.설계입력'!$C$12</f>
        <v>146.20000000000024</v>
      </c>
      <c r="B737" s="40">
        <f t="shared" si="33"/>
        <v>2.551671366415714</v>
      </c>
      <c r="C737" s="40">
        <f>ATAN2('1.설계입력'!$C$6/('1.설계입력'!$C$8*'1.설계입력'!$C$15)-COS((1-'1.설계입력'!$C$15)*B737),SIN((1-'1.설계입력'!$C$15)*B737))</f>
        <v>0.791424250691526</v>
      </c>
      <c r="D737" s="40">
        <f>'1.설계입력'!$C$6*COS(B737)-'1.설계입력'!$C$7*COS(B737+C737)-'1.설계입력'!$C$8*COS('1.설계입력'!$C$15*B737)</f>
        <v>-64.274008212501499</v>
      </c>
      <c r="E737" s="40">
        <f>-'1.설계입력'!$C$6*SIN(B737)+'1.설계입력'!$C$7*SIN(B737+C737)+'1.설계입력'!$C$8*SIN('1.설계입력'!$C$15*B737)</f>
        <v>-44.917722671154841</v>
      </c>
      <c r="F737" s="40">
        <f>ATAN2(('1.설계입력'!$C$6+'1.설계입력'!$C$33)/('1.설계입력'!$C$8*'1.설계입력'!$C$15)-COS((1-'1.설계입력'!$C$15)*B737),SIN((1-'1.설계입력'!$C$15)*B737))</f>
        <v>0.79145501394964879</v>
      </c>
      <c r="G737" s="40">
        <f>('1.설계입력'!$C$6+'1.설계입력'!$C$33)*COS(B737)-('1.설계입력'!$C$7+'1.설계입력'!$C$34)*COS(B737+F737)-'1.설계입력'!$C$8*COS('1.설계입력'!$C$15*B737)</f>
        <v>-64.263520728756518</v>
      </c>
      <c r="H737" s="40">
        <f>-('1.설계입력'!$C$6+'1.설계입력'!$C$33)*SIN(B737)+('1.설계입력'!$C$7+'1.설계입력'!$C$34)*SIN(B737+F737)+'1.설계입력'!$C$8*SIN('1.설계입력'!$C$15*B737)</f>
        <v>-44.917740112885674</v>
      </c>
      <c r="I737" s="40">
        <f t="shared" si="34"/>
        <v>78.413965220893445</v>
      </c>
      <c r="J737" s="40">
        <f t="shared" si="35"/>
        <v>78.405379109497687</v>
      </c>
      <c r="K737" s="38">
        <f>IF(OR(A737&gt;180,'1.설계입력'!$C$39&gt;=1),"",'1.설계입력'!$C$34*(1-SIN(B737)/SQRT(1+'1.설계입력'!$C$39^2-2*'1.설계입력'!$C$39*COS(B737)))-'1.설계입력'!$C$33*(1-'1.설계입력'!$C$39*COS(B737)-SQRT(MAX(0,1-'1.설계입력'!$C$39^2))*SIN(B737))/SQRT(1+'1.설계입력'!$C$39^2-2*'1.설계입력'!$C$39*COS(B737)))</f>
        <v>7.6801623120430285E-3</v>
      </c>
    </row>
    <row r="738" spans="1:11" x14ac:dyDescent="0.3">
      <c r="A738" s="40">
        <f>A737+'1.설계입력'!$C$12</f>
        <v>146.40000000000023</v>
      </c>
      <c r="B738" s="40">
        <f t="shared" si="33"/>
        <v>2.5551620249197025</v>
      </c>
      <c r="C738" s="40">
        <f>ATAN2('1.설계입력'!$C$6/('1.설계입력'!$C$8*'1.설계입력'!$C$15)-COS((1-'1.설계입력'!$C$15)*B738),SIN((1-'1.설계입력'!$C$15)*B738))</f>
        <v>0.81290940883310581</v>
      </c>
      <c r="D738" s="40">
        <f>'1.설계입력'!$C$6*COS(B738)-'1.설계입력'!$C$7*COS(B738+C738)-'1.설계입력'!$C$8*COS('1.설계입력'!$C$15*B738)</f>
        <v>-64.244896578960848</v>
      </c>
      <c r="E738" s="40">
        <f>-'1.설계입력'!$C$6*SIN(B738)+'1.설계입력'!$C$7*SIN(B738+C738)+'1.설계입력'!$C$8*SIN('1.설계입력'!$C$15*B738)</f>
        <v>-44.784514690307567</v>
      </c>
      <c r="F738" s="40">
        <f>ATAN2(('1.설계입력'!$C$6+'1.설계입력'!$C$33)/('1.설계입력'!$C$8*'1.설계입력'!$C$15)-COS((1-'1.설계입력'!$C$15)*B738),SIN((1-'1.설계입력'!$C$15)*B738))</f>
        <v>0.81294478128545899</v>
      </c>
      <c r="G738" s="40">
        <f>('1.설계입력'!$C$6+'1.설계입력'!$C$33)*COS(B738)-('1.설계입력'!$C$7+'1.설계입력'!$C$34)*COS(B738+F738)-'1.설계입력'!$C$8*COS('1.설계입력'!$C$15*B738)</f>
        <v>-64.234453209854934</v>
      </c>
      <c r="H738" s="40">
        <f>-('1.설계입력'!$C$6+'1.설계입력'!$C$33)*SIN(B738)+('1.설계입력'!$C$7+'1.설계입력'!$C$34)*SIN(B738+F738)+'1.설계입력'!$C$8*SIN('1.설계입력'!$C$15*B738)</f>
        <v>-44.784756167495722</v>
      </c>
      <c r="I738" s="40">
        <f t="shared" si="34"/>
        <v>78.313852494228314</v>
      </c>
      <c r="J738" s="40">
        <f t="shared" si="35"/>
        <v>78.305423593459281</v>
      </c>
      <c r="K738" s="38">
        <f>IF(OR(A738&gt;180,'1.설계입력'!$C$39&gt;=1),"",'1.설계입력'!$C$34*(1-SIN(B738)/SQRT(1+'1.설계입력'!$C$39^2-2*'1.설계입력'!$C$39*COS(B738)))-'1.설계입력'!$C$33*(1-'1.설계입력'!$C$39*COS(B738)-SQRT(MAX(0,1-'1.설계입력'!$C$39^2))*SIN(B738))/SQRT(1+'1.설계입력'!$C$39^2-2*'1.설계입력'!$C$39*COS(B738)))</f>
        <v>7.7008963467933532E-3</v>
      </c>
    </row>
    <row r="739" spans="1:11" x14ac:dyDescent="0.3">
      <c r="A739" s="40">
        <f>A738+'1.설계입력'!$C$12</f>
        <v>146.60000000000022</v>
      </c>
      <c r="B739" s="40">
        <f t="shared" si="33"/>
        <v>2.5586526834236909</v>
      </c>
      <c r="C739" s="40">
        <f>ATAN2('1.설계입력'!$C$6/('1.설계입력'!$C$8*'1.설계입력'!$C$15)-COS((1-'1.설계입력'!$C$15)*B739),SIN((1-'1.설계입력'!$C$15)*B739))</f>
        <v>0.82080081748156086</v>
      </c>
      <c r="D739" s="40">
        <f>'1.설계입력'!$C$6*COS(B739)-'1.설계입력'!$C$7*COS(B739+C739)-'1.설계입력'!$C$8*COS('1.설계입력'!$C$15*B739)</f>
        <v>-64.20726500712874</v>
      </c>
      <c r="E739" s="40">
        <f>-'1.설계입력'!$C$6*SIN(B739)+'1.설계입력'!$C$7*SIN(B739+C739)+'1.설계입력'!$C$8*SIN('1.설계입력'!$C$15*B739)</f>
        <v>-44.626474073215391</v>
      </c>
      <c r="F739" s="40">
        <f>ATAN2(('1.설계입력'!$C$6+'1.설계입력'!$C$33)/('1.설계입력'!$C$8*'1.설계입력'!$C$15)-COS((1-'1.설계입력'!$C$15)*B739),SIN((1-'1.설계입력'!$C$15)*B739))</f>
        <v>0.82084168463713114</v>
      </c>
      <c r="G739" s="40">
        <f>('1.설계입력'!$C$6+'1.설계입력'!$C$33)*COS(B739)-('1.설계입력'!$C$7+'1.설계입력'!$C$34)*COS(B739+F739)-'1.설계입력'!$C$8*COS('1.설계입력'!$C$15*B739)</f>
        <v>-64.196843638875606</v>
      </c>
      <c r="H739" s="40">
        <f>-('1.설계입력'!$C$6+'1.설계입력'!$C$33)*SIN(B739)+('1.설계입력'!$C$7+'1.설계입력'!$C$34)*SIN(B739+F739)+'1.설계입력'!$C$8*SIN('1.설계입력'!$C$15*B739)</f>
        <v>-44.626835326249932</v>
      </c>
      <c r="I739" s="40">
        <f t="shared" si="34"/>
        <v>78.192679119614681</v>
      </c>
      <c r="J739" s="40">
        <f t="shared" si="35"/>
        <v>78.184328125465612</v>
      </c>
      <c r="K739" s="38">
        <f>IF(OR(A739&gt;180,'1.설계입력'!$C$39&gt;=1),"",'1.설계입력'!$C$34*(1-SIN(B739)/SQRT(1+'1.설계입력'!$C$39^2-2*'1.설계입력'!$C$39*COS(B739)))-'1.설계입력'!$C$33*(1-'1.설계입력'!$C$39*COS(B739)-SQRT(MAX(0,1-'1.설계입력'!$C$39^2))*SIN(B739))/SQRT(1+'1.설계입력'!$C$39^2-2*'1.설계입력'!$C$39*COS(B739)))</f>
        <v>7.7216355397340484E-3</v>
      </c>
    </row>
    <row r="740" spans="1:11" x14ac:dyDescent="0.3">
      <c r="A740" s="40">
        <f>A739+'1.설계입력'!$C$12</f>
        <v>146.80000000000021</v>
      </c>
      <c r="B740" s="40">
        <f t="shared" si="33"/>
        <v>2.5621433419276793</v>
      </c>
      <c r="C740" s="40">
        <f>ATAN2('1.설계입력'!$C$6/('1.설계입력'!$C$8*'1.설계입력'!$C$15)-COS((1-'1.설계입력'!$C$15)*B740),SIN((1-'1.설계입력'!$C$15)*B740))</f>
        <v>0.80796681774098356</v>
      </c>
      <c r="D740" s="40">
        <f>'1.설계입력'!$C$6*COS(B740)-'1.설계입력'!$C$7*COS(B740+C740)-'1.설계입력'!$C$8*COS('1.설계입력'!$C$15*B740)</f>
        <v>-64.156750612637765</v>
      </c>
      <c r="E740" s="40">
        <f>-'1.설계입력'!$C$6*SIN(B740)+'1.설계입력'!$C$7*SIN(B740+C740)+'1.설계입력'!$C$8*SIN('1.설계입력'!$C$15*B740)</f>
        <v>-44.415543820654797</v>
      </c>
      <c r="F740" s="40">
        <f>ATAN2(('1.설계입력'!$C$6+'1.설계입력'!$C$33)/('1.설계입력'!$C$8*'1.설계입력'!$C$15)-COS((1-'1.설계입력'!$C$15)*B740),SIN((1-'1.설계입력'!$C$15)*B740))</f>
        <v>0.808014127296943</v>
      </c>
      <c r="G740" s="40">
        <f>('1.설계입력'!$C$6+'1.설계입력'!$C$33)*COS(B740)-('1.설계입력'!$C$7+'1.설계입력'!$C$34)*COS(B740+F740)-'1.설계입력'!$C$8*COS('1.설계입력'!$C$15*B740)</f>
        <v>-64.146310176570083</v>
      </c>
      <c r="H740" s="40">
        <f>-('1.설계입력'!$C$6+'1.설계입력'!$C$33)*SIN(B740)+('1.설계입력'!$C$7+'1.설계입력'!$C$34)*SIN(B740+F740)+'1.설계입력'!$C$8*SIN('1.설계입력'!$C$15*B740)</f>
        <v>-44.415865989479748</v>
      </c>
      <c r="I740" s="40">
        <f t="shared" si="34"/>
        <v>78.030950154773222</v>
      </c>
      <c r="J740" s="40">
        <f t="shared" si="35"/>
        <v>78.0225496947143</v>
      </c>
      <c r="K740" s="38">
        <f>IF(OR(A740&gt;180,'1.설계입력'!$C$39&gt;=1),"",'1.설계입력'!$C$34*(1-SIN(B740)/SQRT(1+'1.설계입력'!$C$39^2-2*'1.설계입력'!$C$39*COS(B740)))-'1.설계입력'!$C$33*(1-'1.설계입력'!$C$39*COS(B740)-SQRT(MAX(0,1-'1.설계입력'!$C$39^2))*SIN(B740))/SQRT(1+'1.설계입력'!$C$39^2-2*'1.설계입력'!$C$39*COS(B740)))</f>
        <v>7.7423798162106292E-3</v>
      </c>
    </row>
    <row r="741" spans="1:11" x14ac:dyDescent="0.3">
      <c r="A741" s="40">
        <f>A740+'1.설계입력'!$C$12</f>
        <v>147.0000000000002</v>
      </c>
      <c r="B741" s="40">
        <f t="shared" si="33"/>
        <v>2.5656340004316678</v>
      </c>
      <c r="C741" s="40">
        <f>ATAN2('1.설계입력'!$C$6/('1.설계입력'!$C$8*'1.설계입력'!$C$15)-COS((1-'1.설계입력'!$C$15)*B741),SIN((1-'1.설계입력'!$C$15)*B741))</f>
        <v>0.76209293620521834</v>
      </c>
      <c r="D741" s="40">
        <f>'1.설계입력'!$C$6*COS(B741)-'1.설계입력'!$C$7*COS(B741+C741)-'1.설계입력'!$C$8*COS('1.설계입력'!$C$15*B741)</f>
        <v>-64.090078687850479</v>
      </c>
      <c r="E741" s="40">
        <f>-'1.설계입력'!$C$6*SIN(B741)+'1.설계입력'!$C$7*SIN(B741+C741)+'1.설계입력'!$C$8*SIN('1.설계입력'!$C$15*B741)</f>
        <v>-44.101608137082692</v>
      </c>
      <c r="F741" s="40">
        <f>ATAN2(('1.설계입력'!$C$6+'1.설계입력'!$C$33)/('1.설계입력'!$C$8*'1.설계입력'!$C$15)-COS((1-'1.설계입력'!$C$15)*B741),SIN((1-'1.설계입력'!$C$15)*B741))</f>
        <v>0.76214719078966076</v>
      </c>
      <c r="G741" s="40">
        <f>('1.설계입력'!$C$6+'1.설계입력'!$C$33)*COS(B741)-('1.설계입력'!$C$7+'1.설계입력'!$C$34)*COS(B741+F741)-'1.설계입력'!$C$8*COS('1.설계입력'!$C$15*B741)</f>
        <v>-64.079558969455007</v>
      </c>
      <c r="H741" s="40">
        <f>-('1.설계입력'!$C$6+'1.설계입력'!$C$33)*SIN(B741)+('1.설계입력'!$C$7+'1.설계입력'!$C$34)*SIN(B741+F741)+'1.설계입력'!$C$8*SIN('1.설계입력'!$C$15*B741)</f>
        <v>-44.101632453504699</v>
      </c>
      <c r="I741" s="40">
        <f t="shared" si="34"/>
        <v>77.797750780415655</v>
      </c>
      <c r="J741" s="40">
        <f t="shared" si="35"/>
        <v>77.789098611462791</v>
      </c>
      <c r="K741" s="38">
        <f>IF(OR(A741&gt;180,'1.설계입력'!$C$39&gt;=1),"",'1.설계입력'!$C$34*(1-SIN(B741)/SQRT(1+'1.설계입력'!$C$39^2-2*'1.설계입력'!$C$39*COS(B741)))-'1.설계입력'!$C$33*(1-'1.설계입력'!$C$39*COS(B741)-SQRT(MAX(0,1-'1.설계입력'!$C$39^2))*SIN(B741))/SQRT(1+'1.설계입력'!$C$39^2-2*'1.설계입력'!$C$39*COS(B741)))</f>
        <v>7.7631291016214202E-3</v>
      </c>
    </row>
    <row r="742" spans="1:11" x14ac:dyDescent="0.3">
      <c r="A742" s="40">
        <f>A741+'1.설계입력'!$C$12</f>
        <v>147.20000000000019</v>
      </c>
      <c r="B742" s="40">
        <f t="shared" si="33"/>
        <v>2.5691246589356562</v>
      </c>
      <c r="C742" s="40">
        <f>ATAN2('1.설계입력'!$C$6/('1.설계입력'!$C$8*'1.설계입력'!$C$15)-COS((1-'1.설계입력'!$C$15)*B742),SIN((1-'1.설계입력'!$C$15)*B742))</f>
        <v>0.66166056082609581</v>
      </c>
      <c r="D742" s="40">
        <f>'1.설계입력'!$C$6*COS(B742)-'1.설계입력'!$C$7*COS(B742+C742)-'1.설계입력'!$C$8*COS('1.설계입력'!$C$15*B742)</f>
        <v>-64.018869356338499</v>
      </c>
      <c r="E742" s="40">
        <f>-'1.설계입력'!$C$6*SIN(B742)+'1.설계입력'!$C$7*SIN(B742+C742)+'1.설계입력'!$C$8*SIN('1.설계입력'!$C$15*B742)</f>
        <v>-43.594354529012477</v>
      </c>
      <c r="F742" s="40">
        <f>ATAN2(('1.설계입력'!$C$6+'1.설계입력'!$C$33)/('1.설계입력'!$C$8*'1.설계입력'!$C$15)-COS((1-'1.설계입력'!$C$15)*B742),SIN((1-'1.설계입력'!$C$15)*B742))</f>
        <v>0.66171987595184489</v>
      </c>
      <c r="G742" s="40">
        <f>('1.설계입력'!$C$6+'1.설계입력'!$C$33)*COS(B742)-('1.설계입력'!$C$7+'1.설계입력'!$C$34)*COS(B742+F742)-'1.설계입력'!$C$8*COS('1.설계입력'!$C$15*B742)</f>
        <v>-64.008216981179913</v>
      </c>
      <c r="H742" s="40">
        <f>-('1.설계입력'!$C$6+'1.설계입력'!$C$33)*SIN(B742)+('1.설계입력'!$C$7+'1.설계입력'!$C$34)*SIN(B742+F742)+'1.설계입력'!$C$8*SIN('1.설계입력'!$C$15*B742)</f>
        <v>-43.5936335311306</v>
      </c>
      <c r="I742" s="40">
        <f t="shared" si="34"/>
        <v>77.452458840666679</v>
      </c>
      <c r="J742" s="40">
        <f t="shared" si="35"/>
        <v>77.443248418156656</v>
      </c>
      <c r="K742" s="38">
        <f>IF(OR(A742&gt;180,'1.설계입력'!$C$39&gt;=1),"",'1.설계입력'!$C$34*(1-SIN(B742)/SQRT(1+'1.설계입력'!$C$39^2-2*'1.설계입력'!$C$39*COS(B742)))-'1.설계입력'!$C$33*(1-'1.설계입력'!$C$39*COS(B742)-SQRT(MAX(0,1-'1.설계입력'!$C$39^2))*SIN(B742))/SQRT(1+'1.설계입력'!$C$39^2-2*'1.설계입력'!$C$39*COS(B742)))</f>
        <v>7.7838833214173165E-3</v>
      </c>
    </row>
    <row r="743" spans="1:11" x14ac:dyDescent="0.3">
      <c r="A743" s="40">
        <f>A742+'1.설계입력'!$C$12</f>
        <v>147.40000000000018</v>
      </c>
      <c r="B743" s="40">
        <f t="shared" si="33"/>
        <v>2.5726153174396447</v>
      </c>
      <c r="C743" s="40">
        <f>ATAN2('1.설계입력'!$C$6/('1.설계입력'!$C$8*'1.설계입력'!$C$15)-COS((1-'1.설계입력'!$C$15)*B743),SIN((1-'1.설계입력'!$C$15)*B743))</f>
        <v>0.47283814224648701</v>
      </c>
      <c r="D743" s="40">
        <f>'1.설계입력'!$C$6*COS(B743)-'1.설계입력'!$C$7*COS(B743+C743)-'1.설계입력'!$C$8*COS('1.설계입력'!$C$15*B743)</f>
        <v>-64.020558109618278</v>
      </c>
      <c r="E743" s="40">
        <f>-'1.설계입력'!$C$6*SIN(B743)+'1.설계입력'!$C$7*SIN(B743+C743)+'1.설계입력'!$C$8*SIN('1.설계입력'!$C$15*B743)</f>
        <v>-42.753252158896593</v>
      </c>
      <c r="F743" s="40">
        <f>ATAN2(('1.설계입력'!$C$6+'1.설계입력'!$C$33)/('1.설계입력'!$C$8*'1.설계입력'!$C$15)-COS((1-'1.설계입력'!$C$15)*B743),SIN((1-'1.설계입력'!$C$15)*B743))</f>
        <v>0.472892362046546</v>
      </c>
      <c r="G743" s="40">
        <f>('1.설계입력'!$C$6+'1.설계입력'!$C$33)*COS(B743)-('1.설계입력'!$C$7+'1.설계입력'!$C$34)*COS(B743+F743)-'1.설계입력'!$C$8*COS('1.설계입력'!$C$15*B743)</f>
        <v>-64.009863056699999</v>
      </c>
      <c r="H743" s="40">
        <f>-('1.설계입력'!$C$6+'1.설계입력'!$C$33)*SIN(B743)+('1.설계입력'!$C$7+'1.설계입력'!$C$34)*SIN(B743+F743)+'1.설계입력'!$C$8*SIN('1.설계입력'!$C$15*B743)</f>
        <v>-42.751020756444923</v>
      </c>
      <c r="I743" s="40">
        <f t="shared" si="34"/>
        <v>76.983585463585726</v>
      </c>
      <c r="J743" s="40">
        <f t="shared" si="35"/>
        <v>76.973452204350764</v>
      </c>
      <c r="K743" s="38">
        <f>IF(OR(A743&gt;180,'1.설계입력'!$C$39&gt;=1),"",'1.설계입력'!$C$34*(1-SIN(B743)/SQRT(1+'1.설계입력'!$C$39^2-2*'1.설계입력'!$C$39*COS(B743)))-'1.설계입력'!$C$33*(1-'1.설계입력'!$C$39*COS(B743)-SQRT(MAX(0,1-'1.설계입력'!$C$39^2))*SIN(B743))/SQRT(1+'1.설계입력'!$C$39^2-2*'1.설계입력'!$C$39*COS(B743)))</f>
        <v>7.8046424011015362E-3</v>
      </c>
    </row>
    <row r="744" spans="1:11" x14ac:dyDescent="0.3">
      <c r="A744" s="40">
        <f>A743+'1.설계입력'!$C$12</f>
        <v>147.60000000000016</v>
      </c>
      <c r="B744" s="40">
        <f t="shared" si="33"/>
        <v>2.5761059759436331</v>
      </c>
      <c r="C744" s="40">
        <f>ATAN2('1.설계입력'!$C$6/('1.설계입력'!$C$8*'1.설계입력'!$C$15)-COS((1-'1.설계입력'!$C$15)*B744),SIN((1-'1.설계입력'!$C$15)*B744))</f>
        <v>0.16871107838877714</v>
      </c>
      <c r="D744" s="40">
        <f>'1.설계입력'!$C$6*COS(B744)-'1.설계입력'!$C$7*COS(B744+C744)-'1.설계입력'!$C$8*COS('1.설계입력'!$C$15*B744)</f>
        <v>-64.332117021209712</v>
      </c>
      <c r="E744" s="40">
        <f>-'1.설계입력'!$C$6*SIN(B744)+'1.설계입력'!$C$7*SIN(B744+C744)+'1.설계입력'!$C$8*SIN('1.설계입력'!$C$15*B744)</f>
        <v>-41.510333496403113</v>
      </c>
      <c r="F744" s="40">
        <f>ATAN2(('1.설계입력'!$C$6+'1.설계입력'!$C$33)/('1.설계입력'!$C$8*'1.설계입력'!$C$15)-COS((1-'1.설계입력'!$C$15)*B744),SIN((1-'1.설계입력'!$C$15)*B744))</f>
        <v>0.16873428107710353</v>
      </c>
      <c r="G744" s="40">
        <f>('1.설계입력'!$C$6+'1.설계입력'!$C$33)*COS(B744)-('1.설계입력'!$C$7+'1.설계입력'!$C$34)*COS(B744+F744)-'1.설계입력'!$C$8*COS('1.설계입력'!$C$15*B744)</f>
        <v>-64.321992940678626</v>
      </c>
      <c r="H744" s="40">
        <f>-('1.설계입력'!$C$6+'1.설계입력'!$C$33)*SIN(B744)+('1.설계입력'!$C$7+'1.설계입력'!$C$34)*SIN(B744+F744)+'1.설계입력'!$C$8*SIN('1.설계입력'!$C$15*B744)</f>
        <v>-41.505627991281401</v>
      </c>
      <c r="I744" s="40">
        <f t="shared" si="34"/>
        <v>76.561929621798498</v>
      </c>
      <c r="J744" s="40">
        <f t="shared" si="35"/>
        <v>76.550871522219481</v>
      </c>
      <c r="K744" s="38">
        <f>IF(OR(A744&gt;180,'1.설계입력'!$C$39&gt;=1),"",'1.설계입력'!$C$34*(1-SIN(B744)/SQRT(1+'1.설계입력'!$C$39^2-2*'1.설계입력'!$C$39*COS(B744)))-'1.설계입력'!$C$33*(1-'1.설계입력'!$C$39*COS(B744)-SQRT(MAX(0,1-'1.설계입력'!$C$39^2))*SIN(B744))/SQRT(1+'1.설계입력'!$C$39^2-2*'1.설계입력'!$C$39*COS(B744)))</f>
        <v>7.8254062662293788E-3</v>
      </c>
    </row>
    <row r="745" spans="1:11" x14ac:dyDescent="0.3">
      <c r="A745" s="40">
        <f>A744+'1.설계입력'!$C$12</f>
        <v>147.80000000000015</v>
      </c>
      <c r="B745" s="40">
        <f t="shared" si="33"/>
        <v>2.5795966344476216</v>
      </c>
      <c r="C745" s="40">
        <f>ATAN2('1.설계입력'!$C$6/('1.설계입력'!$C$8*'1.설계입력'!$C$15)-COS((1-'1.설계입력'!$C$15)*B745),SIN((1-'1.설계입력'!$C$15)*B745))</f>
        <v>-0.19574910028951503</v>
      </c>
      <c r="D745" s="40">
        <f>'1.설계입력'!$C$6*COS(B745)-'1.설계입력'!$C$7*COS(B745+C745)-'1.설계입력'!$C$8*COS('1.설계입력'!$C$15*B745)</f>
        <v>-65.157867823989719</v>
      </c>
      <c r="E745" s="40">
        <f>-'1.설계입력'!$C$6*SIN(B745)+'1.설계입력'!$C$7*SIN(B745+C745)+'1.설계입력'!$C$8*SIN('1.설계입력'!$C$15*B745)</f>
        <v>-40.242506187802434</v>
      </c>
      <c r="F745" s="40">
        <f>ATAN2(('1.설계입력'!$C$6+'1.설계입력'!$C$33)/('1.설계입력'!$C$8*'1.설계입력'!$C$15)-COS((1-'1.설계입력'!$C$15)*B745),SIN((1-'1.설계입력'!$C$15)*B745))</f>
        <v>-0.19577579201473941</v>
      </c>
      <c r="G745" s="40">
        <f>('1.설계입력'!$C$6+'1.설계입력'!$C$33)*COS(B745)-('1.설계입력'!$C$7+'1.설계입력'!$C$34)*COS(B745+F745)-'1.설계입력'!$C$8*COS('1.설계입력'!$C$15*B745)</f>
        <v>-65.149434414545354</v>
      </c>
      <c r="H745" s="40">
        <f>-('1.설계입력'!$C$6+'1.설계입력'!$C$33)*SIN(B745)+('1.설계입력'!$C$7+'1.설계입력'!$C$34)*SIN(B745+F745)+'1.설계입력'!$C$8*SIN('1.설계입력'!$C$15*B745)</f>
        <v>-40.235209550388326</v>
      </c>
      <c r="I745" s="40">
        <f t="shared" si="34"/>
        <v>76.583333980989835</v>
      </c>
      <c r="J745" s="40">
        <f t="shared" si="35"/>
        <v>76.572324583355879</v>
      </c>
      <c r="K745" s="38">
        <f>IF(OR(A745&gt;180,'1.설계입력'!$C$39&gt;=1),"",'1.설계입력'!$C$34*(1-SIN(B745)/SQRT(1+'1.설계입력'!$C$39^2-2*'1.설계입력'!$C$39*COS(B745)))-'1.설계입력'!$C$33*(1-'1.설계입력'!$C$39*COS(B745)-SQRT(MAX(0,1-'1.설계입력'!$C$39^2))*SIN(B745))/SQRT(1+'1.설계입력'!$C$39^2-2*'1.설계입력'!$C$39*COS(B745)))</f>
        <v>7.8461748424079984E-3</v>
      </c>
    </row>
    <row r="746" spans="1:11" x14ac:dyDescent="0.3">
      <c r="A746" s="40">
        <f>A745+'1.설계입력'!$C$12</f>
        <v>148.00000000000014</v>
      </c>
      <c r="B746" s="40">
        <f t="shared" si="33"/>
        <v>2.58308729295161</v>
      </c>
      <c r="C746" s="40">
        <f>ATAN2('1.설계입력'!$C$6/('1.설계입력'!$C$8*'1.설계입력'!$C$15)-COS((1-'1.설계입력'!$C$15)*B746),SIN((1-'1.설계입력'!$C$15)*B746))</f>
        <v>-0.49136204073599377</v>
      </c>
      <c r="D746" s="40">
        <f>'1.설계입력'!$C$6*COS(B746)-'1.설계입력'!$C$7*COS(B746+C746)-'1.설계입력'!$C$8*COS('1.설계입력'!$C$15*B746)</f>
        <v>-66.139660703068657</v>
      </c>
      <c r="E746" s="40">
        <f>-'1.설계입력'!$C$6*SIN(B746)+'1.설계입력'!$C$7*SIN(B746+C746)+'1.설계입력'!$C$8*SIN('1.설계입력'!$C$15*B746)</f>
        <v>-39.470920489208993</v>
      </c>
      <c r="F746" s="40">
        <f>ATAN2(('1.설계입력'!$C$6+'1.설계입력'!$C$33)/('1.설계입력'!$C$8*'1.설계입력'!$C$15)-COS((1-'1.설계입력'!$C$15)*B746),SIN((1-'1.설계입력'!$C$15)*B746))</f>
        <v>-0.49141736841146227</v>
      </c>
      <c r="G746" s="40">
        <f>('1.설계입력'!$C$6+'1.설계입력'!$C$33)*COS(B746)-('1.설계입력'!$C$7+'1.설계입력'!$C$34)*COS(B746+F746)-'1.설계입력'!$C$8*COS('1.설계입력'!$C$15*B746)</f>
        <v>-66.13319284406569</v>
      </c>
      <c r="H746" s="40">
        <f>-('1.설계입력'!$C$6+'1.설계입력'!$C$33)*SIN(B746)+('1.설계입력'!$C$7+'1.설계입력'!$C$34)*SIN(B746+F746)+'1.설계입력'!$C$8*SIN('1.설계입력'!$C$15*B746)</f>
        <v>-39.462141784869054</v>
      </c>
      <c r="I746" s="40">
        <f t="shared" si="34"/>
        <v>77.022128522798582</v>
      </c>
      <c r="J746" s="40">
        <f t="shared" si="35"/>
        <v>77.012075871252094</v>
      </c>
      <c r="K746" s="38">
        <f>IF(OR(A746&gt;180,'1.설계입력'!$C$39&gt;=1),"",'1.설계입력'!$C$34*(1-SIN(B746)/SQRT(1+'1.설계입력'!$C$39^2-2*'1.설계입력'!$C$39*COS(B746)))-'1.설계입력'!$C$33*(1-'1.설계입력'!$C$39*COS(B746)-SQRT(MAX(0,1-'1.설계입력'!$C$39^2))*SIN(B746))/SQRT(1+'1.설계입력'!$C$39^2-2*'1.설계입력'!$C$39*COS(B746)))</f>
        <v>7.8669480552961569E-3</v>
      </c>
    </row>
    <row r="747" spans="1:11" x14ac:dyDescent="0.3">
      <c r="A747" s="40">
        <f>A746+'1.설계입력'!$C$12</f>
        <v>148.20000000000013</v>
      </c>
      <c r="B747" s="40">
        <f t="shared" si="33"/>
        <v>2.5865779514555989</v>
      </c>
      <c r="C747" s="40">
        <f>ATAN2('1.설계입력'!$C$6/('1.설계입력'!$C$8*'1.설계입력'!$C$15)-COS((1-'1.설계입력'!$C$15)*B747),SIN((1-'1.설계입력'!$C$15)*B747))</f>
        <v>-0.67202731166121377</v>
      </c>
      <c r="D747" s="40">
        <f>'1.설계입력'!$C$6*COS(B747)-'1.설계입력'!$C$7*COS(B747+C747)-'1.설계입력'!$C$8*COS('1.설계입력'!$C$15*B747)</f>
        <v>-66.875882905033421</v>
      </c>
      <c r="E747" s="40">
        <f>-'1.설계입력'!$C$6*SIN(B747)+'1.설계입력'!$C$7*SIN(B747+C747)+'1.설계입력'!$C$8*SIN('1.설계입력'!$C$15*B747)</f>
        <v>-39.132523656293934</v>
      </c>
      <c r="F747" s="40">
        <f>ATAN2(('1.설계입력'!$C$6+'1.설계입력'!$C$33)/('1.설계입력'!$C$8*'1.설계입력'!$C$15)-COS((1-'1.설계입력'!$C$15)*B747),SIN((1-'1.설계입력'!$C$15)*B747))</f>
        <v>-0.67208643521434286</v>
      </c>
      <c r="G747" s="40">
        <f>('1.설계입력'!$C$6+'1.설계입력'!$C$33)*COS(B747)-('1.설계입력'!$C$7+'1.설계입력'!$C$34)*COS(B747+F747)-'1.설계입력'!$C$8*COS('1.설계입력'!$C$15*B747)</f>
        <v>-66.87074145383599</v>
      </c>
      <c r="H747" s="40">
        <f>-('1.설계입력'!$C$6+'1.설계입력'!$C$33)*SIN(B747)+('1.설계입력'!$C$7+'1.설계입력'!$C$34)*SIN(B747+F747)+'1.설계입력'!$C$8*SIN('1.설계입력'!$C$15*B747)</f>
        <v>-39.12318411658881</v>
      </c>
      <c r="I747" s="40">
        <f t="shared" si="34"/>
        <v>77.483792641030064</v>
      </c>
      <c r="J747" s="40">
        <f t="shared" si="35"/>
        <v>77.474638418041593</v>
      </c>
      <c r="K747" s="38">
        <f>IF(OR(A747&gt;180,'1.설계입력'!$C$39&gt;=1),"",'1.설계입력'!$C$34*(1-SIN(B747)/SQRT(1+'1.설계입력'!$C$39^2-2*'1.설계입력'!$C$39*COS(B747)))-'1.설계입력'!$C$33*(1-'1.설계입력'!$C$39*COS(B747)-SQRT(MAX(0,1-'1.설계입력'!$C$39^2))*SIN(B747))/SQRT(1+'1.설계입력'!$C$39^2-2*'1.설계입력'!$C$39*COS(B747)))</f>
        <v>7.8877258306040074E-3</v>
      </c>
    </row>
    <row r="748" spans="1:11" x14ac:dyDescent="0.3">
      <c r="A748" s="40">
        <f>A747+'1.설계입력'!$C$12</f>
        <v>148.40000000000012</v>
      </c>
      <c r="B748" s="40">
        <f t="shared" si="33"/>
        <v>2.5900686099595873</v>
      </c>
      <c r="C748" s="40">
        <f>ATAN2('1.설계입력'!$C$6/('1.설계입력'!$C$8*'1.설계입력'!$C$15)-COS((1-'1.설계입력'!$C$15)*B748),SIN((1-'1.설계입력'!$C$15)*B748))</f>
        <v>-0.76721009095850123</v>
      </c>
      <c r="D748" s="40">
        <f>'1.설계입력'!$C$6*COS(B748)-'1.설계입력'!$C$7*COS(B748+C748)-'1.설계입력'!$C$8*COS('1.설계입력'!$C$15*B748)</f>
        <v>-67.347656462646341</v>
      </c>
      <c r="E748" s="40">
        <f>-'1.설계입력'!$C$6*SIN(B748)+'1.설계입력'!$C$7*SIN(B748+C748)+'1.설계입력'!$C$8*SIN('1.설계입력'!$C$15*B748)</f>
        <v>-38.988608909569585</v>
      </c>
      <c r="F748" s="40">
        <f>ATAN2(('1.설계입력'!$C$6+'1.설계입력'!$C$33)/('1.설계입력'!$C$8*'1.설계입력'!$C$15)-COS((1-'1.설계입력'!$C$15)*B748),SIN((1-'1.설계입력'!$C$15)*B748))</f>
        <v>-0.76726382595472609</v>
      </c>
      <c r="G748" s="40">
        <f>('1.설계입력'!$C$6+'1.설계입력'!$C$33)*COS(B748)-('1.설계입력'!$C$7+'1.설계입력'!$C$34)*COS(B748+F748)-'1.설계입력'!$C$8*COS('1.설계입력'!$C$15*B748)</f>
        <v>-67.343204527735537</v>
      </c>
      <c r="H748" s="40">
        <f>-('1.설계입력'!$C$6+'1.설계입력'!$C$33)*SIN(B748)+('1.설계입력'!$C$7+'1.설계입력'!$C$34)*SIN(B748+F748)+'1.설계입력'!$C$8*SIN('1.설계입력'!$C$15*B748)</f>
        <v>-38.979086802598559</v>
      </c>
      <c r="I748" s="40">
        <f t="shared" si="34"/>
        <v>77.819139392015884</v>
      </c>
      <c r="J748" s="40">
        <f t="shared" si="35"/>
        <v>77.810516024692532</v>
      </c>
      <c r="K748" s="38">
        <f>IF(OR(A748&gt;180,'1.설계입력'!$C$39&gt;=1),"",'1.설계입력'!$C$34*(1-SIN(B748)/SQRT(1+'1.설계입력'!$C$39^2-2*'1.설계입력'!$C$39*COS(B748)))-'1.설계입력'!$C$33*(1-'1.설계입력'!$C$39*COS(B748)-SQRT(MAX(0,1-'1.설계입력'!$C$39^2))*SIN(B748))/SQRT(1+'1.설계입력'!$C$39^2-2*'1.설계입력'!$C$39*COS(B748)))</f>
        <v>7.9085080940928584E-3</v>
      </c>
    </row>
    <row r="749" spans="1:11" x14ac:dyDescent="0.3">
      <c r="A749" s="40">
        <f>A748+'1.설계입력'!$C$12</f>
        <v>148.60000000000011</v>
      </c>
      <c r="B749" s="40">
        <f t="shared" si="33"/>
        <v>2.5935592684635758</v>
      </c>
      <c r="C749" s="40">
        <f>ATAN2('1.설계입력'!$C$6/('1.설계입력'!$C$8*'1.설계입력'!$C$15)-COS((1-'1.설계입력'!$C$15)*B749),SIN((1-'1.설계입력'!$C$15)*B749))</f>
        <v>-0.8099261489826951</v>
      </c>
      <c r="D749" s="40">
        <f>'1.설계입력'!$C$6*COS(B749)-'1.설계입력'!$C$7*COS(B749+C749)-'1.설계입력'!$C$8*COS('1.설계입력'!$C$15*B749)</f>
        <v>-67.649885188020534</v>
      </c>
      <c r="E749" s="40">
        <f>-'1.설계입력'!$C$6*SIN(B749)+'1.설계입력'!$C$7*SIN(B749+C749)+'1.설계입력'!$C$8*SIN('1.설계입력'!$C$15*B749)</f>
        <v>-38.917682030738284</v>
      </c>
      <c r="F749" s="40">
        <f>ATAN2(('1.설계입력'!$C$6+'1.설계입력'!$C$33)/('1.설계입력'!$C$8*'1.설계입력'!$C$15)-COS((1-'1.설계입력'!$C$15)*B749),SIN((1-'1.설계입력'!$C$15)*B749))</f>
        <v>-0.80997293336441567</v>
      </c>
      <c r="G749" s="40">
        <f>('1.설계입력'!$C$6+'1.설계입력'!$C$33)*COS(B749)-('1.설계입력'!$C$7+'1.설계입력'!$C$34)*COS(B749+F749)-'1.설계입력'!$C$8*COS('1.설계입력'!$C$15*B749)</f>
        <v>-67.645711475184072</v>
      </c>
      <c r="H749" s="40">
        <f>-('1.설계입력'!$C$6+'1.설계입력'!$C$33)*SIN(B749)+('1.설계입력'!$C$7+'1.설계입력'!$C$34)*SIN(B749+F749)+'1.설계입력'!$C$8*SIN('1.설계입력'!$C$15*B749)</f>
        <v>-38.908110066855393</v>
      </c>
      <c r="I749" s="40">
        <f t="shared" si="34"/>
        <v>78.045454323733736</v>
      </c>
      <c r="J749" s="40">
        <f t="shared" si="35"/>
        <v>78.037063693852446</v>
      </c>
      <c r="K749" s="38">
        <f>IF(OR(A749&gt;180,'1.설계입력'!$C$39&gt;=1),"",'1.설계입력'!$C$34*(1-SIN(B749)/SQRT(1+'1.설계입력'!$C$39^2-2*'1.설계입력'!$C$39*COS(B749)))-'1.설계입력'!$C$33*(1-'1.설계입력'!$C$39*COS(B749)-SQRT(MAX(0,1-'1.설계입력'!$C$39^2))*SIN(B749))/SQRT(1+'1.설계입력'!$C$39^2-2*'1.설계입력'!$C$39*COS(B749)))</f>
        <v>7.9292947715749584E-3</v>
      </c>
    </row>
    <row r="750" spans="1:11" x14ac:dyDescent="0.3">
      <c r="A750" s="40">
        <f>A749+'1.설계입력'!$C$12</f>
        <v>148.8000000000001</v>
      </c>
      <c r="B750" s="40">
        <f t="shared" si="33"/>
        <v>2.5970499269675642</v>
      </c>
      <c r="C750" s="40">
        <f>ATAN2('1.설계입력'!$C$6/('1.설계입력'!$C$8*'1.설계입력'!$C$15)-COS((1-'1.설계입력'!$C$15)*B750),SIN((1-'1.설계입력'!$C$15)*B750))</f>
        <v>-0.82081480079237645</v>
      </c>
      <c r="D750" s="40">
        <f>'1.설계입력'!$C$6*COS(B750)-'1.설계입력'!$C$7*COS(B750+C750)-'1.설계입력'!$C$8*COS('1.설계입력'!$C$15*B750)</f>
        <v>-67.856660925475509</v>
      </c>
      <c r="E750" s="40">
        <f>-'1.설계입력'!$C$6*SIN(B750)+'1.설계입력'!$C$7*SIN(B750+C750)+'1.설계입력'!$C$8*SIN('1.설계입력'!$C$15*B750)</f>
        <v>-38.874196044334639</v>
      </c>
      <c r="F750" s="40">
        <f>ATAN2(('1.설계입력'!$C$6+'1.설계입력'!$C$33)/('1.설계입력'!$C$8*'1.설계입력'!$C$15)-COS((1-'1.설계입력'!$C$15)*B750),SIN((1-'1.설계입력'!$C$15)*B750))</f>
        <v>-0.82085521102010106</v>
      </c>
      <c r="G750" s="40">
        <f>('1.설계입력'!$C$6+'1.설계입력'!$C$33)*COS(B750)-('1.설계입력'!$C$7+'1.설계입력'!$C$34)*COS(B750+F750)-'1.설계입력'!$C$8*COS('1.설계입력'!$C$15*B750)</f>
        <v>-67.852515485543506</v>
      </c>
      <c r="H750" s="40">
        <f>-('1.설계입력'!$C$6+'1.설계입력'!$C$33)*SIN(B750)+('1.설계입력'!$C$7+'1.설계입력'!$C$34)*SIN(B750+F750)+'1.설계입력'!$C$8*SIN('1.설계입력'!$C$15*B750)</f>
        <v>-38.864627453138318</v>
      </c>
      <c r="I750" s="40">
        <f t="shared" si="34"/>
        <v>78.203130052756308</v>
      </c>
      <c r="J750" s="40">
        <f t="shared" si="35"/>
        <v>78.194776838271963</v>
      </c>
      <c r="K750" s="38">
        <f>IF(OR(A750&gt;180,'1.설계입력'!$C$39&gt;=1),"",'1.설계입력'!$C$34*(1-SIN(B750)/SQRT(1+'1.설계입력'!$C$39^2-2*'1.설계입력'!$C$39*COS(B750)))-'1.설계입력'!$C$33*(1-'1.설계입력'!$C$39*COS(B750)-SQRT(MAX(0,1-'1.설계입력'!$C$39^2))*SIN(B750))/SQRT(1+'1.설계입력'!$C$39^2-2*'1.설계입력'!$C$39*COS(B750)))</f>
        <v>7.9500857889132897E-3</v>
      </c>
    </row>
    <row r="751" spans="1:11" x14ac:dyDescent="0.3">
      <c r="A751" s="40">
        <f>A750+'1.설계입력'!$C$12</f>
        <v>149.00000000000009</v>
      </c>
      <c r="B751" s="40">
        <f t="shared" si="33"/>
        <v>2.6005405854715526</v>
      </c>
      <c r="C751" s="40">
        <f>ATAN2('1.설계입력'!$C$6/('1.설계입력'!$C$8*'1.설계입력'!$C$15)-COS((1-'1.설계입력'!$C$15)*B751),SIN((1-'1.설계입력'!$C$15)*B751))</f>
        <v>-0.81167134380876615</v>
      </c>
      <c r="D751" s="40">
        <f>'1.설계입력'!$C$6*COS(B751)-'1.설계입력'!$C$7*COS(B751+C751)-'1.설계입력'!$C$8*COS('1.설계입력'!$C$15*B751)</f>
        <v>-68.012785400134703</v>
      </c>
      <c r="E751" s="40">
        <f>-'1.설계입력'!$C$6*SIN(B751)+'1.설계입력'!$C$7*SIN(B751+C751)+'1.설계입력'!$C$8*SIN('1.설계입력'!$C$15*B751)</f>
        <v>-38.840887621378329</v>
      </c>
      <c r="F751" s="40">
        <f>ATAN2(('1.설계입력'!$C$6+'1.설계입력'!$C$33)/('1.설계입력'!$C$8*'1.설계입력'!$C$15)-COS((1-'1.설계입력'!$C$15)*B751),SIN((1-'1.설계입력'!$C$15)*B751))</f>
        <v>-0.81170633216404398</v>
      </c>
      <c r="G751" s="40">
        <f>('1.설계입력'!$C$6+'1.설계입력'!$C$33)*COS(B751)-('1.설계입력'!$C$7+'1.설계입력'!$C$34)*COS(B751+F751)-'1.설계입력'!$C$8*COS('1.설계입력'!$C$15*B751)</f>
        <v>-68.008512674006184</v>
      </c>
      <c r="H751" s="40">
        <f>-('1.설계입력'!$C$6+'1.설계입력'!$C$33)*SIN(B751)+('1.설계입력'!$C$7+'1.설계입력'!$C$34)*SIN(B751+F751)+'1.설계입력'!$C$8*SIN('1.설계입력'!$C$15*B751)</f>
        <v>-38.8313525046119</v>
      </c>
      <c r="I751" s="40">
        <f t="shared" si="34"/>
        <v>78.322113921301408</v>
      </c>
      <c r="J751" s="40">
        <f t="shared" si="35"/>
        <v>78.31367526471918</v>
      </c>
      <c r="K751" s="38">
        <f>IF(OR(A751&gt;180,'1.설계입력'!$C$39&gt;=1),"",'1.설계입력'!$C$34*(1-SIN(B751)/SQRT(1+'1.설계입력'!$C$39^2-2*'1.설계입력'!$C$39*COS(B751)))-'1.설계입력'!$C$33*(1-'1.설계입력'!$C$39*COS(B751)-SQRT(MAX(0,1-'1.설계입력'!$C$39^2))*SIN(B751))/SQRT(1+'1.설계입력'!$C$39^2-2*'1.설계입력'!$C$39*COS(B751)))</f>
        <v>7.9708810720213272E-3</v>
      </c>
    </row>
    <row r="752" spans="1:11" x14ac:dyDescent="0.3">
      <c r="A752" s="40">
        <f>A751+'1.설계입력'!$C$12</f>
        <v>149.20000000000007</v>
      </c>
      <c r="B752" s="40">
        <f t="shared" si="33"/>
        <v>2.6040312439755411</v>
      </c>
      <c r="C752" s="40">
        <f>ATAN2('1.설계입력'!$C$6/('1.설계입력'!$C$8*'1.설계입력'!$C$15)-COS((1-'1.설계입력'!$C$15)*B752),SIN((1-'1.설계입력'!$C$15)*B752))</f>
        <v>-0.78934449702344067</v>
      </c>
      <c r="D752" s="40">
        <f>'1.설계입력'!$C$6*COS(B752)-'1.설계입력'!$C$7*COS(B752+C752)-'1.설계입력'!$C$8*COS('1.설계입력'!$C$15*B752)</f>
        <v>-68.144371235525355</v>
      </c>
      <c r="E752" s="40">
        <f>-'1.설계입력'!$C$6*SIN(B752)+'1.설계입력'!$C$7*SIN(B752+C752)+'1.설계입력'!$C$8*SIN('1.설계입력'!$C$15*B752)</f>
        <v>-38.810098810263831</v>
      </c>
      <c r="F752" s="40">
        <f>ATAN2(('1.설계입력'!$C$6+'1.설계입력'!$C$33)/('1.설계입력'!$C$8*'1.설계입력'!$C$15)-COS((1-'1.설계입력'!$C$15)*B752),SIN((1-'1.설계입력'!$C$15)*B752))</f>
        <v>-0.78937493786915891</v>
      </c>
      <c r="G752" s="40">
        <f>('1.설계입력'!$C$6+'1.설계입력'!$C$33)*COS(B752)-('1.설계입력'!$C$7+'1.설계입력'!$C$34)*COS(B752+F752)-'1.설계입력'!$C$8*COS('1.설계입력'!$C$15*B752)</f>
        <v>-68.139870873647666</v>
      </c>
      <c r="H752" s="40">
        <f>-('1.설계입력'!$C$6+'1.설계입력'!$C$33)*SIN(B752)+('1.설계입력'!$C$7+'1.설계입력'!$C$34)*SIN(B752+F752)+'1.설계입력'!$C$8*SIN('1.설계입력'!$C$15*B752)</f>
        <v>-38.800621728761094</v>
      </c>
      <c r="I752" s="40">
        <f t="shared" si="34"/>
        <v>78.421164877522301</v>
      </c>
      <c r="J752" s="40">
        <f t="shared" si="35"/>
        <v>78.41256435811664</v>
      </c>
      <c r="K752" s="38">
        <f>IF(OR(A752&gt;180,'1.설계입력'!$C$39&gt;=1),"",'1.설계입력'!$C$34*(1-SIN(B752)/SQRT(1+'1.설계입력'!$C$39^2-2*'1.설계입력'!$C$39*COS(B752)))-'1.설계입력'!$C$33*(1-'1.설계입력'!$C$39*COS(B752)-SQRT(MAX(0,1-'1.설계입력'!$C$39^2))*SIN(B752))/SQRT(1+'1.설계입력'!$C$39^2-2*'1.설계입력'!$C$39*COS(B752)))</f>
        <v>7.9916805468628442E-3</v>
      </c>
    </row>
    <row r="753" spans="1:11" x14ac:dyDescent="0.3">
      <c r="A753" s="40">
        <f>A752+'1.설계입력'!$C$12</f>
        <v>149.40000000000006</v>
      </c>
      <c r="B753" s="40">
        <f t="shared" si="33"/>
        <v>2.6075219024795295</v>
      </c>
      <c r="C753" s="40">
        <f>ATAN2('1.설계입력'!$C$6/('1.설계입력'!$C$8*'1.설계입력'!$C$15)-COS((1-'1.설계입력'!$C$15)*B753),SIN((1-'1.설계입력'!$C$15)*B753))</f>
        <v>-0.75797703007951212</v>
      </c>
      <c r="D753" s="40">
        <f>'1.설계입력'!$C$6*COS(B753)-'1.설계입력'!$C$7*COS(B753+C753)-'1.설계입력'!$C$8*COS('1.설계입력'!$C$15*B753)</f>
        <v>-68.266709861078951</v>
      </c>
      <c r="E753" s="40">
        <f>-'1.설계입력'!$C$6*SIN(B753)+'1.설계입력'!$C$7*SIN(B753+C753)+'1.설계입력'!$C$8*SIN('1.설계입력'!$C$15*B753)</f>
        <v>-38.777471841414055</v>
      </c>
      <c r="F753" s="40">
        <f>ATAN2(('1.설계입력'!$C$6+'1.설계입력'!$C$33)/('1.설계입력'!$C$8*'1.설계입력'!$C$15)-COS((1-'1.설계입력'!$C$15)*B753),SIN((1-'1.설계입력'!$C$15)*B753))</f>
        <v>-0.75800363628826095</v>
      </c>
      <c r="G753" s="40">
        <f>('1.설계입력'!$C$6+'1.설계입력'!$C$33)*COS(B753)-('1.설계입력'!$C$7+'1.설계입력'!$C$34)*COS(B753+F753)-'1.설계입력'!$C$8*COS('1.설계입력'!$C$15*B753)</f>
        <v>-68.261915348275366</v>
      </c>
      <c r="H753" s="40">
        <f>-('1.설계입력'!$C$6+'1.설계입력'!$C$33)*SIN(B753)+('1.설계입력'!$C$7+'1.설계입력'!$C$34)*SIN(B753+F753)+'1.설계입력'!$C$8*SIN('1.설계입력'!$C$15*B753)</f>
        <v>-38.768077127698213</v>
      </c>
      <c r="I753" s="40">
        <f t="shared" si="34"/>
        <v>78.511374957189446</v>
      </c>
      <c r="J753" s="40">
        <f t="shared" si="35"/>
        <v>78.502566144007474</v>
      </c>
      <c r="K753" s="38">
        <f>IF(OR(A753&gt;180,'1.설계입력'!$C$39&gt;=1),"",'1.설계입력'!$C$34*(1-SIN(B753)/SQRT(1+'1.설계입력'!$C$39^2-2*'1.설계입력'!$C$39*COS(B753)))-'1.설계입력'!$C$33*(1-'1.설계입력'!$C$39*COS(B753)-SQRT(MAX(0,1-'1.설계입력'!$C$39^2))*SIN(B753))/SQRT(1+'1.설계입력'!$C$39^2-2*'1.설계입력'!$C$39*COS(B753)))</f>
        <v>8.0124841394517161E-3</v>
      </c>
    </row>
    <row r="754" spans="1:11" x14ac:dyDescent="0.3">
      <c r="A754" s="40">
        <f>A753+'1.설계입력'!$C$12</f>
        <v>149.60000000000005</v>
      </c>
      <c r="B754" s="40">
        <f t="shared" si="33"/>
        <v>2.611012560983518</v>
      </c>
      <c r="C754" s="40">
        <f>ATAN2('1.설계입력'!$C$6/('1.설계입력'!$C$8*'1.설계입력'!$C$15)-COS((1-'1.설계입력'!$C$15)*B754),SIN((1-'1.설계입력'!$C$15)*B754))</f>
        <v>-0.72018741047254231</v>
      </c>
      <c r="D754" s="40">
        <f>'1.설계입력'!$C$6*COS(B754)-'1.설계입력'!$C$7*COS(B754+C754)-'1.설계입력'!$C$8*COS('1.설계입력'!$C$15*B754)</f>
        <v>-68.388735490576707</v>
      </c>
      <c r="E754" s="40">
        <f>-'1.설계입력'!$C$6*SIN(B754)+'1.설계입력'!$C$7*SIN(B754+C754)+'1.설계입력'!$C$8*SIN('1.설계입력'!$C$15*B754)</f>
        <v>-38.739850810780325</v>
      </c>
      <c r="F754" s="40">
        <f>ATAN2(('1.설계입력'!$C$6+'1.설계입력'!$C$33)/('1.설계입력'!$C$8*'1.설계입력'!$C$15)-COS((1-'1.설계입력'!$C$15)*B754),SIN((1-'1.설계입력'!$C$15)*B754))</f>
        <v>-0.72021074428246756</v>
      </c>
      <c r="G754" s="40">
        <f>('1.설계입력'!$C$6+'1.설계입력'!$C$33)*COS(B754)-('1.설계입력'!$C$7+'1.설계입력'!$C$34)*COS(B754+F754)-'1.설계입력'!$C$8*COS('1.설계입력'!$C$15*B754)</f>
        <v>-68.383602263461924</v>
      </c>
      <c r="H754" s="40">
        <f>-('1.설계입력'!$C$6+'1.설계입력'!$C$33)*SIN(B754)+('1.설계입력'!$C$7+'1.설계입력'!$C$34)*SIN(B754+F754)+'1.설계입력'!$C$8*SIN('1.설계입력'!$C$15*B754)</f>
        <v>-38.730563951548042</v>
      </c>
      <c r="I754" s="40">
        <f t="shared" si="34"/>
        <v>78.598951537800957</v>
      </c>
      <c r="J754" s="40">
        <f t="shared" si="35"/>
        <v>78.589908019619841</v>
      </c>
      <c r="K754" s="38">
        <f>IF(OR(A754&gt;180,'1.설계입력'!$C$39&gt;=1),"",'1.설계입력'!$C$34*(1-SIN(B754)/SQRT(1+'1.설계입력'!$C$39^2-2*'1.설계입력'!$C$39*COS(B754)))-'1.설계입력'!$C$33*(1-'1.설계입력'!$C$39*COS(B754)-SQRT(MAX(0,1-'1.설계입력'!$C$39^2))*SIN(B754))/SQRT(1+'1.설계입력'!$C$39^2-2*'1.설계입력'!$C$39*COS(B754)))</f>
        <v>8.0332917758516829E-3</v>
      </c>
    </row>
    <row r="755" spans="1:11" x14ac:dyDescent="0.3">
      <c r="A755" s="40">
        <f>A754+'1.설계입력'!$C$12</f>
        <v>149.80000000000004</v>
      </c>
      <c r="B755" s="40">
        <f t="shared" si="33"/>
        <v>2.6145032194875064</v>
      </c>
      <c r="C755" s="40">
        <f>ATAN2('1.설계입력'!$C$6/('1.설계입력'!$C$8*'1.설계입력'!$C$15)-COS((1-'1.설계입력'!$C$15)*B755),SIN((1-'1.설계입력'!$C$15)*B755))</f>
        <v>-0.67769957902050149</v>
      </c>
      <c r="D755" s="40">
        <f>'1.설계입력'!$C$6*COS(B755)-'1.설계입력'!$C$7*COS(B755+C755)-'1.설계입력'!$C$8*COS('1.설계입력'!$C$15*B755)</f>
        <v>-68.515481271779137</v>
      </c>
      <c r="E755" s="40">
        <f>-'1.설계입력'!$C$6*SIN(B755)+'1.설계입력'!$C$7*SIN(B755+C755)+'1.설계입력'!$C$8*SIN('1.설계입력'!$C$15*B755)</f>
        <v>-38.694596844480515</v>
      </c>
      <c r="F755" s="40">
        <f>ATAN2(('1.설계입력'!$C$6+'1.설계입력'!$C$33)/('1.설계입력'!$C$8*'1.설계입력'!$C$15)-COS((1-'1.설계입력'!$C$15)*B755),SIN((1-'1.설계입력'!$C$15)*B755))</f>
        <v>-0.67772008106061254</v>
      </c>
      <c r="G755" s="40">
        <f>('1.설계입력'!$C$6+'1.설계입력'!$C$33)*COS(B755)-('1.설계입력'!$C$7+'1.설계입력'!$C$34)*COS(B755+F755)-'1.설계입력'!$C$8*COS('1.설계입력'!$C$15*B755)</f>
        <v>-68.509979841949274</v>
      </c>
      <c r="H755" s="40">
        <f>-('1.설계입력'!$C$6+'1.설계입력'!$C$33)*SIN(B755)+('1.설계입력'!$C$7+'1.설계입력'!$C$34)*SIN(B755+F755)+'1.설계입력'!$C$8*SIN('1.설계입력'!$C$15*B755)</f>
        <v>-38.685444587900825</v>
      </c>
      <c r="I755" s="40">
        <f t="shared" si="34"/>
        <v>78.686993835451602</v>
      </c>
      <c r="J755" s="40">
        <f t="shared" si="35"/>
        <v>78.677703073411095</v>
      </c>
      <c r="K755" s="38">
        <f>IF(OR(A755&gt;180,'1.설계입력'!$C$39&gt;=1),"",'1.설계입력'!$C$34*(1-SIN(B755)/SQRT(1+'1.설계입력'!$C$39^2-2*'1.설계입력'!$C$39*COS(B755)))-'1.설계입력'!$C$33*(1-'1.설계입력'!$C$39*COS(B755)-SQRT(MAX(0,1-'1.설계입력'!$C$39^2))*SIN(B755))/SQRT(1+'1.설계입력'!$C$39^2-2*'1.설계입력'!$C$39*COS(B755)))</f>
        <v>8.0541033821761865E-3</v>
      </c>
    </row>
    <row r="756" spans="1:11" x14ac:dyDescent="0.3">
      <c r="A756" s="40">
        <f>A755+'1.설계입력'!$C$12</f>
        <v>150.00000000000003</v>
      </c>
      <c r="B756" s="40">
        <f t="shared" si="33"/>
        <v>2.6179938779914949</v>
      </c>
      <c r="C756" s="40">
        <f>ATAN2('1.설계입력'!$C$6/('1.설계입력'!$C$8*'1.설계입력'!$C$15)-COS((1-'1.설계입력'!$C$15)*B756),SIN((1-'1.설계입력'!$C$15)*B756))</f>
        <v>-0.63169063433896266</v>
      </c>
      <c r="D756" s="40">
        <f>'1.설계입력'!$C$6*COS(B756)-'1.설계입력'!$C$7*COS(B756+C756)-'1.설계입력'!$C$8*COS('1.설계입력'!$C$15*B756)</f>
        <v>-68.64946804451391</v>
      </c>
      <c r="E756" s="40">
        <f>-'1.설계입력'!$C$6*SIN(B756)+'1.설계입력'!$C$7*SIN(B756+C756)+'1.설계입력'!$C$8*SIN('1.설계입력'!$C$15*B756)</f>
        <v>-38.639390829058435</v>
      </c>
      <c r="F756" s="40">
        <f>ATAN2(('1.설계입력'!$C$6+'1.설계입력'!$C$33)/('1.설계입력'!$C$8*'1.설계입력'!$C$15)-COS((1-'1.설계입력'!$C$15)*B756),SIN((1-'1.설계입력'!$C$15)*B756))</f>
        <v>-0.63170865105533514</v>
      </c>
      <c r="G756" s="40">
        <f>('1.설계입력'!$C$6+'1.설계입력'!$C$33)*COS(B756)-('1.설계입력'!$C$7+'1.설계입력'!$C$34)*COS(B756+F756)-'1.설계입력'!$C$8*COS('1.설계입력'!$C$15*B756)</f>
        <v>-68.643579838861527</v>
      </c>
      <c r="H756" s="40">
        <f>-('1.설계입력'!$C$6+'1.설계입력'!$C$33)*SIN(B756)+('1.설계입력'!$C$7+'1.설계입력'!$C$34)*SIN(B756+F756)+'1.설계입력'!$C$8*SIN('1.설계입력'!$C$15*B756)</f>
        <v>-38.630400894949382</v>
      </c>
      <c r="I756" s="40">
        <f t="shared" si="34"/>
        <v>78.77659542297738</v>
      </c>
      <c r="J756" s="40">
        <f t="shared" si="35"/>
        <v>78.767054828771293</v>
      </c>
      <c r="K756" s="38">
        <f>IF(OR(A756&gt;180,'1.설계입력'!$C$39&gt;=1),"",'1.설계입력'!$C$34*(1-SIN(B756)/SQRT(1+'1.설계입력'!$C$39^2-2*'1.설계입력'!$C$39*COS(B756)))-'1.설계입력'!$C$33*(1-'1.설계입력'!$C$39*COS(B756)-SQRT(MAX(0,1-'1.설계입력'!$C$39^2))*SIN(B756))/SQRT(1+'1.설계입력'!$C$39^2-2*'1.설계입력'!$C$39*COS(B756)))</f>
        <v>8.0749188845881427E-3</v>
      </c>
    </row>
    <row r="757" spans="1:11" x14ac:dyDescent="0.3">
      <c r="A757" s="40">
        <f>A756+'1.설계입력'!$C$12</f>
        <v>150.20000000000002</v>
      </c>
      <c r="B757" s="40">
        <f t="shared" si="33"/>
        <v>2.6214845364954833</v>
      </c>
      <c r="C757" s="40">
        <f>ATAN2('1.설계입력'!$C$6/('1.설계입력'!$C$8*'1.설계입력'!$C$15)-COS((1-'1.설계입력'!$C$15)*B757),SIN((1-'1.설계입력'!$C$15)*B757))</f>
        <v>-0.58299066384009612</v>
      </c>
      <c r="D757" s="40">
        <f>'1.설계입력'!$C$6*COS(B757)-'1.설계입력'!$C$7*COS(B757+C757)-'1.설계입력'!$C$8*COS('1.설계입력'!$C$15*B757)</f>
        <v>-68.791528119505813</v>
      </c>
      <c r="E757" s="40">
        <f>-'1.설계입력'!$C$6*SIN(B757)+'1.설계입력'!$C$7*SIN(B757+C757)+'1.설계입력'!$C$8*SIN('1.설계입력'!$C$15*B757)</f>
        <v>-38.572205890332633</v>
      </c>
      <c r="F757" s="40">
        <f>ATAN2(('1.설계입력'!$C$6+'1.설계입력'!$C$33)/('1.설계입력'!$C$8*'1.설계입력'!$C$15)-COS((1-'1.설계입력'!$C$15)*B757),SIN((1-'1.설계입력'!$C$15)*B757))</f>
        <v>-0.58300646935867773</v>
      </c>
      <c r="G757" s="40">
        <f>('1.설계입력'!$C$6+'1.설계입력'!$C$33)*COS(B757)-('1.설계입력'!$C$7+'1.설계입력'!$C$34)*COS(B757+F757)-'1.설계입력'!$C$8*COS('1.설계입력'!$C$15*B757)</f>
        <v>-68.785242852111537</v>
      </c>
      <c r="H757" s="40">
        <f>-('1.설계입력'!$C$6+'1.설계입력'!$C$33)*SIN(B757)+('1.설계입력'!$C$7+'1.설계입력'!$C$34)*SIN(B757+F757)+'1.설계입력'!$C$8*SIN('1.설계입력'!$C$15*B757)</f>
        <v>-38.563406580971055</v>
      </c>
      <c r="I757" s="40">
        <f t="shared" si="34"/>
        <v>78.867543440017016</v>
      </c>
      <c r="J757" s="40">
        <f t="shared" si="35"/>
        <v>78.857757775333951</v>
      </c>
      <c r="K757" s="38">
        <f>IF(OR(A757&gt;180,'1.설계입력'!$C$39&gt;=1),"",'1.설계입력'!$C$34*(1-SIN(B757)/SQRT(1+'1.설계입력'!$C$39^2-2*'1.설계입력'!$C$39*COS(B757)))-'1.설계입력'!$C$33*(1-'1.설계입력'!$C$39*COS(B757)-SQRT(MAX(0,1-'1.설계입력'!$C$39^2))*SIN(B757))/SQRT(1+'1.설계입력'!$C$39^2-2*'1.설계입력'!$C$39*COS(B757)))</f>
        <v>8.0957382092997649E-3</v>
      </c>
    </row>
    <row r="758" spans="1:11" x14ac:dyDescent="0.3">
      <c r="A758" s="40">
        <f>A757+'1.설계입력'!$C$12</f>
        <v>150.4</v>
      </c>
      <c r="B758" s="40">
        <f t="shared" si="33"/>
        <v>2.6249751949994717</v>
      </c>
      <c r="C758" s="40">
        <f>ATAN2('1.설계입력'!$C$6/('1.설계입력'!$C$8*'1.설계입력'!$C$15)-COS((1-'1.설계입력'!$C$15)*B758),SIN((1-'1.설계입력'!$C$15)*B758))</f>
        <v>-0.53220217593621255</v>
      </c>
      <c r="D758" s="40">
        <f>'1.설계입력'!$C$6*COS(B758)-'1.설계입력'!$C$7*COS(B758+C758)-'1.설계입력'!$C$8*COS('1.설계입력'!$C$15*B758)</f>
        <v>-68.941323066201235</v>
      </c>
      <c r="E758" s="40">
        <f>-'1.설계입력'!$C$6*SIN(B758)+'1.설계입력'!$C$7*SIN(B758+C758)+'1.설계입력'!$C$8*SIN('1.설계입력'!$C$15*B758)</f>
        <v>-38.491335426237939</v>
      </c>
      <c r="F758" s="40">
        <f>ATAN2(('1.설계입력'!$C$6+'1.설계입력'!$C$33)/('1.설계입력'!$C$8*'1.설계입력'!$C$15)-COS((1-'1.설계입력'!$C$15)*B758),SIN((1-'1.설계입력'!$C$15)*B758))</f>
        <v>-0.53221598858671681</v>
      </c>
      <c r="G758" s="40">
        <f>('1.설계입력'!$C$6+'1.설계입력'!$C$33)*COS(B758)-('1.설계입력'!$C$7+'1.설계입력'!$C$34)*COS(B758+F758)-'1.설계입력'!$C$8*COS('1.설계입력'!$C$15*B758)</f>
        <v>-68.934637006189163</v>
      </c>
      <c r="H758" s="40">
        <f>-('1.설계입력'!$C$6+'1.설계입력'!$C$33)*SIN(B758)+('1.설계입력'!$C$7+'1.설계입력'!$C$34)*SIN(B758+F758)+'1.설계입력'!$C$8*SIN('1.설계입력'!$C$15*B758)</f>
        <v>-38.482755237371663</v>
      </c>
      <c r="I758" s="40">
        <f t="shared" si="34"/>
        <v>78.958779936201466</v>
      </c>
      <c r="J758" s="40">
        <f t="shared" si="35"/>
        <v>78.948759520555612</v>
      </c>
      <c r="K758" s="38">
        <f>IF(OR(A758&gt;180,'1.설계입력'!$C$39&gt;=1),"",'1.설계입력'!$C$34*(1-SIN(B758)/SQRT(1+'1.설계입력'!$C$39^2-2*'1.설계입력'!$C$39*COS(B758)))-'1.설계입력'!$C$33*(1-'1.설계입력'!$C$39*COS(B758)-SQRT(MAX(0,1-'1.설계입력'!$C$39^2))*SIN(B758))/SQRT(1+'1.설계입력'!$C$39^2-2*'1.설계입력'!$C$39*COS(B758)))</f>
        <v>8.1165612825723696E-3</v>
      </c>
    </row>
    <row r="759" spans="1:11" x14ac:dyDescent="0.3">
      <c r="A759" s="40">
        <f>A758+'1.설계입력'!$C$12</f>
        <v>150.6</v>
      </c>
      <c r="B759" s="40">
        <f t="shared" si="33"/>
        <v>2.6284658535034602</v>
      </c>
      <c r="C759" s="40">
        <f>ATAN2('1.설계입력'!$C$6/('1.설계입력'!$C$8*'1.설계입력'!$C$15)-COS((1-'1.설계입력'!$C$15)*B759),SIN((1-'1.설계입력'!$C$15)*B759))</f>
        <v>-0.47977410855127911</v>
      </c>
      <c r="D759" s="40">
        <f>'1.설계입력'!$C$6*COS(B759)-'1.설계입력'!$C$7*COS(B759+C759)-'1.설계입력'!$C$8*COS('1.설계입력'!$C$15*B759)</f>
        <v>-69.097690535693246</v>
      </c>
      <c r="E759" s="40">
        <f>-'1.설계입력'!$C$6*SIN(B759)+'1.설계입력'!$C$7*SIN(B759+C759)+'1.설계입력'!$C$8*SIN('1.설계입력'!$C$15*B759)</f>
        <v>-38.395434008158233</v>
      </c>
      <c r="F759" s="40">
        <f>ATAN2(('1.설계입력'!$C$6+'1.설계입력'!$C$33)/('1.설계입력'!$C$8*'1.설계입력'!$C$15)-COS((1-'1.설계입력'!$C$15)*B759),SIN((1-'1.설계입력'!$C$15)*B759))</f>
        <v>-0.47978610314600612</v>
      </c>
      <c r="G759" s="40">
        <f>('1.설계입력'!$C$6+'1.설계입력'!$C$33)*COS(B759)-('1.설계입력'!$C$7+'1.설계입력'!$C$34)*COS(B759+F759)-'1.설계입력'!$C$8*COS('1.설계입력'!$C$15*B759)</f>
        <v>-69.090605316990576</v>
      </c>
      <c r="H759" s="40">
        <f>-('1.설계입력'!$C$6+'1.설계입력'!$C$33)*SIN(B759)+('1.설계입력'!$C$7+'1.설계입력'!$C$34)*SIN(B759+F759)+'1.설계입력'!$C$8*SIN('1.설계입력'!$C$15*B759)</f>
        <v>-38.387101270231696</v>
      </c>
      <c r="I759" s="40">
        <f t="shared" si="34"/>
        <v>79.048720356760143</v>
      </c>
      <c r="J759" s="40">
        <f t="shared" si="35"/>
        <v>79.038479786741789</v>
      </c>
      <c r="K759" s="38">
        <f>IF(OR(A759&gt;180,'1.설계입력'!$C$39&gt;=1),"",'1.설계입력'!$C$34*(1-SIN(B759)/SQRT(1+'1.설계입력'!$C$39^2-2*'1.설계입력'!$C$39*COS(B759)))-'1.설계입력'!$C$33*(1-'1.설계입력'!$C$39*COS(B759)-SQRT(MAX(0,1-'1.설계입력'!$C$39^2))*SIN(B759))/SQRT(1+'1.설계입력'!$C$39^2-2*'1.설계입력'!$C$39*COS(B759)))</f>
        <v>8.1373880307161854E-3</v>
      </c>
    </row>
    <row r="760" spans="1:11" x14ac:dyDescent="0.3">
      <c r="A760" s="40">
        <f>A759+'1.설계입력'!$C$12</f>
        <v>150.79999999999998</v>
      </c>
      <c r="B760" s="40">
        <f t="shared" si="33"/>
        <v>2.6319565120074486</v>
      </c>
      <c r="C760" s="40">
        <f>ATAN2('1.설계입력'!$C$6/('1.설계입력'!$C$8*'1.설계입력'!$C$15)-COS((1-'1.설계입력'!$C$15)*B760),SIN((1-'1.설계입력'!$C$15)*B760))</f>
        <v>-0.42604922794783673</v>
      </c>
      <c r="D760" s="40">
        <f>'1.설계입력'!$C$6*COS(B760)-'1.설계입력'!$C$7*COS(B760+C760)-'1.설계입력'!$C$8*COS('1.설계입력'!$C$15*B760)</f>
        <v>-69.258892224148056</v>
      </c>
      <c r="E760" s="40">
        <f>-'1.설계입력'!$C$6*SIN(B760)+'1.설계입력'!$C$7*SIN(B760+C760)+'1.설계입력'!$C$8*SIN('1.설계입력'!$C$15*B760)</f>
        <v>-38.283554793251596</v>
      </c>
      <c r="F760" s="40">
        <f>ATAN2(('1.설계입력'!$C$6+'1.설계입력'!$C$33)/('1.설계입력'!$C$8*'1.설계입력'!$C$15)-COS((1-'1.설계입력'!$C$15)*B760),SIN((1-'1.설계입력'!$C$15)*B760))</f>
        <v>-0.42605954487858255</v>
      </c>
      <c r="G760" s="40">
        <f>('1.설계입력'!$C$6+'1.설계입력'!$C$33)*COS(B760)-('1.설계입력'!$C$7+'1.설계입력'!$C$34)*COS(B760+F760)-'1.설계입력'!$C$8*COS('1.설계입력'!$C$15*B760)</f>
        <v>-69.251413992468542</v>
      </c>
      <c r="H760" s="40">
        <f>-('1.설계입력'!$C$6+'1.설계입력'!$C$33)*SIN(B760)+('1.설계입력'!$C$7+'1.설계입력'!$C$34)*SIN(B760+F760)+'1.설계입력'!$C$8*SIN('1.설계입력'!$C$15*B760)</f>
        <v>-38.275497348550061</v>
      </c>
      <c r="I760" s="40">
        <f t="shared" si="34"/>
        <v>79.1354833164242</v>
      </c>
      <c r="J760" s="40">
        <f t="shared" si="35"/>
        <v>79.125040519642894</v>
      </c>
      <c r="K760" s="38">
        <f>IF(OR(A760&gt;180,'1.설계입력'!$C$39&gt;=1),"",'1.설계입력'!$C$34*(1-SIN(B760)/SQRT(1+'1.설계입력'!$C$39^2-2*'1.설계입력'!$C$39*COS(B760)))-'1.설계입력'!$C$33*(1-'1.설계입력'!$C$39*COS(B760)-SQRT(MAX(0,1-'1.설계입력'!$C$39^2))*SIN(B760))/SQRT(1+'1.설계입력'!$C$39^2-2*'1.설계입력'!$C$39*COS(B760)))</f>
        <v>8.1582183800901764E-3</v>
      </c>
    </row>
    <row r="761" spans="1:11" x14ac:dyDescent="0.3">
      <c r="A761" s="40">
        <f>A760+'1.설계입력'!$C$12</f>
        <v>150.99999999999997</v>
      </c>
      <c r="B761" s="40">
        <f t="shared" si="33"/>
        <v>2.6354471705114371</v>
      </c>
      <c r="C761" s="40">
        <f>ATAN2('1.설계입력'!$C$6/('1.설계입력'!$C$8*'1.설계입력'!$C$15)-COS((1-'1.설계입력'!$C$15)*B761),SIN((1-'1.설계입력'!$C$15)*B761))</f>
        <v>-0.37129541728550847</v>
      </c>
      <c r="D761" s="40">
        <f>'1.설계입력'!$C$6*COS(B761)-'1.설계입력'!$C$7*COS(B761+C761)-'1.설계입력'!$C$8*COS('1.설계입력'!$C$15*B761)</f>
        <v>-69.422802438799366</v>
      </c>
      <c r="E761" s="40">
        <f>-'1.설계입력'!$C$6*SIN(B761)+'1.설계입력'!$C$7*SIN(B761+C761)+'1.설계입력'!$C$8*SIN('1.설계입력'!$C$15*B761)</f>
        <v>-38.155177195166722</v>
      </c>
      <c r="F761" s="40">
        <f>ATAN2(('1.설계입력'!$C$6+'1.설계입력'!$C$33)/('1.설계입력'!$C$8*'1.설계입력'!$C$15)-COS((1-'1.설계입력'!$C$15)*B761),SIN((1-'1.설계입력'!$C$15)*B761))</f>
        <v>-0.37130416927820314</v>
      </c>
      <c r="G761" s="40">
        <f>('1.설계입력'!$C$6+'1.설계입력'!$C$33)*COS(B761)-('1.설계입력'!$C$7+'1.설계입력'!$C$34)*COS(B761+F761)-'1.설계입력'!$C$8*COS('1.설계입력'!$C$15*B761)</f>
        <v>-69.414941213390733</v>
      </c>
      <c r="H761" s="40">
        <f>-('1.설계입력'!$C$6+'1.설계입력'!$C$33)*SIN(B761)+('1.설계입력'!$C$7+'1.설계입력'!$C$34)*SIN(B761+F761)+'1.설계입력'!$C$8*SIN('1.설계입력'!$C$15*B761)</f>
        <v>-38.147422108637343</v>
      </c>
      <c r="I761" s="40">
        <f t="shared" si="34"/>
        <v>79.217062841607159</v>
      </c>
      <c r="J761" s="40">
        <f t="shared" si="35"/>
        <v>79.206438356948254</v>
      </c>
      <c r="K761" s="38">
        <f>IF(OR(A761&gt;180,'1.설계입력'!$C$39&gt;=1),"",'1.설계입력'!$C$34*(1-SIN(B761)/SQRT(1+'1.설계입력'!$C$39^2-2*'1.설계입력'!$C$39*COS(B761)))-'1.설계입력'!$C$33*(1-'1.설계입력'!$C$39*COS(B761)-SQRT(MAX(0,1-'1.설계입력'!$C$39^2))*SIN(B761))/SQRT(1+'1.설계입력'!$C$39^2-2*'1.설계입력'!$C$39*COS(B761)))</f>
        <v>8.1790522571018459E-3</v>
      </c>
    </row>
    <row r="762" spans="1:11" x14ac:dyDescent="0.3">
      <c r="A762" s="40">
        <f>A761+'1.설계입력'!$C$12</f>
        <v>151.19999999999996</v>
      </c>
      <c r="B762" s="40">
        <f t="shared" si="33"/>
        <v>2.6389378290154255</v>
      </c>
      <c r="C762" s="40">
        <f>ATAN2('1.설계입력'!$C$6/('1.설계입력'!$C$8*'1.설계입력'!$C$15)-COS((1-'1.설계입력'!$C$15)*B762),SIN((1-'1.설계입력'!$C$15)*B762))</f>
        <v>-0.31572692224038029</v>
      </c>
      <c r="D762" s="40">
        <f>'1.설계입력'!$C$6*COS(B762)-'1.설계입력'!$C$7*COS(B762+C762)-'1.설계입력'!$C$8*COS('1.설계입력'!$C$15*B762)</f>
        <v>-69.587059284926724</v>
      </c>
      <c r="E762" s="40">
        <f>-'1.설계입력'!$C$6*SIN(B762)+'1.설계입력'!$C$7*SIN(B762+C762)+'1.설계입력'!$C$8*SIN('1.설계입력'!$C$15*B762)</f>
        <v>-38.010222585881181</v>
      </c>
      <c r="F762" s="40">
        <f>ATAN2(('1.설계입력'!$C$6+'1.설계입력'!$C$33)/('1.설계입력'!$C$8*'1.설계입력'!$C$15)-COS((1-'1.설계입력'!$C$15)*B762),SIN((1-'1.설계입력'!$C$15)*B762))</f>
        <v>-0.31573419938646102</v>
      </c>
      <c r="G762" s="40">
        <f>('1.설계입력'!$C$6+'1.설계입력'!$C$33)*COS(B762)-('1.설계입력'!$C$7+'1.설계입력'!$C$34)*COS(B762+F762)-'1.설계입력'!$C$8*COS('1.설계입력'!$C$15*B762)</f>
        <v>-69.578828459489685</v>
      </c>
      <c r="H762" s="40">
        <f>-('1.설계입력'!$C$6+'1.설계입력'!$C$33)*SIN(B762)+('1.설계입력'!$C$7+'1.설계입력'!$C$34)*SIN(B762+F762)+'1.설계입력'!$C$8*SIN('1.설계입력'!$C$15*B762)</f>
        <v>-38.002795885361181</v>
      </c>
      <c r="I762" s="40">
        <f t="shared" si="34"/>
        <v>79.291461336969562</v>
      </c>
      <c r="J762" s="40">
        <f t="shared" si="35"/>
        <v>79.280677752523758</v>
      </c>
      <c r="K762" s="38">
        <f>IF(OR(A762&gt;180,'1.설계입력'!$C$39&gt;=1),"",'1.설계입력'!$C$34*(1-SIN(B762)/SQRT(1+'1.설계입력'!$C$39^2-2*'1.설계입력'!$C$39*COS(B762)))-'1.설계입력'!$C$33*(1-'1.설계입력'!$C$39*COS(B762)-SQRT(MAX(0,1-'1.설계입력'!$C$39^2))*SIN(B762))/SQRT(1+'1.설계입력'!$C$39^2-2*'1.설계입력'!$C$39*COS(B762)))</f>
        <v>8.1998895882070804E-3</v>
      </c>
    </row>
    <row r="763" spans="1:11" x14ac:dyDescent="0.3">
      <c r="A763" s="40">
        <f>A762+'1.설계입력'!$C$12</f>
        <v>151.39999999999995</v>
      </c>
      <c r="B763" s="40">
        <f t="shared" si="33"/>
        <v>2.6424284875194139</v>
      </c>
      <c r="C763" s="40">
        <f>ATAN2('1.설계입력'!$C$6/('1.설계입력'!$C$8*'1.설계입력'!$C$15)-COS((1-'1.설계입력'!$C$15)*B763),SIN((1-'1.설계입력'!$C$15)*B763))</f>
        <v>-0.25951917623244458</v>
      </c>
      <c r="D763" s="40">
        <f>'1.설계입력'!$C$6*COS(B763)-'1.설계입력'!$C$7*COS(B763+C763)-'1.설계입력'!$C$8*COS('1.설계입력'!$C$15*B763)</f>
        <v>-69.749190881601749</v>
      </c>
      <c r="E763" s="40">
        <f>-'1.설계입력'!$C$6*SIN(B763)+'1.설계입력'!$C$7*SIN(B763+C763)+'1.설계입력'!$C$8*SIN('1.설계입력'!$C$15*B763)</f>
        <v>-37.849057471295211</v>
      </c>
      <c r="F763" s="40">
        <f>ATAN2(('1.설계입력'!$C$6+'1.설계입력'!$C$33)/('1.설계입력'!$C$8*'1.설계입력'!$C$15)-COS((1-'1.설계입력'!$C$15)*B763),SIN((1-'1.설계입력'!$C$15)*B763))</f>
        <v>-0.25952504974122198</v>
      </c>
      <c r="G763" s="40">
        <f>('1.설계입력'!$C$6+'1.설계입력'!$C$33)*COS(B763)-('1.설계입력'!$C$7+'1.설계입력'!$C$34)*COS(B763+F763)-'1.설계입력'!$C$8*COS('1.설계입력'!$C$15*B763)</f>
        <v>-69.740606816374253</v>
      </c>
      <c r="H763" s="40">
        <f>-('1.설계입력'!$C$6+'1.설계입력'!$C$33)*SIN(B763)+('1.설계입력'!$C$7+'1.설계입력'!$C$34)*SIN(B763+F763)+'1.설계입력'!$C$8*SIN('1.설계입력'!$C$15*B763)</f>
        <v>-37.841983912889617</v>
      </c>
      <c r="I763" s="40">
        <f t="shared" si="34"/>
        <v>79.356794164731255</v>
      </c>
      <c r="J763" s="40">
        <f t="shared" si="35"/>
        <v>79.345875668364158</v>
      </c>
      <c r="K763" s="38">
        <f>IF(OR(A763&gt;180,'1.설계입력'!$C$39&gt;=1),"",'1.설계입력'!$C$34*(1-SIN(B763)/SQRT(1+'1.설계입력'!$C$39^2-2*'1.설계입력'!$C$39*COS(B763)))-'1.설계입력'!$C$33*(1-'1.설계입력'!$C$39*COS(B763)-SQRT(MAX(0,1-'1.설계입력'!$C$39^2))*SIN(B763))/SQRT(1+'1.설계입력'!$C$39^2-2*'1.설계입력'!$C$39*COS(B763)))</f>
        <v>8.2207302999099501E-3</v>
      </c>
    </row>
    <row r="764" spans="1:11" x14ac:dyDescent="0.3">
      <c r="A764" s="40">
        <f>A763+'1.설계입력'!$C$12</f>
        <v>151.59999999999994</v>
      </c>
      <c r="B764" s="40">
        <f t="shared" si="33"/>
        <v>2.6459191460234024</v>
      </c>
      <c r="C764" s="40">
        <f>ATAN2('1.설계입력'!$C$6/('1.설계입력'!$C$8*'1.설계입력'!$C$15)-COS((1-'1.설계입력'!$C$15)*B764),SIN((1-'1.설계입력'!$C$15)*B764))</f>
        <v>-0.20281943596902899</v>
      </c>
      <c r="D764" s="40">
        <f>'1.설계입력'!$C$6*COS(B764)-'1.설계입력'!$C$7*COS(B764+C764)-'1.설계입력'!$C$8*COS('1.설계입력'!$C$15*B764)</f>
        <v>-69.906723567127898</v>
      </c>
      <c r="E764" s="40">
        <f>-'1.설계입력'!$C$6*SIN(B764)+'1.설계입력'!$C$7*SIN(B764+C764)+'1.설계입력'!$C$8*SIN('1.설계입력'!$C$15*B764)</f>
        <v>-37.672484319668712</v>
      </c>
      <c r="F764" s="40">
        <f>ATAN2(('1.설계입력'!$C$6+'1.설계입력'!$C$33)/('1.설계입력'!$C$8*'1.설계입력'!$C$15)-COS((1-'1.설계입력'!$C$15)*B764),SIN((1-'1.설계입력'!$C$15)*B764))</f>
        <v>-0.20282396095632627</v>
      </c>
      <c r="G764" s="40">
        <f>('1.설계입력'!$C$6+'1.설계입력'!$C$33)*COS(B764)-('1.설계입력'!$C$7+'1.설계입력'!$C$34)*COS(B764+F764)-'1.설계입력'!$C$8*COS('1.설계입력'!$C$15*B764)</f>
        <v>-69.897805240839006</v>
      </c>
      <c r="H764" s="40">
        <f>-('1.설계입력'!$C$6+'1.설계입력'!$C$33)*SIN(B764)+('1.설계입력'!$C$7+'1.설계입력'!$C$34)*SIN(B764+F764)+'1.설계입력'!$C$8*SIN('1.설계입력'!$C$15*B764)</f>
        <v>-37.665787174620966</v>
      </c>
      <c r="I764" s="40">
        <f t="shared" si="34"/>
        <v>79.411372451976419</v>
      </c>
      <c r="J764" s="40">
        <f t="shared" si="35"/>
        <v>79.400344463800039</v>
      </c>
      <c r="K764" s="38">
        <f>IF(OR(A764&gt;180,'1.설계입력'!$C$39&gt;=1),"",'1.설계입력'!$C$34*(1-SIN(B764)/SQRT(1+'1.설계입력'!$C$39^2-2*'1.설계입력'!$C$39*COS(B764)))-'1.설계입력'!$C$33*(1-'1.설계입력'!$C$39*COS(B764)-SQRT(MAX(0,1-'1.설계입력'!$C$39^2))*SIN(B764))/SQRT(1+'1.설계입력'!$C$39^2-2*'1.설계입력'!$C$39*COS(B764)))</f>
        <v>8.2415743187625613E-3</v>
      </c>
    </row>
    <row r="765" spans="1:11" x14ac:dyDescent="0.3">
      <c r="A765" s="40">
        <f>A764+'1.설계입력'!$C$12</f>
        <v>151.79999999999993</v>
      </c>
      <c r="B765" s="40">
        <f t="shared" si="33"/>
        <v>2.6494098045273908</v>
      </c>
      <c r="C765" s="40">
        <f>ATAN2('1.설계입력'!$C$6/('1.설계입력'!$C$8*'1.설계입력'!$C$15)-COS((1-'1.설계입력'!$C$15)*B765),SIN((1-'1.설계입력'!$C$15)*B765))</f>
        <v>-0.14575464309617991</v>
      </c>
      <c r="D765" s="40">
        <f>'1.설계입력'!$C$6*COS(B765)-'1.설계입력'!$C$7*COS(B765+C765)-'1.설계입력'!$C$8*COS('1.설계입력'!$C$15*B765)</f>
        <v>-70.057275893830564</v>
      </c>
      <c r="E765" s="40">
        <f>-'1.설계입력'!$C$6*SIN(B765)+'1.설계입력'!$C$7*SIN(B765+C765)+'1.설계입력'!$C$8*SIN('1.설계입력'!$C$15*B765)</f>
        <v>-37.481720583361998</v>
      </c>
      <c r="F765" s="40">
        <f>ATAN2(('1.설계입력'!$C$6+'1.설계입력'!$C$33)/('1.설계입력'!$C$8*'1.설계입력'!$C$15)-COS((1-'1.설계입력'!$C$15)*B765),SIN((1-'1.설계입력'!$C$15)*B765))</f>
        <v>-0.14575786063145788</v>
      </c>
      <c r="G765" s="40">
        <f>('1.설계입력'!$C$6+'1.설계입력'!$C$33)*COS(B765)-('1.설계입력'!$C$7+'1.설계입력'!$C$34)*COS(B765+F765)-'1.설계입력'!$C$8*COS('1.설계입력'!$C$15*B765)</f>
        <v>-70.048044594601436</v>
      </c>
      <c r="H765" s="40">
        <f>-('1.설계입력'!$C$6+'1.설계입력'!$C$33)*SIN(B765)+('1.설계입력'!$C$7+'1.설계입력'!$C$34)*SIN(B765+F765)+'1.설계입력'!$C$8*SIN('1.설계입력'!$C$15*B765)</f>
        <v>-37.475421443418334</v>
      </c>
      <c r="I765" s="40">
        <f t="shared" si="34"/>
        <v>79.453768214940666</v>
      </c>
      <c r="J765" s="40">
        <f t="shared" si="35"/>
        <v>79.442657079739533</v>
      </c>
      <c r="K765" s="38">
        <f>IF(OR(A765&gt;180,'1.설계입력'!$C$39&gt;=1),"",'1.설계입력'!$C$34*(1-SIN(B765)/SQRT(1+'1.설계입력'!$C$39^2-2*'1.설계입력'!$C$39*COS(B765)))-'1.설계입력'!$C$33*(1-'1.설계입력'!$C$39*COS(B765)-SQRT(MAX(0,1-'1.설계입력'!$C$39^2))*SIN(B765))/SQRT(1+'1.설계입력'!$C$39^2-2*'1.설계입력'!$C$39*COS(B765)))</f>
        <v>8.2624215713648676E-3</v>
      </c>
    </row>
    <row r="766" spans="1:11" x14ac:dyDescent="0.3">
      <c r="A766" s="40">
        <f>A765+'1.설계입력'!$C$12</f>
        <v>151.99999999999991</v>
      </c>
      <c r="B766" s="40">
        <f t="shared" si="33"/>
        <v>2.6529004630313793</v>
      </c>
      <c r="C766" s="40">
        <f>ATAN2('1.설계입력'!$C$6/('1.설계입력'!$C$8*'1.설계입력'!$C$15)-COS((1-'1.설계입력'!$C$15)*B766),SIN((1-'1.설계입력'!$C$15)*B766))</f>
        <v>-8.8437439401715709E-2</v>
      </c>
      <c r="D766" s="40">
        <f>'1.설계입력'!$C$6*COS(B766)-'1.설계입력'!$C$7*COS(B766+C766)-'1.설계입력'!$C$8*COS('1.설계입력'!$C$15*B766)</f>
        <v>-70.198640345395063</v>
      </c>
      <c r="E766" s="40">
        <f>-'1.설계입력'!$C$6*SIN(B766)+'1.설계입력'!$C$7*SIN(B766+C766)+'1.설계입력'!$C$8*SIN('1.설계입력'!$C$15*B766)</f>
        <v>-37.278366662295731</v>
      </c>
      <c r="F766" s="40">
        <f>ATAN2(('1.설계입력'!$C$6+'1.설계입력'!$C$33)/('1.설계입력'!$C$8*'1.설계입력'!$C$15)-COS((1-'1.설계입력'!$C$15)*B766),SIN((1-'1.설계입력'!$C$15)*B766))</f>
        <v>-8.8439377968736174E-2</v>
      </c>
      <c r="G766" s="40">
        <f>('1.설계입력'!$C$6+'1.설계입력'!$C$33)*COS(B766)-('1.설계입력'!$C$7+'1.설계입력'!$C$34)*COS(B766+F766)-'1.설계입력'!$C$8*COS('1.설계입력'!$C$15*B766)</f>
        <v>-70.189119386229663</v>
      </c>
      <c r="H766" s="40">
        <f>-('1.설계입력'!$C$6+'1.설계입력'!$C$33)*SIN(B766)+('1.설계입력'!$C$7+'1.설계입력'!$C$34)*SIN(B766+F766)+'1.설계입력'!$C$8*SIN('1.설계입력'!$C$15*B766)</f>
        <v>-37.272485261095625</v>
      </c>
      <c r="I766" s="40">
        <f t="shared" si="34"/>
        <v>79.482864363022856</v>
      </c>
      <c r="J766" s="40">
        <f t="shared" si="35"/>
        <v>79.471697086151323</v>
      </c>
      <c r="K766" s="38">
        <f>IF(OR(A766&gt;180,'1.설계입력'!$C$39&gt;=1),"",'1.설계입력'!$C$34*(1-SIN(B766)/SQRT(1+'1.설계입력'!$C$39^2-2*'1.설계입력'!$C$39*COS(B766)))-'1.설계입력'!$C$33*(1-'1.설계입력'!$C$39*COS(B766)-SQRT(MAX(0,1-'1.설계입력'!$C$39^2))*SIN(B766))/SQRT(1+'1.설계입력'!$C$39^2-2*'1.설계입력'!$C$39*COS(B766)))</f>
        <v>8.283271984364524E-3</v>
      </c>
    </row>
    <row r="767" spans="1:11" x14ac:dyDescent="0.3">
      <c r="A767" s="40">
        <f>A766+'1.설계입력'!$C$12</f>
        <v>152.1999999999999</v>
      </c>
      <c r="B767" s="40">
        <f t="shared" si="33"/>
        <v>2.6563911215353677</v>
      </c>
      <c r="C767" s="40">
        <f>ATAN2('1.설계입력'!$C$6/('1.설계입력'!$C$8*'1.설계입력'!$C$15)-COS((1-'1.설계입력'!$C$15)*B767),SIN((1-'1.설계입력'!$C$15)*B767))</f>
        <v>-3.0970965698672956E-2</v>
      </c>
      <c r="D767" s="40">
        <f>'1.설계입력'!$C$6*COS(B767)-'1.설계입력'!$C$7*COS(B767+C767)-'1.설계입력'!$C$8*COS('1.설계입력'!$C$15*B767)</f>
        <v>-70.328853599036407</v>
      </c>
      <c r="E767" s="40">
        <f>-'1.설계입력'!$C$6*SIN(B767)+'1.설계입력'!$C$7*SIN(B767+C767)+'1.설계입력'!$C$8*SIN('1.설계입력'!$C$15*B767)</f>
        <v>-37.064363698191549</v>
      </c>
      <c r="F767" s="40">
        <f>ATAN2(('1.설계입력'!$C$6+'1.설계입력'!$C$33)/('1.설계입력'!$C$8*'1.설계입력'!$C$15)-COS((1-'1.설계입력'!$C$15)*B767),SIN((1-'1.설계입력'!$C$15)*B767))</f>
        <v>-3.0971642175482157E-2</v>
      </c>
      <c r="G767" s="40">
        <f>('1.설계입력'!$C$6+'1.설계입력'!$C$33)*COS(B767)-('1.설계입력'!$C$7+'1.설계입력'!$C$34)*COS(B767+F767)-'1.설계입력'!$C$8*COS('1.설계입력'!$C$15*B767)</f>
        <v>-70.319068047743798</v>
      </c>
      <c r="H767" s="40">
        <f>-('1.설계입력'!$C$6+'1.설계입력'!$C$33)*SIN(B767)+('1.설계입력'!$C$7+'1.설계입력'!$C$34)*SIN(B767+F767)+'1.설계입력'!$C$8*SIN('1.설계입력'!$C$15*B767)</f>
        <v>-37.058917746569563</v>
      </c>
      <c r="I767" s="40">
        <f t="shared" si="34"/>
        <v>79.497891197858294</v>
      </c>
      <c r="J767" s="40">
        <f t="shared" si="35"/>
        <v>79.486695211527262</v>
      </c>
      <c r="K767" s="38">
        <f>IF(OR(A767&gt;180,'1.설계입력'!$C$39&gt;=1),"",'1.설계입력'!$C$34*(1-SIN(B767)/SQRT(1+'1.설계입력'!$C$39^2-2*'1.설계입력'!$C$39*COS(B767)))-'1.설계입력'!$C$33*(1-'1.설계입력'!$C$39*COS(B767)-SQRT(MAX(0,1-'1.설계입력'!$C$39^2))*SIN(B767))/SQRT(1+'1.설계입력'!$C$39^2-2*'1.설계입력'!$C$39*COS(B767)))</f>
        <v>8.3041254844567029E-3</v>
      </c>
    </row>
    <row r="768" spans="1:11" x14ac:dyDescent="0.3">
      <c r="A768" s="40">
        <f>A767+'1.설계입력'!$C$12</f>
        <v>152.39999999999989</v>
      </c>
      <c r="B768" s="40">
        <f t="shared" si="33"/>
        <v>2.6598817800393562</v>
      </c>
      <c r="C768" s="40">
        <f>ATAN2('1.설계입력'!$C$6/('1.설계입력'!$C$8*'1.설계입력'!$C$15)-COS((1-'1.설계입력'!$C$15)*B768),SIN((1-'1.설계입력'!$C$15)*B768))</f>
        <v>2.6547106889282225E-2</v>
      </c>
      <c r="D768" s="40">
        <f>'1.설계입력'!$C$6*COS(B768)-'1.설계입력'!$C$7*COS(B768+C768)-'1.설계입력'!$C$8*COS('1.설계입력'!$C$15*B768)</f>
        <v>-70.446255495993043</v>
      </c>
      <c r="E768" s="40">
        <f>-'1.설계입력'!$C$6*SIN(B768)+'1.설계입력'!$C$7*SIN(B768+C768)+'1.설계입력'!$C$8*SIN('1.설계입력'!$C$15*B768)</f>
        <v>-36.84194219195647</v>
      </c>
      <c r="F768" s="40">
        <f>ATAN2(('1.설계입력'!$C$6+'1.설계입력'!$C$33)/('1.설계입력'!$C$8*'1.설계입력'!$C$15)-COS((1-'1.설계입력'!$C$15)*B768),SIN((1-'1.설계입력'!$C$15)*B768))</f>
        <v>2.6547686662595549E-2</v>
      </c>
      <c r="G768" s="40">
        <f>('1.설계입력'!$C$6+'1.설계입력'!$C$33)*COS(B768)-('1.설계입력'!$C$7+'1.설계입력'!$C$34)*COS(B768+F768)-'1.설계입력'!$C$8*COS('1.설계입력'!$C$15*B768)</f>
        <v>-70.436231912058787</v>
      </c>
      <c r="H768" s="40">
        <f>-('1.설계입력'!$C$6+'1.설계입력'!$C$33)*SIN(B768)+('1.설계입력'!$C$7+'1.설계입력'!$C$34)*SIN(B768+F768)+'1.설계입력'!$C$8*SIN('1.설계입력'!$C$15*B768)</f>
        <v>-36.836947225203808</v>
      </c>
      <c r="I768" s="40">
        <f t="shared" si="34"/>
        <v>79.498450411829992</v>
      </c>
      <c r="J768" s="40">
        <f t="shared" si="35"/>
        <v>79.487253360785957</v>
      </c>
      <c r="K768" s="38">
        <f>IF(OR(A768&gt;180,'1.설계입력'!$C$39&gt;=1),"",'1.설계입력'!$C$34*(1-SIN(B768)/SQRT(1+'1.설계입력'!$C$39^2-2*'1.설계입력'!$C$39*COS(B768)))-'1.설계입력'!$C$33*(1-'1.설계입력'!$C$39*COS(B768)-SQRT(MAX(0,1-'1.설계입력'!$C$39^2))*SIN(B768))/SQRT(1+'1.설계입력'!$C$39^2-2*'1.설계입력'!$C$39*COS(B768)))</f>
        <v>8.3249819983839471E-3</v>
      </c>
    </row>
    <row r="769" spans="1:11" x14ac:dyDescent="0.3">
      <c r="A769" s="40">
        <f>A768+'1.설계입력'!$C$12</f>
        <v>152.59999999999988</v>
      </c>
      <c r="B769" s="40">
        <f t="shared" si="33"/>
        <v>2.6633724385433446</v>
      </c>
      <c r="C769" s="40">
        <f>ATAN2('1.설계입력'!$C$6/('1.설계입력'!$C$8*'1.설계입력'!$C$15)-COS((1-'1.설계입력'!$C$15)*B769),SIN((1-'1.설계입력'!$C$15)*B769))</f>
        <v>8.4020972191560503E-2</v>
      </c>
      <c r="D769" s="40">
        <f>'1.설계입력'!$C$6*COS(B769)-'1.설계입력'!$C$7*COS(B769+C769)-'1.설계입력'!$C$8*COS('1.설계입력'!$C$15*B769)</f>
        <v>-70.549536499817663</v>
      </c>
      <c r="E769" s="40">
        <f>-'1.설계입력'!$C$6*SIN(B769)+'1.설계입력'!$C$7*SIN(B769+C769)+'1.설계입력'!$C$8*SIN('1.설계입력'!$C$15*B769)</f>
        <v>-36.613562508315255</v>
      </c>
      <c r="F769" s="40">
        <f>ATAN2(('1.설계입력'!$C$6+'1.설계입력'!$C$33)/('1.설계입력'!$C$8*'1.설계입력'!$C$15)-COS((1-'1.설계입력'!$C$15)*B769),SIN((1-'1.설계입력'!$C$15)*B769))</f>
        <v>8.4022813218667711E-2</v>
      </c>
      <c r="G769" s="40">
        <f>('1.설계입력'!$C$6+'1.설계입력'!$C$33)*COS(B769)-('1.설계입력'!$C$7+'1.설계입력'!$C$34)*COS(B769+F769)-'1.설계입력'!$C$8*COS('1.설계입력'!$C$15*B769)</f>
        <v>-70.539302672385929</v>
      </c>
      <c r="H769" s="40">
        <f>-('1.설계입력'!$C$6+'1.설계입력'!$C$33)*SIN(B769)+('1.설계입력'!$C$7+'1.설계입력'!$C$34)*SIN(B769+F769)+'1.설계입력'!$C$8*SIN('1.설계입력'!$C$15*B769)</f>
        <v>-36.609031743415088</v>
      </c>
      <c r="I769" s="40">
        <f t="shared" si="34"/>
        <v>79.484527172836678</v>
      </c>
      <c r="J769" s="40">
        <f t="shared" si="35"/>
        <v>79.473356709634743</v>
      </c>
      <c r="K769" s="38">
        <f>IF(OR(A769&gt;180,'1.설계입력'!$C$39&gt;=1),"",'1.설계입력'!$C$34*(1-SIN(B769)/SQRT(1+'1.설계입력'!$C$39^2-2*'1.설계입력'!$C$39*COS(B769)))-'1.설계입력'!$C$33*(1-'1.설계입력'!$C$39*COS(B769)-SQRT(MAX(0,1-'1.설계입력'!$C$39^2))*SIN(B769))/SQRT(1+'1.설계입력'!$C$39^2-2*'1.설계입력'!$C$39*COS(B769)))</f>
        <v>8.3458414529360182E-3</v>
      </c>
    </row>
    <row r="770" spans="1:11" x14ac:dyDescent="0.3">
      <c r="A770" s="40">
        <f>A769+'1.설계입력'!$C$12</f>
        <v>152.79999999999987</v>
      </c>
      <c r="B770" s="40">
        <f t="shared" si="33"/>
        <v>2.6668630970473335</v>
      </c>
      <c r="C770" s="40">
        <f>ATAN2('1.설계입력'!$C$6/('1.설계입력'!$C$8*'1.설계입력'!$C$15)-COS((1-'1.설계입력'!$C$15)*B770),SIN((1-'1.설계입력'!$C$15)*B770))</f>
        <v>0.14135322705428652</v>
      </c>
      <c r="D770" s="40">
        <f>'1.설계입력'!$C$6*COS(B770)-'1.설계입력'!$C$7*COS(B770+C770)-'1.설계입력'!$C$8*COS('1.설계입력'!$C$15*B770)</f>
        <v>-70.637773203688894</v>
      </c>
      <c r="E770" s="40">
        <f>-'1.설계입력'!$C$6*SIN(B770)+'1.설계입력'!$C$7*SIN(B770+C770)+'1.설계입력'!$C$8*SIN('1.설계입력'!$C$15*B770)</f>
        <v>-36.381848366217774</v>
      </c>
      <c r="F770" s="40">
        <f>ATAN2(('1.설계입력'!$C$6+'1.설계입력'!$C$33)/('1.설계입력'!$C$8*'1.설계입력'!$C$15)-COS((1-'1.설계입력'!$C$15)*B770),SIN((1-'1.설계입력'!$C$15)*B770))</f>
        <v>0.14135634534893213</v>
      </c>
      <c r="G770" s="40">
        <f>('1.설계입력'!$C$6+'1.설계입력'!$C$33)*COS(B770)-('1.설계입력'!$C$7+'1.설계입력'!$C$34)*COS(B770+F770)-'1.설계입력'!$C$8*COS('1.설계입력'!$C$15*B770)</f>
        <v>-70.627357885713721</v>
      </c>
      <c r="H770" s="40">
        <f>-('1.설계입력'!$C$6+'1.설계입력'!$C$33)*SIN(B770)+('1.설계입력'!$C$7+'1.설계입력'!$C$34)*SIN(B770+F770)+'1.설계입력'!$C$8*SIN('1.설계입력'!$C$15*B770)</f>
        <v>-36.3777925668184</v>
      </c>
      <c r="I770" s="40">
        <f t="shared" si="34"/>
        <v>79.456490570111711</v>
      </c>
      <c r="J770" s="40">
        <f t="shared" si="35"/>
        <v>79.445374150740562</v>
      </c>
      <c r="K770" s="38">
        <f>IF(OR(A770&gt;180,'1.설계입력'!$C$39&gt;=1),"",'1.설계입력'!$C$34*(1-SIN(B770)/SQRT(1+'1.설계입력'!$C$39^2-2*'1.설계입력'!$C$39*COS(B770)))-'1.설계입력'!$C$33*(1-'1.설계입력'!$C$39*COS(B770)-SQRT(MAX(0,1-'1.설계입력'!$C$39^2))*SIN(B770))/SQRT(1+'1.설계입력'!$C$39^2-2*'1.설계입력'!$C$39*COS(B770)))</f>
        <v>8.3667037749497308E-3</v>
      </c>
    </row>
    <row r="771" spans="1:11" x14ac:dyDescent="0.3">
      <c r="A771" s="40">
        <f>A770+'1.설계입력'!$C$12</f>
        <v>152.99999999999986</v>
      </c>
      <c r="B771" s="40">
        <f t="shared" si="33"/>
        <v>2.6703537555513219</v>
      </c>
      <c r="C771" s="40">
        <f>ATAN2('1.설계입력'!$C$6/('1.설계입력'!$C$8*'1.설계입력'!$C$15)-COS((1-'1.설계입력'!$C$15)*B771),SIN((1-'1.설계입력'!$C$15)*B771))</f>
        <v>0.19844128720574408</v>
      </c>
      <c r="D771" s="40">
        <f>'1.설계입력'!$C$6*COS(B771)-'1.설계입력'!$C$7*COS(B771+C771)-'1.설계입력'!$C$8*COS('1.설계입력'!$C$15*B771)</f>
        <v>-70.710451323255398</v>
      </c>
      <c r="E771" s="40">
        <f>-'1.설계입력'!$C$6*SIN(B771)+'1.설계입력'!$C$7*SIN(B771+C771)+'1.설계입력'!$C$8*SIN('1.설계입력'!$C$15*B771)</f>
        <v>-36.149514397568318</v>
      </c>
      <c r="F771" s="40">
        <f>ATAN2(('1.설계입력'!$C$6+'1.설계입력'!$C$33)/('1.설계입력'!$C$8*'1.설계입력'!$C$15)-COS((1-'1.설계입력'!$C$15)*B771),SIN((1-'1.설계입력'!$C$15)*B771))</f>
        <v>0.19844571032974026</v>
      </c>
      <c r="G771" s="40">
        <f>('1.설계입력'!$C$6+'1.설계입력'!$C$33)*COS(B771)-('1.설계입력'!$C$7+'1.설계입력'!$C$34)*COS(B771+F771)-'1.설계입력'!$C$8*COS('1.설계입력'!$C$15*B771)</f>
        <v>-70.699883957173611</v>
      </c>
      <c r="H771" s="40">
        <f>-('1.설계입력'!$C$6+'1.설계입력'!$C$33)*SIN(B771)+('1.설계입력'!$C$7+'1.설계입력'!$C$34)*SIN(B771+F771)+'1.설계입력'!$C$8*SIN('1.설계입력'!$C$15*B771)</f>
        <v>-36.145941743949123</v>
      </c>
      <c r="I771" s="40">
        <f t="shared" si="34"/>
        <v>79.415082430974479</v>
      </c>
      <c r="J771" s="40">
        <f t="shared" si="35"/>
        <v>79.404047101610502</v>
      </c>
      <c r="K771" s="38">
        <f>IF(OR(A771&gt;180,'1.설계입력'!$C$39&gt;=1),"",'1.설계입력'!$C$34*(1-SIN(B771)/SQRT(1+'1.설계입력'!$C$39^2-2*'1.설계입력'!$C$39*COS(B771)))-'1.설계입력'!$C$33*(1-'1.설계입력'!$C$39*COS(B771)-SQRT(MAX(0,1-'1.설계입력'!$C$39^2))*SIN(B771))/SQRT(1+'1.설계입력'!$C$39^2-2*'1.설계입력'!$C$39*COS(B771)))</f>
        <v>8.3875688913088008E-3</v>
      </c>
    </row>
    <row r="772" spans="1:11" x14ac:dyDescent="0.3">
      <c r="A772" s="40">
        <f>A771+'1.설계입력'!$C$12</f>
        <v>153.19999999999985</v>
      </c>
      <c r="B772" s="40">
        <f t="shared" si="33"/>
        <v>2.6738444140553104</v>
      </c>
      <c r="C772" s="40">
        <f>ATAN2('1.설계입력'!$C$6/('1.설계입력'!$C$8*'1.설계입력'!$C$15)-COS((1-'1.설계입력'!$C$15)*B772),SIN((1-'1.설계입력'!$C$15)*B772))</f>
        <v>0.25517339989359211</v>
      </c>
      <c r="D772" s="40">
        <f>'1.설계입력'!$C$6*COS(B772)-'1.설계입력'!$C$7*COS(B772+C772)-'1.설계입력'!$C$8*COS('1.설계입력'!$C$15*B772)</f>
        <v>-70.767475526462192</v>
      </c>
      <c r="E772" s="40">
        <f>-'1.설계입력'!$C$6*SIN(B772)+'1.설계입력'!$C$7*SIN(B772+C772)+'1.설계입력'!$C$8*SIN('1.설계입력'!$C$15*B772)</f>
        <v>-35.919288769855619</v>
      </c>
      <c r="F772" s="40">
        <f>ATAN2(('1.설계입력'!$C$6+'1.설계입력'!$C$33)/('1.설계입력'!$C$8*'1.설계입력'!$C$15)-COS((1-'1.설계입력'!$C$15)*B772),SIN((1-'1.설계입력'!$C$15)*B772))</f>
        <v>0.25517916790307832</v>
      </c>
      <c r="G772" s="40">
        <f>('1.설계입력'!$C$6+'1.설계입력'!$C$33)*COS(B772)-('1.설계입력'!$C$7+'1.설계입력'!$C$34)*COS(B772+F772)-'1.설계입력'!$C$8*COS('1.설계입력'!$C$15*B772)</f>
        <v>-70.756785956481025</v>
      </c>
      <c r="H772" s="40">
        <f>-('1.설계입력'!$C$6+'1.설계입력'!$C$33)*SIN(B772)+('1.설계입력'!$C$7+'1.설계입력'!$C$34)*SIN(B772+F772)+'1.설계입력'!$C$8*SIN('1.설계입력'!$C$15*B772)</f>
        <v>-35.916204730292073</v>
      </c>
      <c r="I772" s="40">
        <f t="shared" si="34"/>
        <v>79.361394255145882</v>
      </c>
      <c r="J772" s="40">
        <f t="shared" si="35"/>
        <v>79.350466420302311</v>
      </c>
      <c r="K772" s="38">
        <f>IF(OR(A772&gt;180,'1.설계입력'!$C$39&gt;=1),"",'1.설계입력'!$C$34*(1-SIN(B772)/SQRT(1+'1.설계입력'!$C$39^2-2*'1.설계입력'!$C$39*COS(B772)))-'1.설계입력'!$C$33*(1-'1.설계입력'!$C$39*COS(B772)-SQRT(MAX(0,1-'1.설계입력'!$C$39^2))*SIN(B772))/SQRT(1+'1.설계입력'!$C$39^2-2*'1.설계입력'!$C$39*COS(B772)))</f>
        <v>8.4084367289437145E-3</v>
      </c>
    </row>
    <row r="773" spans="1:11" x14ac:dyDescent="0.3">
      <c r="A773" s="40">
        <f>A772+'1.설계입력'!$C$12</f>
        <v>153.39999999999984</v>
      </c>
      <c r="B773" s="40">
        <f t="shared" si="33"/>
        <v>2.6773350725592988</v>
      </c>
      <c r="C773" s="40">
        <f>ATAN2('1.설계입력'!$C$6/('1.설계입력'!$C$8*'1.설계입력'!$C$15)-COS((1-'1.설계입력'!$C$15)*B773),SIN((1-'1.설계입력'!$C$15)*B773))</f>
        <v>0.31142391823176829</v>
      </c>
      <c r="D773" s="40">
        <f>'1.설계입력'!$C$6*COS(B773)-'1.설계입력'!$C$7*COS(B773+C773)-'1.설계입력'!$C$8*COS('1.설계입력'!$C$15*B773)</f>
        <v>-70.80916535878201</v>
      </c>
      <c r="E773" s="40">
        <f>-'1.설계입력'!$C$6*SIN(B773)+'1.설계입력'!$C$7*SIN(B773+C773)+'1.설계입력'!$C$8*SIN('1.설계입력'!$C$15*B773)</f>
        <v>-35.693831678746768</v>
      </c>
      <c r="F773" s="40">
        <f>ATAN2(('1.설계입력'!$C$6+'1.설계입력'!$C$33)/('1.설계입력'!$C$8*'1.설계입력'!$C$15)-COS((1-'1.설계입력'!$C$15)*B773),SIN((1-'1.설계입력'!$C$15)*B773))</f>
        <v>0.31143108509767969</v>
      </c>
      <c r="G773" s="40">
        <f>('1.설계입력'!$C$6+'1.설계입력'!$C$33)*COS(B773)-('1.설계입력'!$C$7+'1.설계입력'!$C$34)*COS(B773+F773)-'1.설계입력'!$C$8*COS('1.설계입력'!$C$15*B773)</f>
        <v>-70.798383524018078</v>
      </c>
      <c r="H773" s="40">
        <f>-('1.설계입력'!$C$6+'1.설계입력'!$C$33)*SIN(B773)+('1.설계입력'!$C$7+'1.설계입력'!$C$34)*SIN(B773+F773)+'1.설계입력'!$C$8*SIN('1.설계입력'!$C$15*B773)</f>
        <v>-35.691238877352902</v>
      </c>
      <c r="I773" s="40">
        <f t="shared" si="34"/>
        <v>79.296831706683221</v>
      </c>
      <c r="J773" s="40">
        <f t="shared" si="35"/>
        <v>79.286036867876177</v>
      </c>
      <c r="K773" s="38">
        <f>IF(OR(A773&gt;180,'1.설계입력'!$C$39&gt;=1),"",'1.설계입력'!$C$34*(1-SIN(B773)/SQRT(1+'1.설계입력'!$C$39^2-2*'1.설계입력'!$C$39*COS(B773)))-'1.설계입력'!$C$33*(1-'1.설계입력'!$C$39*COS(B773)-SQRT(MAX(0,1-'1.설계입력'!$C$39^2))*SIN(B773))/SQRT(1+'1.설계입력'!$C$39^2-2*'1.설계입력'!$C$39*COS(B773)))</f>
        <v>8.4293072148315627E-3</v>
      </c>
    </row>
    <row r="774" spans="1:11" x14ac:dyDescent="0.3">
      <c r="A774" s="40">
        <f>A773+'1.설계입력'!$C$12</f>
        <v>153.59999999999982</v>
      </c>
      <c r="B774" s="40">
        <f t="shared" ref="B774:B837" si="36">RADIANS(A774)</f>
        <v>2.6808257310632873</v>
      </c>
      <c r="C774" s="40">
        <f>ATAN2('1.설계입력'!$C$6/('1.설계입력'!$C$8*'1.설계입력'!$C$15)-COS((1-'1.설계입력'!$C$15)*B774),SIN((1-'1.설계입력'!$C$15)*B774))</f>
        <v>0.3670473990477533</v>
      </c>
      <c r="D774" s="40">
        <f>'1.설계입력'!$C$6*COS(B774)-'1.설계입력'!$C$7*COS(B774+C774)-'1.설계입력'!$C$8*COS('1.설계입력'!$C$15*B774)</f>
        <v>-70.836236370151624</v>
      </c>
      <c r="E774" s="40">
        <f>-'1.설계입력'!$C$6*SIN(B774)+'1.설계입력'!$C$7*SIN(B774+C774)+'1.설계입력'!$C$8*SIN('1.설계입력'!$C$15*B774)</f>
        <v>-35.475650174539716</v>
      </c>
      <c r="F774" s="40">
        <f>ATAN2(('1.설계입력'!$C$6+'1.설계입력'!$C$33)/('1.설계입력'!$C$8*'1.설계입력'!$C$15)-COS((1-'1.설계입력'!$C$15)*B774),SIN((1-'1.설계입력'!$C$15)*B774))</f>
        <v>0.36705603465304887</v>
      </c>
      <c r="G774" s="40">
        <f>('1.설계입력'!$C$6+'1.설계입력'!$C$33)*COS(B774)-('1.설계입력'!$C$7+'1.설계입력'!$C$34)*COS(B774+F774)-'1.설계입력'!$C$8*COS('1.설계입력'!$C$15*B774)</f>
        <v>-70.825391971269681</v>
      </c>
      <c r="H774" s="40">
        <f>-('1.설계입력'!$C$6+'1.설계입력'!$C$33)*SIN(B774)+('1.설계입력'!$C$7+'1.설계입력'!$C$34)*SIN(B774+F774)+'1.설계입력'!$C$8*SIN('1.설계입력'!$C$15*B774)</f>
        <v>-35.473548248625903</v>
      </c>
      <c r="I774" s="40">
        <f t="shared" ref="I774:I837" si="37">SQRT(D774^2+E774^2)</f>
        <v>79.223065696767335</v>
      </c>
      <c r="J774" s="40">
        <f t="shared" ref="J774:J837" si="38">SQRT(G774^2+H774^2)</f>
        <v>79.212428148817537</v>
      </c>
      <c r="K774" s="38">
        <f>IF(OR(A774&gt;180,'1.설계입력'!$C$39&gt;=1),"",'1.설계입력'!$C$34*(1-SIN(B774)/SQRT(1+'1.설계입력'!$C$39^2-2*'1.설계입력'!$C$39*COS(B774)))-'1.설계입력'!$C$33*(1-'1.설계입력'!$C$39*COS(B774)-SQRT(MAX(0,1-'1.설계입력'!$C$39^2))*SIN(B774))/SQRT(1+'1.설계입력'!$C$39^2-2*'1.설계입력'!$C$39*COS(B774)))</f>
        <v>8.4501802759959152E-3</v>
      </c>
    </row>
    <row r="775" spans="1:11" x14ac:dyDescent="0.3">
      <c r="A775" s="40">
        <f>A774+'1.설계입력'!$C$12</f>
        <v>153.79999999999981</v>
      </c>
      <c r="B775" s="40">
        <f t="shared" si="36"/>
        <v>2.6843163895672757</v>
      </c>
      <c r="C775" s="40">
        <f>ATAN2('1.설계입력'!$C$6/('1.설계입력'!$C$8*'1.설계입력'!$C$15)-COS((1-'1.설계입력'!$C$15)*B775),SIN((1-'1.설계입력'!$C$15)*B775))</f>
        <v>0.42187091147919165</v>
      </c>
      <c r="D775" s="40">
        <f>'1.설계입력'!$C$6*COS(B775)-'1.설계입력'!$C$7*COS(B775+C775)-'1.설계입력'!$C$8*COS('1.설계입력'!$C$15*B775)</f>
        <v>-70.849765273624612</v>
      </c>
      <c r="E775" s="40">
        <f>-'1.설계입력'!$C$6*SIN(B775)+'1.설계입력'!$C$7*SIN(B775+C775)+'1.설계입력'!$C$8*SIN('1.설계입력'!$C$15*B775)</f>
        <v>-35.267009208539179</v>
      </c>
      <c r="F775" s="40">
        <f>ATAN2(('1.설계입력'!$C$6+'1.설계입력'!$C$33)/('1.설계입력'!$C$8*'1.설계입력'!$C$15)-COS((1-'1.설계입력'!$C$15)*B775),SIN((1-'1.설계입력'!$C$15)*B775))</f>
        <v>0.42188110434355575</v>
      </c>
      <c r="G775" s="40">
        <f>('1.설계입력'!$C$6+'1.설계입력'!$C$33)*COS(B775)-('1.설계입력'!$C$7+'1.설계입력'!$C$34)*COS(B775+F775)-'1.설계입력'!$C$8*COS('1.설계입력'!$C$15*B775)</f>
        <v>-70.838887403040488</v>
      </c>
      <c r="H775" s="40">
        <f>-('1.설계입력'!$C$6+'1.설계입력'!$C$33)*SIN(B775)+('1.설계입력'!$C$7+'1.설계입력'!$C$34)*SIN(B775+F775)+'1.설계입력'!$C$8*SIN('1.설계입력'!$C$15*B775)</f>
        <v>-35.265394645375508</v>
      </c>
      <c r="I775" s="40">
        <f t="shared" si="37"/>
        <v>79.141968498659992</v>
      </c>
      <c r="J775" s="40">
        <f t="shared" si="38"/>
        <v>79.131510967469382</v>
      </c>
      <c r="K775" s="38">
        <f>IF(OR(A775&gt;180,'1.설계입력'!$C$39&gt;=1),"",'1.설계입력'!$C$34*(1-SIN(B775)/SQRT(1+'1.설계입력'!$C$39^2-2*'1.설계입력'!$C$39*COS(B775)))-'1.설계입력'!$C$33*(1-'1.설계입력'!$C$39*COS(B775)-SQRT(MAX(0,1-'1.설계입력'!$C$39^2))*SIN(B775))/SQRT(1+'1.설계입력'!$C$39^2-2*'1.설계입력'!$C$39*COS(B775)))</f>
        <v>8.4710558395066689E-3</v>
      </c>
    </row>
    <row r="776" spans="1:11" x14ac:dyDescent="0.3">
      <c r="A776" s="40">
        <f>A775+'1.설계입력'!$C$12</f>
        <v>153.9999999999998</v>
      </c>
      <c r="B776" s="40">
        <f t="shared" si="36"/>
        <v>2.6878070480712641</v>
      </c>
      <c r="C776" s="40">
        <f>ATAN2('1.설계입력'!$C$6/('1.설계입력'!$C$8*'1.설계입력'!$C$15)-COS((1-'1.설계입력'!$C$15)*B776),SIN((1-'1.설계입력'!$C$15)*B776))</f>
        <v>0.47568365729431633</v>
      </c>
      <c r="D776" s="40">
        <f>'1.설계입력'!$C$6*COS(B776)-'1.설계입력'!$C$7*COS(B776+C776)-'1.설계입력'!$C$8*COS('1.설계입력'!$C$15*B776)</f>
        <v>-70.851137472229937</v>
      </c>
      <c r="E776" s="40">
        <f>-'1.설계입력'!$C$6*SIN(B776)+'1.설계입력'!$C$7*SIN(B776+C776)+'1.설계입력'!$C$8*SIN('1.설계입력'!$C$15*B776)</f>
        <v>-35.069837829008549</v>
      </c>
      <c r="F776" s="40">
        <f>ATAN2(('1.설계입력'!$C$6+'1.설계입력'!$C$33)/('1.설계입력'!$C$8*'1.설계입력'!$C$15)-COS((1-'1.설계입력'!$C$15)*B776),SIN((1-'1.설계입력'!$C$15)*B776))</f>
        <v>0.47569551824257789</v>
      </c>
      <c r="G776" s="40">
        <f>('1.설계입력'!$C$6+'1.설계입력'!$C$33)*COS(B776)-('1.설계입력'!$C$7+'1.설계입력'!$C$34)*COS(B776+F776)-'1.설계입력'!$C$8*COS('1.설계입력'!$C$15*B776)</f>
        <v>-70.84025419391287</v>
      </c>
      <c r="H776" s="40">
        <f>-('1.설계입력'!$C$6+'1.설계입력'!$C$33)*SIN(B776)+('1.설계입력'!$C$7+'1.설계입력'!$C$34)*SIN(B776+F776)+'1.설계입력'!$C$8*SIN('1.설계입력'!$C$15*B776)</f>
        <v>-35.068703766960077</v>
      </c>
      <c r="I776" s="40">
        <f t="shared" si="37"/>
        <v>79.055532421594535</v>
      </c>
      <c r="J776" s="40">
        <f t="shared" si="38"/>
        <v>79.045275621968642</v>
      </c>
      <c r="K776" s="38">
        <f>IF(OR(A776&gt;180,'1.설계입력'!$C$39&gt;=1),"",'1.설계입력'!$C$34*(1-SIN(B776)/SQRT(1+'1.설계입력'!$C$39^2-2*'1.설계입력'!$C$39*COS(B776)))-'1.설계입력'!$C$33*(1-'1.설계입력'!$C$39*COS(B776)-SQRT(MAX(0,1-'1.설계입력'!$C$39^2))*SIN(B776))/SQRT(1+'1.설계입력'!$C$39^2-2*'1.설계입력'!$C$39*COS(B776)))</f>
        <v>8.491933832479915E-3</v>
      </c>
    </row>
    <row r="777" spans="1:11" x14ac:dyDescent="0.3">
      <c r="A777" s="40">
        <f>A776+'1.설계입력'!$C$12</f>
        <v>154.19999999999979</v>
      </c>
      <c r="B777" s="40">
        <f t="shared" si="36"/>
        <v>2.6912977065752526</v>
      </c>
      <c r="C777" s="40">
        <f>ATAN2('1.설계입력'!$C$6/('1.설계입력'!$C$8*'1.설계입력'!$C$15)-COS((1-'1.설계입력'!$C$15)*B777),SIN((1-'1.설계입력'!$C$15)*B777))</f>
        <v>0.52822253405890873</v>
      </c>
      <c r="D777" s="40">
        <f>'1.설계입력'!$C$6*COS(B777)-'1.설계입력'!$C$7*COS(B777+C777)-'1.설계입력'!$C$8*COS('1.설계입력'!$C$15*B777)</f>
        <v>-70.841974437108576</v>
      </c>
      <c r="E777" s="40">
        <f>-'1.설계입력'!$C$6*SIN(B777)+'1.설계입력'!$C$7*SIN(B777+C777)+'1.설계입력'!$C$8*SIN('1.설계입력'!$C$15*B777)</f>
        <v>-34.885627866575142</v>
      </c>
      <c r="F777" s="40">
        <f>ATAN2(('1.설계입력'!$C$6+'1.설계입력'!$C$33)/('1.설계입력'!$C$8*'1.설계입력'!$C$15)-COS((1-'1.설계입력'!$C$15)*B777),SIN((1-'1.설계입력'!$C$15)*B777))</f>
        <v>0.52823620114015912</v>
      </c>
      <c r="G777" s="40">
        <f>('1.설계입력'!$C$6+'1.설계입력'!$C$33)*COS(B777)-('1.설계입력'!$C$7+'1.설계입력'!$C$34)*COS(B777+F777)-'1.설계입력'!$C$8*COS('1.설계입력'!$C$15*B777)</f>
        <v>-70.831112295795705</v>
      </c>
      <c r="H777" s="40">
        <f>-('1.설계입력'!$C$6+'1.설계입력'!$C$33)*SIN(B777)+('1.설계입력'!$C$7+'1.설계입력'!$C$34)*SIN(B777+F777)+'1.설계입력'!$C$8*SIN('1.설계입력'!$C$15*B777)</f>
        <v>-34.884963837708334</v>
      </c>
      <c r="I777" s="40">
        <f t="shared" si="37"/>
        <v>78.965767100643731</v>
      </c>
      <c r="J777" s="40">
        <f t="shared" si="38"/>
        <v>78.955729184257677</v>
      </c>
      <c r="K777" s="38">
        <f>IF(OR(A777&gt;180,'1.설계입력'!$C$39&gt;=1),"",'1.설계입력'!$C$34*(1-SIN(B777)/SQRT(1+'1.설계입력'!$C$39^2-2*'1.설계입력'!$C$39*COS(B777)))-'1.설계입력'!$C$33*(1-'1.설계입력'!$C$39*COS(B777)-SQRT(MAX(0,1-'1.설계입력'!$C$39^2))*SIN(B777))/SQRT(1+'1.설계입력'!$C$39^2-2*'1.설계입력'!$C$39*COS(B777)))</f>
        <v>8.5128141820778099E-3</v>
      </c>
    </row>
    <row r="778" spans="1:11" x14ac:dyDescent="0.3">
      <c r="A778" s="40">
        <f>A777+'1.설계입력'!$C$12</f>
        <v>154.39999999999978</v>
      </c>
      <c r="B778" s="40">
        <f t="shared" si="36"/>
        <v>2.694788365079241</v>
      </c>
      <c r="C778" s="40">
        <f>ATAN2('1.설계입력'!$C$6/('1.설계입력'!$C$8*'1.설계입력'!$C$15)-COS((1-'1.설계입력'!$C$15)*B778),SIN((1-'1.설계입력'!$C$15)*B778))</f>
        <v>0.57915148942029193</v>
      </c>
      <c r="D778" s="40">
        <f>'1.설계입력'!$C$6*COS(B778)-'1.설계입력'!$C$7*COS(B778+C778)-'1.설계입력'!$C$8*COS('1.설계입력'!$C$15*B778)</f>
        <v>-70.824036979680955</v>
      </c>
      <c r="E778" s="40">
        <f>-'1.설계입력'!$C$6*SIN(B778)+'1.설계입력'!$C$7*SIN(B778+C778)+'1.설계입력'!$C$8*SIN('1.설계입력'!$C$15*B778)</f>
        <v>-34.715319756377234</v>
      </c>
      <c r="F778" s="40">
        <f>ATAN2(('1.설계입력'!$C$6+'1.설계입력'!$C$33)/('1.설계입력'!$C$8*'1.설계입력'!$C$15)-COS((1-'1.설계입력'!$C$15)*B778),SIN((1-'1.설계입력'!$C$15)*B778))</f>
        <v>0.57916713451052027</v>
      </c>
      <c r="G778" s="40">
        <f>('1.설계입력'!$C$6+'1.설계입력'!$C$33)*COS(B778)-('1.설계입력'!$C$7+'1.설계입력'!$C$34)*COS(B778+F778)-'1.설계입력'!$C$8*COS('1.설계입력'!$C$15*B778)</f>
        <v>-70.8132204096663</v>
      </c>
      <c r="H778" s="40">
        <f>-('1.설계입력'!$C$6+'1.설계입력'!$C$33)*SIN(B778)+('1.설계입력'!$C$7+'1.설계입력'!$C$34)*SIN(B778+F778)+'1.설계입력'!$C$8*SIN('1.설계입력'!$C$15*B778)</f>
        <v>-34.715111334741422</v>
      </c>
      <c r="I778" s="40">
        <f t="shared" si="37"/>
        <v>78.874569031385079</v>
      </c>
      <c r="J778" s="40">
        <f t="shared" si="38"/>
        <v>78.864764881228623</v>
      </c>
      <c r="K778" s="38">
        <f>IF(OR(A778&gt;180,'1.설계입력'!$C$39&gt;=1),"",'1.설계입력'!$C$34*(1-SIN(B778)/SQRT(1+'1.설계입력'!$C$39^2-2*'1.설계입력'!$C$39*COS(B778)))-'1.설계입력'!$C$33*(1-'1.설계입력'!$C$39*COS(B778)-SQRT(MAX(0,1-'1.설계입력'!$C$39^2))*SIN(B778))/SQRT(1+'1.설계입력'!$C$39^2-2*'1.설계입력'!$C$39*COS(B778)))</f>
        <v>8.5336968155084354E-3</v>
      </c>
    </row>
    <row r="779" spans="1:11" x14ac:dyDescent="0.3">
      <c r="A779" s="40">
        <f>A778+'1.설계입력'!$C$12</f>
        <v>154.59999999999977</v>
      </c>
      <c r="B779" s="40">
        <f t="shared" si="36"/>
        <v>2.6982790235832295</v>
      </c>
      <c r="C779" s="40">
        <f>ATAN2('1.설계입력'!$C$6/('1.설계입력'!$C$8*'1.설계입력'!$C$15)-COS((1-'1.설계입력'!$C$15)*B779),SIN((1-'1.설계입력'!$C$15)*B779))</f>
        <v>0.62803118034668981</v>
      </c>
      <c r="D779" s="40">
        <f>'1.설계입력'!$C$6*COS(B779)-'1.설계입력'!$C$7*COS(B779+C779)-'1.설계입력'!$C$8*COS('1.설계입력'!$C$15*B779)</f>
        <v>-70.799098066745884</v>
      </c>
      <c r="E779" s="40">
        <f>-'1.설계입력'!$C$6*SIN(B779)+'1.설계입력'!$C$7*SIN(B779+C779)+'1.설계입력'!$C$8*SIN('1.설계입력'!$C$15*B779)</f>
        <v>-34.559165454348175</v>
      </c>
      <c r="F779" s="40">
        <f>ATAN2(('1.설계입력'!$C$6+'1.설계입력'!$C$33)/('1.설계입력'!$C$8*'1.설계입력'!$C$15)-COS((1-'1.설계입력'!$C$15)*B779),SIN((1-'1.설계입력'!$C$15)*B779))</f>
        <v>0.62804901803874302</v>
      </c>
      <c r="G779" s="40">
        <f>('1.설계입력'!$C$6+'1.설계입력'!$C$33)*COS(B779)-('1.설계입력'!$C$7+'1.설계입력'!$C$34)*COS(B779+F779)-'1.설계입력'!$C$8*COS('1.설계입력'!$C$15*B779)</f>
        <v>-70.788348655265935</v>
      </c>
      <c r="H779" s="40">
        <f>-('1.설계입력'!$C$6+'1.설계입력'!$C$33)*SIN(B779)+('1.설계입력'!$C$7+'1.설계입력'!$C$34)*SIN(B779+F779)+'1.설계입력'!$C$8*SIN('1.설계입력'!$C$15*B779)</f>
        <v>-34.559393752364812</v>
      </c>
      <c r="I779" s="40">
        <f t="shared" si="37"/>
        <v>78.783552877270736</v>
      </c>
      <c r="J779" s="40">
        <f t="shared" si="38"/>
        <v>78.773993182207548</v>
      </c>
      <c r="K779" s="38">
        <f>IF(OR(A779&gt;180,'1.설계입력'!$C$39&gt;=1),"",'1.설계입력'!$C$34*(1-SIN(B779)/SQRT(1+'1.설계입력'!$C$39^2-2*'1.설계입력'!$C$39*COS(B779)))-'1.설계입력'!$C$33*(1-'1.설계입력'!$C$39*COS(B779)-SQRT(MAX(0,1-'1.설계입력'!$C$39^2))*SIN(B779))/SQRT(1+'1.설계입력'!$C$39^2-2*'1.설계입력'!$C$39*COS(B779)))</f>
        <v>8.5545816600256768E-3</v>
      </c>
    </row>
    <row r="780" spans="1:11" x14ac:dyDescent="0.3">
      <c r="A780" s="40">
        <f>A779+'1.설계입력'!$C$12</f>
        <v>154.79999999999976</v>
      </c>
      <c r="B780" s="40">
        <f t="shared" si="36"/>
        <v>2.7017696820872179</v>
      </c>
      <c r="C780" s="40">
        <f>ATAN2('1.설계입력'!$C$6/('1.설계입력'!$C$8*'1.설계입력'!$C$15)-COS((1-'1.설계입력'!$C$15)*B780),SIN((1-'1.설계입력'!$C$15)*B780))</f>
        <v>0.67427311258645317</v>
      </c>
      <c r="D780" s="40">
        <f>'1.설계입력'!$C$6*COS(B780)-'1.설계입력'!$C$7*COS(B780+C780)-'1.설계입력'!$C$8*COS('1.설계입력'!$C$15*B780)</f>
        <v>-70.768774893374143</v>
      </c>
      <c r="E780" s="40">
        <f>-'1.설계입력'!$C$6*SIN(B780)+'1.설계입력'!$C$7*SIN(B780+C780)+'1.설계입력'!$C$8*SIN('1.설계입력'!$C$15*B780)</f>
        <v>-34.416549952526779</v>
      </c>
      <c r="F780" s="40">
        <f>ATAN2(('1.설계입력'!$C$6+'1.설계입력'!$C$33)/('1.설계입력'!$C$8*'1.설계입력'!$C$15)-COS((1-'1.설계입력'!$C$15)*B780),SIN((1-'1.설계입력'!$C$15)*B780))</f>
        <v>0.67429341218884176</v>
      </c>
      <c r="G780" s="40">
        <f>('1.설계입력'!$C$6+'1.설계입력'!$C$33)*COS(B780)-('1.설계입력'!$C$7+'1.설계입력'!$C$34)*COS(B780+F780)-'1.설계입력'!$C$8*COS('1.설계입력'!$C$15*B780)</f>
        <v>-70.758110429545852</v>
      </c>
      <c r="H780" s="40">
        <f>-('1.설계입력'!$C$6+'1.설계입력'!$C$33)*SIN(B780)+('1.설계입력'!$C$7+'1.설계입력'!$C$34)*SIN(B780+F780)+'1.설계입력'!$C$8*SIN('1.설계입력'!$C$15*B780)</f>
        <v>-34.417190869918983</v>
      </c>
      <c r="I780" s="40">
        <f t="shared" si="37"/>
        <v>78.693827016760551</v>
      </c>
      <c r="J780" s="40">
        <f t="shared" si="38"/>
        <v>78.684517021687554</v>
      </c>
      <c r="K780" s="38">
        <f>IF(OR(A780&gt;180,'1.설계입력'!$C$39&gt;=1),"",'1.설계입력'!$C$34*(1-SIN(B780)/SQRT(1+'1.설계입력'!$C$39^2-2*'1.설계입력'!$C$39*COS(B780)))-'1.설계입력'!$C$33*(1-'1.설계입력'!$C$39*COS(B780)-SQRT(MAX(0,1-'1.설계입력'!$C$39^2))*SIN(B780))/SQRT(1+'1.설계입력'!$C$39^2-2*'1.설계입력'!$C$39*COS(B780)))</f>
        <v>8.5754686429290877E-3</v>
      </c>
    </row>
    <row r="781" spans="1:11" x14ac:dyDescent="0.3">
      <c r="A781" s="40">
        <f>A780+'1.설계입력'!$C$12</f>
        <v>154.99999999999974</v>
      </c>
      <c r="B781" s="40">
        <f t="shared" si="36"/>
        <v>2.7052603405912063</v>
      </c>
      <c r="C781" s="40">
        <f>ATAN2('1.설계입력'!$C$6/('1.설계입력'!$C$8*'1.설계입력'!$C$15)-COS((1-'1.설계입력'!$C$15)*B781),SIN((1-'1.설계입력'!$C$15)*B781))</f>
        <v>0.71706820680311945</v>
      </c>
      <c r="D781" s="40">
        <f>'1.설계입력'!$C$6*COS(B781)-'1.설계입력'!$C$7*COS(B781+C781)-'1.설계입력'!$C$8*COS('1.설계입력'!$C$15*B781)</f>
        <v>-70.734303564727085</v>
      </c>
      <c r="E781" s="40">
        <f>-'1.설계입력'!$C$6*SIN(B781)+'1.설계입력'!$C$7*SIN(B781+C781)+'1.설계입력'!$C$8*SIN('1.설계입력'!$C$15*B781)</f>
        <v>-34.285737066876912</v>
      </c>
      <c r="F781" s="40">
        <f>ATAN2(('1.설계입력'!$C$6+'1.설계입력'!$C$33)/('1.설계입력'!$C$8*'1.설계입력'!$C$15)-COS((1-'1.설계입력'!$C$15)*B781),SIN((1-'1.설계입력'!$C$15)*B781))</f>
        <v>0.71709130849629676</v>
      </c>
      <c r="G781" s="40">
        <f>('1.설계입력'!$C$6+'1.설계입력'!$C$33)*COS(B781)-('1.설계입력'!$C$7+'1.설계입력'!$C$34)*COS(B781+F781)-'1.설계입력'!$C$8*COS('1.설계입력'!$C$15*B781)</f>
        <v>-70.723736766281405</v>
      </c>
      <c r="H781" s="40">
        <f>-('1.설계입력'!$C$6+'1.설계입력'!$C$33)*SIN(B781)+('1.설계입력'!$C$7+'1.설계입력'!$C$34)*SIN(B781+F781)+'1.설계입력'!$C$8*SIN('1.설계입력'!$C$15*B781)</f>
        <v>-34.286760127730282</v>
      </c>
      <c r="I781" s="40">
        <f t="shared" si="37"/>
        <v>78.605683426874293</v>
      </c>
      <c r="J781" s="40">
        <f t="shared" si="38"/>
        <v>78.596621188463175</v>
      </c>
      <c r="K781" s="38">
        <f>IF(OR(A781&gt;180,'1.설계입력'!$C$39&gt;=1),"",'1.설계입력'!$C$34*(1-SIN(B781)/SQRT(1+'1.설계입력'!$C$39^2-2*'1.설계입력'!$C$39*COS(B781)))-'1.설계입력'!$C$33*(1-'1.설계입력'!$C$39*COS(B781)-SQRT(MAX(0,1-'1.설계입력'!$C$39^2))*SIN(B781))/SQRT(1+'1.설계입력'!$C$39^2-2*'1.설계입력'!$C$39*COS(B781)))</f>
        <v>8.5963576915637791E-3</v>
      </c>
    </row>
    <row r="782" spans="1:11" x14ac:dyDescent="0.3">
      <c r="A782" s="40">
        <f>A781+'1.설계입력'!$C$12</f>
        <v>155.19999999999973</v>
      </c>
      <c r="B782" s="40">
        <f t="shared" si="36"/>
        <v>2.7087509990951948</v>
      </c>
      <c r="C782" s="40">
        <f>ATAN2('1.설계입력'!$C$6/('1.설계입력'!$C$8*'1.설계입력'!$C$15)-COS((1-'1.설계입력'!$C$15)*B782),SIN((1-'1.설계입력'!$C$15)*B782))</f>
        <v>0.75527182600146636</v>
      </c>
      <c r="D782" s="40">
        <f>'1.설계입력'!$C$6*COS(B782)-'1.설계입력'!$C$7*COS(B782+C782)-'1.설계입력'!$C$8*COS('1.설계입력'!$C$15*B782)</f>
        <v>-70.69622982404077</v>
      </c>
      <c r="E782" s="40">
        <f>-'1.설계입력'!$C$6*SIN(B782)+'1.설계입력'!$C$7*SIN(B782+C782)+'1.설계입력'!$C$8*SIN('1.설계입력'!$C$15*B782)</f>
        <v>-34.163474257415047</v>
      </c>
      <c r="F782" s="40">
        <f>ATAN2(('1.설계입력'!$C$6+'1.설계입력'!$C$33)/('1.설계입력'!$C$8*'1.설계입력'!$C$15)-COS((1-'1.설계입력'!$C$15)*B782),SIN((1-'1.설계입력'!$C$15)*B782))</f>
        <v>0.75529816226037905</v>
      </c>
      <c r="G782" s="40">
        <f>('1.설계입력'!$C$6+'1.설계입력'!$C$33)*COS(B782)-('1.설계입력'!$C$7+'1.설계입력'!$C$34)*COS(B782+F782)-'1.설계입력'!$C$8*COS('1.설계입력'!$C$15*B782)</f>
        <v>-70.685766571572017</v>
      </c>
      <c r="H782" s="40">
        <f>-('1.설계입력'!$C$6+'1.설계입력'!$C$33)*SIN(B782)+('1.설계입력'!$C$7+'1.설계입력'!$C$34)*SIN(B782+F782)+'1.설계입력'!$C$8*SIN('1.설계입력'!$C$15*B782)</f>
        <v>-34.164840740980551</v>
      </c>
      <c r="I782" s="40">
        <f t="shared" si="37"/>
        <v>78.51815003342</v>
      </c>
      <c r="J782" s="40">
        <f t="shared" si="38"/>
        <v>78.509323896384004</v>
      </c>
      <c r="K782" s="38">
        <f>IF(OR(A782&gt;180,'1.설계입력'!$C$39&gt;=1),"",'1.설계입력'!$C$34*(1-SIN(B782)/SQRT(1+'1.설계입력'!$C$39^2-2*'1.설계입력'!$C$39*COS(B782)))-'1.설계입력'!$C$33*(1-'1.설계입력'!$C$39*COS(B782)-SQRT(MAX(0,1-'1.설계입력'!$C$39^2))*SIN(B782))/SQRT(1+'1.설계입력'!$C$39^2-2*'1.설계입력'!$C$39*COS(B782)))</f>
        <v>8.6172487333202891E-3</v>
      </c>
    </row>
    <row r="783" spans="1:11" x14ac:dyDescent="0.3">
      <c r="A783" s="40">
        <f>A782+'1.설계입력'!$C$12</f>
        <v>155.39999999999972</v>
      </c>
      <c r="B783" s="40">
        <f t="shared" si="36"/>
        <v>2.7122416575991832</v>
      </c>
      <c r="C783" s="40">
        <f>ATAN2('1.설계입력'!$C$6/('1.설계입력'!$C$8*'1.설계입력'!$C$15)-COS((1-'1.설계입력'!$C$15)*B783),SIN((1-'1.설계입력'!$C$15)*B783))</f>
        <v>0.7872119622923075</v>
      </c>
      <c r="D783" s="40">
        <f>'1.설계입력'!$C$6*COS(B783)-'1.설계입력'!$C$7*COS(B783+C783)-'1.설계입력'!$C$8*COS('1.설계입력'!$C$15*B783)</f>
        <v>-70.653975413044307</v>
      </c>
      <c r="E783" s="40">
        <f>-'1.설계입력'!$C$6*SIN(B783)+'1.설계입력'!$C$7*SIN(B783+C783)+'1.설계입력'!$C$8*SIN('1.설계입력'!$C$15*B783)</f>
        <v>-34.044328178495981</v>
      </c>
      <c r="F783" s="40">
        <f>ATAN2(('1.설계입력'!$C$6+'1.설계입력'!$C$33)/('1.설계입력'!$C$8*'1.설계입력'!$C$15)-COS((1-'1.설계입력'!$C$15)*B783),SIN((1-'1.설계입력'!$C$15)*B783))</f>
        <v>0.78724208493464698</v>
      </c>
      <c r="G783" s="40">
        <f>('1.설계입력'!$C$6+'1.설계입력'!$C$33)*COS(B783)-('1.설계입력'!$C$7+'1.설계입력'!$C$34)*COS(B783+F783)-'1.설계입력'!$C$8*COS('1.설계입력'!$C$15*B783)</f>
        <v>-70.643612222198882</v>
      </c>
      <c r="H783" s="40">
        <f>-('1.설계입력'!$C$6+'1.설계입력'!$C$33)*SIN(B783)+('1.설계입력'!$C$7+'1.설계입력'!$C$34)*SIN(B783+F783)+'1.설계입력'!$C$8*SIN('1.설계입력'!$C$15*B783)</f>
        <v>-34.045987992478722</v>
      </c>
      <c r="I783" s="40">
        <f t="shared" si="37"/>
        <v>78.428314547695123</v>
      </c>
      <c r="J783" s="40">
        <f t="shared" si="38"/>
        <v>78.419699350255172</v>
      </c>
      <c r="K783" s="38">
        <f>IF(OR(A783&gt;180,'1.설계입력'!$C$39&gt;=1),"",'1.설계입력'!$C$34*(1-SIN(B783)/SQRT(1+'1.설계입력'!$C$39^2-2*'1.설계입력'!$C$39*COS(B783)))-'1.설계입력'!$C$33*(1-'1.설계입력'!$C$39*COS(B783)-SQRT(MAX(0,1-'1.설계입력'!$C$39^2))*SIN(B783))/SQRT(1+'1.설계입력'!$C$39^2-2*'1.설계입력'!$C$39*COS(B783)))</f>
        <v>8.6381416956344669E-3</v>
      </c>
    </row>
    <row r="784" spans="1:11" x14ac:dyDescent="0.3">
      <c r="A784" s="40">
        <f>A783+'1.설계입력'!$C$12</f>
        <v>155.59999999999971</v>
      </c>
      <c r="B784" s="40">
        <f t="shared" si="36"/>
        <v>2.7157323161031717</v>
      </c>
      <c r="C784" s="40">
        <f>ATAN2('1.설계입력'!$C$6/('1.설계입력'!$C$8*'1.설계입력'!$C$15)-COS((1-'1.설계입력'!$C$15)*B784),SIN((1-'1.설계입력'!$C$15)*B784))</f>
        <v>0.81035653114518968</v>
      </c>
      <c r="D784" s="40">
        <f>'1.설계입력'!$C$6*COS(B784)-'1.설계입력'!$C$7*COS(B784+C784)-'1.설계입력'!$C$8*COS('1.설계입력'!$C$15*B784)</f>
        <v>-70.605227246229219</v>
      </c>
      <c r="E784" s="40">
        <f>-'1.설계입력'!$C$6*SIN(B784)+'1.설계입력'!$C$7*SIN(B784+C784)+'1.설계입력'!$C$8*SIN('1.설계입력'!$C$15*B784)</f>
        <v>-33.919488304907858</v>
      </c>
      <c r="F784" s="40">
        <f>ATAN2(('1.설계입력'!$C$6+'1.설계입력'!$C$33)/('1.설계입력'!$C$8*'1.설계입력'!$C$15)-COS((1-'1.설계입력'!$C$15)*B784),SIN((1-'1.설계입력'!$C$15)*B784))</f>
        <v>0.81039114060410078</v>
      </c>
      <c r="G784" s="40">
        <f>('1.설계입력'!$C$6+'1.설계입력'!$C$33)*COS(B784)-('1.설계입력'!$C$7+'1.설계입력'!$C$34)*COS(B784+F784)-'1.설계입력'!$C$8*COS('1.설계입력'!$C$15*B784)</f>
        <v>-70.594947562259719</v>
      </c>
      <c r="H784" s="40">
        <f>-('1.설계입력'!$C$6+'1.설계입력'!$C$33)*SIN(B784)+('1.설계입력'!$C$7+'1.설계입력'!$C$34)*SIN(B784+F784)+'1.설계입력'!$C$8*SIN('1.설계입력'!$C$15*B784)</f>
        <v>-33.921374516803667</v>
      </c>
      <c r="I784" s="40">
        <f t="shared" si="37"/>
        <v>78.330261083175571</v>
      </c>
      <c r="J784" s="40">
        <f t="shared" si="38"/>
        <v>78.32181222639997</v>
      </c>
      <c r="K784" s="38">
        <f>IF(OR(A784&gt;180,'1.설계입력'!$C$39&gt;=1),"",'1.설계입력'!$C$34*(1-SIN(B784)/SQRT(1+'1.설계입력'!$C$39^2-2*'1.설계입력'!$C$39*COS(B784)))-'1.설계입력'!$C$33*(1-'1.설계입력'!$C$39*COS(B784)-SQRT(MAX(0,1-'1.설계입력'!$C$39^2))*SIN(B784))/SQRT(1+'1.설계입력'!$C$39^2-2*'1.설계입력'!$C$39*COS(B784)))</f>
        <v>8.6590365059873529E-3</v>
      </c>
    </row>
    <row r="785" spans="1:11" x14ac:dyDescent="0.3">
      <c r="A785" s="40">
        <f>A784+'1.설계입력'!$C$12</f>
        <v>155.7999999999997</v>
      </c>
      <c r="B785" s="40">
        <f t="shared" si="36"/>
        <v>2.7192229746071601</v>
      </c>
      <c r="C785" s="40">
        <f>ATAN2('1.설계입력'!$C$6/('1.설계입력'!$C$8*'1.설계입력'!$C$15)-COS((1-'1.설계입력'!$C$15)*B785),SIN((1-'1.설계입력'!$C$15)*B785))</f>
        <v>0.82071255773082219</v>
      </c>
      <c r="D785" s="40">
        <f>'1.설계입력'!$C$6*COS(B785)-'1.설계입력'!$C$7*COS(B785+C785)-'1.설계입력'!$C$8*COS('1.설계입력'!$C$15*B785)</f>
        <v>-70.545119466088423</v>
      </c>
      <c r="E785" s="40">
        <f>-'1.설계입력'!$C$6*SIN(B785)+'1.설계입력'!$C$7*SIN(B785+C785)+'1.설계입력'!$C$8*SIN('1.설계입력'!$C$15*B785)</f>
        <v>-33.774478987473728</v>
      </c>
      <c r="F785" s="40">
        <f>ATAN2(('1.설계입력'!$C$6+'1.설계입력'!$C$33)/('1.설계입력'!$C$8*'1.설계입력'!$C$15)-COS((1-'1.설계입력'!$C$15)*B785),SIN((1-'1.설계입력'!$C$15)*B785))</f>
        <v>0.82075251683830708</v>
      </c>
      <c r="G785" s="40">
        <f>('1.설계입력'!$C$6+'1.설계입력'!$C$33)*COS(B785)-('1.설계입력'!$C$7+'1.설계입력'!$C$34)*COS(B785+F785)-'1.설계입력'!$C$8*COS('1.설계입력'!$C$15*B785)</f>
        <v>-70.534888210574294</v>
      </c>
      <c r="H785" s="40">
        <f>-('1.설계입력'!$C$6+'1.설계입력'!$C$33)*SIN(B785)+('1.설계입력'!$C$7+'1.설계입력'!$C$34)*SIN(B785+F785)+'1.설계입력'!$C$8*SIN('1.설계입력'!$C$15*B785)</f>
        <v>-33.776497766336625</v>
      </c>
      <c r="I785" s="40">
        <f t="shared" si="37"/>
        <v>78.213357627453846</v>
      </c>
      <c r="J785" s="40">
        <f t="shared" si="38"/>
        <v>78.205001478406459</v>
      </c>
      <c r="K785" s="38">
        <f>IF(OR(A785&gt;180,'1.설계입력'!$C$39&gt;=1),"",'1.설계입력'!$C$34*(1-SIN(B785)/SQRT(1+'1.설계입력'!$C$39^2-2*'1.설계입력'!$C$39*COS(B785)))-'1.설계입력'!$C$33*(1-'1.설계입력'!$C$39*COS(B785)-SQRT(MAX(0,1-'1.설계입력'!$C$39^2))*SIN(B785))/SQRT(1+'1.설계입력'!$C$39^2-2*'1.설계입력'!$C$39*COS(B785)))</f>
        <v>8.6799330919050781E-3</v>
      </c>
    </row>
    <row r="786" spans="1:11" x14ac:dyDescent="0.3">
      <c r="A786" s="40">
        <f>A785+'1.설계입력'!$C$12</f>
        <v>155.99999999999969</v>
      </c>
      <c r="B786" s="40">
        <f t="shared" si="36"/>
        <v>2.7227136331111486</v>
      </c>
      <c r="C786" s="40">
        <f>ATAN2('1.설계입력'!$C$6/('1.설계입력'!$C$8*'1.설계입력'!$C$15)-COS((1-'1.설계입력'!$C$15)*B786),SIN((1-'1.설계입력'!$C$15)*B786))</f>
        <v>0.81170138601702591</v>
      </c>
      <c r="D786" s="40">
        <f>'1.설계입력'!$C$6*COS(B786)-'1.설계입력'!$C$7*COS(B786+C786)-'1.설계입력'!$C$8*COS('1.설계입력'!$C$15*B786)</f>
        <v>-70.465398139463346</v>
      </c>
      <c r="E786" s="40">
        <f>-'1.설계입력'!$C$6*SIN(B786)+'1.설계입력'!$C$7*SIN(B786+C786)+'1.설계입력'!$C$8*SIN('1.설계입력'!$C$15*B786)</f>
        <v>-33.584555942030271</v>
      </c>
      <c r="F786" s="40">
        <f>ATAN2(('1.설계입력'!$C$6+'1.설계입력'!$C$33)/('1.설계입력'!$C$8*'1.설계입력'!$C$15)-COS((1-'1.설계입력'!$C$15)*B786),SIN((1-'1.설계입력'!$C$15)*B786))</f>
        <v>0.81174764934157839</v>
      </c>
      <c r="G786" s="40">
        <f>('1.설계입력'!$C$6+'1.설계입력'!$C$33)*COS(B786)-('1.설계입력'!$C$7+'1.설계입력'!$C$34)*COS(B786+F786)-'1.설계입력'!$C$8*COS('1.설계입력'!$C$15*B786)</f>
        <v>-70.455154091853061</v>
      </c>
      <c r="H786" s="40">
        <f>-('1.설계입력'!$C$6+'1.설계입력'!$C$33)*SIN(B786)+('1.설계입력'!$C$7+'1.설계입력'!$C$34)*SIN(B786+F786)+'1.설계입력'!$C$8*SIN('1.설계입력'!$C$15*B786)</f>
        <v>-33.586567019571795</v>
      </c>
      <c r="I786" s="40">
        <f t="shared" si="37"/>
        <v>78.059558881513325</v>
      </c>
      <c r="J786" s="40">
        <f t="shared" si="38"/>
        <v>78.051176943508978</v>
      </c>
      <c r="K786" s="38">
        <f>IF(OR(A786&gt;180,'1.설계입력'!$C$39&gt;=1),"",'1.설계입력'!$C$34*(1-SIN(B786)/SQRT(1+'1.설계입력'!$C$39^2-2*'1.설계입력'!$C$39*COS(B786)))-'1.설계입력'!$C$33*(1-'1.설계입력'!$C$39*COS(B786)-SQRT(MAX(0,1-'1.설계입력'!$C$39^2))*SIN(B786))/SQRT(1+'1.설계입력'!$C$39^2-2*'1.설계입력'!$C$39*COS(B786)))</f>
        <v>8.7008313809587359E-3</v>
      </c>
    </row>
    <row r="787" spans="1:11" x14ac:dyDescent="0.3">
      <c r="A787" s="40">
        <f>A786+'1.설계입력'!$C$12</f>
        <v>156.19999999999968</v>
      </c>
      <c r="B787" s="40">
        <f t="shared" si="36"/>
        <v>2.726204291615137</v>
      </c>
      <c r="C787" s="40">
        <f>ATAN2('1.설계입력'!$C$6/('1.설계입력'!$C$8*'1.설계입력'!$C$15)-COS((1-'1.설계입력'!$C$15)*B787),SIN((1-'1.설계입력'!$C$15)*B787))</f>
        <v>0.77202359528561693</v>
      </c>
      <c r="D787" s="40">
        <f>'1.설계입력'!$C$6*COS(B787)-'1.설계입력'!$C$7*COS(B787+C787)-'1.설계입력'!$C$8*COS('1.설계입력'!$C$15*B787)</f>
        <v>-70.354893174291561</v>
      </c>
      <c r="E787" s="40">
        <f>-'1.설계입력'!$C$6*SIN(B787)+'1.설계입력'!$C$7*SIN(B787+C787)+'1.설계입력'!$C$8*SIN('1.설계입력'!$C$15*B787)</f>
        <v>-33.30519085288114</v>
      </c>
      <c r="F787" s="40">
        <f>ATAN2(('1.설계입력'!$C$6+'1.설계입력'!$C$33)/('1.설계입력'!$C$8*'1.설계입력'!$C$15)-COS((1-'1.설계입력'!$C$15)*B787),SIN((1-'1.설계입력'!$C$15)*B787))</f>
        <v>0.7720768038978838</v>
      </c>
      <c r="G787" s="40">
        <f>('1.설계입력'!$C$6+'1.설계입력'!$C$33)*COS(B787)-('1.설계입력'!$C$7+'1.설계입력'!$C$34)*COS(B787+F787)-'1.설계입력'!$C$8*COS('1.설계입력'!$C$15*B787)</f>
        <v>-70.344540938106917</v>
      </c>
      <c r="H787" s="40">
        <f>-('1.설계입력'!$C$6+'1.설계입력'!$C$33)*SIN(B787)+('1.설계입력'!$C$7+'1.설계입력'!$C$34)*SIN(B787+F787)+'1.설계입력'!$C$8*SIN('1.설계입력'!$C$15*B787)</f>
        <v>-33.306967604267726</v>
      </c>
      <c r="I787" s="40">
        <f t="shared" si="37"/>
        <v>77.83987879816371</v>
      </c>
      <c r="J787" s="40">
        <f t="shared" si="38"/>
        <v>77.831282469099392</v>
      </c>
      <c r="K787" s="38">
        <f>IF(OR(A787&gt;180,'1.설계입력'!$C$39&gt;=1),"",'1.설계입력'!$C$34*(1-SIN(B787)/SQRT(1+'1.설계입력'!$C$39^2-2*'1.설계입력'!$C$39*COS(B787)))-'1.설계입력'!$C$33*(1-'1.설계입력'!$C$39*COS(B787)-SQRT(MAX(0,1-'1.설계입력'!$C$39^2))*SIN(B787))/SQRT(1+'1.설계입력'!$C$39^2-2*'1.설계입력'!$C$39*COS(B787)))</f>
        <v>8.7217313007642867E-3</v>
      </c>
    </row>
    <row r="788" spans="1:11" x14ac:dyDescent="0.3">
      <c r="A788" s="40">
        <f>A787+'1.설계입력'!$C$12</f>
        <v>156.39999999999966</v>
      </c>
      <c r="B788" s="40">
        <f t="shared" si="36"/>
        <v>2.7296949501191254</v>
      </c>
      <c r="C788" s="40">
        <f>ATAN2('1.설계입력'!$C$6/('1.설계입력'!$C$8*'1.설계입력'!$C$15)-COS((1-'1.설계입력'!$C$15)*B788),SIN((1-'1.설계입력'!$C$15)*B788))</f>
        <v>0.68189134705620502</v>
      </c>
      <c r="D788" s="40">
        <f>'1.설계입력'!$C$6*COS(B788)-'1.설계입력'!$C$7*COS(B788+C788)-'1.설계입력'!$C$8*COS('1.설계입력'!$C$15*B788)</f>
        <v>-70.207643756387782</v>
      </c>
      <c r="E788" s="40">
        <f>-'1.설계입력'!$C$6*SIN(B788)+'1.설계입력'!$C$7*SIN(B788+C788)+'1.설계입력'!$C$8*SIN('1.설계입력'!$C$15*B788)</f>
        <v>-32.853534356201791</v>
      </c>
      <c r="F788" s="40">
        <f>ATAN2(('1.설계입력'!$C$6+'1.설계입력'!$C$33)/('1.설계입력'!$C$8*'1.설계입력'!$C$15)-COS((1-'1.설계입력'!$C$15)*B788),SIN((1-'1.설계입력'!$C$15)*B788))</f>
        <v>0.68195023039157188</v>
      </c>
      <c r="G788" s="40">
        <f>('1.설계입력'!$C$6+'1.설계입력'!$C$33)*COS(B788)-('1.설계입력'!$C$7+'1.설계입력'!$C$34)*COS(B788+F788)-'1.설계입력'!$C$8*COS('1.설계입력'!$C$15*B788)</f>
        <v>-70.197059430548961</v>
      </c>
      <c r="H788" s="40">
        <f>-('1.설계입력'!$C$6+'1.설계입력'!$C$33)*SIN(B788)+('1.설계입력'!$C$7+'1.설계입력'!$C$34)*SIN(B788+F788)+'1.설계입력'!$C$8*SIN('1.설계입력'!$C$15*B788)</f>
        <v>-32.854681207618022</v>
      </c>
      <c r="I788" s="40">
        <f t="shared" si="37"/>
        <v>77.514308108361448</v>
      </c>
      <c r="J788" s="40">
        <f t="shared" si="38"/>
        <v>77.505207760190089</v>
      </c>
      <c r="K788" s="38">
        <f>IF(OR(A788&gt;180,'1.설계입력'!$C$39&gt;=1),"",'1.설계입력'!$C$34*(1-SIN(B788)/SQRT(1+'1.설계입력'!$C$39^2-2*'1.설계입력'!$C$39*COS(B788)))-'1.설계입력'!$C$33*(1-'1.설계입력'!$C$39*COS(B788)-SQRT(MAX(0,1-'1.설계입력'!$C$39^2))*SIN(B788))/SQRT(1+'1.설계입력'!$C$39^2-2*'1.설계입력'!$C$39*COS(B788)))</f>
        <v>8.742632778982443E-3</v>
      </c>
    </row>
    <row r="789" spans="1:11" x14ac:dyDescent="0.3">
      <c r="A789" s="40">
        <f>A788+'1.설계입력'!$C$12</f>
        <v>156.59999999999965</v>
      </c>
      <c r="B789" s="40">
        <f t="shared" si="36"/>
        <v>2.7331856086231139</v>
      </c>
      <c r="C789" s="40">
        <f>ATAN2('1.설계입력'!$C$6/('1.설계입력'!$C$8*'1.설계입력'!$C$15)-COS((1-'1.설계입력'!$C$15)*B789),SIN((1-'1.설계입력'!$C$15)*B789))</f>
        <v>0.50916897797722249</v>
      </c>
      <c r="D789" s="40">
        <f>'1.설계입력'!$C$6*COS(B789)-'1.설계입력'!$C$7*COS(B789+C789)-'1.설계입력'!$C$8*COS('1.설계입력'!$C$15*B789)</f>
        <v>-70.062642574168507</v>
      </c>
      <c r="E789" s="40">
        <f>-'1.설계입력'!$C$6*SIN(B789)+'1.설계입력'!$C$7*SIN(B789+C789)+'1.설계입력'!$C$8*SIN('1.설계입력'!$C$15*B789)</f>
        <v>-32.086815210069012</v>
      </c>
      <c r="F789" s="40">
        <f>ATAN2(('1.설계입력'!$C$6+'1.설계입력'!$C$33)/('1.설계입력'!$C$8*'1.설계입력'!$C$15)-COS((1-'1.설계입력'!$C$15)*B789),SIN((1-'1.설계입력'!$C$15)*B789))</f>
        <v>0.50922526079536845</v>
      </c>
      <c r="G789" s="40">
        <f>('1.설계입력'!$C$6+'1.설계입력'!$C$33)*COS(B789)-('1.설계입력'!$C$7+'1.설계입력'!$C$34)*COS(B789+F789)-'1.설계입력'!$C$8*COS('1.설계입력'!$C$15*B789)</f>
        <v>-70.051761318037606</v>
      </c>
      <c r="H789" s="40">
        <f>-('1.설계입력'!$C$6+'1.설계입력'!$C$33)*SIN(B789)+('1.설계입력'!$C$7+'1.설계입력'!$C$34)*SIN(B789+F789)+'1.설계입력'!$C$8*SIN('1.설계입력'!$C$15*B789)</f>
        <v>-32.086623285176138</v>
      </c>
      <c r="I789" s="40">
        <f t="shared" si="37"/>
        <v>77.060609878204346</v>
      </c>
      <c r="J789" s="40">
        <f t="shared" si="38"/>
        <v>77.050636970787707</v>
      </c>
      <c r="K789" s="38">
        <f>IF(OR(A789&gt;180,'1.설계입력'!$C$39&gt;=1),"",'1.설계입력'!$C$34*(1-SIN(B789)/SQRT(1+'1.설계입력'!$C$39^2-2*'1.설계입력'!$C$39*COS(B789)))-'1.설계입력'!$C$33*(1-'1.설계입력'!$C$39*COS(B789)-SQRT(MAX(0,1-'1.설계입력'!$C$39^2))*SIN(B789))/SQRT(1+'1.설계입력'!$C$39^2-2*'1.설계입력'!$C$39*COS(B789)))</f>
        <v>8.7635357433185762E-3</v>
      </c>
    </row>
    <row r="790" spans="1:11" x14ac:dyDescent="0.3">
      <c r="A790" s="40">
        <f>A789+'1.설계입력'!$C$12</f>
        <v>156.79999999999964</v>
      </c>
      <c r="B790" s="40">
        <f t="shared" si="36"/>
        <v>2.7366762671271023</v>
      </c>
      <c r="C790" s="40">
        <f>ATAN2('1.설계입력'!$C$6/('1.설계입력'!$C$8*'1.설계입력'!$C$15)-COS((1-'1.설계입력'!$C$15)*B790),SIN((1-'1.설계입력'!$C$15)*B790))</f>
        <v>0.22231376166148403</v>
      </c>
      <c r="D790" s="40">
        <f>'1.설계입력'!$C$6*COS(B790)-'1.설계입력'!$C$7*COS(B790+C790)-'1.설계입력'!$C$8*COS('1.설계입력'!$C$15*B790)</f>
        <v>-70.111178772045676</v>
      </c>
      <c r="E790" s="40">
        <f>-'1.설계입력'!$C$6*SIN(B790)+'1.설계입력'!$C$7*SIN(B790+C790)+'1.설계입력'!$C$8*SIN('1.설계입력'!$C$15*B790)</f>
        <v>-30.872671081525588</v>
      </c>
      <c r="F790" s="40">
        <f>ATAN2(('1.설계입력'!$C$6+'1.설계입력'!$C$33)/('1.설계입력'!$C$8*'1.설계입력'!$C$15)-COS((1-'1.설계입력'!$C$15)*B790),SIN((1-'1.설계입력'!$C$15)*B790))</f>
        <v>0.22234378256350931</v>
      </c>
      <c r="G790" s="40">
        <f>('1.설계입력'!$C$6+'1.설계입력'!$C$33)*COS(B790)-('1.설계입력'!$C$7+'1.설계입력'!$C$34)*COS(B790+F790)-'1.설계입력'!$C$8*COS('1.설계입력'!$C$15*B790)</f>
        <v>-70.100342271429298</v>
      </c>
      <c r="H790" s="40">
        <f>-('1.설계입력'!$C$6+'1.설계입력'!$C$33)*SIN(B790)+('1.설계입력'!$C$7+'1.설계입력'!$C$34)*SIN(B790+F790)+'1.설계입력'!$C$8*SIN('1.설계입력'!$C$15*B790)</f>
        <v>-30.870097312932568</v>
      </c>
      <c r="I790" s="40">
        <f t="shared" si="37"/>
        <v>76.607435726003871</v>
      </c>
      <c r="J790" s="40">
        <f t="shared" si="38"/>
        <v>76.596480954946387</v>
      </c>
      <c r="K790" s="38">
        <f>IF(OR(A790&gt;180,'1.설계입력'!$C$39&gt;=1),"",'1.설계입력'!$C$34*(1-SIN(B790)/SQRT(1+'1.설계입력'!$C$39^2-2*'1.설계입력'!$C$39*COS(B790)))-'1.설계입력'!$C$33*(1-'1.설계입력'!$C$39*COS(B790)-SQRT(MAX(0,1-'1.설계입력'!$C$39^2))*SIN(B790))/SQRT(1+'1.설계입력'!$C$39^2-2*'1.설계입력'!$C$39*COS(B790)))</f>
        <v>8.784440121522602E-3</v>
      </c>
    </row>
    <row r="791" spans="1:11" x14ac:dyDescent="0.3">
      <c r="A791" s="40">
        <f>A790+'1.설계입력'!$C$12</f>
        <v>156.99999999999963</v>
      </c>
      <c r="B791" s="40">
        <f t="shared" si="36"/>
        <v>2.7401669256310908</v>
      </c>
      <c r="C791" s="40">
        <f>ATAN2('1.설계입력'!$C$6/('1.설계입력'!$C$8*'1.설계입력'!$C$15)-COS((1-'1.설계입력'!$C$15)*B791),SIN((1-'1.설계입력'!$C$15)*B791))</f>
        <v>-0.14125586133616369</v>
      </c>
      <c r="D791" s="40">
        <f>'1.설계입력'!$C$6*COS(B791)-'1.설계입력'!$C$7*COS(B791+C791)-'1.설계입력'!$C$8*COS('1.설계입력'!$C$15*B791)</f>
        <v>-70.646551461565338</v>
      </c>
      <c r="E791" s="40">
        <f>-'1.설계입력'!$C$6*SIN(B791)+'1.설계입력'!$C$7*SIN(B791+C791)+'1.설계입력'!$C$8*SIN('1.설계입력'!$C$15*B791)</f>
        <v>-29.461185670091876</v>
      </c>
      <c r="F791" s="40">
        <f>ATAN2(('1.설계입력'!$C$6+'1.설계입력'!$C$33)/('1.설계입력'!$C$8*'1.설계입력'!$C$15)-COS((1-'1.설계입력'!$C$15)*B791),SIN((1-'1.설계입력'!$C$15)*B791))</f>
        <v>-0.14127543141391474</v>
      </c>
      <c r="G791" s="40">
        <f>('1.설계입력'!$C$6+'1.설계입력'!$C$33)*COS(B791)-('1.설계입력'!$C$7+'1.설계입력'!$C$34)*COS(B791+F791)-'1.설계입력'!$C$8*COS('1.설계입력'!$C$15*B791)</f>
        <v>-70.636802157797192</v>
      </c>
      <c r="H791" s="40">
        <f>-('1.설계입력'!$C$6+'1.설계입력'!$C$33)*SIN(B791)+('1.설계입력'!$C$7+'1.설계입력'!$C$34)*SIN(B791+F791)+'1.설계입력'!$C$8*SIN('1.설계입력'!$C$15*B791)</f>
        <v>-29.455724117992812</v>
      </c>
      <c r="I791" s="40">
        <f t="shared" si="37"/>
        <v>76.54343011976421</v>
      </c>
      <c r="J791" s="40">
        <f t="shared" si="38"/>
        <v>76.53232978549056</v>
      </c>
      <c r="K791" s="38">
        <f>IF(OR(A791&gt;180,'1.설계입력'!$C$39&gt;=1),"",'1.설계입력'!$C$34*(1-SIN(B791)/SQRT(1+'1.설계입력'!$C$39^2-2*'1.설계입력'!$C$39*COS(B791)))-'1.설계입력'!$C$33*(1-'1.설계입력'!$C$39*COS(B791)-SQRT(MAX(0,1-'1.설계입력'!$C$39^2))*SIN(B791))/SQRT(1+'1.설계입력'!$C$39^2-2*'1.설계입력'!$C$39*COS(B791)))</f>
        <v>8.8053458413888917E-3</v>
      </c>
    </row>
    <row r="792" spans="1:11" x14ac:dyDescent="0.3">
      <c r="A792" s="40">
        <f>A791+'1.설계입력'!$C$12</f>
        <v>157.19999999999962</v>
      </c>
      <c r="B792" s="40">
        <f t="shared" si="36"/>
        <v>2.7436575841350792</v>
      </c>
      <c r="C792" s="40">
        <f>ATAN2('1.설계입력'!$C$6/('1.설계입력'!$C$8*'1.설계입력'!$C$15)-COS((1-'1.설계입력'!$C$15)*B792),SIN((1-'1.설계입력'!$C$15)*B792))</f>
        <v>-0.45359002221478195</v>
      </c>
      <c r="D792" s="40">
        <f>'1.설계입력'!$C$6*COS(B792)-'1.설계입력'!$C$7*COS(B792+C792)-'1.설계입력'!$C$8*COS('1.설계입력'!$C$15*B792)</f>
        <v>-71.49021059990406</v>
      </c>
      <c r="E792" s="40">
        <f>-'1.설계입력'!$C$6*SIN(B792)+'1.설계입력'!$C$7*SIN(B792+C792)+'1.설계입력'!$C$8*SIN('1.설계입력'!$C$15*B792)</f>
        <v>-28.455266289466717</v>
      </c>
      <c r="F792" s="40">
        <f>ATAN2(('1.설계입력'!$C$6+'1.설계입력'!$C$33)/('1.설계입력'!$C$8*'1.설계입력'!$C$15)-COS((1-'1.설계입력'!$C$15)*B792),SIN((1-'1.설계입력'!$C$15)*B792))</f>
        <v>-0.45364297232384948</v>
      </c>
      <c r="G792" s="40">
        <f>('1.설계입력'!$C$6+'1.설계입력'!$C$33)*COS(B792)-('1.설계입력'!$C$7+'1.설계입력'!$C$34)*COS(B792+F792)-'1.설계입력'!$C$8*COS('1.설계입력'!$C$15*B792)</f>
        <v>-71.482175908486028</v>
      </c>
      <c r="H792" s="40">
        <f>-('1.설계입력'!$C$6+'1.설계입력'!$C$33)*SIN(B792)+('1.설계입력'!$C$7+'1.설계입력'!$C$34)*SIN(B792+F792)+'1.설계입력'!$C$8*SIN('1.설계입력'!$C$15*B792)</f>
        <v>-28.447831653789201</v>
      </c>
      <c r="I792" s="40">
        <f t="shared" si="37"/>
        <v>76.94512584448151</v>
      </c>
      <c r="J792" s="40">
        <f t="shared" si="38"/>
        <v>76.934911440867154</v>
      </c>
      <c r="K792" s="38">
        <f>IF(OR(A792&gt;180,'1.설계입력'!$C$39&gt;=1),"",'1.설계입력'!$C$34*(1-SIN(B792)/SQRT(1+'1.설계입력'!$C$39^2-2*'1.설계입력'!$C$39*COS(B792)))-'1.설계입력'!$C$33*(1-'1.설계입력'!$C$39*COS(B792)-SQRT(MAX(0,1-'1.설계입력'!$C$39^2))*SIN(B792))/SQRT(1+'1.설계입력'!$C$39^2-2*'1.설계입력'!$C$39*COS(B792)))</f>
        <v>8.8262528307561719E-3</v>
      </c>
    </row>
    <row r="793" spans="1:11" x14ac:dyDescent="0.3">
      <c r="A793" s="40">
        <f>A792+'1.설계입력'!$C$12</f>
        <v>157.39999999999961</v>
      </c>
      <c r="B793" s="40">
        <f t="shared" si="36"/>
        <v>2.7471482426390677</v>
      </c>
      <c r="C793" s="40">
        <f>ATAN2('1.설계입력'!$C$6/('1.설계입력'!$C$8*'1.설계입력'!$C$15)-COS((1-'1.설계입력'!$C$15)*B793),SIN((1-'1.설계입력'!$C$15)*B793))</f>
        <v>-0.65077265334646661</v>
      </c>
      <c r="D793" s="40">
        <f>'1.설계입력'!$C$6*COS(B793)-'1.설계입력'!$C$7*COS(B793+C793)-'1.설계입력'!$C$8*COS('1.설계입력'!$C$15*B793)</f>
        <v>-72.200035046819508</v>
      </c>
      <c r="E793" s="40">
        <f>-'1.설계입력'!$C$6*SIN(B793)+'1.설계입력'!$C$7*SIN(B793+C793)+'1.설계입력'!$C$8*SIN('1.설계입력'!$C$15*B793)</f>
        <v>-27.947447897229292</v>
      </c>
      <c r="F793" s="40">
        <f>ATAN2(('1.설계입력'!$C$6+'1.설계입력'!$C$33)/('1.설계입력'!$C$8*'1.설계입력'!$C$15)-COS((1-'1.설계입력'!$C$15)*B793),SIN((1-'1.설계입력'!$C$15)*B793))</f>
        <v>-0.65083210576173045</v>
      </c>
      <c r="G793" s="40">
        <f>('1.설계입력'!$C$6+'1.설계입력'!$C$33)*COS(B793)-('1.설계입력'!$C$7+'1.설계입력'!$C$34)*COS(B793+F793)-'1.설계입력'!$C$8*COS('1.설계입력'!$C$15*B793)</f>
        <v>-72.193315343805082</v>
      </c>
      <c r="H793" s="40">
        <f>-('1.설계입력'!$C$6+'1.설계입력'!$C$33)*SIN(B793)+('1.설계입력'!$C$7+'1.설계입력'!$C$34)*SIN(B793+F793)+'1.설계입력'!$C$8*SIN('1.설계입력'!$C$15*B793)</f>
        <v>-27.939130262725261</v>
      </c>
      <c r="I793" s="40">
        <f t="shared" si="37"/>
        <v>77.420313256472369</v>
      </c>
      <c r="J793" s="40">
        <f t="shared" si="38"/>
        <v>77.411044303559251</v>
      </c>
      <c r="K793" s="38">
        <f>IF(OR(A793&gt;180,'1.설계입력'!$C$39&gt;=1),"",'1.설계입력'!$C$34*(1-SIN(B793)/SQRT(1+'1.설계입력'!$C$39^2-2*'1.설계입력'!$C$39*COS(B793)))-'1.설계입력'!$C$33*(1-'1.설계입력'!$C$39*COS(B793)-SQRT(MAX(0,1-'1.설계입력'!$C$39^2))*SIN(B793))/SQRT(1+'1.설계입력'!$C$39^2-2*'1.설계입력'!$C$39*COS(B793)))</f>
        <v>8.8471610175074322E-3</v>
      </c>
    </row>
    <row r="794" spans="1:11" x14ac:dyDescent="0.3">
      <c r="A794" s="40">
        <f>A793+'1.설계입력'!$C$12</f>
        <v>157.5999999999996</v>
      </c>
      <c r="B794" s="40">
        <f t="shared" si="36"/>
        <v>2.7506389011430565</v>
      </c>
      <c r="C794" s="40">
        <f>ATAN2('1.설계입력'!$C$6/('1.설계입력'!$C$8*'1.설계입력'!$C$15)-COS((1-'1.설계입력'!$C$15)*B794),SIN((1-'1.설계입력'!$C$15)*B794))</f>
        <v>-0.7566598868077572</v>
      </c>
      <c r="D794" s="40">
        <f>'1.설계입력'!$C$6*COS(B794)-'1.설계입력'!$C$7*COS(B794+C794)-'1.설계입력'!$C$8*COS('1.설계입력'!$C$15*B794)</f>
        <v>-72.673770841843719</v>
      </c>
      <c r="E794" s="40">
        <f>-'1.설계입력'!$C$6*SIN(B794)+'1.설계입력'!$C$7*SIN(B794+C794)+'1.설계입력'!$C$8*SIN('1.설계입력'!$C$15*B794)</f>
        <v>-27.705259396032542</v>
      </c>
      <c r="F794" s="40">
        <f>ATAN2(('1.설계입력'!$C$6+'1.설계입력'!$C$33)/('1.설계입력'!$C$8*'1.설계입력'!$C$15)-COS((1-'1.설계입력'!$C$15)*B794),SIN((1-'1.설계입력'!$C$15)*B794))</f>
        <v>-0.75671465249730785</v>
      </c>
      <c r="G794" s="40">
        <f>('1.설계입력'!$C$6+'1.설계입력'!$C$33)*COS(B794)-('1.설계입력'!$C$7+'1.설계입력'!$C$34)*COS(B794+F794)-'1.설계입력'!$C$8*COS('1.설계입력'!$C$15*B794)</f>
        <v>-72.667778512429464</v>
      </c>
      <c r="H794" s="40">
        <f>-('1.설계입력'!$C$6+'1.설계입력'!$C$33)*SIN(B794)+('1.설계입력'!$C$7+'1.설계입력'!$C$34)*SIN(B794+F794)+'1.설계입력'!$C$8*SIN('1.설계입력'!$C$15*B794)</f>
        <v>-27.696602468880531</v>
      </c>
      <c r="I794" s="40">
        <f t="shared" si="37"/>
        <v>77.775692646059184</v>
      </c>
      <c r="J794" s="40">
        <f t="shared" si="38"/>
        <v>77.767009857977087</v>
      </c>
      <c r="K794" s="38">
        <f>IF(OR(A794&gt;180,'1.설계입력'!$C$39&gt;=1),"",'1.설계입력'!$C$34*(1-SIN(B794)/SQRT(1+'1.설계입력'!$C$39^2-2*'1.설계입력'!$C$39*COS(B794)))-'1.설계입력'!$C$33*(1-'1.설계입력'!$C$39*COS(B794)-SQRT(MAX(0,1-'1.설계입력'!$C$39^2))*SIN(B794))/SQRT(1+'1.설계입력'!$C$39^2-2*'1.설계입력'!$C$39*COS(B794)))</f>
        <v>8.868070329569832E-3</v>
      </c>
    </row>
    <row r="795" spans="1:11" x14ac:dyDescent="0.3">
      <c r="A795" s="40">
        <f>A794+'1.설계입력'!$C$12</f>
        <v>157.79999999999959</v>
      </c>
      <c r="B795" s="40">
        <f t="shared" si="36"/>
        <v>2.754129559647045</v>
      </c>
      <c r="C795" s="40">
        <f>ATAN2('1.설계입력'!$C$6/('1.설계입력'!$C$8*'1.설계입력'!$C$15)-COS((1-'1.설계입력'!$C$15)*B795),SIN((1-'1.설계입력'!$C$15)*B795))</f>
        <v>-0.80581641004209725</v>
      </c>
      <c r="D795" s="40">
        <f>'1.설계입력'!$C$6*COS(B795)-'1.설계입력'!$C$7*COS(B795+C795)-'1.설계입력'!$C$8*COS('1.설계입력'!$C$15*B795)</f>
        <v>-72.979713395861921</v>
      </c>
      <c r="E795" s="40">
        <f>-'1.설계입력'!$C$6*SIN(B795)+'1.설계입력'!$C$7*SIN(B795+C795)+'1.설계입력'!$C$8*SIN('1.설계입력'!$C$15*B795)</f>
        <v>-27.576480724425775</v>
      </c>
      <c r="F795" s="40">
        <f>ATAN2(('1.설계입력'!$C$6+'1.설계입력'!$C$33)/('1.설계입력'!$C$8*'1.설계입력'!$C$15)-COS((1-'1.설계입력'!$C$15)*B795),SIN((1-'1.설계입력'!$C$15)*B795))</f>
        <v>-0.80586424852786331</v>
      </c>
      <c r="G795" s="40">
        <f>('1.설계입력'!$C$6+'1.설계입력'!$C$33)*COS(B795)-('1.설계입력'!$C$7+'1.설계입력'!$C$34)*COS(B795+F795)-'1.설계입력'!$C$8*COS('1.설계입력'!$C$15*B795)</f>
        <v>-72.974035670641769</v>
      </c>
      <c r="H795" s="40">
        <f>-('1.설계입력'!$C$6+'1.설계입력'!$C$33)*SIN(B795)+('1.설계입력'!$C$7+'1.설계입력'!$C$34)*SIN(B795+F795)+'1.설계입력'!$C$8*SIN('1.설계입력'!$C$15*B795)</f>
        <v>-27.567709122863924</v>
      </c>
      <c r="I795" s="40">
        <f t="shared" si="37"/>
        <v>78.016029484246204</v>
      </c>
      <c r="J795" s="40">
        <f t="shared" si="38"/>
        <v>78.007618014799888</v>
      </c>
      <c r="K795" s="38">
        <f>IF(OR(A795&gt;180,'1.설계입력'!$C$39&gt;=1),"",'1.설계입력'!$C$34*(1-SIN(B795)/SQRT(1+'1.설계입력'!$C$39^2-2*'1.설계입력'!$C$39*COS(B795)))-'1.설계입력'!$C$33*(1-'1.설계입력'!$C$39*COS(B795)-SQRT(MAX(0,1-'1.설계입력'!$C$39^2))*SIN(B795))/SQRT(1+'1.설계입력'!$C$39^2-2*'1.설계입력'!$C$39*COS(B795)))</f>
        <v>8.8889806949145993E-3</v>
      </c>
    </row>
    <row r="796" spans="1:11" x14ac:dyDescent="0.3">
      <c r="A796" s="40">
        <f>A795+'1.설계입력'!$C$12</f>
        <v>157.99999999999957</v>
      </c>
      <c r="B796" s="40">
        <f t="shared" si="36"/>
        <v>2.7576202181510334</v>
      </c>
      <c r="C796" s="40">
        <f>ATAN2('1.설계입력'!$C$6/('1.설계입력'!$C$8*'1.설계입력'!$C$15)-COS((1-'1.설계입력'!$C$15)*B796),SIN((1-'1.설계입력'!$C$15)*B796))</f>
        <v>-0.82066661728321821</v>
      </c>
      <c r="D796" s="40">
        <f>'1.설계입력'!$C$6*COS(B796)-'1.설계입력'!$C$7*COS(B796+C796)-'1.설계입력'!$C$8*COS('1.설계입력'!$C$15*B796)</f>
        <v>-73.187416773628456</v>
      </c>
      <c r="E796" s="40">
        <f>-'1.설계입력'!$C$6*SIN(B796)+'1.설계입력'!$C$7*SIN(B796+C796)+'1.설계입력'!$C$8*SIN('1.설계입력'!$C$15*B796)</f>
        <v>-27.49593068483367</v>
      </c>
      <c r="F796" s="40">
        <f>ATAN2(('1.설계입력'!$C$6+'1.설계입력'!$C$33)/('1.설계입력'!$C$8*'1.설계입력'!$C$15)-COS((1-'1.설계입력'!$C$15)*B796),SIN((1-'1.설계입력'!$C$15)*B796))</f>
        <v>-0.82070794716839535</v>
      </c>
      <c r="G796" s="40">
        <f>('1.설계입력'!$C$6+'1.설계입력'!$C$33)*COS(B796)-('1.설계입력'!$C$7+'1.설계입력'!$C$34)*COS(B796+F796)-'1.설계입력'!$C$8*COS('1.설계입력'!$C$15*B796)</f>
        <v>-73.181797134252548</v>
      </c>
      <c r="H796" s="40">
        <f>-('1.설계입력'!$C$6+'1.설계입력'!$C$33)*SIN(B796)+('1.설계입력'!$C$7+'1.설계입력'!$C$34)*SIN(B796+F796)+'1.설계입력'!$C$8*SIN('1.설계입력'!$C$15*B796)</f>
        <v>-27.487147046976219</v>
      </c>
      <c r="I796" s="40">
        <f t="shared" si="37"/>
        <v>78.181993951433412</v>
      </c>
      <c r="J796" s="40">
        <f t="shared" si="38"/>
        <v>78.173644437118242</v>
      </c>
      <c r="K796" s="38">
        <f>IF(OR(A796&gt;180,'1.설계입력'!$C$39&gt;=1),"",'1.설계입력'!$C$34*(1-SIN(B796)/SQRT(1+'1.설계입력'!$C$39^2-2*'1.설계입력'!$C$39*COS(B796)))-'1.설계입력'!$C$33*(1-'1.설계입력'!$C$39*COS(B796)-SQRT(MAX(0,1-'1.설계입력'!$C$39^2))*SIN(B796))/SQRT(1+'1.설계입력'!$C$39^2-2*'1.설계입력'!$C$39*COS(B796)))</f>
        <v>8.9098920415569688E-3</v>
      </c>
    </row>
    <row r="797" spans="1:11" x14ac:dyDescent="0.3">
      <c r="A797" s="40">
        <f>A796+'1.설계입력'!$C$12</f>
        <v>158.19999999999956</v>
      </c>
      <c r="B797" s="40">
        <f t="shared" si="36"/>
        <v>2.7611108766550219</v>
      </c>
      <c r="C797" s="40">
        <f>ATAN2('1.설계입력'!$C$6/('1.설계입력'!$C$8*'1.설계입력'!$C$15)-COS((1-'1.설계입력'!$C$15)*B797),SIN((1-'1.설계입력'!$C$15)*B797))</f>
        <v>-0.81406835660747523</v>
      </c>
      <c r="D797" s="40">
        <f>'1.설계입력'!$C$6*COS(B797)-'1.설계입력'!$C$7*COS(B797+C797)-'1.설계입력'!$C$8*COS('1.설계입력'!$C$15*B797)</f>
        <v>-73.341689068163177</v>
      </c>
      <c r="E797" s="40">
        <f>-'1.설계입력'!$C$6*SIN(B797)+'1.설계입력'!$C$7*SIN(B797+C797)+'1.설계입력'!$C$8*SIN('1.설계입력'!$C$15*B797)</f>
        <v>-27.436168046745816</v>
      </c>
      <c r="F797" s="40">
        <f>ATAN2(('1.설계입력'!$C$6+'1.설계입력'!$C$33)/('1.설계입력'!$C$8*'1.설계입력'!$C$15)-COS((1-'1.설계입력'!$C$15)*B797),SIN((1-'1.설계입력'!$C$15)*B797))</f>
        <v>-0.81410411842914854</v>
      </c>
      <c r="G797" s="40">
        <f>('1.설계입력'!$C$6+'1.설계입력'!$C$33)*COS(B797)-('1.설계입력'!$C$7+'1.설계입력'!$C$34)*COS(B797+F797)-'1.설계입력'!$C$8*COS('1.설계입력'!$C$15*B797)</f>
        <v>-73.335967875766528</v>
      </c>
      <c r="H797" s="40">
        <f>-('1.설계입력'!$C$6+'1.설계입력'!$C$33)*SIN(B797)+('1.설계입력'!$C$7+'1.설계입력'!$C$34)*SIN(B797+F797)+'1.설계입력'!$C$8*SIN('1.설계입력'!$C$15*B797)</f>
        <v>-27.427430733607373</v>
      </c>
      <c r="I797" s="40">
        <f t="shared" si="37"/>
        <v>78.305470258854854</v>
      </c>
      <c r="J797" s="40">
        <f t="shared" si="38"/>
        <v>78.297050652769101</v>
      </c>
      <c r="K797" s="38">
        <f>IF(OR(A797&gt;180,'1.설계입력'!$C$39&gt;=1),"",'1.설계입력'!$C$34*(1-SIN(B797)/SQRT(1+'1.설계입력'!$C$39^2-2*'1.설계입력'!$C$39*COS(B797)))-'1.설계입력'!$C$33*(1-'1.설계입력'!$C$39*COS(B797)-SQRT(MAX(0,1-'1.설계입력'!$C$39^2))*SIN(B797))/SQRT(1+'1.설계입력'!$C$39^2-2*'1.설계입력'!$C$39*COS(B797)))</f>
        <v>8.9308042975560741E-3</v>
      </c>
    </row>
    <row r="798" spans="1:11" x14ac:dyDescent="0.3">
      <c r="A798" s="40">
        <f>A797+'1.설계입력'!$C$12</f>
        <v>158.39999999999955</v>
      </c>
      <c r="B798" s="40">
        <f t="shared" si="36"/>
        <v>2.7646015351590103</v>
      </c>
      <c r="C798" s="40">
        <f>ATAN2('1.설계입력'!$C$6/('1.설계입력'!$C$8*'1.설계입력'!$C$15)-COS((1-'1.설계입력'!$C$15)*B798),SIN((1-'1.설계입력'!$C$15)*B798))</f>
        <v>-0.79344975223982306</v>
      </c>
      <c r="D798" s="40">
        <f>'1.설계입력'!$C$6*COS(B798)-'1.설계입력'!$C$7*COS(B798+C798)-'1.설계입력'!$C$8*COS('1.설계입력'!$C$15*B798)</f>
        <v>-73.469163493387271</v>
      </c>
      <c r="E798" s="40">
        <f>-'1.설계입력'!$C$6*SIN(B798)+'1.설계입력'!$C$7*SIN(B798+C798)+'1.설계입력'!$C$8*SIN('1.설계입력'!$C$15*B798)</f>
        <v>-27.384201139848415</v>
      </c>
      <c r="F798" s="40">
        <f>ATAN2(('1.설계입력'!$C$6+'1.설계입력'!$C$33)/('1.설계입력'!$C$8*'1.설계입력'!$C$15)-COS((1-'1.설계입력'!$C$15)*B798),SIN((1-'1.설계입력'!$C$15)*B798))</f>
        <v>-0.79348084219476023</v>
      </c>
      <c r="G798" s="40">
        <f>('1.설계입력'!$C$6+'1.설계입력'!$C$33)*COS(B798)-('1.설계입력'!$C$7+'1.설계입력'!$C$34)*COS(B798+F798)-'1.설계입력'!$C$8*COS('1.설계입력'!$C$15*B798)</f>
        <v>-73.463239004421339</v>
      </c>
      <c r="H798" s="40">
        <f>-('1.설계입력'!$C$6+'1.설계입력'!$C$33)*SIN(B798)+('1.설계입력'!$C$7+'1.설계입력'!$C$34)*SIN(B798+F798)+'1.설계입력'!$C$8*SIN('1.설계입력'!$C$15*B798)</f>
        <v>-27.375551916294139</v>
      </c>
      <c r="I798" s="40">
        <f t="shared" si="37"/>
        <v>78.40671180763637</v>
      </c>
      <c r="J798" s="40">
        <f t="shared" si="38"/>
        <v>78.398139823228263</v>
      </c>
      <c r="K798" s="38">
        <f>IF(OR(A798&gt;180,'1.설계입력'!$C$39&gt;=1),"",'1.설계입력'!$C$34*(1-SIN(B798)/SQRT(1+'1.설계입력'!$C$39^2-2*'1.설계입력'!$C$39*COS(B798)))-'1.설계입력'!$C$33*(1-'1.설계입력'!$C$39*COS(B798)-SQRT(MAX(0,1-'1.설계입력'!$C$39^2))*SIN(B798))/SQRT(1+'1.설계입력'!$C$39^2-2*'1.설계입력'!$C$39*COS(B798)))</f>
        <v>8.9517173910148747E-3</v>
      </c>
    </row>
    <row r="799" spans="1:11" x14ac:dyDescent="0.3">
      <c r="A799" s="40">
        <f>A798+'1.설계입력'!$C$12</f>
        <v>158.59999999999954</v>
      </c>
      <c r="B799" s="40">
        <f t="shared" si="36"/>
        <v>2.7680921936629987</v>
      </c>
      <c r="C799" s="40">
        <f>ATAN2('1.설계입력'!$C$6/('1.설계입력'!$C$8*'1.설계입력'!$C$15)-COS((1-'1.설계입력'!$C$15)*B799),SIN((1-'1.설계입력'!$C$15)*B799))</f>
        <v>-0.76327374705052065</v>
      </c>
      <c r="D799" s="40">
        <f>'1.설계입력'!$C$6*COS(B799)-'1.설계입력'!$C$7*COS(B799+C799)-'1.설계입력'!$C$8*COS('1.설계입력'!$C$15*B799)</f>
        <v>-73.585473641103434</v>
      </c>
      <c r="E799" s="40">
        <f>-'1.설계입력'!$C$6*SIN(B799)+'1.설계입력'!$C$7*SIN(B799+C799)+'1.설계입력'!$C$8*SIN('1.설계입력'!$C$15*B799)</f>
        <v>-27.332757081306468</v>
      </c>
      <c r="F799" s="40">
        <f>ATAN2(('1.설계입력'!$C$6+'1.설계입력'!$C$33)/('1.설계입력'!$C$8*'1.설계입력'!$C$15)-COS((1-'1.설계입력'!$C$15)*B799),SIN((1-'1.설계입력'!$C$15)*B799))</f>
        <v>-0.76330090315669452</v>
      </c>
      <c r="G799" s="40">
        <f>('1.설계입력'!$C$6+'1.설계입력'!$C$33)*COS(B799)-('1.설계입력'!$C$7+'1.설계입력'!$C$34)*COS(B799+F799)-'1.설계입력'!$C$8*COS('1.설계입력'!$C$15*B799)</f>
        <v>-73.579279881760684</v>
      </c>
      <c r="H799" s="40">
        <f>-('1.설계입력'!$C$6+'1.설계입력'!$C$33)*SIN(B799)+('1.설계입력'!$C$7+'1.설계입력'!$C$34)*SIN(B799+F799)+'1.설계입력'!$C$8*SIN('1.설계입력'!$C$15*B799)</f>
        <v>-27.324231211254521</v>
      </c>
      <c r="I799" s="40">
        <f t="shared" si="37"/>
        <v>78.4977804823247</v>
      </c>
      <c r="J799" s="40">
        <f t="shared" si="38"/>
        <v>78.489005849256159</v>
      </c>
      <c r="K799" s="38">
        <f>IF(OR(A799&gt;180,'1.설계입력'!$C$39&gt;=1),"",'1.설계입력'!$C$34*(1-SIN(B799)/SQRT(1+'1.설계입력'!$C$39^2-2*'1.설계입력'!$C$39*COS(B799)))-'1.설계입력'!$C$33*(1-'1.설계입력'!$C$39*COS(B799)-SQRT(MAX(0,1-'1.설계입력'!$C$39^2))*SIN(B799))/SQRT(1+'1.설계입력'!$C$39^2-2*'1.설계입력'!$C$39*COS(B799)))</f>
        <v>8.972631250080073E-3</v>
      </c>
    </row>
    <row r="800" spans="1:11" x14ac:dyDescent="0.3">
      <c r="A800" s="40">
        <f>A799+'1.설계입력'!$C$12</f>
        <v>158.79999999999953</v>
      </c>
      <c r="B800" s="40">
        <f t="shared" si="36"/>
        <v>2.7715828521669872</v>
      </c>
      <c r="C800" s="40">
        <f>ATAN2('1.설계입력'!$C$6/('1.설계입력'!$C$8*'1.설계입력'!$C$15)-COS((1-'1.설계입력'!$C$15)*B800),SIN((1-'1.설계입력'!$C$15)*B800))</f>
        <v>-0.72634255391289271</v>
      </c>
      <c r="D800" s="40">
        <f>'1.설계입력'!$C$6*COS(B800)-'1.설계입력'!$C$7*COS(B800+C800)-'1.설계입력'!$C$8*COS('1.설계입력'!$C$15*B800)</f>
        <v>-73.699683869191134</v>
      </c>
      <c r="E800" s="40">
        <f>-'1.설계입력'!$C$6*SIN(B800)+'1.설계입력'!$C$7*SIN(B800+C800)+'1.설계입력'!$C$8*SIN('1.설계입력'!$C$15*B800)</f>
        <v>-27.277043367665183</v>
      </c>
      <c r="F800" s="40">
        <f>ATAN2(('1.설계입력'!$C$6+'1.설계입력'!$C$33)/('1.설계입력'!$C$8*'1.설계입력'!$C$15)-COS((1-'1.설계입력'!$C$15)*B800),SIN((1-'1.설계입력'!$C$15)*B800))</f>
        <v>-0.72636635978631214</v>
      </c>
      <c r="G800" s="40">
        <f>('1.설계입력'!$C$6+'1.설계입력'!$C$33)*COS(B800)-('1.설계입력'!$C$7+'1.설계입력'!$C$34)*COS(B800+F800)-'1.설계입력'!$C$8*COS('1.설계입력'!$C$15*B800)</f>
        <v>-73.693178107591393</v>
      </c>
      <c r="H800" s="40">
        <f>-('1.설계입력'!$C$6+'1.설계입력'!$C$33)*SIN(B800)+('1.설계입력'!$C$7+'1.설계입력'!$C$34)*SIN(B800+F800)+'1.설계입력'!$C$8*SIN('1.설계입력'!$C$15*B800)</f>
        <v>-27.268673412436787</v>
      </c>
      <c r="I800" s="40">
        <f t="shared" si="37"/>
        <v>78.58549800885784</v>
      </c>
      <c r="J800" s="40">
        <f t="shared" si="38"/>
        <v>78.576491708852245</v>
      </c>
      <c r="K800" s="38">
        <f>IF(OR(A800&gt;180,'1.설계입력'!$C$39&gt;=1),"",'1.설계입력'!$C$34*(1-SIN(B800)/SQRT(1+'1.설계입력'!$C$39^2-2*'1.설계입력'!$C$39*COS(B800)))-'1.설계입력'!$C$33*(1-'1.설계입력'!$C$39*COS(B800)-SQRT(MAX(0,1-'1.설계입력'!$C$39^2))*SIN(B800))/SQRT(1+'1.설계입력'!$C$39^2-2*'1.설계입력'!$C$39*COS(B800)))</f>
        <v>8.9935458029420327E-3</v>
      </c>
    </row>
    <row r="801" spans="1:11" x14ac:dyDescent="0.3">
      <c r="A801" s="40">
        <f>A800+'1.설계입력'!$C$12</f>
        <v>158.99999999999952</v>
      </c>
      <c r="B801" s="40">
        <f t="shared" si="36"/>
        <v>2.7750735106709756</v>
      </c>
      <c r="C801" s="40">
        <f>ATAN2('1.설계입력'!$C$6/('1.설계입력'!$C$8*'1.설계입력'!$C$15)-COS((1-'1.설계입력'!$C$15)*B801),SIN((1-'1.설계입력'!$C$15)*B801))</f>
        <v>-0.68449005658912843</v>
      </c>
      <c r="D801" s="40">
        <f>'1.설계입력'!$C$6*COS(B801)-'1.설계입력'!$C$7*COS(B801+C801)-'1.설계입력'!$C$8*COS('1.설계입력'!$C$15*B801)</f>
        <v>-73.816813406514228</v>
      </c>
      <c r="E801" s="40">
        <f>-'1.설계입력'!$C$6*SIN(B801)+'1.설계입력'!$C$7*SIN(B801+C801)+'1.설계입력'!$C$8*SIN('1.설계입력'!$C$15*B801)</f>
        <v>-27.213510239442343</v>
      </c>
      <c r="F801" s="40">
        <f>ATAN2(('1.설계입력'!$C$6+'1.설계입력'!$C$33)/('1.설계입력'!$C$8*'1.설계입력'!$C$15)-COS((1-'1.설계입력'!$C$15)*B801),SIN((1-'1.설계입력'!$C$15)*B801))</f>
        <v>-0.68451096966020231</v>
      </c>
      <c r="G801" s="40">
        <f>('1.설계입력'!$C$6+'1.설계입력'!$C$33)*COS(B801)-('1.설계입력'!$C$7+'1.설계입력'!$C$34)*COS(B801+F801)-'1.설계입력'!$C$8*COS('1.설계입력'!$C$15*B801)</f>
        <v>-73.809968825881839</v>
      </c>
      <c r="H801" s="40">
        <f>-('1.설계입력'!$C$6+'1.설계입력'!$C$33)*SIN(B801)+('1.설계입력'!$C$7+'1.설계입력'!$C$34)*SIN(B801+F801)+'1.설계입력'!$C$8*SIN('1.설계입력'!$C$15*B801)</f>
        <v>-27.205327473766097</v>
      </c>
      <c r="I801" s="40">
        <f t="shared" si="37"/>
        <v>78.673356869046671</v>
      </c>
      <c r="J801" s="40">
        <f t="shared" si="38"/>
        <v>78.664104526985497</v>
      </c>
      <c r="K801" s="38">
        <f>IF(OR(A801&gt;180,'1.설계입력'!$C$39&gt;=1),"",'1.설계입력'!$C$34*(1-SIN(B801)/SQRT(1+'1.설계입력'!$C$39^2-2*'1.설계입력'!$C$39*COS(B801)))-'1.설계입력'!$C$33*(1-'1.설계입력'!$C$39*COS(B801)-SQRT(MAX(0,1-'1.설계입력'!$C$39^2))*SIN(B801))/SQRT(1+'1.설계입력'!$C$39^2-2*'1.설계입력'!$C$39*COS(B801)))</f>
        <v>9.0144609778347092E-3</v>
      </c>
    </row>
    <row r="802" spans="1:11" x14ac:dyDescent="0.3">
      <c r="A802" s="40">
        <f>A801+'1.설계입력'!$C$12</f>
        <v>159.19999999999951</v>
      </c>
      <c r="B802" s="40">
        <f t="shared" si="36"/>
        <v>2.7785641691749641</v>
      </c>
      <c r="C802" s="40">
        <f>ATAN2('1.설계입력'!$C$6/('1.설계입력'!$C$8*'1.설계입력'!$C$15)-COS((1-'1.설계입력'!$C$15)*B802),SIN((1-'1.설계입력'!$C$15)*B802))</f>
        <v>-0.6389617792737966</v>
      </c>
      <c r="D802" s="40">
        <f>'1.설계입력'!$C$6*COS(B802)-'1.설계입력'!$C$7*COS(B802+C802)-'1.설계입력'!$C$8*COS('1.설계입력'!$C$15*B802)</f>
        <v>-73.939289623472845</v>
      </c>
      <c r="E802" s="40">
        <f>-'1.설계입력'!$C$6*SIN(B802)+'1.설계입력'!$C$7*SIN(B802+C802)+'1.설계입력'!$C$8*SIN('1.설계입력'!$C$15*B802)</f>
        <v>-27.139368053067649</v>
      </c>
      <c r="F802" s="40">
        <f>ATAN2(('1.설계입력'!$C$6+'1.설계입력'!$C$33)/('1.설계입력'!$C$8*'1.설계입력'!$C$15)-COS((1-'1.설계입력'!$C$15)*B802),SIN((1-'1.설계입력'!$C$15)*B802))</f>
        <v>-0.63898015890978133</v>
      </c>
      <c r="G802" s="40">
        <f>('1.설계입력'!$C$6+'1.설계입력'!$C$33)*COS(B802)-('1.설계입력'!$C$7+'1.설계입력'!$C$34)*COS(B802+F802)-'1.설계입력'!$C$8*COS('1.설계입력'!$C$15*B802)</f>
        <v>-73.932090857780736</v>
      </c>
      <c r="H802" s="40">
        <f>-('1.설계입력'!$C$6+'1.설계입력'!$C$33)*SIN(B802)+('1.설계입력'!$C$7+'1.설계입력'!$C$34)*SIN(B802+F802)+'1.설계입력'!$C$8*SIN('1.설계입력'!$C$15*B802)</f>
        <v>-27.131402931072778</v>
      </c>
      <c r="I802" s="40">
        <f t="shared" si="37"/>
        <v>78.762705948587552</v>
      </c>
      <c r="J802" s="40">
        <f t="shared" si="38"/>
        <v>78.753203640305145</v>
      </c>
      <c r="K802" s="38">
        <f>IF(OR(A802&gt;180,'1.설계입력'!$C$39&gt;=1),"",'1.설계입력'!$C$34*(1-SIN(B802)/SQRT(1+'1.설계입력'!$C$39^2-2*'1.설계입력'!$C$39*COS(B802)))-'1.설계입력'!$C$33*(1-'1.설계입력'!$C$39*COS(B802)-SQRT(MAX(0,1-'1.설계입력'!$C$39^2))*SIN(B802))/SQRT(1+'1.설계입력'!$C$39^2-2*'1.설계입력'!$C$39*COS(B802)))</f>
        <v>9.0353767030355633E-3</v>
      </c>
    </row>
    <row r="803" spans="1:11" x14ac:dyDescent="0.3">
      <c r="A803" s="40">
        <f>A802+'1.설계입력'!$C$12</f>
        <v>159.39999999999949</v>
      </c>
      <c r="B803" s="40">
        <f t="shared" si="36"/>
        <v>2.7820548276789525</v>
      </c>
      <c r="C803" s="40">
        <f>ATAN2('1.설계입력'!$C$6/('1.설계입력'!$C$8*'1.설계입력'!$C$15)-COS((1-'1.설계입력'!$C$15)*B803),SIN((1-'1.설계입력'!$C$15)*B803))</f>
        <v>-0.5906319238752612</v>
      </c>
      <c r="D803" s="40">
        <f>'1.설계입력'!$C$6*COS(B803)-'1.설계입력'!$C$7*COS(B803+C803)-'1.설계입력'!$C$8*COS('1.설계입력'!$C$15*B803)</f>
        <v>-74.067819071291524</v>
      </c>
      <c r="E803" s="40">
        <f>-'1.설계입력'!$C$6*SIN(B803)+'1.설계입력'!$C$7*SIN(B803+C803)+'1.설계입력'!$C$8*SIN('1.설계입력'!$C$15*B803)</f>
        <v>-27.052401824001553</v>
      </c>
      <c r="F803" s="40">
        <f>ATAN2(('1.설계입력'!$C$6+'1.설계입력'!$C$33)/('1.설계입력'!$C$8*'1.설계입력'!$C$15)-COS((1-'1.설계입력'!$C$15)*B803),SIN((1-'1.설계입력'!$C$15)*B803))</f>
        <v>-0.59064805413077959</v>
      </c>
      <c r="G803" s="40">
        <f>('1.설계입력'!$C$6+'1.설계입력'!$C$33)*COS(B803)-('1.설계입력'!$C$7+'1.설계입력'!$C$34)*COS(B803+F803)-'1.설계입력'!$C$8*COS('1.설계입력'!$C$15*B803)</f>
        <v>-74.060259367561343</v>
      </c>
      <c r="H803" s="40">
        <f>-('1.설계입력'!$C$6+'1.설계입력'!$C$33)*SIN(B803)+('1.설계입력'!$C$7+'1.설계입력'!$C$34)*SIN(B803+F803)+'1.설계입력'!$C$8*SIN('1.설계입력'!$C$15*B803)</f>
        <v>-27.04468405216328</v>
      </c>
      <c r="I803" s="40">
        <f t="shared" si="37"/>
        <v>78.853498758297462</v>
      </c>
      <c r="J803" s="40">
        <f t="shared" si="38"/>
        <v>78.843750247383539</v>
      </c>
      <c r="K803" s="38">
        <f>IF(OR(A803&gt;180,'1.설계입력'!$C$39&gt;=1),"",'1.설계입력'!$C$34*(1-SIN(B803)/SQRT(1+'1.설계입력'!$C$39^2-2*'1.설계입력'!$C$39*COS(B803)))-'1.설계입력'!$C$33*(1-'1.설계입력'!$C$39*COS(B803)-SQRT(MAX(0,1-'1.설계입력'!$C$39^2))*SIN(B803))/SQRT(1+'1.설계입력'!$C$39^2-2*'1.설계입력'!$C$39*COS(B803)))</f>
        <v>9.0562929068655068E-3</v>
      </c>
    </row>
    <row r="804" spans="1:11" x14ac:dyDescent="0.3">
      <c r="A804" s="40">
        <f>A803+'1.설계입력'!$C$12</f>
        <v>159.59999999999948</v>
      </c>
      <c r="B804" s="40">
        <f t="shared" si="36"/>
        <v>2.785545486182941</v>
      </c>
      <c r="C804" s="40">
        <f>ATAN2('1.설계입력'!$C$6/('1.설계입력'!$C$8*'1.설계입력'!$C$15)-COS((1-'1.설계입력'!$C$15)*B804),SIN((1-'1.설계입력'!$C$15)*B804))</f>
        <v>-0.54013233009063844</v>
      </c>
      <c r="D804" s="40">
        <f>'1.설계입력'!$C$6*COS(B804)-'1.설계입력'!$C$7*COS(B804+C804)-'1.설계입력'!$C$8*COS('1.설계입력'!$C$15*B804)</f>
        <v>-74.20193793611125</v>
      </c>
      <c r="E804" s="40">
        <f>-'1.설계입력'!$C$6*SIN(B804)+'1.설계입력'!$C$7*SIN(B804+C804)+'1.설계입력'!$C$8*SIN('1.설계입력'!$C$15*B804)</f>
        <v>-26.9509053788064</v>
      </c>
      <c r="F804" s="40">
        <f>ATAN2(('1.설계입력'!$C$6+'1.설계입력'!$C$33)/('1.설계입력'!$C$8*'1.설계입력'!$C$15)-COS((1-'1.설계입력'!$C$15)*B804),SIN((1-'1.설계입력'!$C$15)*B804))</f>
        <v>-0.54014643698720188</v>
      </c>
      <c r="G804" s="40">
        <f>('1.설계입력'!$C$6+'1.설계입력'!$C$33)*COS(B804)-('1.설계입력'!$C$7+'1.설계입력'!$C$34)*COS(B804+F804)-'1.설계입력'!$C$8*COS('1.설계입력'!$C$15*B804)</f>
        <v>-74.194017273517844</v>
      </c>
      <c r="H804" s="40">
        <f>-('1.설계입력'!$C$6+'1.설계입력'!$C$33)*SIN(B804)+('1.설계입력'!$C$7+'1.설계입력'!$C$34)*SIN(B804+F804)+'1.설계입력'!$C$8*SIN('1.설계입력'!$C$15*B804)</f>
        <v>-26.943463824513348</v>
      </c>
      <c r="I804" s="40">
        <f t="shared" si="37"/>
        <v>78.944783831560912</v>
      </c>
      <c r="J804" s="40">
        <f t="shared" si="38"/>
        <v>78.934798676160085</v>
      </c>
      <c r="K804" s="38">
        <f>IF(OR(A804&gt;180,'1.설계입력'!$C$39&gt;=1),"",'1.설계입력'!$C$34*(1-SIN(B804)/SQRT(1+'1.설계입력'!$C$39^2-2*'1.설계입력'!$C$39*COS(B804)))-'1.설계입력'!$C$33*(1-'1.설계입력'!$C$39*COS(B804)-SQRT(MAX(0,1-'1.설계입력'!$C$39^2))*SIN(B804))/SQRT(1+'1.설계입력'!$C$39^2-2*'1.설계입력'!$C$39*COS(B804)))</f>
        <v>9.0772095176888078E-3</v>
      </c>
    </row>
    <row r="805" spans="1:11" x14ac:dyDescent="0.3">
      <c r="A805" s="40">
        <f>A804+'1.설계입력'!$C$12</f>
        <v>159.79999999999947</v>
      </c>
      <c r="B805" s="40">
        <f t="shared" si="36"/>
        <v>2.7890361446869294</v>
      </c>
      <c r="C805" s="40">
        <f>ATAN2('1.설계입력'!$C$6/('1.설계입력'!$C$8*'1.설계입력'!$C$15)-COS((1-'1.설계입력'!$C$15)*B805),SIN((1-'1.설계입력'!$C$15)*B805))</f>
        <v>-0.48793196153220203</v>
      </c>
      <c r="D805" s="40">
        <f>'1.설계입력'!$C$6*COS(B805)-'1.설계입력'!$C$7*COS(B805+C805)-'1.설계입력'!$C$8*COS('1.설계입력'!$C$15*B805)</f>
        <v>-74.340381071026272</v>
      </c>
      <c r="E805" s="40">
        <f>-'1.설계입력'!$C$6*SIN(B805)+'1.설계입력'!$C$7*SIN(B805+C805)+'1.설계입력'!$C$8*SIN('1.설계입력'!$C$15*B805)</f>
        <v>-26.83366229049863</v>
      </c>
      <c r="F805" s="40">
        <f>ATAN2(('1.설계입력'!$C$6+'1.설계입력'!$C$33)/('1.설계입력'!$C$8*'1.설계입력'!$C$15)-COS((1-'1.설계입력'!$C$15)*B805),SIN((1-'1.설계입력'!$C$15)*B805))</f>
        <v>-0.48794422591623016</v>
      </c>
      <c r="G805" s="40">
        <f>('1.설계입력'!$C$6+'1.설계입력'!$C$33)*COS(B805)-('1.설계입력'!$C$7+'1.설계입력'!$C$34)*COS(B805+F805)-'1.설계입력'!$C$8*COS('1.설계입력'!$C$15*B805)</f>
        <v>-74.332104861228444</v>
      </c>
      <c r="H805" s="40">
        <f>-('1.설계입력'!$C$6+'1.설계입력'!$C$33)*SIN(B805)+('1.설계입력'!$C$7+'1.설계입력'!$C$34)*SIN(B805+F805)+'1.설계입력'!$C$8*SIN('1.설계입력'!$C$15*B805)</f>
        <v>-26.826524824359378</v>
      </c>
      <c r="I805" s="40">
        <f t="shared" si="37"/>
        <v>79.035040897730482</v>
      </c>
      <c r="J805" s="40">
        <f t="shared" si="38"/>
        <v>79.024833104870467</v>
      </c>
      <c r="K805" s="38">
        <f>IF(OR(A805&gt;180,'1.설계입력'!$C$39&gt;=1),"",'1.설계입력'!$C$34*(1-SIN(B805)/SQRT(1+'1.설계입력'!$C$39^2-2*'1.설계입력'!$C$39*COS(B805)))-'1.설계입력'!$C$33*(1-'1.설계입력'!$C$39*COS(B805)-SQRT(MAX(0,1-'1.설계입력'!$C$39^2))*SIN(B805))/SQRT(1+'1.설계입력'!$C$39^2-2*'1.설계입력'!$C$39*COS(B805)))</f>
        <v>9.0981264639130484E-3</v>
      </c>
    </row>
    <row r="806" spans="1:11" x14ac:dyDescent="0.3">
      <c r="A806" s="40">
        <f>A805+'1.설계입력'!$C$12</f>
        <v>159.99999999999946</v>
      </c>
      <c r="B806" s="40">
        <f t="shared" si="36"/>
        <v>2.7925268031909178</v>
      </c>
      <c r="C806" s="40">
        <f>ATAN2('1.설계입력'!$C$6/('1.설계입력'!$C$8*'1.설계입력'!$C$15)-COS((1-'1.설계입력'!$C$15)*B806),SIN((1-'1.설계입력'!$C$15)*B806))</f>
        <v>-0.43438756483697966</v>
      </c>
      <c r="D806" s="40">
        <f>'1.설계입력'!$C$6*COS(B806)-'1.설계입력'!$C$7*COS(B806+C806)-'1.설계입력'!$C$8*COS('1.설계입력'!$C$15*B806)</f>
        <v>-74.481344819832273</v>
      </c>
      <c r="E806" s="40">
        <f>-'1.설계입력'!$C$6*SIN(B806)+'1.설계입력'!$C$7*SIN(B806+C806)+'1.설계입력'!$C$8*SIN('1.설계입력'!$C$15*B806)</f>
        <v>-26.69994218107983</v>
      </c>
      <c r="F806" s="40">
        <f>ATAN2(('1.설계입력'!$C$6+'1.설계입력'!$C$33)/('1.설계입력'!$C$8*'1.설계입력'!$C$15)-COS((1-'1.설계입력'!$C$15)*B806),SIN((1-'1.설계입력'!$C$15)*B806))</f>
        <v>-0.43439813190559584</v>
      </c>
      <c r="G806" s="40">
        <f>('1.설계입력'!$C$6+'1.설계입력'!$C$33)*COS(B806)-('1.설계입력'!$C$7+'1.설계입력'!$C$34)*COS(B806+F806)-'1.설계입력'!$C$8*COS('1.설계입력'!$C$15*B806)</f>
        <v>-74.472722970513161</v>
      </c>
      <c r="H806" s="40">
        <f>-('1.설계입력'!$C$6+'1.설계입력'!$C$33)*SIN(B806)+('1.설계입력'!$C$7+'1.설계입력'!$C$34)*SIN(B806+F806)+'1.설계입력'!$C$8*SIN('1.설계입력'!$C$15*B806)</f>
        <v>-26.693135496468035</v>
      </c>
      <c r="I806" s="40">
        <f t="shared" si="37"/>
        <v>79.122421845161952</v>
      </c>
      <c r="J806" s="40">
        <f t="shared" si="38"/>
        <v>79.112008881557287</v>
      </c>
      <c r="K806" s="38">
        <f>IF(OR(A806&gt;180,'1.설계입력'!$C$39&gt;=1),"",'1.설계입력'!$C$34*(1-SIN(B806)/SQRT(1+'1.설계입력'!$C$39^2-2*'1.설계입력'!$C$39*COS(B806)))-'1.설계입력'!$C$33*(1-'1.설계입력'!$C$39*COS(B806)-SQRT(MAX(0,1-'1.설계입력'!$C$39^2))*SIN(B806))/SQRT(1+'1.설계입력'!$C$39^2-2*'1.설계입력'!$C$39*COS(B806)))</f>
        <v>9.1190436739890385E-3</v>
      </c>
    </row>
    <row r="807" spans="1:11" x14ac:dyDescent="0.3">
      <c r="A807" s="40">
        <f>A806+'1.설계입력'!$C$12</f>
        <v>160.19999999999945</v>
      </c>
      <c r="B807" s="40">
        <f t="shared" si="36"/>
        <v>2.7960174616949063</v>
      </c>
      <c r="C807" s="40">
        <f>ATAN2('1.설계입력'!$C$6/('1.설계입력'!$C$8*'1.설계입력'!$C$15)-COS((1-'1.설계입력'!$C$15)*B807),SIN((1-'1.설계입력'!$C$15)*B807))</f>
        <v>-0.37977696022953233</v>
      </c>
      <c r="D807" s="40">
        <f>'1.설계입력'!$C$6*COS(B807)-'1.설계입력'!$C$7*COS(B807+C807)-'1.설계입력'!$C$8*COS('1.설계입력'!$C$15*B807)</f>
        <v>-74.622685141788253</v>
      </c>
      <c r="E807" s="40">
        <f>-'1.설계입력'!$C$6*SIN(B807)+'1.설계입력'!$C$7*SIN(B807+C807)+'1.설계입력'!$C$8*SIN('1.설계입력'!$C$15*B807)</f>
        <v>-26.549498285751994</v>
      </c>
      <c r="F807" s="40">
        <f>ATAN2(('1.설계입력'!$C$6+'1.설계입력'!$C$33)/('1.설계입력'!$C$8*'1.설계입력'!$C$15)-COS((1-'1.설계입력'!$C$15)*B807),SIN((1-'1.설계입력'!$C$15)*B807))</f>
        <v>-0.37978594660021342</v>
      </c>
      <c r="G807" s="40">
        <f>('1.설계입력'!$C$6+'1.설계입력'!$C$33)*COS(B807)-('1.설계입력'!$C$7+'1.설계입력'!$C$34)*COS(B807+F807)-'1.설계입력'!$C$8*COS('1.설계입력'!$C$15*B807)</f>
        <v>-74.613731352617833</v>
      </c>
      <c r="H807" s="40">
        <f>-('1.설계입력'!$C$6+'1.설계입력'!$C$33)*SIN(B807)+('1.설계입력'!$C$7+'1.설계입력'!$C$34)*SIN(B807+F807)+'1.설계입력'!$C$8*SIN('1.설계입력'!$C$15*B807)</f>
        <v>-26.543047715267072</v>
      </c>
      <c r="I807" s="40">
        <f t="shared" si="37"/>
        <v>79.204930383124591</v>
      </c>
      <c r="J807" s="40">
        <f t="shared" si="38"/>
        <v>79.194332425847051</v>
      </c>
      <c r="K807" s="38">
        <f>IF(OR(A807&gt;180,'1.설계입력'!$C$39&gt;=1),"",'1.설계입력'!$C$34*(1-SIN(B807)/SQRT(1+'1.설계입력'!$C$39^2-2*'1.설계입력'!$C$39*COS(B807)))-'1.설계입력'!$C$33*(1-'1.설계입력'!$C$39*COS(B807)-SQRT(MAX(0,1-'1.설계입력'!$C$39^2))*SIN(B807))/SQRT(1+'1.설계입력'!$C$39^2-2*'1.설계입력'!$C$39*COS(B807)))</f>
        <v>9.1399610764107599E-3</v>
      </c>
    </row>
    <row r="808" spans="1:11" x14ac:dyDescent="0.3">
      <c r="A808" s="40">
        <f>A807+'1.설계입력'!$C$12</f>
        <v>160.39999999999944</v>
      </c>
      <c r="B808" s="40">
        <f t="shared" si="36"/>
        <v>2.7995081201988947</v>
      </c>
      <c r="C808" s="40">
        <f>ATAN2('1.설계입력'!$C$6/('1.설계입력'!$C$8*'1.설계입력'!$C$15)-COS((1-'1.설계입력'!$C$15)*B808),SIN((1-'1.설계입력'!$C$15)*B808))</f>
        <v>-0.32432155060641504</v>
      </c>
      <c r="D808" s="40">
        <f>'1.설계입력'!$C$6*COS(B808)-'1.설계입력'!$C$7*COS(B808+C808)-'1.설계입력'!$C$8*COS('1.설계입력'!$C$15*B808)</f>
        <v>-74.76207436655362</v>
      </c>
      <c r="E808" s="40">
        <f>-'1.설계입력'!$C$6*SIN(B808)+'1.설계입력'!$C$7*SIN(B808+C808)+'1.설계입력'!$C$8*SIN('1.설계입력'!$C$15*B808)</f>
        <v>-26.382559815062105</v>
      </c>
      <c r="F808" s="40">
        <f>ATAN2(('1.설계입력'!$C$6+'1.설계입력'!$C$33)/('1.설계입력'!$C$8*'1.설계입력'!$C$15)-COS((1-'1.설계입력'!$C$15)*B808),SIN((1-'1.설계입력'!$C$15)*B808))</f>
        <v>-0.32432904958076042</v>
      </c>
      <c r="G808" s="40">
        <f>('1.설계입력'!$C$6+'1.설계입력'!$C$33)*COS(B808)-('1.설계입력'!$C$7+'1.설계입력'!$C$34)*COS(B808+F808)-'1.설계입력'!$C$8*COS('1.설계입력'!$C$15*B808)</f>
        <v>-74.752805576699231</v>
      </c>
      <c r="H808" s="40">
        <f>-('1.설계입력'!$C$6+'1.설계입력'!$C$33)*SIN(B808)+('1.설계입력'!$C$7+'1.설계입력'!$C$34)*SIN(B808+F808)+'1.설계입력'!$C$8*SIN('1.설계입력'!$C$15*B808)</f>
        <v>-26.376489152846208</v>
      </c>
      <c r="I808" s="40">
        <f t="shared" si="37"/>
        <v>79.280560202267893</v>
      </c>
      <c r="J808" s="40">
        <f t="shared" si="38"/>
        <v>79.269799555808191</v>
      </c>
      <c r="K808" s="38">
        <f>IF(OR(A808&gt;180,'1.설계입력'!$C$39&gt;=1),"",'1.설계입력'!$C$34*(1-SIN(B808)/SQRT(1+'1.설계입력'!$C$39^2-2*'1.설계입력'!$C$39*COS(B808)))-'1.설계입력'!$C$33*(1-'1.설계입력'!$C$39*COS(B808)-SQRT(MAX(0,1-'1.설계입력'!$C$39^2))*SIN(B808))/SQRT(1+'1.설계입력'!$C$39^2-2*'1.설계입력'!$C$39*COS(B808)))</f>
        <v>9.160878599715306E-3</v>
      </c>
    </row>
    <row r="809" spans="1:11" x14ac:dyDescent="0.3">
      <c r="A809" s="40">
        <f>A808+'1.설계입력'!$C$12</f>
        <v>160.59999999999943</v>
      </c>
      <c r="B809" s="40">
        <f t="shared" si="36"/>
        <v>2.8029987787028832</v>
      </c>
      <c r="C809" s="40">
        <f>ATAN2('1.설계입력'!$C$6/('1.설계입력'!$C$8*'1.설계입력'!$C$15)-COS((1-'1.설계입력'!$C$15)*B809),SIN((1-'1.설계입력'!$C$15)*B809))</f>
        <v>-0.26820196281774522</v>
      </c>
      <c r="D809" s="40">
        <f>'1.설계입력'!$C$6*COS(B809)-'1.설계입력'!$C$7*COS(B809+C809)-'1.설계입력'!$C$8*COS('1.설계입력'!$C$15*B809)</f>
        <v>-74.897129836900632</v>
      </c>
      <c r="E809" s="40">
        <f>-'1.설계입력'!$C$6*SIN(B809)+'1.설계입력'!$C$7*SIN(B809+C809)+'1.설계입력'!$C$8*SIN('1.설계입력'!$C$15*B809)</f>
        <v>-26.199816218873188</v>
      </c>
      <c r="F809" s="40">
        <f>ATAN2(('1.설계입력'!$C$6+'1.설계입력'!$C$33)/('1.설계입력'!$C$8*'1.설계입력'!$C$15)-COS((1-'1.설계입력'!$C$15)*B809),SIN((1-'1.설계입력'!$C$15)*B809))</f>
        <v>-0.26820804830733297</v>
      </c>
      <c r="G809" s="40">
        <f>('1.설계입력'!$C$6+'1.설계입력'!$C$33)*COS(B809)-('1.설계입력'!$C$7+'1.설계입력'!$C$34)*COS(B809+F809)-'1.설계입력'!$C$8*COS('1.설계입력'!$C$15*B809)</f>
        <v>-74.887565772669092</v>
      </c>
      <c r="H809" s="40">
        <f>-('1.설계입력'!$C$6+'1.설계입력'!$C$33)*SIN(B809)+('1.설계입력'!$C$7+'1.설계입력'!$C$34)*SIN(B809+F809)+'1.설계입력'!$C$8*SIN('1.설계입력'!$C$15*B809)</f>
        <v>-26.194147552764665</v>
      </c>
      <c r="I809" s="40">
        <f t="shared" si="37"/>
        <v>79.347403408733427</v>
      </c>
      <c r="J809" s="40">
        <f t="shared" si="38"/>
        <v>79.336504040522527</v>
      </c>
      <c r="K809" s="38">
        <f>IF(OR(A809&gt;180,'1.설계입력'!$C$39&gt;=1),"",'1.설계입력'!$C$34*(1-SIN(B809)/SQRT(1+'1.설계입력'!$C$39^2-2*'1.설계입력'!$C$39*COS(B809)))-'1.설계입력'!$C$33*(1-'1.설계입력'!$C$39*COS(B809)-SQRT(MAX(0,1-'1.설계입력'!$C$39^2))*SIN(B809))/SQRT(1+'1.설계입력'!$C$39^2-2*'1.설계입력'!$C$39*COS(B809)))</f>
        <v>9.1817961724828118E-3</v>
      </c>
    </row>
    <row r="810" spans="1:11" x14ac:dyDescent="0.3">
      <c r="A810" s="40">
        <f>A809+'1.설계입력'!$C$12</f>
        <v>160.79999999999941</v>
      </c>
      <c r="B810" s="40">
        <f t="shared" si="36"/>
        <v>2.8064894372068716</v>
      </c>
      <c r="C810" s="40">
        <f>ATAN2('1.설계입력'!$C$6/('1.설계입력'!$C$8*'1.설계입력'!$C$15)-COS((1-'1.설계입력'!$C$15)*B810),SIN((1-'1.설계입력'!$C$15)*B810))</f>
        <v>-0.21156921989355792</v>
      </c>
      <c r="D810" s="40">
        <f>'1.설계입력'!$C$6*COS(B810)-'1.설계입력'!$C$7*COS(B810+C810)-'1.설계입력'!$C$8*COS('1.설계입력'!$C$15*B810)</f>
        <v>-75.025521972810552</v>
      </c>
      <c r="E810" s="40">
        <f>-'1.설계입력'!$C$6*SIN(B810)+'1.설계입력'!$C$7*SIN(B810+C810)+'1.설계입력'!$C$8*SIN('1.설계입력'!$C$15*B810)</f>
        <v>-26.00239222789623</v>
      </c>
      <c r="F810" s="40">
        <f>ATAN2(('1.설계입력'!$C$6+'1.설계입력'!$C$33)/('1.설계입력'!$C$8*'1.설계입력'!$C$15)-COS((1-'1.설계입력'!$C$15)*B810),SIN((1-'1.설계입력'!$C$15)*B810))</f>
        <v>-0.21157394934040047</v>
      </c>
      <c r="G810" s="40">
        <f>('1.설계입력'!$C$6+'1.설계입력'!$C$33)*COS(B810)-('1.설계입력'!$C$7+'1.설계입력'!$C$34)*COS(B810+F810)-'1.설계입력'!$C$8*COS('1.설계입력'!$C$15*B810)</f>
        <v>-75.015684761880564</v>
      </c>
      <c r="H810" s="40">
        <f>-('1.설계입력'!$C$6+'1.설계입력'!$C$33)*SIN(B810)+('1.설계입력'!$C$7+'1.설계입력'!$C$34)*SIN(B810+F810)+'1.설계입력'!$C$8*SIN('1.설계입력'!$C$15*B810)</f>
        <v>-25.99714578306088</v>
      </c>
      <c r="I810" s="40">
        <f t="shared" si="37"/>
        <v>79.403736365904322</v>
      </c>
      <c r="J810" s="40">
        <f t="shared" si="38"/>
        <v>79.3927235277866</v>
      </c>
      <c r="K810" s="38">
        <f>IF(OR(A810&gt;180,'1.설계입력'!$C$39&gt;=1),"",'1.설계입력'!$C$34*(1-SIN(B810)/SQRT(1+'1.설계입력'!$C$39^2-2*'1.설계입력'!$C$39*COS(B810)))-'1.설계입력'!$C$33*(1-'1.설계입력'!$C$39*COS(B810)-SQRT(MAX(0,1-'1.설계입력'!$C$39^2))*SIN(B810))/SQRT(1+'1.설계입력'!$C$39^2-2*'1.설계입력'!$C$39*COS(B810)))</f>
        <v>9.2027137233364094E-3</v>
      </c>
    </row>
    <row r="811" spans="1:11" x14ac:dyDescent="0.3">
      <c r="A811" s="40">
        <f>A810+'1.설계입력'!$C$12</f>
        <v>160.9999999999994</v>
      </c>
      <c r="B811" s="40">
        <f t="shared" si="36"/>
        <v>2.80998009571086</v>
      </c>
      <c r="C811" s="40">
        <f>ATAN2('1.설계입력'!$C$6/('1.설계입력'!$C$8*'1.설계입력'!$C$15)-COS((1-'1.설계입력'!$C$15)*B811),SIN((1-'1.설계입력'!$C$15)*B811))</f>
        <v>-0.15455295955580869</v>
      </c>
      <c r="D811" s="40">
        <f>'1.설계입력'!$C$6*COS(B811)-'1.설계입력'!$C$7*COS(B811+C811)-'1.설계입력'!$C$8*COS('1.설계입력'!$C$15*B811)</f>
        <v>-75.145065966319464</v>
      </c>
      <c r="E811" s="40">
        <f>-'1.설계입력'!$C$6*SIN(B811)+'1.설계입력'!$C$7*SIN(B811+C811)+'1.설계입력'!$C$8*SIN('1.설계입력'!$C$15*B811)</f>
        <v>-25.79181349347153</v>
      </c>
      <c r="F811" s="40">
        <f>ATAN2(('1.설계입력'!$C$6+'1.설계입력'!$C$33)/('1.설계입력'!$C$8*'1.설계입력'!$C$15)-COS((1-'1.설계입력'!$C$15)*B811),SIN((1-'1.설계입력'!$C$15)*B811))</f>
        <v>-0.15455637608202519</v>
      </c>
      <c r="G811" s="40">
        <f>('1.설계입력'!$C$6+'1.설계입력'!$C$33)*COS(B811)-('1.설계입력'!$C$7+'1.설계입력'!$C$34)*COS(B811+F811)-'1.설계입력'!$C$8*COS('1.설계입력'!$C$15*B811)</f>
        <v>-75.134979796132825</v>
      </c>
      <c r="H811" s="40">
        <f>-('1.설계입력'!$C$6+'1.설계입력'!$C$33)*SIN(B811)+('1.설계입력'!$C$7+'1.설계입력'!$C$34)*SIN(B811+F811)+'1.설계입력'!$C$8*SIN('1.설계입력'!$C$15*B811)</f>
        <v>-25.78700748802196</v>
      </c>
      <c r="I811" s="40">
        <f t="shared" si="37"/>
        <v>79.448087342393109</v>
      </c>
      <c r="J811" s="40">
        <f t="shared" si="38"/>
        <v>79.436987255009797</v>
      </c>
      <c r="K811" s="38">
        <f>IF(OR(A811&gt;180,'1.설계입력'!$C$39&gt;=1),"",'1.설계입력'!$C$34*(1-SIN(B811)/SQRT(1+'1.설계입력'!$C$39^2-2*'1.설계입력'!$C$39*COS(B811)))-'1.설계입력'!$C$33*(1-'1.설계입력'!$C$39*COS(B811)-SQRT(MAX(0,1-'1.설계입력'!$C$39^2))*SIN(B811))/SQRT(1+'1.설계입력'!$C$39^2-2*'1.설계입력'!$C$39*COS(B811)))</f>
        <v>9.2236311809421583E-3</v>
      </c>
    </row>
    <row r="812" spans="1:11" x14ac:dyDescent="0.3">
      <c r="A812" s="40">
        <f>A811+'1.설계입력'!$C$12</f>
        <v>161.19999999999939</v>
      </c>
      <c r="B812" s="40">
        <f t="shared" si="36"/>
        <v>2.8134707542148485</v>
      </c>
      <c r="C812" s="40">
        <f>ATAN2('1.설계입력'!$C$6/('1.설계입력'!$C$8*'1.설계입력'!$C$15)-COS((1-'1.설계입력'!$C$15)*B812),SIN((1-'1.설계입력'!$C$15)*B812))</f>
        <v>-9.726768664815505E-2</v>
      </c>
      <c r="D812" s="40">
        <f>'1.설계입력'!$C$6*COS(B812)-'1.설계입력'!$C$7*COS(B812+C812)-'1.설계입력'!$C$8*COS('1.설계입력'!$C$15*B812)</f>
        <v>-75.253799356093054</v>
      </c>
      <c r="E812" s="40">
        <f>-'1.설계입력'!$C$6*SIN(B812)+'1.설계입력'!$C$7*SIN(B812+C812)+'1.설계입력'!$C$8*SIN('1.설계입력'!$C$15*B812)</f>
        <v>-25.56996319164972</v>
      </c>
      <c r="F812" s="40">
        <f>ATAN2(('1.설계입력'!$C$6+'1.설계입력'!$C$33)/('1.설계입력'!$C$8*'1.설계입력'!$C$15)-COS((1-'1.설계입력'!$C$15)*B812),SIN((1-'1.설계입력'!$C$15)*B812))</f>
        <v>-9.7269820598904308E-2</v>
      </c>
      <c r="G812" s="40">
        <f>('1.설계입력'!$C$6+'1.설계입력'!$C$33)*COS(B812)-('1.설계입력'!$C$7+'1.설계입력'!$C$34)*COS(B812+F812)-'1.설계입력'!$C$8*COS('1.설계입력'!$C$15*B812)</f>
        <v>-75.243490161008197</v>
      </c>
      <c r="H812" s="40">
        <f>-('1.설계입력'!$C$6+'1.설계입력'!$C$33)*SIN(B812)+('1.설계입력'!$C$7+'1.설계입력'!$C$34)*SIN(B812+F812)+'1.설계입력'!$C$8*SIN('1.설계입력'!$C$15*B812)</f>
        <v>-25.565613704183285</v>
      </c>
      <c r="I812" s="40">
        <f t="shared" si="37"/>
        <v>79.479288718190176</v>
      </c>
      <c r="J812" s="40">
        <f t="shared" si="38"/>
        <v>79.46812830110737</v>
      </c>
      <c r="K812" s="38">
        <f>IF(OR(A812&gt;180,'1.설계입력'!$C$39&gt;=1),"",'1.설계입력'!$C$34*(1-SIN(B812)/SQRT(1+'1.설계입력'!$C$39^2-2*'1.설계입력'!$C$39*COS(B812)))-'1.설계입력'!$C$33*(1-'1.설계입력'!$C$39*COS(B812)-SQRT(MAX(0,1-'1.설계입력'!$C$39^2))*SIN(B812))/SQRT(1+'1.설계입력'!$C$39^2-2*'1.설계입력'!$C$39*COS(B812)))</f>
        <v>9.2445484740090005E-3</v>
      </c>
    </row>
    <row r="813" spans="1:11" x14ac:dyDescent="0.3">
      <c r="A813" s="40">
        <f>A812+'1.설계입력'!$C$12</f>
        <v>161.39999999999938</v>
      </c>
      <c r="B813" s="40">
        <f t="shared" si="36"/>
        <v>2.8169614127188369</v>
      </c>
      <c r="C813" s="40">
        <f>ATAN2('1.설계입력'!$C$6/('1.설계입력'!$C$8*'1.설계입력'!$C$15)-COS((1-'1.설계입력'!$C$15)*B813),SIN((1-'1.설계입력'!$C$15)*B813))</f>
        <v>-3.981772640430712E-2</v>
      </c>
      <c r="D813" s="40">
        <f>'1.설계입력'!$C$6*COS(B813)-'1.설계입력'!$C$7*COS(B813+C813)-'1.설계입력'!$C$8*COS('1.설계입력'!$C$15*B813)</f>
        <v>-75.350046566930374</v>
      </c>
      <c r="E813" s="40">
        <f>-'1.설계입력'!$C$6*SIN(B813)+'1.설계입력'!$C$7*SIN(B813+C813)+'1.설계입력'!$C$8*SIN('1.설계입력'!$C$15*B813)</f>
        <v>-25.339030296856553</v>
      </c>
      <c r="F813" s="40">
        <f>ATAN2(('1.설계입력'!$C$6+'1.설계입력'!$C$33)/('1.설계입력'!$C$8*'1.설계입력'!$C$15)-COS((1-'1.설계입력'!$C$15)*B813),SIN((1-'1.설계입력'!$C$15)*B813))</f>
        <v>-3.9818596396437624E-2</v>
      </c>
      <c r="G813" s="40">
        <f>('1.설계입력'!$C$6+'1.설계입력'!$C$33)*COS(B813)-('1.설계입력'!$C$7+'1.설계입력'!$C$34)*COS(B813+F813)-'1.설계입력'!$C$8*COS('1.설계입력'!$C$15*B813)</f>
        <v>-75.339541733241731</v>
      </c>
      <c r="H813" s="40">
        <f>-('1.설계입력'!$C$6+'1.설계입력'!$C$33)*SIN(B813)+('1.설계입력'!$C$7+'1.설계입력'!$C$34)*SIN(B813+F813)+'1.설계입력'!$C$8*SIN('1.설계입력'!$C$15*B813)</f>
        <v>-25.335151145497747</v>
      </c>
      <c r="I813" s="40">
        <f t="shared" si="37"/>
        <v>79.496515483532917</v>
      </c>
      <c r="J813" s="40">
        <f t="shared" si="38"/>
        <v>79.485322117609158</v>
      </c>
      <c r="K813" s="38">
        <f>IF(OR(A813&gt;180,'1.설계입력'!$C$39&gt;=1),"",'1.설계입력'!$C$34*(1-SIN(B813)/SQRT(1+'1.설계입력'!$C$39^2-2*'1.설계입력'!$C$39*COS(B813)))-'1.설계입력'!$C$33*(1-'1.설계입력'!$C$39*COS(B813)-SQRT(MAX(0,1-'1.설계입력'!$C$39^2))*SIN(B813))/SQRT(1+'1.설계입력'!$C$39^2-2*'1.설계입력'!$C$39*COS(B813)))</f>
        <v>9.2654655312886993E-3</v>
      </c>
    </row>
    <row r="814" spans="1:11" x14ac:dyDescent="0.3">
      <c r="A814" s="40">
        <f>A813+'1.설계입력'!$C$12</f>
        <v>161.59999999999937</v>
      </c>
      <c r="B814" s="40">
        <f t="shared" si="36"/>
        <v>2.8204520712228254</v>
      </c>
      <c r="C814" s="40">
        <f>ATAN2('1.설계입력'!$C$6/('1.설계입력'!$C$8*'1.설계입력'!$C$15)-COS((1-'1.설계입력'!$C$15)*B814),SIN((1-'1.설계입력'!$C$15)*B814))</f>
        <v>1.7698650402765619E-2</v>
      </c>
      <c r="D814" s="40">
        <f>'1.설계입력'!$C$6*COS(B814)-'1.설계입력'!$C$7*COS(B814+C814)-'1.설계입력'!$C$8*COS('1.설계입력'!$C$15*B814)</f>
        <v>-75.432470811522364</v>
      </c>
      <c r="E814" s="40">
        <f>-'1.설계입력'!$C$6*SIN(B814)+'1.설계입력'!$C$7*SIN(B814+C814)+'1.설계입력'!$C$8*SIN('1.설계입력'!$C$15*B814)</f>
        <v>-25.101450451907283</v>
      </c>
      <c r="F814" s="40">
        <f>ATAN2(('1.설계입력'!$C$6+'1.설계입력'!$C$33)/('1.설계입력'!$C$8*'1.설계입력'!$C$15)-COS((1-'1.설계입력'!$C$15)*B814),SIN((1-'1.설계입력'!$C$15)*B814))</f>
        <v>1.7699036852737427E-2</v>
      </c>
      <c r="G814" s="40">
        <f>('1.설계입력'!$C$6+'1.설계입력'!$C$33)*COS(B814)-('1.설계입력'!$C$7+'1.설계입력'!$C$34)*COS(B814+F814)-'1.설계입력'!$C$8*COS('1.설계입력'!$C$15*B814)</f>
        <v>-75.421798892314285</v>
      </c>
      <c r="H814" s="40">
        <f>-('1.설계입력'!$C$6+'1.설계입력'!$C$33)*SIN(B814)+('1.설계입력'!$C$7+'1.설계입력'!$C$34)*SIN(B814+F814)+'1.설계입력'!$C$8*SIN('1.설계입력'!$C$15*B814)</f>
        <v>-25.098053084169784</v>
      </c>
      <c r="I814" s="40">
        <f t="shared" si="37"/>
        <v>79.499311113497896</v>
      </c>
      <c r="J814" s="40">
        <f t="shared" si="38"/>
        <v>79.48811242423929</v>
      </c>
      <c r="K814" s="38">
        <f>IF(OR(A814&gt;180,'1.설계입력'!$C$39&gt;=1),"",'1.설계입력'!$C$34*(1-SIN(B814)/SQRT(1+'1.설계입력'!$C$39^2-2*'1.설계입력'!$C$39*COS(B814)))-'1.설계입력'!$C$33*(1-'1.설계입력'!$C$39*COS(B814)-SQRT(MAX(0,1-'1.설계입력'!$C$39^2))*SIN(B814))/SQRT(1+'1.설계입력'!$C$39^2-2*'1.설계입력'!$C$39*COS(B814)))</f>
        <v>9.2863822815757967E-3</v>
      </c>
    </row>
    <row r="815" spans="1:11" x14ac:dyDescent="0.3">
      <c r="A815" s="40">
        <f>A814+'1.설계입력'!$C$12</f>
        <v>161.79999999999936</v>
      </c>
      <c r="B815" s="40">
        <f t="shared" si="36"/>
        <v>2.8239427297268138</v>
      </c>
      <c r="C815" s="40">
        <f>ATAN2('1.설계입력'!$C$6/('1.설계입력'!$C$8*'1.설계입력'!$C$15)-COS((1-'1.설계입력'!$C$15)*B815),SIN((1-'1.설계입력'!$C$15)*B815))</f>
        <v>7.5185576521987943E-2</v>
      </c>
      <c r="D815" s="40">
        <f>'1.설계입력'!$C$6*COS(B815)-'1.설계입력'!$C$7*COS(B815+C815)-'1.설계입력'!$C$8*COS('1.설계입력'!$C$15*B815)</f>
        <v>-75.500113351575507</v>
      </c>
      <c r="E815" s="40">
        <f>-'1.설계입력'!$C$6*SIN(B815)+'1.설계입력'!$C$7*SIN(B815+C815)+'1.설계입력'!$C$8*SIN('1.설계입력'!$C$15*B815)</f>
        <v>-24.859840503943801</v>
      </c>
      <c r="F815" s="40">
        <f>ATAN2(('1.설계입력'!$C$6+'1.설계입력'!$C$33)/('1.설계입력'!$C$8*'1.설계입력'!$C$15)-COS((1-'1.설계입력'!$C$15)*B815),SIN((1-'1.설계입력'!$C$15)*B815))</f>
        <v>7.5187222747671034E-2</v>
      </c>
      <c r="G815" s="40">
        <f>('1.설계입력'!$C$6+'1.설계입력'!$C$33)*COS(B815)-('1.설계입력'!$C$7+'1.설계입력'!$C$34)*COS(B815+F815)-'1.설계입력'!$C$8*COS('1.설계입력'!$C$15*B815)</f>
        <v>-75.489303785135704</v>
      </c>
      <c r="H815" s="40">
        <f>-('1.설계입력'!$C$6+'1.설계입력'!$C$33)*SIN(B815)+('1.설계입력'!$C$7+'1.설계입력'!$C$34)*SIN(B815+F815)+'1.설계입력'!$C$8*SIN('1.설계입력'!$C$15*B815)</f>
        <v>-24.856933896438814</v>
      </c>
      <c r="I815" s="40">
        <f t="shared" si="37"/>
        <v>79.487601460745282</v>
      </c>
      <c r="J815" s="40">
        <f t="shared" si="38"/>
        <v>79.476425112711453</v>
      </c>
      <c r="K815" s="38">
        <f>IF(OR(A815&gt;180,'1.설계입력'!$C$39&gt;=1),"",'1.설계입력'!$C$34*(1-SIN(B815)/SQRT(1+'1.설계입력'!$C$39^2-2*'1.설계입력'!$C$39*COS(B815)))-'1.설계입력'!$C$33*(1-'1.설계입력'!$C$39*COS(B815)-SQRT(MAX(0,1-'1.설계입력'!$C$39^2))*SIN(B815))/SQRT(1+'1.설계입력'!$C$39^2-2*'1.설계입력'!$C$39*COS(B815)))</f>
        <v>9.3072986537075589E-3</v>
      </c>
    </row>
    <row r="816" spans="1:11" x14ac:dyDescent="0.3">
      <c r="A816" s="40">
        <f>A815+'1.설계입력'!$C$12</f>
        <v>161.99999999999935</v>
      </c>
      <c r="B816" s="40">
        <f t="shared" si="36"/>
        <v>2.8274333882308023</v>
      </c>
      <c r="C816" s="40">
        <f>ATAN2('1.설계입력'!$C$6/('1.설계입력'!$C$8*'1.설계입력'!$C$15)-COS((1-'1.설계입력'!$C$15)*B816),SIN((1-'1.설계입력'!$C$15)*B816))</f>
        <v>0.13254612163235713</v>
      </c>
      <c r="D816" s="40">
        <f>'1.설계입력'!$C$6*COS(B816)-'1.설계입력'!$C$7*COS(B816+C816)-'1.설계입력'!$C$8*COS('1.설계입력'!$C$15*B816)</f>
        <v>-75.552419886661127</v>
      </c>
      <c r="E816" s="40">
        <f>-'1.설계입력'!$C$6*SIN(B816)+'1.설계입력'!$C$7*SIN(B816+C816)+'1.설계입력'!$C$8*SIN('1.설계입력'!$C$15*B816)</f>
        <v>-24.616927854426287</v>
      </c>
      <c r="F816" s="40">
        <f>ATAN2(('1.설계입력'!$C$6+'1.설계입력'!$C$33)/('1.설계입력'!$C$8*'1.설계입력'!$C$15)-COS((1-'1.설계입력'!$C$15)*B816),SIN((1-'1.설계입력'!$C$15)*B816))</f>
        <v>0.13254904192821598</v>
      </c>
      <c r="G816" s="40">
        <f>('1.설계입력'!$C$6+'1.설계입력'!$C$33)*COS(B816)-('1.설계입력'!$C$7+'1.설계입력'!$C$34)*COS(B816+F816)-'1.설계입력'!$C$8*COS('1.설계입력'!$C$15*B816)</f>
        <v>-75.541502713131166</v>
      </c>
      <c r="H816" s="40">
        <f>-('1.설계입력'!$C$6+'1.설계입력'!$C$33)*SIN(B816)+('1.설계입력'!$C$7+'1.설계입력'!$C$34)*SIN(B816+F816)+'1.설계입력'!$C$8*SIN('1.설계입력'!$C$15*B816)</f>
        <v>-24.614518421071594</v>
      </c>
      <c r="I816" s="40">
        <f t="shared" si="37"/>
        <v>79.461696984901948</v>
      </c>
      <c r="J816" s="40">
        <f t="shared" si="38"/>
        <v>79.450570477871821</v>
      </c>
      <c r="K816" s="38">
        <f>IF(OR(A816&gt;180,'1.설계입력'!$C$39&gt;=1),"",'1.설계입력'!$C$34*(1-SIN(B816)/SQRT(1+'1.설계입력'!$C$39^2-2*'1.설계입력'!$C$39*COS(B816)))-'1.설계입력'!$C$33*(1-'1.설계입력'!$C$39*COS(B816)-SQRT(MAX(0,1-'1.설계입력'!$C$39^2))*SIN(B816))/SQRT(1+'1.설계입력'!$C$39^2-2*'1.설계입력'!$C$39*COS(B816)))</f>
        <v>9.3282145765639316E-3</v>
      </c>
    </row>
    <row r="817" spans="1:11" x14ac:dyDescent="0.3">
      <c r="A817" s="40">
        <f>A816+'1.설계입력'!$C$12</f>
        <v>162.19999999999933</v>
      </c>
      <c r="B817" s="40">
        <f t="shared" si="36"/>
        <v>2.8309240467347907</v>
      </c>
      <c r="C817" s="40">
        <f>ATAN2('1.설계입력'!$C$6/('1.설계입력'!$C$8*'1.설계입력'!$C$15)-COS((1-'1.설계입력'!$C$15)*B817),SIN((1-'1.설계입력'!$C$15)*B817))</f>
        <v>0.18967874449231847</v>
      </c>
      <c r="D817" s="40">
        <f>'1.설계입력'!$C$6*COS(B817)-'1.설계입력'!$C$7*COS(B817+C817)-'1.설계입력'!$C$8*COS('1.설계입력'!$C$15*B817)</f>
        <v>-75.589253704470309</v>
      </c>
      <c r="E817" s="40">
        <f>-'1.설계입력'!$C$6*SIN(B817)+'1.설계입력'!$C$7*SIN(B817+C817)+'1.설계입력'!$C$8*SIN('1.설계입력'!$C$15*B817)</f>
        <v>-24.375475786009165</v>
      </c>
      <c r="F817" s="40">
        <f>ATAN2(('1.설계입력'!$C$6+'1.설계입력'!$C$33)/('1.설계입력'!$C$8*'1.설계입력'!$C$15)-COS((1-'1.설계입력'!$C$15)*B817),SIN((1-'1.설계입력'!$C$15)*B817))</f>
        <v>0.18968296459277173</v>
      </c>
      <c r="G817" s="40">
        <f>('1.설계입력'!$C$6+'1.설계입력'!$C$33)*COS(B817)-('1.설계입력'!$C$7+'1.설계입력'!$C$34)*COS(B817+F817)-'1.설계입력'!$C$8*COS('1.설계입력'!$C$15*B817)</f>
        <v>-75.578259275712185</v>
      </c>
      <c r="H817" s="40">
        <f>-('1.설계입력'!$C$6+'1.설계입력'!$C$33)*SIN(B817)+('1.설계입력'!$C$7+'1.설계입력'!$C$34)*SIN(B817+F817)+'1.설계입력'!$C$8*SIN('1.설계입력'!$C$15*B817)</f>
        <v>-24.373567292872902</v>
      </c>
      <c r="I817" s="40">
        <f t="shared" si="37"/>
        <v>79.422283368039089</v>
      </c>
      <c r="J817" s="40">
        <f t="shared" si="38"/>
        <v>79.411233825743935</v>
      </c>
      <c r="K817" s="38">
        <f>IF(OR(A817&gt;180,'1.설계입력'!$C$39&gt;=1),"",'1.설계입력'!$C$34*(1-SIN(B817)/SQRT(1+'1.설계입력'!$C$39^2-2*'1.설계입력'!$C$39*COS(B817)))-'1.설계입력'!$C$33*(1-'1.설계입력'!$C$39*COS(B817)-SQRT(MAX(0,1-'1.설계입력'!$C$39^2))*SIN(B817))/SQRT(1+'1.설계입력'!$C$39^2-2*'1.설계입력'!$C$39*COS(B817)))</f>
        <v>9.3491299790674914E-3</v>
      </c>
    </row>
    <row r="818" spans="1:11" x14ac:dyDescent="0.3">
      <c r="A818" s="40">
        <f>A817+'1.설계입력'!$C$12</f>
        <v>162.39999999999932</v>
      </c>
      <c r="B818" s="40">
        <f t="shared" si="36"/>
        <v>2.8344147052387796</v>
      </c>
      <c r="C818" s="40">
        <f>ATAN2('1.설계입력'!$C$6/('1.설계입력'!$C$8*'1.설계입력'!$C$15)-COS((1-'1.설계입력'!$C$15)*B818),SIN((1-'1.설계입력'!$C$15)*B818))</f>
        <v>0.24647338757743423</v>
      </c>
      <c r="D818" s="40">
        <f>'1.설계입력'!$C$6*COS(B818)-'1.설계입력'!$C$7*COS(B818+C818)-'1.설계입력'!$C$8*COS('1.설계입력'!$C$15*B818)</f>
        <v>-75.610895127346609</v>
      </c>
      <c r="E818" s="40">
        <f>-'1.설계입력'!$C$6*SIN(B818)+'1.설계입력'!$C$7*SIN(B818+C818)+'1.설계입력'!$C$8*SIN('1.설계입력'!$C$15*B818)</f>
        <v>-24.13820586988205</v>
      </c>
      <c r="F818" s="40">
        <f>ATAN2(('1.설계입력'!$C$6+'1.설계입력'!$C$33)/('1.설계입력'!$C$8*'1.설계입력'!$C$15)-COS((1-'1.설계입력'!$C$15)*B818),SIN((1-'1.설계입력'!$C$15)*B818))</f>
        <v>0.24647894553681274</v>
      </c>
      <c r="G818" s="40">
        <f>('1.설계입력'!$C$6+'1.설계입력'!$C$33)*COS(B818)-('1.설계입력'!$C$7+'1.설계입력'!$C$34)*COS(B818+F818)-'1.설계입력'!$C$8*COS('1.설계입력'!$C$15*B818)</f>
        <v>-75.599853804706271</v>
      </c>
      <c r="H818" s="40">
        <f>-('1.설계입력'!$C$6+'1.설계입력'!$C$33)*SIN(B818)+('1.설계입력'!$C$7+'1.설계입력'!$C$34)*SIN(B818+F818)+'1.설계입력'!$C$8*SIN('1.설계입력'!$C$15*B818)</f>
        <v>-24.136799354044161</v>
      </c>
      <c r="I818" s="40">
        <f t="shared" si="37"/>
        <v>79.370400304996664</v>
      </c>
      <c r="J818" s="40">
        <f t="shared" si="38"/>
        <v>79.359454246802557</v>
      </c>
      <c r="K818" s="38">
        <f>IF(OR(A818&gt;180,'1.설계입력'!$C$39&gt;=1),"",'1.설계입력'!$C$34*(1-SIN(B818)/SQRT(1+'1.설계입력'!$C$39^2-2*'1.설계입력'!$C$39*COS(B818)))-'1.설계입력'!$C$33*(1-'1.설계입력'!$C$39*COS(B818)-SQRT(MAX(0,1-'1.설계입력'!$C$39^2))*SIN(B818))/SQRT(1+'1.설계입력'!$C$39^2-2*'1.설계입력'!$C$39*COS(B818)))</f>
        <v>9.3700447901834093E-3</v>
      </c>
    </row>
    <row r="819" spans="1:11" x14ac:dyDescent="0.3">
      <c r="A819" s="40">
        <f>A818+'1.설계입력'!$C$12</f>
        <v>162.59999999999931</v>
      </c>
      <c r="B819" s="40">
        <f t="shared" si="36"/>
        <v>2.837905363742768</v>
      </c>
      <c r="C819" s="40">
        <f>ATAN2('1.설계입력'!$C$6/('1.설계입력'!$C$8*'1.설계입력'!$C$15)-COS((1-'1.설계입력'!$C$15)*B819),SIN((1-'1.설계입력'!$C$15)*B819))</f>
        <v>0.30280689026962665</v>
      </c>
      <c r="D819" s="40">
        <f>'1.설계입력'!$C$6*COS(B819)-'1.설계입력'!$C$7*COS(B819+C819)-'1.설계입력'!$C$8*COS('1.설계입력'!$C$15*B819)</f>
        <v>-75.618026675005339</v>
      </c>
      <c r="E819" s="40">
        <f>-'1.설계입력'!$C$6*SIN(B819)+'1.설계입력'!$C$7*SIN(B819+C819)+'1.설계입력'!$C$8*SIN('1.설계입력'!$C$15*B819)</f>
        <v>-23.907718402532318</v>
      </c>
      <c r="F819" s="40">
        <f>ATAN2(('1.설계입력'!$C$6+'1.설계입력'!$C$33)/('1.설계입력'!$C$8*'1.설계입력'!$C$15)-COS((1-'1.설계입력'!$C$15)*B819),SIN((1-'1.설계입력'!$C$15)*B819))</f>
        <v>0.30281383780403698</v>
      </c>
      <c r="G819" s="40">
        <f>('1.설계입력'!$C$6+'1.설계입력'!$C$33)*COS(B819)-('1.설계입력'!$C$7+'1.설계입력'!$C$34)*COS(B819+F819)-'1.설계입력'!$C$8*COS('1.설계입력'!$C$15*B819)</f>
        <v>-75.606968508706871</v>
      </c>
      <c r="H819" s="40">
        <f>-('1.설계입력'!$C$6+'1.설계입력'!$C$33)*SIN(B819)+('1.설계입력'!$C$7+'1.설계입력'!$C$34)*SIN(B819+F819)+'1.설계입력'!$C$8*SIN('1.설계입력'!$C$15*B819)</f>
        <v>-23.906812091242632</v>
      </c>
      <c r="I819" s="40">
        <f t="shared" si="37"/>
        <v>79.30740796064768</v>
      </c>
      <c r="J819" s="40">
        <f t="shared" si="38"/>
        <v>79.296591045533461</v>
      </c>
      <c r="K819" s="38">
        <f>IF(OR(A819&gt;180,'1.설계입력'!$C$39&gt;=1),"",'1.설계입력'!$C$34*(1-SIN(B819)/SQRT(1+'1.설계입력'!$C$39^2-2*'1.설계입력'!$C$39*COS(B819)))-'1.설계입력'!$C$33*(1-'1.설계입력'!$C$39*COS(B819)-SQRT(MAX(0,1-'1.설계입력'!$C$39^2))*SIN(B819))/SQRT(1+'1.설계입력'!$C$39^2-2*'1.설계입력'!$C$39*COS(B819)))</f>
        <v>9.3909589389193984E-3</v>
      </c>
    </row>
    <row r="820" spans="1:11" x14ac:dyDescent="0.3">
      <c r="A820" s="40">
        <f>A819+'1.설계입력'!$C$12</f>
        <v>162.7999999999993</v>
      </c>
      <c r="B820" s="40">
        <f t="shared" si="36"/>
        <v>2.8413960222467565</v>
      </c>
      <c r="C820" s="40">
        <f>ATAN2('1.설계입력'!$C$6/('1.설계입력'!$C$8*'1.설계입력'!$C$15)-COS((1-'1.설계입력'!$C$15)*B820),SIN((1-'1.설계입력'!$C$15)*B820))</f>
        <v>0.3585373021834502</v>
      </c>
      <c r="D820" s="40">
        <f>'1.설계입력'!$C$6*COS(B820)-'1.설계입력'!$C$7*COS(B820+C820)-'1.설계입력'!$C$8*COS('1.설계입력'!$C$15*B820)</f>
        <v>-75.611703175446905</v>
      </c>
      <c r="E820" s="40">
        <f>-'1.설계입력'!$C$6*SIN(B820)+'1.설계입력'!$C$7*SIN(B820+C820)+'1.설계입력'!$C$8*SIN('1.설계입력'!$C$15*B820)</f>
        <v>-23.686411532963085</v>
      </c>
      <c r="F820" s="40">
        <f>ATAN2(('1.설계입력'!$C$6+'1.설계입력'!$C$33)/('1.설계입력'!$C$8*'1.설계입력'!$C$15)-COS((1-'1.설계입력'!$C$15)*B820),SIN((1-'1.설계입력'!$C$15)*B820))</f>
        <v>0.3585457065708344</v>
      </c>
      <c r="G820" s="40">
        <f>('1.설계입력'!$C$6+'1.설계입력'!$C$33)*COS(B820)-('1.설계입력'!$C$7+'1.설계입력'!$C$34)*COS(B820+F820)-'1.설계입력'!$C$8*COS('1.설계입력'!$C$15*B820)</f>
        <v>-75.600657557600769</v>
      </c>
      <c r="H820" s="40">
        <f>-('1.설계입력'!$C$6+'1.설계입력'!$C$33)*SIN(B820)+('1.설계입력'!$C$7+'1.설계입력'!$C$34)*SIN(B820+F820)+'1.설계입력'!$C$8*SIN('1.설계입력'!$C$15*B820)</f>
        <v>-23.6860007577238</v>
      </c>
      <c r="I820" s="40">
        <f t="shared" si="37"/>
        <v>79.234940199389143</v>
      </c>
      <c r="J820" s="40">
        <f t="shared" si="38"/>
        <v>79.224276929717135</v>
      </c>
      <c r="K820" s="38">
        <f>IF(OR(A820&gt;180,'1.설계입력'!$C$39&gt;=1),"",'1.설계입력'!$C$34*(1-SIN(B820)/SQRT(1+'1.설계입력'!$C$39^2-2*'1.설계입력'!$C$39*COS(B820)))-'1.설계입력'!$C$33*(1-'1.설계입력'!$C$39*COS(B820)-SQRT(MAX(0,1-'1.설계입력'!$C$39^2))*SIN(B820))/SQRT(1+'1.설계입력'!$C$39^2-2*'1.설계입력'!$C$39*COS(B820)))</f>
        <v>9.4118723543256816E-3</v>
      </c>
    </row>
    <row r="821" spans="1:11" x14ac:dyDescent="0.3">
      <c r="A821" s="40">
        <f>A820+'1.설계입력'!$C$12</f>
        <v>162.99999999999929</v>
      </c>
      <c r="B821" s="40">
        <f t="shared" si="36"/>
        <v>2.8448866807507449</v>
      </c>
      <c r="C821" s="40">
        <f>ATAN2('1.설계입력'!$C$6/('1.설계입력'!$C$8*'1.설계입력'!$C$15)-COS((1-'1.설계입력'!$C$15)*B821),SIN((1-'1.설계입력'!$C$15)*B821))</f>
        <v>0.41349651671763415</v>
      </c>
      <c r="D821" s="40">
        <f>'1.설계입력'!$C$6*COS(B821)-'1.설계입력'!$C$7*COS(B821+C821)-'1.설계입력'!$C$8*COS('1.설계입력'!$C$15*B821)</f>
        <v>-75.593305721613305</v>
      </c>
      <c r="E821" s="40">
        <f>-'1.설계입력'!$C$6*SIN(B821)+'1.설계입력'!$C$7*SIN(B821+C821)+'1.설계입력'!$C$8*SIN('1.설계입력'!$C$15*B821)</f>
        <v>-23.476399254542869</v>
      </c>
      <c r="F821" s="40">
        <f>ATAN2(('1.설계입력'!$C$6+'1.설계입력'!$C$33)/('1.설계입력'!$C$8*'1.설계입력'!$C$15)-COS((1-'1.설계입력'!$C$15)*B821),SIN((1-'1.설계입력'!$C$15)*B821))</f>
        <v>0.41350646339836422</v>
      </c>
      <c r="G821" s="40">
        <f>('1.설계입력'!$C$6+'1.설계입력'!$C$33)*COS(B821)-('1.설계입력'!$C$7+'1.설계입력'!$C$34)*COS(B821+F821)-'1.설계입력'!$C$8*COS('1.설계입력'!$C$15*B821)</f>
        <v>-75.582301001974258</v>
      </c>
      <c r="H821" s="40">
        <f>-('1.설계입력'!$C$6+'1.설계입력'!$C$33)*SIN(B821)+('1.설계입력'!$C$7+'1.설계입력'!$C$34)*SIN(B821+F821)+'1.설계입력'!$C$8*SIN('1.설계입력'!$C$15*B821)</f>
        <v>-23.47647635222518</v>
      </c>
      <c r="I821" s="40">
        <f t="shared" si="37"/>
        <v>79.15484313596987</v>
      </c>
      <c r="J821" s="40">
        <f t="shared" si="38"/>
        <v>79.144356505499672</v>
      </c>
      <c r="K821" s="38">
        <f>IF(OR(A821&gt;180,'1.설계입력'!$C$39&gt;=1),"",'1.설계입력'!$C$34*(1-SIN(B821)/SQRT(1+'1.설계입력'!$C$39^2-2*'1.설계입력'!$C$39*COS(B821)))-'1.설계입력'!$C$33*(1-'1.설계입력'!$C$39*COS(B821)-SQRT(MAX(0,1-'1.설계입력'!$C$39^2))*SIN(B821))/SQRT(1+'1.설계입력'!$C$39^2-2*'1.설계입력'!$C$39*COS(B821)))</f>
        <v>9.432784965494951E-3</v>
      </c>
    </row>
    <row r="822" spans="1:11" x14ac:dyDescent="0.3">
      <c r="A822" s="40">
        <f>A821+'1.설계입력'!$C$12</f>
        <v>163.19999999999928</v>
      </c>
      <c r="B822" s="40">
        <f t="shared" si="36"/>
        <v>2.8483773392547334</v>
      </c>
      <c r="C822" s="40">
        <f>ATAN2('1.설계입력'!$C$6/('1.설계입력'!$C$8*'1.설계입력'!$C$15)-COS((1-'1.설계입력'!$C$15)*B822),SIN((1-'1.설계입력'!$C$15)*B822))</f>
        <v>0.46748037950495946</v>
      </c>
      <c r="D822" s="40">
        <f>'1.설계입력'!$C$6*COS(B822)-'1.설계입력'!$C$7*COS(B822+C822)-'1.설계입력'!$C$8*COS('1.설계입력'!$C$15*B822)</f>
        <v>-75.564477782815402</v>
      </c>
      <c r="E822" s="40">
        <f>-'1.설계입력'!$C$6*SIN(B822)+'1.설계입력'!$C$7*SIN(B822+C822)+'1.설계입력'!$C$8*SIN('1.설계입력'!$C$15*B822)</f>
        <v>-23.279427634459008</v>
      </c>
      <c r="F822" s="40">
        <f>ATAN2(('1.설계입력'!$C$6+'1.설계입력'!$C$33)/('1.설계입력'!$C$8*'1.설계입력'!$C$15)-COS((1-'1.설계입력'!$C$15)*B822),SIN((1-'1.설계입력'!$C$15)*B822))</f>
        <v>0.46749197558771211</v>
      </c>
      <c r="G822" s="40">
        <f>('1.설계입력'!$C$6+'1.설계입력'!$C$33)*COS(B822)-('1.설계입력'!$C$7+'1.설계입력'!$C$34)*COS(B822+F822)-'1.설계입력'!$C$8*COS('1.설계입력'!$C$15*B822)</f>
        <v>-75.553540831970835</v>
      </c>
      <c r="H822" s="40">
        <f>-('1.설계입력'!$C$6+'1.설계입력'!$C$33)*SIN(B822)+('1.설계입력'!$C$7+'1.설계입력'!$C$34)*SIN(B822+F822)+'1.설계입력'!$C$8*SIN('1.설계입력'!$C$15*B822)</f>
        <v>-23.279981823636597</v>
      </c>
      <c r="I822" s="40">
        <f t="shared" si="37"/>
        <v>79.069096703943799</v>
      </c>
      <c r="J822" s="40">
        <f t="shared" si="38"/>
        <v>79.058807769641547</v>
      </c>
      <c r="K822" s="38">
        <f>IF(OR(A822&gt;180,'1.설계입력'!$C$39&gt;=1),"",'1.설계입력'!$C$34*(1-SIN(B822)/SQRT(1+'1.설계입력'!$C$39^2-2*'1.설계입력'!$C$39*COS(B822)))-'1.설계입력'!$C$33*(1-'1.설계입력'!$C$39*COS(B822)-SQRT(MAX(0,1-'1.설계입력'!$C$39^2))*SIN(B822))/SQRT(1+'1.설계입력'!$C$39^2-2*'1.설계입력'!$C$39*COS(B822)))</f>
        <v>9.4536967015623353E-3</v>
      </c>
    </row>
    <row r="823" spans="1:11" x14ac:dyDescent="0.3">
      <c r="A823" s="40">
        <f>A822+'1.설계입력'!$C$12</f>
        <v>163.39999999999927</v>
      </c>
      <c r="B823" s="40">
        <f t="shared" si="36"/>
        <v>2.8518679977587218</v>
      </c>
      <c r="C823" s="40">
        <f>ATAN2('1.설계입력'!$C$6/('1.설계입력'!$C$8*'1.설계입력'!$C$15)-COS((1-'1.설계입력'!$C$15)*B823),SIN((1-'1.설계입력'!$C$15)*B823))</f>
        <v>0.52023499138153284</v>
      </c>
      <c r="D823" s="40">
        <f>'1.설계입력'!$C$6*COS(B823)-'1.설계입력'!$C$7*COS(B823+C823)-'1.설계입력'!$C$8*COS('1.설계입력'!$C$15*B823)</f>
        <v>-75.527040768613489</v>
      </c>
      <c r="E823" s="40">
        <f>-'1.설계입력'!$C$6*SIN(B823)+'1.설계입력'!$C$7*SIN(B823+C823)+'1.설계입력'!$C$8*SIN('1.설계입력'!$C$15*B823)</f>
        <v>-23.096787329983805</v>
      </c>
      <c r="F823" s="40">
        <f>ATAN2(('1.설계입력'!$C$6+'1.설계입력'!$C$33)/('1.설계입력'!$C$8*'1.설계입력'!$C$15)-COS((1-'1.설계입력'!$C$15)*B823),SIN((1-'1.설계입력'!$C$15)*B823))</f>
        <v>0.52024837034544746</v>
      </c>
      <c r="G823" s="40">
        <f>('1.설계입력'!$C$6+'1.설계입력'!$C$33)*COS(B823)-('1.설계입력'!$C$7+'1.설계입력'!$C$34)*COS(B823+F823)-'1.설계입력'!$C$8*COS('1.설계입력'!$C$15*B823)</f>
        <v>-75.516196466366267</v>
      </c>
      <c r="H823" s="40">
        <f>-('1.설계입력'!$C$6+'1.설계입력'!$C$33)*SIN(B823)+('1.설계입력'!$C$7+'1.설계입력'!$C$34)*SIN(B823+F823)+'1.설계입력'!$C$8*SIN('1.설계입력'!$C$15*B823)</f>
        <v>-23.097804544385532</v>
      </c>
      <c r="I823" s="40">
        <f t="shared" si="37"/>
        <v>78.979715574508774</v>
      </c>
      <c r="J823" s="40">
        <f t="shared" si="38"/>
        <v>78.9696429238316</v>
      </c>
      <c r="K823" s="38">
        <f>IF(OR(A823&gt;180,'1.설계입력'!$C$39&gt;=1),"",'1.설계입력'!$C$34*(1-SIN(B823)/SQRT(1+'1.설계입력'!$C$39^2-2*'1.설계입력'!$C$39*COS(B823)))-'1.설계입력'!$C$33*(1-'1.설계입력'!$C$39*COS(B823)-SQRT(MAX(0,1-'1.설계입력'!$C$39^2))*SIN(B823))/SQRT(1+'1.설계입력'!$C$39^2-2*'1.설계입력'!$C$39*COS(B823)))</f>
        <v>9.4746074917053565E-3</v>
      </c>
    </row>
    <row r="824" spans="1:11" x14ac:dyDescent="0.3">
      <c r="A824" s="40">
        <f>A823+'1.설계입력'!$C$12</f>
        <v>163.59999999999926</v>
      </c>
      <c r="B824" s="40">
        <f t="shared" si="36"/>
        <v>2.8553586562627102</v>
      </c>
      <c r="C824" s="40">
        <f>ATAN2('1.설계입력'!$C$6/('1.설계입력'!$C$8*'1.설계입력'!$C$15)-COS((1-'1.설계입력'!$C$15)*B824),SIN((1-'1.설계입력'!$C$15)*B824))</f>
        <v>0.57143720274348997</v>
      </c>
      <c r="D824" s="40">
        <f>'1.설계입력'!$C$6*COS(B824)-'1.설계입력'!$C$7*COS(B824+C824)-'1.설계입력'!$C$8*COS('1.설계입력'!$C$15*B824)</f>
        <v>-75.482884631958953</v>
      </c>
      <c r="E824" s="40">
        <f>-'1.설계입력'!$C$6*SIN(B824)+'1.설계입력'!$C$7*SIN(B824+C824)+'1.설계입력'!$C$8*SIN('1.설계입력'!$C$15*B824)</f>
        <v>-22.929218207407882</v>
      </c>
      <c r="F824" s="40">
        <f>ATAN2(('1.설계입력'!$C$6+'1.설계입력'!$C$33)/('1.설계입력'!$C$8*'1.설계입력'!$C$15)-COS((1-'1.설계입력'!$C$15)*B824),SIN((1-'1.설계입력'!$C$15)*B824))</f>
        <v>0.57145253074735447</v>
      </c>
      <c r="G824" s="40">
        <f>('1.설계입력'!$C$6+'1.설계입력'!$C$33)*COS(B824)-('1.설계입력'!$C$7+'1.설계입력'!$C$34)*COS(B824+F824)-'1.설계입력'!$C$8*COS('1.설계입력'!$C$15*B824)</f>
        <v>-75.472155247856506</v>
      </c>
      <c r="H824" s="40">
        <f>-('1.설계입력'!$C$6+'1.설계입력'!$C$33)*SIN(B824)+('1.설계입력'!$C$7+'1.설계입력'!$C$34)*SIN(B824+F824)+'1.설계입력'!$C$8*SIN('1.설계입력'!$C$15*B824)</f>
        <v>-22.930680858063461</v>
      </c>
      <c r="I824" s="40">
        <f t="shared" si="37"/>
        <v>78.888623514195942</v>
      </c>
      <c r="J824" s="40">
        <f t="shared" si="38"/>
        <v>78.878782586769887</v>
      </c>
      <c r="K824" s="38">
        <f>IF(OR(A824&gt;180,'1.설계입력'!$C$39&gt;=1),"",'1.설계입력'!$C$34*(1-SIN(B824)/SQRT(1+'1.설계입력'!$C$39^2-2*'1.설계입력'!$C$39*COS(B824)))-'1.설계입력'!$C$33*(1-'1.설계입력'!$C$39*COS(B824)-SQRT(MAX(0,1-'1.설계입력'!$C$39^2))*SIN(B824))/SQRT(1+'1.설계입력'!$C$39^2-2*'1.설계입력'!$C$39*COS(B824)))</f>
        <v>9.4955172651439036E-3</v>
      </c>
    </row>
    <row r="825" spans="1:11" x14ac:dyDescent="0.3">
      <c r="A825" s="40">
        <f>A824+'1.설계입력'!$C$12</f>
        <v>163.79999999999924</v>
      </c>
      <c r="B825" s="40">
        <f t="shared" si="36"/>
        <v>2.8588493147666987</v>
      </c>
      <c r="C825" s="40">
        <f>ATAN2('1.설계입력'!$C$6/('1.설계입력'!$C$8*'1.설계입력'!$C$15)-COS((1-'1.설계입력'!$C$15)*B825),SIN((1-'1.설계입력'!$C$15)*B825))</f>
        <v>0.62066606893224519</v>
      </c>
      <c r="D825" s="40">
        <f>'1.설계입력'!$C$6*COS(B825)-'1.설계입력'!$C$7*COS(B825+C825)-'1.설계입력'!$C$8*COS('1.설계입력'!$C$15*B825)</f>
        <v>-75.433826222234146</v>
      </c>
      <c r="E825" s="40">
        <f>-'1.설계입력'!$C$6*SIN(B825)+'1.설계입력'!$C$7*SIN(B825+C825)+'1.설계입력'!$C$8*SIN('1.설계입력'!$C$15*B825)</f>
        <v>-22.776797993421514</v>
      </c>
      <c r="F825" s="40">
        <f>ATAN2(('1.설계입력'!$C$6+'1.설계입력'!$C$33)/('1.설계입력'!$C$8*'1.설계입력'!$C$15)-COS((1-'1.설계입력'!$C$15)*B825),SIN((1-'1.설계입력'!$C$15)*B825))</f>
        <v>0.62068355330499547</v>
      </c>
      <c r="G825" s="40">
        <f>('1.설계입력'!$C$6+'1.설계입력'!$C$33)*COS(B825)-('1.설계입력'!$C$7+'1.설계입력'!$C$34)*COS(B825+F825)-'1.설계입력'!$C$8*COS('1.설계입력'!$C$15*B825)</f>
        <v>-75.423230638049418</v>
      </c>
      <c r="H825" s="40">
        <f>-('1.설계입력'!$C$6+'1.설계입력'!$C$33)*SIN(B825)+('1.설계입력'!$C$7+'1.설계입력'!$C$34)*SIN(B825+F825)+'1.설계입력'!$C$8*SIN('1.설계입력'!$C$15*B825)</f>
        <v>-22.778684613553079</v>
      </c>
      <c r="I825" s="40">
        <f t="shared" si="37"/>
        <v>78.7974914915402</v>
      </c>
      <c r="J825" s="40">
        <f t="shared" si="38"/>
        <v>78.78789369315642</v>
      </c>
      <c r="K825" s="38">
        <f>IF(OR(A825&gt;180,'1.설계입력'!$C$39&gt;=1),"",'1.설계입력'!$C$34*(1-SIN(B825)/SQRT(1+'1.설계입력'!$C$39^2-2*'1.설계입력'!$C$39*COS(B825)))-'1.설계입력'!$C$33*(1-'1.설계입력'!$C$39*COS(B825)-SQRT(MAX(0,1-'1.설계입력'!$C$39^2))*SIN(B825))/SQRT(1+'1.설계입력'!$C$39^2-2*'1.설계입력'!$C$39*COS(B825)))</f>
        <v>9.5164259511401963E-3</v>
      </c>
    </row>
    <row r="826" spans="1:11" x14ac:dyDescent="0.3">
      <c r="A826" s="40">
        <f>A825+'1.설계입력'!$C$12</f>
        <v>163.99999999999923</v>
      </c>
      <c r="B826" s="40">
        <f t="shared" si="36"/>
        <v>2.8623399732706871</v>
      </c>
      <c r="C826" s="40">
        <f>ATAN2('1.설계입력'!$C$6/('1.설계입력'!$C$8*'1.설계입력'!$C$15)-COS((1-'1.설계입력'!$C$15)*B826),SIN((1-'1.설계입력'!$C$15)*B826))</f>
        <v>0.66735989529972417</v>
      </c>
      <c r="D826" s="40">
        <f>'1.설계입력'!$C$6*COS(B826)-'1.설계입력'!$C$7*COS(B826+C826)-'1.설계입력'!$C$8*COS('1.설계입력'!$C$15*B826)</f>
        <v>-75.381423263207154</v>
      </c>
      <c r="E826" s="40">
        <f>-'1.설계입력'!$C$6*SIN(B826)+'1.설계입력'!$C$7*SIN(B826+C826)+'1.설계입력'!$C$8*SIN('1.설계입력'!$C$15*B826)</f>
        <v>-22.638799871947679</v>
      </c>
      <c r="F826" s="40">
        <f>ATAN2(('1.설계입력'!$C$6+'1.설계입력'!$C$33)/('1.설계입력'!$C$8*'1.설계입력'!$C$15)-COS((1-'1.설계입력'!$C$15)*B826),SIN((1-'1.설계입력'!$C$15)*B826))</f>
        <v>0.66737979599790742</v>
      </c>
      <c r="G826" s="40">
        <f>('1.설계입력'!$C$6+'1.설계입력'!$C$33)*COS(B826)-('1.설계입력'!$C$7+'1.설계입력'!$C$34)*COS(B826+F826)-'1.설계입력'!$C$8*COS('1.설계입력'!$C$15*B826)</f>
        <v>-75.370975959493109</v>
      </c>
      <c r="H826" s="40">
        <f>-('1.설계입력'!$C$6+'1.설계입력'!$C$33)*SIN(B826)+('1.설계입력'!$C$7+'1.설계입력'!$C$34)*SIN(B826+F826)+'1.설계입력'!$C$8*SIN('1.설계입력'!$C$15*B826)</f>
        <v>-22.641084567904016</v>
      </c>
      <c r="I826" s="40">
        <f t="shared" si="37"/>
        <v>78.707523355959353</v>
      </c>
      <c r="J826" s="40">
        <f t="shared" si="38"/>
        <v>78.698174867638897</v>
      </c>
      <c r="K826" s="38">
        <f>IF(OR(A826&gt;180,'1.설계입력'!$C$39&gt;=1),"",'1.설계입력'!$C$34*(1-SIN(B826)/SQRT(1+'1.설계입력'!$C$39^2-2*'1.설계입력'!$C$39*COS(B826)))-'1.설계입력'!$C$33*(1-'1.설계입력'!$C$39*COS(B826)-SQRT(MAX(0,1-'1.설계입력'!$C$39^2))*SIN(B826))/SQRT(1+'1.설계입력'!$C$39^2-2*'1.설계입력'!$C$39*COS(B826)))</f>
        <v>9.5373334789987593E-3</v>
      </c>
    </row>
    <row r="827" spans="1:11" x14ac:dyDescent="0.3">
      <c r="A827" s="40">
        <f>A826+'1.설계입력'!$C$12</f>
        <v>164.19999999999922</v>
      </c>
      <c r="B827" s="40">
        <f t="shared" si="36"/>
        <v>2.8658306317746756</v>
      </c>
      <c r="C827" s="40">
        <f>ATAN2('1.설계입력'!$C$6/('1.설계입력'!$C$8*'1.설계입력'!$C$15)-COS((1-'1.설계입력'!$C$15)*B827),SIN((1-'1.설계입력'!$C$15)*B827))</f>
        <v>0.71074964848016664</v>
      </c>
      <c r="D827" s="40">
        <f>'1.설계입력'!$C$6*COS(B827)-'1.설계입력'!$C$7*COS(B827+C827)-'1.설계입력'!$C$8*COS('1.설계입력'!$C$15*B827)</f>
        <v>-75.326723688527792</v>
      </c>
      <c r="E827" s="40">
        <f>-'1.설계입력'!$C$6*SIN(B827)+'1.설계입력'!$C$7*SIN(B827+C827)+'1.설계입력'!$C$8*SIN('1.설계입력'!$C$15*B827)</f>
        <v>-22.513490738109947</v>
      </c>
      <c r="F827" s="40">
        <f>ATAN2(('1.설계입력'!$C$6+'1.설계입력'!$C$33)/('1.설계입력'!$C$8*'1.설계입력'!$C$15)-COS((1-'1.설계입력'!$C$15)*B827),SIN((1-'1.설계입력'!$C$15)*B827))</f>
        <v>0.71077229352965399</v>
      </c>
      <c r="G827" s="40">
        <f>('1.설계입력'!$C$6+'1.설계입력'!$C$33)*COS(B827)-('1.설계입력'!$C$7+'1.설계입력'!$C$34)*COS(B827+F827)-'1.설계입력'!$C$8*COS('1.설계입력'!$C$15*B827)</f>
        <v>-75.316433371818576</v>
      </c>
      <c r="H827" s="40">
        <f>-('1.설계입력'!$C$6+'1.설계입력'!$C$33)*SIN(B827)+('1.설계입력'!$C$7+'1.설계입력'!$C$34)*SIN(B827+F827)+'1.설계입력'!$C$8*SIN('1.설계입력'!$C$15*B827)</f>
        <v>-22.516142313555459</v>
      </c>
      <c r="I827" s="40">
        <f t="shared" si="37"/>
        <v>78.619161575679342</v>
      </c>
      <c r="J827" s="40">
        <f t="shared" si="38"/>
        <v>78.610061700369315</v>
      </c>
      <c r="K827" s="38">
        <f>IF(OR(A827&gt;180,'1.설계입력'!$C$39&gt;=1),"",'1.설계입력'!$C$34*(1-SIN(B827)/SQRT(1+'1.설계입력'!$C$39^2-2*'1.설계입력'!$C$39*COS(B827)))-'1.설계입력'!$C$33*(1-'1.설계입력'!$C$39*COS(B827)-SQRT(MAX(0,1-'1.설계입력'!$C$39^2))*SIN(B827))/SQRT(1+'1.설계입력'!$C$39^2-2*'1.설계입력'!$C$39*COS(B827)))</f>
        <v>9.5582397780663939E-3</v>
      </c>
    </row>
    <row r="828" spans="1:11" x14ac:dyDescent="0.3">
      <c r="A828" s="40">
        <f>A827+'1.설계입력'!$C$12</f>
        <v>164.39999999999921</v>
      </c>
      <c r="B828" s="40">
        <f t="shared" si="36"/>
        <v>2.869321290278664</v>
      </c>
      <c r="C828" s="40">
        <f>ATAN2('1.설계입력'!$C$6/('1.설계입력'!$C$8*'1.설계입력'!$C$15)-COS((1-'1.설계입력'!$C$15)*B828),SIN((1-'1.설계입력'!$C$15)*B828))</f>
        <v>0.74975234193831564</v>
      </c>
      <c r="D828" s="40">
        <f>'1.설계입력'!$C$6*COS(B828)-'1.설계입력'!$C$7*COS(B828+C828)-'1.설계입력'!$C$8*COS('1.설계입력'!$C$15*B828)</f>
        <v>-75.269916426650894</v>
      </c>
      <c r="E828" s="40">
        <f>-'1.설계입력'!$C$6*SIN(B828)+'1.설계입력'!$C$7*SIN(B828+C828)+'1.설계입력'!$C$8*SIN('1.설계입력'!$C$15*B828)</f>
        <v>-22.397815861938625</v>
      </c>
      <c r="F828" s="40">
        <f>ATAN2(('1.설계입력'!$C$6+'1.설계입력'!$C$33)/('1.설계입력'!$C$8*'1.설계입력'!$C$15)-COS((1-'1.설계입력'!$C$15)*B828),SIN((1-'1.설계입력'!$C$15)*B828))</f>
        <v>0.7497781479869271</v>
      </c>
      <c r="G828" s="40">
        <f>('1.설계입력'!$C$6+'1.설계입력'!$C$33)*COS(B828)-('1.설계입력'!$C$7+'1.설계입력'!$C$34)*COS(B828+F828)-'1.설계입력'!$C$8*COS('1.설계입력'!$C$15*B828)</f>
        <v>-75.259784097683919</v>
      </c>
      <c r="H828" s="40">
        <f>-('1.설계입력'!$C$6+'1.설계입력'!$C$33)*SIN(B828)+('1.설계입력'!$C$7+'1.설계입력'!$C$34)*SIN(B828+F828)+'1.설계입력'!$C$8*SIN('1.설계입력'!$C$15*B828)</f>
        <v>-22.400796375815464</v>
      </c>
      <c r="I828" s="40">
        <f t="shared" si="37"/>
        <v>78.53166542395698</v>
      </c>
      <c r="J828" s="40">
        <f t="shared" si="38"/>
        <v>78.522804208081766</v>
      </c>
      <c r="K828" s="38">
        <f>IF(OR(A828&gt;180,'1.설계입력'!$C$39&gt;=1),"",'1.설계입력'!$C$34*(1-SIN(B828)/SQRT(1+'1.설계입력'!$C$39^2-2*'1.설계입력'!$C$39*COS(B828)))-'1.설계입력'!$C$33*(1-'1.설계입력'!$C$39*COS(B828)-SQRT(MAX(0,1-'1.설계입력'!$C$39^2))*SIN(B828))/SQRT(1+'1.설계입력'!$C$39^2-2*'1.설계입력'!$C$39*COS(B828)))</f>
        <v>9.5791447777321438E-3</v>
      </c>
    </row>
    <row r="829" spans="1:11" x14ac:dyDescent="0.3">
      <c r="A829" s="40">
        <f>A828+'1.설계입력'!$C$12</f>
        <v>164.5999999999992</v>
      </c>
      <c r="B829" s="40">
        <f t="shared" si="36"/>
        <v>2.8728119487826524</v>
      </c>
      <c r="C829" s="40">
        <f>ATAN2('1.설계입력'!$C$6/('1.설계입력'!$C$8*'1.설계입력'!$C$15)-COS((1-'1.설계입력'!$C$15)*B829),SIN((1-'1.설계입력'!$C$15)*B829))</f>
        <v>0.7827941838557928</v>
      </c>
      <c r="D829" s="40">
        <f>'1.설계입력'!$C$6*COS(B829)-'1.설계입력'!$C$7*COS(B829+C829)-'1.설계입력'!$C$8*COS('1.설계입력'!$C$15*B829)</f>
        <v>-75.209827525108338</v>
      </c>
      <c r="E829" s="40">
        <f>-'1.설계입력'!$C$6*SIN(B829)+'1.설계입력'!$C$7*SIN(B829+C829)+'1.설계입력'!$C$8*SIN('1.설계입력'!$C$15*B829)</f>
        <v>-22.286862234496319</v>
      </c>
      <c r="F829" s="40">
        <f>ATAN2(('1.설계입력'!$C$6+'1.설계입력'!$C$33)/('1.설계입력'!$C$8*'1.설계입력'!$C$15)-COS((1-'1.설계입력'!$C$15)*B829),SIN((1-'1.설계입력'!$C$15)*B829))</f>
        <v>0.78282368242055267</v>
      </c>
      <c r="G829" s="40">
        <f>('1.설계입력'!$C$6+'1.설계입력'!$C$33)*COS(B829)-('1.설계입력'!$C$7+'1.설계입력'!$C$34)*COS(B829+F829)-'1.설계입력'!$C$8*COS('1.설계입력'!$C$15*B829)</f>
        <v>-75.19984365992805</v>
      </c>
      <c r="H829" s="40">
        <f>-('1.설계입력'!$C$6+'1.설계입력'!$C$33)*SIN(B829)+('1.설계입력'!$C$7+'1.설계입력'!$C$34)*SIN(B829+F829)+'1.설계입력'!$C$8*SIN('1.설계입력'!$C$15*B829)</f>
        <v>-22.290124540549606</v>
      </c>
      <c r="I829" s="40">
        <f t="shared" si="37"/>
        <v>78.442478190174242</v>
      </c>
      <c r="J829" s="40">
        <f t="shared" si="38"/>
        <v>78.433832868927382</v>
      </c>
      <c r="K829" s="38">
        <f>IF(OR(A829&gt;180,'1.설계입력'!$C$39&gt;=1),"",'1.설계입력'!$C$34*(1-SIN(B829)/SQRT(1+'1.설계입력'!$C$39^2-2*'1.설계입력'!$C$39*COS(B829)))-'1.설계입력'!$C$33*(1-'1.설계입력'!$C$39*COS(B829)-SQRT(MAX(0,1-'1.설계입력'!$C$39^2))*SIN(B829))/SQRT(1+'1.설계입력'!$C$39^2-2*'1.설계입력'!$C$39*COS(B829)))</f>
        <v>9.6000484074272828E-3</v>
      </c>
    </row>
    <row r="830" spans="1:11" x14ac:dyDescent="0.3">
      <c r="A830" s="40">
        <f>A829+'1.설계입력'!$C$12</f>
        <v>164.79999999999919</v>
      </c>
      <c r="B830" s="40">
        <f t="shared" si="36"/>
        <v>2.8763026072866409</v>
      </c>
      <c r="C830" s="40">
        <f>ATAN2('1.설계입력'!$C$6/('1.설계입력'!$C$8*'1.설계입력'!$C$15)-COS((1-'1.설계입력'!$C$15)*B830),SIN((1-'1.설계입력'!$C$15)*B830))</f>
        <v>0.80750570064686844</v>
      </c>
      <c r="D830" s="40">
        <f>'1.설계입력'!$C$6*COS(B830)-'1.설계입력'!$C$7*COS(B830+C830)-'1.설계입력'!$C$8*COS('1.설계입력'!$C$15*B830)</f>
        <v>-75.143172939188773</v>
      </c>
      <c r="E830" s="40">
        <f>-'1.설계입력'!$C$6*SIN(B830)+'1.설계입력'!$C$7*SIN(B830+C830)+'1.설계입력'!$C$8*SIN('1.설계입력'!$C$15*B830)</f>
        <v>-22.172877323043746</v>
      </c>
      <c r="F830" s="40">
        <f>ATAN2(('1.설계입력'!$C$6+'1.설계입력'!$C$33)/('1.설계입력'!$C$8*'1.설계입력'!$C$15)-COS((1-'1.설계입력'!$C$15)*B830),SIN((1-'1.설계입력'!$C$15)*B830))</f>
        <v>0.8075395676208259</v>
      </c>
      <c r="G830" s="40">
        <f>('1.설계입력'!$C$6+'1.설계입력'!$C$33)*COS(B830)-('1.설계입력'!$C$7+'1.설계입력'!$C$34)*COS(B830+F830)-'1.설계입력'!$C$8*COS('1.설계입력'!$C$15*B830)</f>
        <v>-75.133313241598145</v>
      </c>
      <c r="H830" s="40">
        <f>-('1.설계입력'!$C$6+'1.설계입력'!$C$33)*SIN(B830)+('1.설계입력'!$C$7+'1.설계입력'!$C$34)*SIN(B830+F830)+'1.설계입력'!$C$8*SIN('1.설계입력'!$C$15*B830)</f>
        <v>-22.176360692190876</v>
      </c>
      <c r="I830" s="40">
        <f t="shared" si="37"/>
        <v>78.346237485609862</v>
      </c>
      <c r="J830" s="40">
        <f t="shared" si="38"/>
        <v>78.337766959559531</v>
      </c>
      <c r="K830" s="38">
        <f>IF(OR(A830&gt;180,'1.설계입력'!$C$39&gt;=1),"",'1.설계입력'!$C$34*(1-SIN(B830)/SQRT(1+'1.설계입력'!$C$39^2-2*'1.설계입력'!$C$39*COS(B830)))-'1.설계입력'!$C$33*(1-'1.설계입력'!$C$39*COS(B830)-SQRT(MAX(0,1-'1.설계입력'!$C$39^2))*SIN(B830))/SQRT(1+'1.설계입력'!$C$39^2-2*'1.설계입력'!$C$39*COS(B830)))</f>
        <v>9.6209505966252801E-3</v>
      </c>
    </row>
    <row r="831" spans="1:11" x14ac:dyDescent="0.3">
      <c r="A831" s="40">
        <f>A830+'1.설계입력'!$C$12</f>
        <v>164.99999999999918</v>
      </c>
      <c r="B831" s="40">
        <f t="shared" si="36"/>
        <v>2.8797932657906293</v>
      </c>
      <c r="C831" s="40">
        <f>ATAN2('1.설계입력'!$C$6/('1.설계입력'!$C$8*'1.설계입력'!$C$15)-COS((1-'1.설계입력'!$C$15)*B831),SIN((1-'1.설계입력'!$C$15)*B831))</f>
        <v>0.82017454861960426</v>
      </c>
      <c r="D831" s="40">
        <f>'1.설계입력'!$C$6*COS(B831)-'1.설계입력'!$C$7*COS(B831+C831)-'1.설계입력'!$C$8*COS('1.설계입력'!$C$15*B831)</f>
        <v>-75.063449418264838</v>
      </c>
      <c r="E831" s="40">
        <f>-'1.설계입력'!$C$6*SIN(B831)+'1.설계입력'!$C$7*SIN(B831+C831)+'1.설계입력'!$C$8*SIN('1.설계입력'!$C$15*B831)</f>
        <v>-22.043358968868215</v>
      </c>
      <c r="F831" s="40">
        <f>ATAN2(('1.설계입력'!$C$6+'1.설계입력'!$C$33)/('1.설계입력'!$C$8*'1.설계입력'!$C$15)-COS((1-'1.설계입력'!$C$15)*B831),SIN((1-'1.설계입력'!$C$15)*B831))</f>
        <v>0.8202136228762873</v>
      </c>
      <c r="G831" s="40">
        <f>('1.설계입력'!$C$6+'1.설계입력'!$C$33)*COS(B831)-('1.설계입력'!$C$7+'1.설계입력'!$C$34)*COS(B831+F831)-'1.설계입력'!$C$8*COS('1.설계입력'!$C$15*B831)</f>
        <v>-75.053668277647404</v>
      </c>
      <c r="H831" s="40">
        <f>-('1.설계입력'!$C$6+'1.설계입력'!$C$33)*SIN(B831)+('1.설계입력'!$C$7+'1.설계입력'!$C$34)*SIN(B831+F831)+'1.설계입력'!$C$8*SIN('1.설계입력'!$C$15*B831)</f>
        <v>-22.046980906452863</v>
      </c>
      <c r="I831" s="40">
        <f t="shared" si="37"/>
        <v>78.233184219989326</v>
      </c>
      <c r="J831" s="40">
        <f t="shared" si="38"/>
        <v>78.224820159720622</v>
      </c>
      <c r="K831" s="38">
        <f>IF(OR(A831&gt;180,'1.설계입력'!$C$39&gt;=1),"",'1.설계입력'!$C$34*(1-SIN(B831)/SQRT(1+'1.설계입력'!$C$39^2-2*'1.설계입력'!$C$39*COS(B831)))-'1.설계입력'!$C$33*(1-'1.설계입력'!$C$39*COS(B831)-SQRT(MAX(0,1-'1.설계입력'!$C$39^2))*SIN(B831))/SQRT(1+'1.설계입력'!$C$39^2-2*'1.설계입력'!$C$39*COS(B831)))</f>
        <v>9.6418512748417812E-3</v>
      </c>
    </row>
    <row r="832" spans="1:11" x14ac:dyDescent="0.3">
      <c r="A832" s="40">
        <f>A831+'1.설계입력'!$C$12</f>
        <v>165.19999999999916</v>
      </c>
      <c r="B832" s="40">
        <f t="shared" si="36"/>
        <v>2.8832839242946178</v>
      </c>
      <c r="C832" s="40">
        <f>ATAN2('1.설계입력'!$C$6/('1.설계입력'!$C$8*'1.설계입력'!$C$15)-COS((1-'1.설계입력'!$C$15)*B832),SIN((1-'1.설계입력'!$C$15)*B832))</f>
        <v>0.81472602006468842</v>
      </c>
      <c r="D832" s="40">
        <f>'1.설계입력'!$C$6*COS(B832)-'1.설계입력'!$C$7*COS(B832+C832)-'1.설계입력'!$C$8*COS('1.설계입력'!$C$15*B832)</f>
        <v>-74.959414632411622</v>
      </c>
      <c r="E832" s="40">
        <f>-'1.설계입력'!$C$6*SIN(B832)+'1.설계입력'!$C$7*SIN(B832+C832)+'1.설계입력'!$C$8*SIN('1.설계입력'!$C$15*B832)</f>
        <v>-21.877125326766006</v>
      </c>
      <c r="F832" s="40">
        <f>ATAN2(('1.설계입력'!$C$6+'1.설계입력'!$C$33)/('1.설계입력'!$C$8*'1.설계입력'!$C$15)-COS((1-'1.설계입력'!$C$15)*B832),SIN((1-'1.설계입력'!$C$15)*B832))</f>
        <v>0.81477125483771573</v>
      </c>
      <c r="G832" s="40">
        <f>('1.설계입력'!$C$6+'1.설계입력'!$C$33)*COS(B832)-('1.설계입력'!$C$7+'1.설계입력'!$C$34)*COS(B832+F832)-'1.설계입력'!$C$8*COS('1.설계입력'!$C$15*B832)</f>
        <v>-74.949635102084997</v>
      </c>
      <c r="H832" s="40">
        <f>-('1.설계입력'!$C$6+'1.설계입력'!$C$33)*SIN(B832)+('1.설계입력'!$C$7+'1.설계입력'!$C$34)*SIN(B832+F832)+'1.설계입력'!$C$8*SIN('1.설계입력'!$C$15*B832)</f>
        <v>-21.880765392155681</v>
      </c>
      <c r="I832" s="40">
        <f t="shared" si="37"/>
        <v>78.086634289081971</v>
      </c>
      <c r="J832" s="40">
        <f t="shared" si="38"/>
        <v>78.078266477184599</v>
      </c>
      <c r="K832" s="38">
        <f>IF(OR(A832&gt;180,'1.설계입력'!$C$39&gt;=1),"",'1.설계입력'!$C$34*(1-SIN(B832)/SQRT(1+'1.설계입력'!$C$39^2-2*'1.설계입력'!$C$39*COS(B832)))-'1.설계입력'!$C$33*(1-'1.설계입력'!$C$39*COS(B832)-SQRT(MAX(0,1-'1.설계입력'!$C$39^2))*SIN(B832))/SQRT(1+'1.설계입력'!$C$39^2-2*'1.설계입력'!$C$39*COS(B832)))</f>
        <v>9.6627503716345958E-3</v>
      </c>
    </row>
    <row r="833" spans="1:11" x14ac:dyDescent="0.3">
      <c r="A833" s="40">
        <f>A832+'1.설계입력'!$C$12</f>
        <v>165.39999999999915</v>
      </c>
      <c r="B833" s="40">
        <f t="shared" si="36"/>
        <v>2.8867745827986062</v>
      </c>
      <c r="C833" s="40">
        <f>ATAN2('1.설계입력'!$C$6/('1.설계입력'!$C$8*'1.설계입력'!$C$15)-COS((1-'1.설계입력'!$C$15)*B833),SIN((1-'1.설계입력'!$C$15)*B833))</f>
        <v>0.78078617049857701</v>
      </c>
      <c r="D833" s="40">
        <f>'1.설계입력'!$C$6*COS(B833)-'1.설계입력'!$C$7*COS(B833+C833)-'1.설계입력'!$C$8*COS('1.설계입력'!$C$15*B833)</f>
        <v>-74.813789030864271</v>
      </c>
      <c r="E833" s="40">
        <f>-'1.설계입력'!$C$6*SIN(B833)+'1.설계입력'!$C$7*SIN(B833+C833)+'1.설계입력'!$C$8*SIN('1.설계입력'!$C$15*B833)</f>
        <v>-21.635901778347201</v>
      </c>
      <c r="F833" s="40">
        <f>ATAN2(('1.설계입력'!$C$6+'1.설계입력'!$C$33)/('1.설계입력'!$C$8*'1.설계입력'!$C$15)-COS((1-'1.설계입력'!$C$15)*B833),SIN((1-'1.설계입력'!$C$15)*B833))</f>
        <v>0.78083831187482255</v>
      </c>
      <c r="G833" s="40">
        <f>('1.설계입력'!$C$6+'1.설계입력'!$C$33)*COS(B833)-('1.설계입력'!$C$7+'1.설계입력'!$C$34)*COS(B833+F833)-'1.설계입력'!$C$8*COS('1.설계입력'!$C$15*B833)</f>
        <v>-74.803888869272711</v>
      </c>
      <c r="H833" s="40">
        <f>-('1.설계입력'!$C$6+'1.설계입력'!$C$33)*SIN(B833)+('1.설계입력'!$C$7+'1.설계입력'!$C$34)*SIN(B833+F833)+'1.설계입력'!$C$8*SIN('1.설계입력'!$C$15*B833)</f>
        <v>-21.639367710265859</v>
      </c>
      <c r="I833" s="40">
        <f t="shared" si="37"/>
        <v>77.87949200474381</v>
      </c>
      <c r="J833" s="40">
        <f t="shared" si="38"/>
        <v>77.870944676860049</v>
      </c>
      <c r="K833" s="38">
        <f>IF(OR(A833&gt;180,'1.설계입력'!$C$39&gt;=1),"",'1.설계입력'!$C$34*(1-SIN(B833)/SQRT(1+'1.설계입력'!$C$39^2-2*'1.설계입력'!$C$39*COS(B833)))-'1.설계입력'!$C$33*(1-'1.설계입력'!$C$39*COS(B833)-SQRT(MAX(0,1-'1.설계입력'!$C$39^2))*SIN(B833))/SQRT(1+'1.설계입력'!$C$39^2-2*'1.설계입력'!$C$39*COS(B833)))</f>
        <v>9.6836478166036615E-3</v>
      </c>
    </row>
    <row r="834" spans="1:11" x14ac:dyDescent="0.3">
      <c r="A834" s="40">
        <f>A833+'1.설계입력'!$C$12</f>
        <v>165.59999999999914</v>
      </c>
      <c r="B834" s="40">
        <f t="shared" si="36"/>
        <v>2.8902652413025947</v>
      </c>
      <c r="C834" s="40">
        <f>ATAN2('1.설계입력'!$C$6/('1.설계입력'!$C$8*'1.설계입력'!$C$15)-COS((1-'1.설계입력'!$C$15)*B834),SIN((1-'1.설계입력'!$C$15)*B834))</f>
        <v>0.70018345076913824</v>
      </c>
      <c r="D834" s="40">
        <f>'1.설계입력'!$C$6*COS(B834)-'1.설계입력'!$C$7*COS(B834+C834)-'1.설계입력'!$C$8*COS('1.설계입력'!$C$15*B834)</f>
        <v>-74.606517333414388</v>
      </c>
      <c r="E834" s="40">
        <f>-'1.설계입력'!$C$6*SIN(B834)+'1.설계입력'!$C$7*SIN(B834+C834)+'1.설계입력'!$C$8*SIN('1.설계입력'!$C$15*B834)</f>
        <v>-21.246633560653496</v>
      </c>
      <c r="F834" s="40">
        <f>ATAN2(('1.설계입력'!$C$6+'1.설계입력'!$C$33)/('1.설계입력'!$C$8*'1.설계입력'!$C$15)-COS((1-'1.설계입력'!$C$15)*B834),SIN((1-'1.설계입력'!$C$15)*B834))</f>
        <v>0.70024172816371966</v>
      </c>
      <c r="G834" s="40">
        <f>('1.설계입력'!$C$6+'1.설계입력'!$C$33)*COS(B834)-('1.설계입력'!$C$7+'1.설계입력'!$C$34)*COS(B834+F834)-'1.설계입력'!$C$8*COS('1.설계입력'!$C$15*B834)</f>
        <v>-74.596318443844979</v>
      </c>
      <c r="H834" s="40">
        <f>-('1.설계입력'!$C$6+'1.설계입력'!$C$33)*SIN(B834)+('1.설계입력'!$C$7+'1.설계입력'!$C$34)*SIN(B834+F834)+'1.설계입력'!$C$8*SIN('1.설계입력'!$C$15*B834)</f>
        <v>-21.249587937936511</v>
      </c>
      <c r="I834" s="40">
        <f t="shared" si="37"/>
        <v>77.572880997689836</v>
      </c>
      <c r="J834" s="40">
        <f t="shared" si="38"/>
        <v>77.56388149717381</v>
      </c>
      <c r="K834" s="38">
        <f>IF(OR(A834&gt;180,'1.설계입력'!$C$39&gt;=1),"",'1.설계입력'!$C$34*(1-SIN(B834)/SQRT(1+'1.설계입력'!$C$39^2-2*'1.설계입력'!$C$39*COS(B834)))-'1.설계입력'!$C$33*(1-'1.설계입력'!$C$39*COS(B834)-SQRT(MAX(0,1-'1.설계입력'!$C$39^2))*SIN(B834))/SQRT(1+'1.설계입력'!$C$39^2-2*'1.설계입력'!$C$39*COS(B834)))</f>
        <v>9.704543539391047E-3</v>
      </c>
    </row>
    <row r="835" spans="1:11" x14ac:dyDescent="0.3">
      <c r="A835" s="40">
        <f>A834+'1.설계입력'!$C$12</f>
        <v>165.79999999999913</v>
      </c>
      <c r="B835" s="40">
        <f t="shared" si="36"/>
        <v>2.8937558998065831</v>
      </c>
      <c r="C835" s="40">
        <f>ATAN2('1.설계입력'!$C$6/('1.설계입력'!$C$8*'1.설계입력'!$C$15)-COS((1-'1.설계입력'!$C$15)*B835),SIN((1-'1.설계입력'!$C$15)*B835))</f>
        <v>0.54267331614714887</v>
      </c>
      <c r="D835" s="40">
        <f>'1.설계입력'!$C$6*COS(B835)-'1.설계입력'!$C$7*COS(B835+C835)-'1.설계입력'!$C$8*COS('1.설계입력'!$C$15*B835)</f>
        <v>-74.342698712610584</v>
      </c>
      <c r="E835" s="40">
        <f>-'1.설계입력'!$C$6*SIN(B835)+'1.설계입력'!$C$7*SIN(B835+C835)+'1.설계입력'!$C$8*SIN('1.설계입력'!$C$15*B835)</f>
        <v>-20.57333217292706</v>
      </c>
      <c r="F835" s="40">
        <f>ATAN2(('1.설계입력'!$C$6+'1.설계입력'!$C$33)/('1.설계입력'!$C$8*'1.설계입력'!$C$15)-COS((1-'1.설계입력'!$C$15)*B835),SIN((1-'1.설계입력'!$C$15)*B835))</f>
        <v>0.54273108859292485</v>
      </c>
      <c r="G835" s="40">
        <f>('1.설계입력'!$C$6+'1.설계입력'!$C$33)*COS(B835)-('1.설계입력'!$C$7+'1.설계입력'!$C$34)*COS(B835+F835)-'1.설계입력'!$C$8*COS('1.설계입력'!$C$15*B835)</f>
        <v>-74.33201024313361</v>
      </c>
      <c r="H835" s="40">
        <f>-('1.설계입력'!$C$6+'1.설계입력'!$C$33)*SIN(B835)+('1.설계입력'!$C$7+'1.설계입력'!$C$34)*SIN(B835+F835)+'1.설계입력'!$C$8*SIN('1.설계입력'!$C$15*B835)</f>
        <v>-20.575147010125796</v>
      </c>
      <c r="I835" s="40">
        <f t="shared" si="37"/>
        <v>77.136883840168096</v>
      </c>
      <c r="J835" s="40">
        <f t="shared" si="38"/>
        <v>77.127066722867198</v>
      </c>
      <c r="K835" s="38">
        <f>IF(OR(A835&gt;180,'1.설계입력'!$C$39&gt;=1),"",'1.설계입력'!$C$34*(1-SIN(B835)/SQRT(1+'1.설계입력'!$C$39^2-2*'1.설계입력'!$C$39*COS(B835)))-'1.설계입력'!$C$33*(1-'1.설계입력'!$C$39*COS(B835)-SQRT(MAX(0,1-'1.설계입력'!$C$39^2))*SIN(B835))/SQRT(1+'1.설계입력'!$C$39^2-2*'1.설계입력'!$C$39*COS(B835)))</f>
        <v>9.7254374696809191E-3</v>
      </c>
    </row>
    <row r="836" spans="1:11" x14ac:dyDescent="0.3">
      <c r="A836" s="40">
        <f>A835+'1.설계입력'!$C$12</f>
        <v>165.99999999999912</v>
      </c>
      <c r="B836" s="40">
        <f t="shared" si="36"/>
        <v>2.8972465583105715</v>
      </c>
      <c r="C836" s="40">
        <f>ATAN2('1.설계입력'!$C$6/('1.설계입력'!$C$8*'1.설계입력'!$C$15)-COS((1-'1.설계입력'!$C$15)*B836),SIN((1-'1.설계입력'!$C$15)*B836))</f>
        <v>0.27382563587988912</v>
      </c>
      <c r="D836" s="40">
        <f>'1.설계입력'!$C$6*COS(B836)-'1.설계입력'!$C$7*COS(B836+C836)-'1.설계입력'!$C$8*COS('1.설계입력'!$C$15*B836)</f>
        <v>-74.156448584211844</v>
      </c>
      <c r="E836" s="40">
        <f>-'1.설계입력'!$C$6*SIN(B836)+'1.설계입력'!$C$7*SIN(B836+C836)+'1.설계입력'!$C$8*SIN('1.설계입력'!$C$15*B836)</f>
        <v>-19.442466307997634</v>
      </c>
      <c r="F836" s="40">
        <f>ATAN2(('1.설계입력'!$C$6+'1.설계입력'!$C$33)/('1.설계입력'!$C$8*'1.설계입력'!$C$15)-COS((1-'1.설계입력'!$C$15)*B836),SIN((1-'1.설계입력'!$C$15)*B836))</f>
        <v>0.27386178503754299</v>
      </c>
      <c r="G836" s="40">
        <f>('1.설계입력'!$C$6+'1.설계입력'!$C$33)*COS(B836)-('1.설계입력'!$C$7+'1.설계입력'!$C$34)*COS(B836+F836)-'1.설계입력'!$C$8*COS('1.설계입력'!$C$15*B836)</f>
        <v>-74.14534846010406</v>
      </c>
      <c r="H836" s="40">
        <f>-('1.설계입력'!$C$6+'1.설계입력'!$C$33)*SIN(B836)+('1.설계입력'!$C$7+'1.설계입력'!$C$34)*SIN(B836+F836)+'1.설계입력'!$C$8*SIN('1.설계입력'!$C$15*B836)</f>
        <v>-19.442099926224525</v>
      </c>
      <c r="I836" s="40">
        <f t="shared" si="37"/>
        <v>76.662822559311493</v>
      </c>
      <c r="J836" s="40">
        <f t="shared" si="38"/>
        <v>76.651992458197427</v>
      </c>
      <c r="K836" s="38">
        <f>IF(OR(A836&gt;180,'1.설계입력'!$C$39&gt;=1),"",'1.설계입력'!$C$34*(1-SIN(B836)/SQRT(1+'1.설계입력'!$C$39^2-2*'1.설계입력'!$C$39*COS(B836)))-'1.설계입력'!$C$33*(1-'1.설계입력'!$C$39*COS(B836)-SQRT(MAX(0,1-'1.설계입력'!$C$39^2))*SIN(B836))/SQRT(1+'1.설계입력'!$C$39^2-2*'1.설계입력'!$C$39*COS(B836)))</f>
        <v>9.7463295371995433E-3</v>
      </c>
    </row>
    <row r="837" spans="1:11" x14ac:dyDescent="0.3">
      <c r="A837" s="40">
        <f>A836+'1.설계입력'!$C$12</f>
        <v>166.19999999999911</v>
      </c>
      <c r="B837" s="40">
        <f t="shared" si="36"/>
        <v>2.90073721681456</v>
      </c>
      <c r="C837" s="40">
        <f>ATAN2('1.설계입력'!$C$6/('1.설계입력'!$C$8*'1.설계입력'!$C$15)-COS((1-'1.설계입력'!$C$15)*B837),SIN((1-'1.설계입력'!$C$15)*B837))</f>
        <v>-8.5342777044423071E-2</v>
      </c>
      <c r="D837" s="40">
        <f>'1.설계입력'!$C$6*COS(B837)-'1.설계입력'!$C$7*COS(B837+C837)-'1.설계입력'!$C$8*COS('1.설계입력'!$C$15*B837)</f>
        <v>-74.376719767378631</v>
      </c>
      <c r="E837" s="40">
        <f>-'1.설계입력'!$C$6*SIN(B837)+'1.설계입력'!$C$7*SIN(B837+C837)+'1.설계입력'!$C$8*SIN('1.설계입력'!$C$15*B837)</f>
        <v>-17.966099806963346</v>
      </c>
      <c r="F837" s="40">
        <f>ATAN2(('1.설계입력'!$C$6+'1.설계입력'!$C$33)/('1.설계입력'!$C$8*'1.설계입력'!$C$15)-COS((1-'1.설계입력'!$C$15)*B837),SIN((1-'1.설계입력'!$C$15)*B837))</f>
        <v>-8.5354729897802489E-2</v>
      </c>
      <c r="G837" s="40">
        <f>('1.설계입력'!$C$6+'1.설계입력'!$C$33)*COS(B837)-('1.설계입력'!$C$7+'1.설계입력'!$C$34)*COS(B837+F837)-'1.설계입력'!$C$8*COS('1.설계입력'!$C$15*B837)</f>
        <v>-74.366051736976829</v>
      </c>
      <c r="H837" s="40">
        <f>-('1.설계입력'!$C$6+'1.설계입력'!$C$33)*SIN(B837)+('1.설계입력'!$C$7+'1.설계입력'!$C$34)*SIN(B837+F837)+'1.설계입력'!$C$8*SIN('1.설계입력'!$C$15*B837)</f>
        <v>-17.962719374667419</v>
      </c>
      <c r="I837" s="40">
        <f t="shared" si="37"/>
        <v>76.515862313829672</v>
      </c>
      <c r="J837" s="40">
        <f t="shared" si="38"/>
        <v>76.504698798699721</v>
      </c>
      <c r="K837" s="38">
        <f>IF(OR(A837&gt;180,'1.설계입력'!$C$39&gt;=1),"",'1.설계입력'!$C$34*(1-SIN(B837)/SQRT(1+'1.설계입력'!$C$39^2-2*'1.설계입력'!$C$39*COS(B837)))-'1.설계입력'!$C$33*(1-'1.설계입력'!$C$39*COS(B837)-SQRT(MAX(0,1-'1.설계입력'!$C$39^2))*SIN(B837))/SQRT(1+'1.설계입력'!$C$39^2-2*'1.설계입력'!$C$39*COS(B837)))</f>
        <v>9.7672196717152535E-3</v>
      </c>
    </row>
    <row r="838" spans="1:11" x14ac:dyDescent="0.3">
      <c r="A838" s="40">
        <f>A837+'1.설계입력'!$C$12</f>
        <v>166.3999999999991</v>
      </c>
      <c r="B838" s="40">
        <f t="shared" ref="B838:B901" si="39">RADIANS(A838)</f>
        <v>2.9042278753185484</v>
      </c>
      <c r="C838" s="40">
        <f>ATAN2('1.설계입력'!$C$6/('1.설계입력'!$C$8*'1.설계입력'!$C$15)-COS((1-'1.설계입력'!$C$15)*B838),SIN((1-'1.설계입력'!$C$15)*B838))</f>
        <v>-0.41290720168131018</v>
      </c>
      <c r="D838" s="40">
        <f>'1.설계입력'!$C$6*COS(B838)-'1.설계입력'!$C$7*COS(B838+C838)-'1.설계입력'!$C$8*COS('1.설계입력'!$C$15*B838)</f>
        <v>-75.020779289903729</v>
      </c>
      <c r="E838" s="40">
        <f>-'1.설계입력'!$C$6*SIN(B838)+'1.설계입력'!$C$7*SIN(B838+C838)+'1.설계입력'!$C$8*SIN('1.설계입력'!$C$15*B838)</f>
        <v>-16.75540695506302</v>
      </c>
      <c r="F838" s="40">
        <f>ATAN2(('1.설계입력'!$C$6+'1.설계입력'!$C$33)/('1.설계입력'!$C$8*'1.설계입력'!$C$15)-COS((1-'1.설계입력'!$C$15)*B838),SIN((1-'1.설계입력'!$C$15)*B838))</f>
        <v>-0.41295709323735985</v>
      </c>
      <c r="G838" s="40">
        <f>('1.설계입력'!$C$6+'1.설계입력'!$C$33)*COS(B838)-('1.설계입력'!$C$7+'1.설계입력'!$C$34)*COS(B838+F838)-'1.설계입력'!$C$8*COS('1.설계입력'!$C$15*B838)</f>
        <v>-75.011440332118596</v>
      </c>
      <c r="H838" s="40">
        <f>-('1.설계입력'!$C$6+'1.설계입력'!$C$33)*SIN(B838)+('1.설계입력'!$C$7+'1.설계입력'!$C$34)*SIN(B838+F838)+'1.설계입력'!$C$8*SIN('1.설계입력'!$C$15*B838)</f>
        <v>-16.749615093793018</v>
      </c>
      <c r="I838" s="40">
        <f t="shared" ref="I838:I901" si="40">SQRT(D838^2+E838^2)</f>
        <v>76.86911595364046</v>
      </c>
      <c r="J838" s="40">
        <f t="shared" ref="J838:J901" si="41">SQRT(G838^2+H838^2)</f>
        <v>76.858739167964544</v>
      </c>
      <c r="K838" s="38">
        <f>IF(OR(A838&gt;180,'1.설계입력'!$C$39&gt;=1),"",'1.설계입력'!$C$34*(1-SIN(B838)/SQRT(1+'1.설계입력'!$C$39^2-2*'1.설계입력'!$C$39*COS(B838)))-'1.설계입력'!$C$33*(1-'1.설계입력'!$C$39*COS(B838)-SQRT(MAX(0,1-'1.설계입력'!$C$39^2))*SIN(B838))/SQRT(1+'1.설계입력'!$C$39^2-2*'1.설계입력'!$C$39*COS(B838)))</f>
        <v>9.7881078030384559E-3</v>
      </c>
    </row>
    <row r="839" spans="1:11" x14ac:dyDescent="0.3">
      <c r="A839" s="40">
        <f>A838+'1.설계입력'!$C$12</f>
        <v>166.59999999999908</v>
      </c>
      <c r="B839" s="40">
        <f t="shared" si="39"/>
        <v>2.9077185338225369</v>
      </c>
      <c r="C839" s="40">
        <f>ATAN2('1.설계입력'!$C$6/('1.설계입력'!$C$8*'1.설계입력'!$C$15)-COS((1-'1.설계입력'!$C$15)*B839),SIN((1-'1.설계입력'!$C$15)*B839))</f>
        <v>-0.62735856662312117</v>
      </c>
      <c r="D839" s="40">
        <f>'1.설계입력'!$C$6*COS(B839)-'1.설계입력'!$C$7*COS(B839+C839)-'1.설계입력'!$C$8*COS('1.설계입력'!$C$15*B839)</f>
        <v>-75.665264775808922</v>
      </c>
      <c r="E839" s="40">
        <f>-'1.설계입력'!$C$6*SIN(B839)+'1.설계입력'!$C$7*SIN(B839+C839)+'1.설계입력'!$C$8*SIN('1.설계입력'!$C$15*B839)</f>
        <v>-16.073377846327823</v>
      </c>
      <c r="F839" s="40">
        <f>ATAN2(('1.설계입력'!$C$6+'1.설계입력'!$C$33)/('1.설계입력'!$C$8*'1.설계입력'!$C$15)-COS((1-'1.설계입력'!$C$15)*B839),SIN((1-'1.설계입력'!$C$15)*B839))</f>
        <v>-0.62741810599286729</v>
      </c>
      <c r="G839" s="40">
        <f>('1.설계입력'!$C$6+'1.설계입력'!$C$33)*COS(B839)-('1.설계입력'!$C$7+'1.설계입력'!$C$34)*COS(B839+F839)-'1.설계입력'!$C$8*COS('1.설계입력'!$C$15*B839)</f>
        <v>-75.65715304575869</v>
      </c>
      <c r="H839" s="40">
        <f>-('1.설계입력'!$C$6+'1.설계입력'!$C$33)*SIN(B839)+('1.설계입력'!$C$7+'1.설계입력'!$C$34)*SIN(B839+F839)+'1.설계입력'!$C$8*SIN('1.설계입력'!$C$15*B839)</f>
        <v>-16.066358924229622</v>
      </c>
      <c r="I839" s="40">
        <f t="shared" si="40"/>
        <v>77.353640954929148</v>
      </c>
      <c r="J839" s="40">
        <f t="shared" si="41"/>
        <v>77.344247983101667</v>
      </c>
      <c r="K839" s="38">
        <f>IF(OR(A839&gt;180,'1.설계입력'!$C$39&gt;=1),"",'1.설계입력'!$C$34*(1-SIN(B839)/SQRT(1+'1.설계입력'!$C$39^2-2*'1.설계입력'!$C$39*COS(B839)))-'1.설계입력'!$C$33*(1-'1.설계입력'!$C$39*COS(B839)-SQRT(MAX(0,1-'1.설계입력'!$C$39^2))*SIN(B839))/SQRT(1+'1.설계입력'!$C$39^2-2*'1.설계입력'!$C$39*COS(B839)))</f>
        <v>9.8089938610216136E-3</v>
      </c>
    </row>
    <row r="840" spans="1:11" x14ac:dyDescent="0.3">
      <c r="A840" s="40">
        <f>A839+'1.설계입력'!$C$12</f>
        <v>166.79999999999907</v>
      </c>
      <c r="B840" s="40">
        <f t="shared" si="39"/>
        <v>2.9112091923265253</v>
      </c>
      <c r="C840" s="40">
        <f>ATAN2('1.설계입력'!$C$6/('1.설계입력'!$C$8*'1.설계입력'!$C$15)-COS((1-'1.설계입력'!$C$15)*B840),SIN((1-'1.설계입력'!$C$15)*B840))</f>
        <v>-0.74479458536809473</v>
      </c>
      <c r="D840" s="40">
        <f>'1.설계입력'!$C$6*COS(B840)-'1.설계입력'!$C$7*COS(B840+C840)-'1.설계입력'!$C$8*COS('1.설계입력'!$C$15*B840)</f>
        <v>-76.122165934008009</v>
      </c>
      <c r="E840" s="40">
        <f>-'1.설계입력'!$C$6*SIN(B840)+'1.설계입력'!$C$7*SIN(B840+C840)+'1.설계입력'!$C$8*SIN('1.설계입력'!$C$15*B840)</f>
        <v>-15.725431728784889</v>
      </c>
      <c r="F840" s="40">
        <f>ATAN2(('1.설계입력'!$C$6+'1.설계입력'!$C$33)/('1.설계입력'!$C$8*'1.설계입력'!$C$15)-COS((1-'1.설계입력'!$C$15)*B840),SIN((1-'1.설계입력'!$C$15)*B840))</f>
        <v>-0.74485034012841655</v>
      </c>
      <c r="G840" s="40">
        <f>('1.설계입력'!$C$6+'1.설계입력'!$C$33)*COS(B840)-('1.설계입력'!$C$7+'1.설계입력'!$C$34)*COS(B840+F840)-'1.설계입력'!$C$8*COS('1.설계입력'!$C$15*B840)</f>
        <v>-76.114788564843451</v>
      </c>
      <c r="H840" s="40">
        <f>-('1.설계입력'!$C$6+'1.설계입력'!$C$33)*SIN(B840)+('1.설계입력'!$C$7+'1.설계입력'!$C$34)*SIN(B840+F840)+'1.설계입력'!$C$8*SIN('1.설계입력'!$C$15*B840)</f>
        <v>-15.717893280095035</v>
      </c>
      <c r="I840" s="40">
        <f t="shared" si="40"/>
        <v>77.729488288173656</v>
      </c>
      <c r="J840" s="40">
        <f t="shared" si="41"/>
        <v>77.720738592960373</v>
      </c>
      <c r="K840" s="38">
        <f>IF(OR(A840&gt;180,'1.설계입력'!$C$39&gt;=1),"",'1.설계입력'!$C$34*(1-SIN(B840)/SQRT(1+'1.설계입력'!$C$39^2-2*'1.설계입력'!$C$39*COS(B840)))-'1.설계입력'!$C$33*(1-'1.설계입력'!$C$39*COS(B840)-SQRT(MAX(0,1-'1.설계입력'!$C$39^2))*SIN(B840))/SQRT(1+'1.설계입력'!$C$39^2-2*'1.설계입력'!$C$39*COS(B840)))</f>
        <v>9.8298777755592374E-3</v>
      </c>
    </row>
    <row r="841" spans="1:11" x14ac:dyDescent="0.3">
      <c r="A841" s="40">
        <f>A840+'1.설계입력'!$C$12</f>
        <v>166.99999999999906</v>
      </c>
      <c r="B841" s="40">
        <f t="shared" si="39"/>
        <v>2.9146998508305142</v>
      </c>
      <c r="C841" s="40">
        <f>ATAN2('1.설계입력'!$C$6/('1.설계입력'!$C$8*'1.설계입력'!$C$15)-COS((1-'1.설계입력'!$C$15)*B841),SIN((1-'1.설계입력'!$C$15)*B841))</f>
        <v>-0.80091285278205515</v>
      </c>
      <c r="D841" s="40">
        <f>'1.설계입력'!$C$6*COS(B841)-'1.설계입력'!$C$7*COS(B841+C841)-'1.설계입력'!$C$8*COS('1.설계입력'!$C$15*B841)</f>
        <v>-76.422011128078907</v>
      </c>
      <c r="E841" s="40">
        <f>-'1.설계입력'!$C$6*SIN(B841)+'1.설계입력'!$C$7*SIN(B841+C841)+'1.설계입력'!$C$8*SIN('1.설계입력'!$C$15*B841)</f>
        <v>-15.534347726362723</v>
      </c>
      <c r="F841" s="40">
        <f>ATAN2(('1.설계입력'!$C$6+'1.설계입력'!$C$33)/('1.설계입력'!$C$8*'1.설계입력'!$C$15)-COS((1-'1.설계입력'!$C$15)*B841),SIN((1-'1.설계입력'!$C$15)*B841))</f>
        <v>-0.80096175867761743</v>
      </c>
      <c r="G841" s="40">
        <f>('1.설계입력'!$C$6+'1.설계입력'!$C$33)*COS(B841)-('1.설계입력'!$C$7+'1.설계입력'!$C$34)*COS(B841+F841)-'1.설계입력'!$C$8*COS('1.설계입력'!$C$15*B841)</f>
        <v>-76.414973148629016</v>
      </c>
      <c r="H841" s="40">
        <f>-('1.설계입력'!$C$6+'1.설계입력'!$C$33)*SIN(B841)+('1.설계입력'!$C$7+'1.설계입력'!$C$34)*SIN(B841+F841)+'1.설계입력'!$C$8*SIN('1.설계입력'!$C$15*B841)</f>
        <v>-15.526614144428157</v>
      </c>
      <c r="I841" s="40">
        <f t="shared" si="40"/>
        <v>77.984868687097034</v>
      </c>
      <c r="J841" s="40">
        <f t="shared" si="41"/>
        <v>77.976431491160525</v>
      </c>
      <c r="K841" s="38">
        <f>IF(OR(A841&gt;180,'1.설계입력'!$C$39&gt;=1),"",'1.설계입력'!$C$34*(1-SIN(B841)/SQRT(1+'1.설계입력'!$C$39^2-2*'1.설계입력'!$C$39*COS(B841)))-'1.설계입력'!$C$33*(1-'1.설계입력'!$C$39*COS(B841)-SQRT(MAX(0,1-'1.설계입력'!$C$39^2))*SIN(B841))/SQRT(1+'1.설계입력'!$C$39^2-2*'1.설계입력'!$C$39*COS(B841)))</f>
        <v>9.8507594765878791E-3</v>
      </c>
    </row>
    <row r="842" spans="1:11" x14ac:dyDescent="0.3">
      <c r="A842" s="40">
        <f>A841+'1.설계입력'!$C$12</f>
        <v>167.19999999999905</v>
      </c>
      <c r="B842" s="40">
        <f t="shared" si="39"/>
        <v>2.9181905093345026</v>
      </c>
      <c r="C842" s="40">
        <f>ATAN2('1.설계입력'!$C$6/('1.설계입력'!$C$8*'1.설계입력'!$C$15)-COS((1-'1.설계입력'!$C$15)*B842),SIN((1-'1.설계입력'!$C$15)*B842))</f>
        <v>-0.82002074287632853</v>
      </c>
      <c r="D842" s="40">
        <f>'1.설계입력'!$C$6*COS(B842)-'1.설계입력'!$C$7*COS(B842+C842)-'1.설계입력'!$C$8*COS('1.설계입력'!$C$15*B842)</f>
        <v>-76.624764123005704</v>
      </c>
      <c r="E842" s="40">
        <f>-'1.설계입력'!$C$6*SIN(B842)+'1.설계입력'!$C$7*SIN(B842+C842)+'1.설계입력'!$C$8*SIN('1.설계입력'!$C$15*B842)</f>
        <v>-15.414656522424981</v>
      </c>
      <c r="F842" s="40">
        <f>ATAN2(('1.설계입력'!$C$6+'1.설계입력'!$C$33)/('1.설계입력'!$C$8*'1.설계입력'!$C$15)-COS((1-'1.설계입력'!$C$15)*B842),SIN((1-'1.설계입력'!$C$15)*B842))</f>
        <v>-0.82006301553600125</v>
      </c>
      <c r="G842" s="40">
        <f>('1.설계입력'!$C$6+'1.설계입력'!$C$33)*COS(B842)-('1.설계입력'!$C$7+'1.설계입력'!$C$34)*COS(B842+F842)-'1.설계입력'!$C$8*COS('1.설계입력'!$C$15*B842)</f>
        <v>-76.617811124691713</v>
      </c>
      <c r="H842" s="40">
        <f>-('1.설계입력'!$C$6+'1.설계입력'!$C$33)*SIN(B842)+('1.설계입력'!$C$7+'1.설계입력'!$C$34)*SIN(B842+F842)+'1.설계입력'!$C$8*SIN('1.설계입력'!$C$15*B842)</f>
        <v>-15.406884986945462</v>
      </c>
      <c r="I842" s="40">
        <f t="shared" si="40"/>
        <v>78.159875336457645</v>
      </c>
      <c r="J842" s="40">
        <f t="shared" si="41"/>
        <v>78.151526450478869</v>
      </c>
      <c r="K842" s="38">
        <f>IF(OR(A842&gt;180,'1.설계입력'!$C$39&gt;=1),"",'1.설계입력'!$C$34*(1-SIN(B842)/SQRT(1+'1.설계입력'!$C$39^2-2*'1.설계입력'!$C$39*COS(B842)))-'1.설계입력'!$C$33*(1-'1.설계입력'!$C$39*COS(B842)-SQRT(MAX(0,1-'1.설계입력'!$C$39^2))*SIN(B842))/SQRT(1+'1.설계입력'!$C$39^2-2*'1.설계입력'!$C$39*COS(B842)))</f>
        <v>9.8716388940861179E-3</v>
      </c>
    </row>
    <row r="843" spans="1:11" x14ac:dyDescent="0.3">
      <c r="A843" s="40">
        <f>A842+'1.설계입력'!$C$12</f>
        <v>167.39999999999904</v>
      </c>
      <c r="B843" s="40">
        <f t="shared" si="39"/>
        <v>2.9216811678384911</v>
      </c>
      <c r="C843" s="40">
        <f>ATAN2('1.설계입력'!$C$6/('1.설계입력'!$C$8*'1.설계입력'!$C$15)-COS((1-'1.설계입력'!$C$15)*B843),SIN((1-'1.설계입력'!$C$15)*B843))</f>
        <v>-0.81613895239505907</v>
      </c>
      <c r="D843" s="40">
        <f>'1.설계입력'!$C$6*COS(B843)-'1.설계입력'!$C$7*COS(B843+C843)-'1.설계입력'!$C$8*COS('1.설계입력'!$C$15*B843)</f>
        <v>-76.773159311629328</v>
      </c>
      <c r="E843" s="40">
        <f>-'1.설계입력'!$C$6*SIN(B843)+'1.설계입력'!$C$7*SIN(B843+C843)+'1.설계입력'!$C$8*SIN('1.설계입력'!$C$15*B843)</f>
        <v>-15.327831041379557</v>
      </c>
      <c r="F843" s="40">
        <f>ATAN2(('1.설계입력'!$C$6+'1.설계입력'!$C$33)/('1.설계입력'!$C$8*'1.설계입력'!$C$15)-COS((1-'1.설계입력'!$C$15)*B843),SIN((1-'1.설계입력'!$C$15)*B843))</f>
        <v>-0.81617550904740832</v>
      </c>
      <c r="G843" s="40">
        <f>('1.설계입력'!$C$6+'1.설계입력'!$C$33)*COS(B843)-('1.설계입력'!$C$7+'1.설계입력'!$C$34)*COS(B843+F843)-'1.설계입력'!$C$8*COS('1.설계입력'!$C$15*B843)</f>
        <v>-76.766132097315577</v>
      </c>
      <c r="H843" s="40">
        <f>-('1.설계입력'!$C$6+'1.설계입력'!$C$33)*SIN(B843)+('1.설계입력'!$C$7+'1.설계입력'!$C$34)*SIN(B843+F843)+'1.설계입력'!$C$8*SIN('1.설계입력'!$C$15*B843)</f>
        <v>-15.320110903294493</v>
      </c>
      <c r="I843" s="40">
        <f t="shared" si="40"/>
        <v>78.28831582759905</v>
      </c>
      <c r="J843" s="40">
        <f t="shared" si="41"/>
        <v>78.279913357589692</v>
      </c>
      <c r="K843" s="38">
        <f>IF(OR(A843&gt;180,'1.설계입력'!$C$39&gt;=1),"",'1.설계입력'!$C$34*(1-SIN(B843)/SQRT(1+'1.설계입력'!$C$39^2-2*'1.설계입력'!$C$39*COS(B843)))-'1.설계입력'!$C$33*(1-'1.설계입력'!$C$39*COS(B843)-SQRT(MAX(0,1-'1.설계입력'!$C$39^2))*SIN(B843))/SQRT(1+'1.설계입력'!$C$39^2-2*'1.설계입력'!$C$39*COS(B843)))</f>
        <v>9.8925159580745773E-3</v>
      </c>
    </row>
    <row r="844" spans="1:11" x14ac:dyDescent="0.3">
      <c r="A844" s="40">
        <f>A843+'1.설계입력'!$C$12</f>
        <v>167.59999999999903</v>
      </c>
      <c r="B844" s="40">
        <f t="shared" si="39"/>
        <v>2.9251718263424795</v>
      </c>
      <c r="C844" s="40">
        <f>ATAN2('1.설계입력'!$C$6/('1.설계입력'!$C$8*'1.설계입력'!$C$15)-COS((1-'1.설계입력'!$C$15)*B844),SIN((1-'1.설계입력'!$C$15)*B844))</f>
        <v>-0.79733184953447656</v>
      </c>
      <c r="D844" s="40">
        <f>'1.설계입력'!$C$6*COS(B844)-'1.설계입력'!$C$7*COS(B844+C844)-'1.설계입력'!$C$8*COS('1.설계입력'!$C$15*B844)</f>
        <v>-76.893400732293628</v>
      </c>
      <c r="E844" s="40">
        <f>-'1.설계입력'!$C$6*SIN(B844)+'1.설계입력'!$C$7*SIN(B844+C844)+'1.설계입력'!$C$8*SIN('1.설계입력'!$C$15*B844)</f>
        <v>-15.254997269265068</v>
      </c>
      <c r="F844" s="40">
        <f>ATAN2(('1.설계입력'!$C$6+'1.설계입력'!$C$33)/('1.설계입력'!$C$8*'1.설계입력'!$C$15)-COS((1-'1.설계입력'!$C$15)*B844),SIN((1-'1.설계입력'!$C$15)*B844))</f>
        <v>-0.79736360604087964</v>
      </c>
      <c r="G844" s="40">
        <f>('1.설계입력'!$C$6+'1.설계입력'!$C$33)*COS(B844)-('1.설계입력'!$C$7+'1.설계입력'!$C$34)*COS(B844+F844)-'1.설계입력'!$C$8*COS('1.설계입력'!$C$15*B844)</f>
        <v>-76.886198789405753</v>
      </c>
      <c r="H844" s="40">
        <f>-('1.설계입력'!$C$6+'1.설계입력'!$C$33)*SIN(B844)+('1.설계입력'!$C$7+'1.설계입력'!$C$34)*SIN(B844+F844)+'1.설계입력'!$C$8*SIN('1.설계입력'!$C$15*B844)</f>
        <v>-15.247388843064755</v>
      </c>
      <c r="I844" s="40">
        <f t="shared" si="40"/>
        <v>78.392027769808195</v>
      </c>
      <c r="J844" s="40">
        <f t="shared" si="41"/>
        <v>78.383483150569631</v>
      </c>
      <c r="K844" s="38">
        <f>IF(OR(A844&gt;180,'1.설계입력'!$C$39&gt;=1),"",'1.설계입력'!$C$34*(1-SIN(B844)/SQRT(1+'1.설계입력'!$C$39^2-2*'1.설계입력'!$C$39*COS(B844)))-'1.설계입력'!$C$33*(1-'1.설계입력'!$C$39*COS(B844)-SQRT(MAX(0,1-'1.설계입력'!$C$39^2))*SIN(B844))/SQRT(1+'1.설계입력'!$C$39^2-2*'1.설계입력'!$C$39*COS(B844)))</f>
        <v>9.9133905986158975E-3</v>
      </c>
    </row>
    <row r="845" spans="1:11" x14ac:dyDescent="0.3">
      <c r="A845" s="40">
        <f>A844+'1.설계입력'!$C$12</f>
        <v>167.79999999999902</v>
      </c>
      <c r="B845" s="40">
        <f t="shared" si="39"/>
        <v>2.928662484846468</v>
      </c>
      <c r="C845" s="40">
        <f>ATAN2('1.설계입력'!$C$6/('1.설계입력'!$C$8*'1.설계입력'!$C$15)-COS((1-'1.설계입력'!$C$15)*B845),SIN((1-'1.설계입력'!$C$15)*B845))</f>
        <v>-0.76841236863239237</v>
      </c>
      <c r="D845" s="40">
        <f>'1.설계입력'!$C$6*COS(B845)-'1.설계입력'!$C$7*COS(B845+C845)-'1.설계입력'!$C$8*COS('1.설계입력'!$C$15*B845)</f>
        <v>-77.000982833068861</v>
      </c>
      <c r="E845" s="40">
        <f>-'1.설계입력'!$C$6*SIN(B845)+'1.설계입력'!$C$7*SIN(B845+C845)+'1.설계입력'!$C$8*SIN('1.설계입력'!$C$15*B845)</f>
        <v>-15.185671658118236</v>
      </c>
      <c r="F845" s="40">
        <f>ATAN2(('1.설계입력'!$C$6+'1.설계입력'!$C$33)/('1.설계입력'!$C$8*'1.설계입력'!$C$15)-COS((1-'1.설계입력'!$C$15)*B845),SIN((1-'1.설계입력'!$C$15)*B845))</f>
        <v>-0.76844008839032263</v>
      </c>
      <c r="G845" s="40">
        <f>('1.설계입력'!$C$6+'1.설계입력'!$C$33)*COS(B845)-('1.설계입력'!$C$7+'1.설계입력'!$C$34)*COS(B845+F845)-'1.설계입력'!$C$8*COS('1.설계입력'!$C$15*B845)</f>
        <v>-76.993542351593234</v>
      </c>
      <c r="H845" s="40">
        <f>-('1.설계입력'!$C$6+'1.설계입력'!$C$33)*SIN(B845)+('1.설계입력'!$C$7+'1.설계입력'!$C$34)*SIN(B845+F845)+'1.설계입력'!$C$8*SIN('1.설계입력'!$C$15*B845)</f>
        <v>-15.178221709265804</v>
      </c>
      <c r="I845" s="40">
        <f t="shared" si="40"/>
        <v>78.484112920811825</v>
      </c>
      <c r="J845" s="40">
        <f t="shared" si="41"/>
        <v>78.475371793335327</v>
      </c>
      <c r="K845" s="38">
        <f>IF(OR(A845&gt;180,'1.설계입력'!$C$39&gt;=1),"",'1.설계입력'!$C$34*(1-SIN(B845)/SQRT(1+'1.설계입력'!$C$39^2-2*'1.설계입력'!$C$39*COS(B845)))-'1.설계입력'!$C$33*(1-'1.설계입력'!$C$39*COS(B845)-SQRT(MAX(0,1-'1.설계입력'!$C$39^2))*SIN(B845))/SQRT(1+'1.설계입력'!$C$39^2-2*'1.설계입력'!$C$39*COS(B845)))</f>
        <v>9.9342627458147495E-3</v>
      </c>
    </row>
    <row r="846" spans="1:11" x14ac:dyDescent="0.3">
      <c r="A846" s="40">
        <f>A845+'1.설계입력'!$C$12</f>
        <v>167.99999999999901</v>
      </c>
      <c r="B846" s="40">
        <f t="shared" si="39"/>
        <v>2.9321531433504564</v>
      </c>
      <c r="C846" s="40">
        <f>ATAN2('1.설계입력'!$C$6/('1.설계입력'!$C$8*'1.설계입력'!$C$15)-COS((1-'1.설계입력'!$C$15)*B846),SIN((1-'1.설계입력'!$C$15)*B846))</f>
        <v>-0.73238231098230322</v>
      </c>
      <c r="D846" s="40">
        <f>'1.설계입력'!$C$6*COS(B846)-'1.설계입력'!$C$7*COS(B846+C846)-'1.설계입력'!$C$8*COS('1.설계입력'!$C$15*B846)</f>
        <v>-77.104839977781452</v>
      </c>
      <c r="E846" s="40">
        <f>-'1.설계입력'!$C$6*SIN(B846)+'1.설계입력'!$C$7*SIN(B846+C846)+'1.설계입력'!$C$8*SIN('1.설계입력'!$C$15*B846)</f>
        <v>-15.113271760751541</v>
      </c>
      <c r="F846" s="40">
        <f>ATAN2(('1.설계입력'!$C$6+'1.설계입력'!$C$33)/('1.설계입력'!$C$8*'1.설계입력'!$C$15)-COS((1-'1.설계입력'!$C$15)*B846),SIN((1-'1.설계입력'!$C$15)*B846))</f>
        <v>-0.73240659969090949</v>
      </c>
      <c r="G846" s="40">
        <f>('1.설계입력'!$C$6+'1.설계입력'!$C$33)*COS(B846)-('1.설계입력'!$C$7+'1.설계입력'!$C$34)*COS(B846+F846)-'1.설계입력'!$C$8*COS('1.설계입력'!$C$15*B846)</f>
        <v>-77.097121084291814</v>
      </c>
      <c r="H846" s="40">
        <f>-('1.설계입력'!$C$6+'1.설계입력'!$C$33)*SIN(B846)+('1.설계입력'!$C$7+'1.설계입력'!$C$34)*SIN(B846+F846)+'1.설계입력'!$C$8*SIN('1.설계입력'!$C$15*B846)</f>
        <v>-15.106020048886734</v>
      </c>
      <c r="I846" s="40">
        <f t="shared" si="40"/>
        <v>78.572051846147019</v>
      </c>
      <c r="J846" s="40">
        <f t="shared" si="41"/>
        <v>78.563082431911511</v>
      </c>
      <c r="K846" s="38">
        <f>IF(OR(A846&gt;180,'1.설계입력'!$C$39&gt;=1),"",'1.설계입력'!$C$34*(1-SIN(B846)/SQRT(1+'1.설계입력'!$C$39^2-2*'1.설계입력'!$C$39*COS(B846)))-'1.설계입력'!$C$33*(1-'1.설계입력'!$C$39*COS(B846)-SQRT(MAX(0,1-'1.설계입력'!$C$39^2))*SIN(B846))/SQRT(1+'1.설계입력'!$C$39^2-2*'1.설계입력'!$C$39*COS(B846)))</f>
        <v>9.9551323298178312E-3</v>
      </c>
    </row>
    <row r="847" spans="1:11" x14ac:dyDescent="0.3">
      <c r="A847" s="40">
        <f>A846+'1.설계입력'!$C$12</f>
        <v>168.19999999999899</v>
      </c>
      <c r="B847" s="40">
        <f t="shared" si="39"/>
        <v>2.9356438018544448</v>
      </c>
      <c r="C847" s="40">
        <f>ATAN2('1.설계입력'!$C$6/('1.설계입력'!$C$8*'1.설계입력'!$C$15)-COS((1-'1.설계입력'!$C$15)*B847),SIN((1-'1.설계입력'!$C$15)*B847))</f>
        <v>-0.69119422737319225</v>
      </c>
      <c r="D847" s="40">
        <f>'1.설계입력'!$C$6*COS(B847)-'1.설계입력'!$C$7*COS(B847+C847)-'1.설계입력'!$C$8*COS('1.설계입력'!$C$15*B847)</f>
        <v>-77.209834662526191</v>
      </c>
      <c r="E847" s="40">
        <f>-'1.설계입력'!$C$6*SIN(B847)+'1.설계입력'!$C$7*SIN(B847+C847)+'1.설계입력'!$C$8*SIN('1.설계입력'!$C$15*B847)</f>
        <v>-15.033260733738674</v>
      </c>
      <c r="F847" s="40">
        <f>ATAN2(('1.설계입력'!$C$6+'1.설계입력'!$C$33)/('1.설계입력'!$C$8*'1.설계입력'!$C$15)-COS((1-'1.설계입력'!$C$15)*B847),SIN((1-'1.설계입력'!$C$15)*B847))</f>
        <v>-0.69121555993725325</v>
      </c>
      <c r="G847" s="40">
        <f>('1.설계입력'!$C$6+'1.설계입력'!$C$33)*COS(B847)-('1.설계입력'!$C$7+'1.설계입력'!$C$34)*COS(B847+F847)-'1.설계입력'!$C$8*COS('1.설계입력'!$C$15*B847)</f>
        <v>-77.201813851727962</v>
      </c>
      <c r="H847" s="40">
        <f>-('1.설계입력'!$C$6+'1.설계입력'!$C$33)*SIN(B847)+('1.설계입력'!$C$7+'1.설계입력'!$C$34)*SIN(B847+F847)+'1.설계입력'!$C$8*SIN('1.설계입력'!$C$15*B847)</f>
        <v>-15.026242918631409</v>
      </c>
      <c r="I847" s="40">
        <f t="shared" si="40"/>
        <v>78.659757798401586</v>
      </c>
      <c r="J847" s="40">
        <f t="shared" si="41"/>
        <v>78.65054378862601</v>
      </c>
      <c r="K847" s="38">
        <f>IF(OR(A847&gt;180,'1.설계입력'!$C$39&gt;=1),"",'1.설계입력'!$C$34*(1-SIN(B847)/SQRT(1+'1.설계입력'!$C$39^2-2*'1.설계입력'!$C$39*COS(B847)))-'1.설계입력'!$C$33*(1-'1.설계입력'!$C$39*COS(B847)-SQRT(MAX(0,1-'1.설계입력'!$C$39^2))*SIN(B847))/SQRT(1+'1.설계입력'!$C$39^2-2*'1.설계입력'!$C$39*COS(B847)))</f>
        <v>9.9759992808138628E-3</v>
      </c>
    </row>
    <row r="848" spans="1:11" x14ac:dyDescent="0.3">
      <c r="A848" s="40">
        <f>A847+'1.설계입력'!$C$12</f>
        <v>168.39999999999898</v>
      </c>
      <c r="B848" s="40">
        <f t="shared" si="39"/>
        <v>2.9391344603584333</v>
      </c>
      <c r="C848" s="40">
        <f>ATAN2('1.설계입력'!$C$6/('1.설계입력'!$C$8*'1.설계입력'!$C$15)-COS((1-'1.설계입력'!$C$15)*B848),SIN((1-'1.설계입력'!$C$15)*B848))</f>
        <v>-0.64616706943070856</v>
      </c>
      <c r="D848" s="40">
        <f>'1.설계입력'!$C$6*COS(B848)-'1.설계입력'!$C$7*COS(B848+C848)-'1.설계입력'!$C$8*COS('1.설계입력'!$C$15*B848)</f>
        <v>-77.31822628321747</v>
      </c>
      <c r="E848" s="40">
        <f>-'1.설계입력'!$C$6*SIN(B848)+'1.설계입력'!$C$7*SIN(B848+C848)+'1.설계입력'!$C$8*SIN('1.설계입력'!$C$15*B848)</f>
        <v>-14.942343555265522</v>
      </c>
      <c r="F848" s="40">
        <f>ATAN2(('1.설계입력'!$C$6+'1.설계입력'!$C$33)/('1.설계입력'!$C$8*'1.설계입력'!$C$15)-COS((1-'1.설계입력'!$C$15)*B848),SIN((1-'1.설계입력'!$C$15)*B848))</f>
        <v>-0.6461858186765187</v>
      </c>
      <c r="G848" s="40">
        <f>('1.설계입력'!$C$6+'1.설계입력'!$C$33)*COS(B848)-('1.설계입력'!$C$7+'1.설계입력'!$C$34)*COS(B848+F848)-'1.설계입력'!$C$8*COS('1.설계입력'!$C$15*B848)</f>
        <v>-77.309891765818747</v>
      </c>
      <c r="H848" s="40">
        <f>-('1.설계입력'!$C$6+'1.설계입력'!$C$33)*SIN(B848)+('1.설계입력'!$C$7+'1.설계입력'!$C$34)*SIN(B848+F848)+'1.설계입력'!$C$8*SIN('1.설계입력'!$C$15*B848)</f>
        <v>-14.935592523319487</v>
      </c>
      <c r="I848" s="40">
        <f t="shared" si="40"/>
        <v>78.748852350408299</v>
      </c>
      <c r="J848" s="40">
        <f t="shared" si="41"/>
        <v>78.739388420696073</v>
      </c>
      <c r="K848" s="38">
        <f>IF(OR(A848&gt;180,'1.설계입력'!$C$39&gt;=1),"",'1.설계입력'!$C$34*(1-SIN(B848)/SQRT(1+'1.설계입력'!$C$39^2-2*'1.설계입력'!$C$39*COS(B848)))-'1.설계입력'!$C$33*(1-'1.설계입력'!$C$39*COS(B848)-SQRT(MAX(0,1-'1.설계입력'!$C$39^2))*SIN(B848))/SQRT(1+'1.설계입력'!$C$39^2-2*'1.설계입력'!$C$39*COS(B848)))</f>
        <v>9.9968635290335981E-3</v>
      </c>
    </row>
    <row r="849" spans="1:11" x14ac:dyDescent="0.3">
      <c r="A849" s="40">
        <f>A848+'1.설계입력'!$C$12</f>
        <v>168.59999999999897</v>
      </c>
      <c r="B849" s="40">
        <f t="shared" si="39"/>
        <v>2.9426251188624217</v>
      </c>
      <c r="C849" s="40">
        <f>ATAN2('1.설계입력'!$C$6/('1.설계입력'!$C$8*'1.설계입력'!$C$15)-COS((1-'1.설계입력'!$C$15)*B849),SIN((1-'1.설계입력'!$C$15)*B849))</f>
        <v>-0.59822213579581074</v>
      </c>
      <c r="D849" s="40">
        <f>'1.설계입력'!$C$6*COS(B849)-'1.설계입력'!$C$7*COS(B849+C849)-'1.설계입력'!$C$8*COS('1.설계입력'!$C$15*B849)</f>
        <v>-77.430563774538783</v>
      </c>
      <c r="E849" s="40">
        <f>-'1.설계입력'!$C$6*SIN(B849)+'1.설계입력'!$C$7*SIN(B849+C849)+'1.설계입력'!$C$8*SIN('1.설계입력'!$C$15*B849)</f>
        <v>-14.838103613122719</v>
      </c>
      <c r="F849" s="40">
        <f>ATAN2(('1.설계입력'!$C$6+'1.설계입력'!$C$33)/('1.설계입력'!$C$8*'1.설계입력'!$C$15)-COS((1-'1.설계입력'!$C$15)*B849),SIN((1-'1.설계입력'!$C$15)*B849))</f>
        <v>-0.59823859611341168</v>
      </c>
      <c r="G849" s="40">
        <f>('1.설계입력'!$C$6+'1.설계입력'!$C$33)*COS(B849)-('1.설계입력'!$C$7+'1.설계입력'!$C$34)*COS(B849+F849)-'1.설계입력'!$C$8*COS('1.설계입력'!$C$15*B849)</f>
        <v>-77.421912500498593</v>
      </c>
      <c r="H849" s="40">
        <f>-('1.설계입력'!$C$6+'1.설계입력'!$C$33)*SIN(B849)+('1.설계입력'!$C$7+'1.설계입력'!$C$34)*SIN(B849+F849)+'1.설계입력'!$C$8*SIN('1.설계입력'!$C$15*B849)</f>
        <v>-14.831650076176112</v>
      </c>
      <c r="I849" s="40">
        <f t="shared" si="40"/>
        <v>78.839466799799467</v>
      </c>
      <c r="J849" s="40">
        <f t="shared" si="41"/>
        <v>78.829755671427748</v>
      </c>
      <c r="K849" s="38">
        <f>IF(OR(A849&gt;180,'1.설계입력'!$C$39&gt;=1),"",'1.설계입력'!$C$34*(1-SIN(B849)/SQRT(1+'1.설계입력'!$C$39^2-2*'1.설계입력'!$C$39*COS(B849)))-'1.설계입력'!$C$33*(1-'1.설계입력'!$C$39*COS(B849)-SQRT(MAX(0,1-'1.설계입력'!$C$39^2))*SIN(B849))/SQRT(1+'1.설계입력'!$C$39^2-2*'1.설계입력'!$C$39*COS(B849)))</f>
        <v>1.001772500474982E-2</v>
      </c>
    </row>
    <row r="850" spans="1:11" x14ac:dyDescent="0.3">
      <c r="A850" s="40">
        <f>A849+'1.설계입력'!$C$12</f>
        <v>168.79999999999896</v>
      </c>
      <c r="B850" s="40">
        <f t="shared" si="39"/>
        <v>2.9461157773664102</v>
      </c>
      <c r="C850" s="40">
        <f>ATAN2('1.설계입력'!$C$6/('1.설계입력'!$C$8*'1.설계입력'!$C$15)-COS((1-'1.설계입력'!$C$15)*B850),SIN((1-'1.설계입력'!$C$15)*B850))</f>
        <v>-0.54802244106964837</v>
      </c>
      <c r="D850" s="40">
        <f>'1.설계입력'!$C$6*COS(B850)-'1.설계입력'!$C$7*COS(B850+C850)-'1.설계입력'!$C$8*COS('1.설계입력'!$C$15*B850)</f>
        <v>-77.546254004307912</v>
      </c>
      <c r="E850" s="40">
        <f>-'1.설계입력'!$C$6*SIN(B850)+'1.설계입력'!$C$7*SIN(B850+C850)+'1.설계입력'!$C$8*SIN('1.설계입력'!$C$15*B850)</f>
        <v>-14.718831385551942</v>
      </c>
      <c r="F850" s="40">
        <f>ATAN2(('1.설계입력'!$C$6+'1.설계입력'!$C$33)/('1.설계입력'!$C$8*'1.설계입력'!$C$15)-COS((1-'1.설계입력'!$C$15)*B850),SIN((1-'1.설계입력'!$C$15)*B850))</f>
        <v>-0.54803684647453887</v>
      </c>
      <c r="G850" s="40">
        <f>('1.설계입력'!$C$6+'1.설계입력'!$C$33)*COS(B850)-('1.설계입력'!$C$7+'1.설계입력'!$C$34)*COS(B850+F850)-'1.설계입력'!$C$8*COS('1.설계입력'!$C$15*B850)</f>
        <v>-77.537289678429147</v>
      </c>
      <c r="H850" s="40">
        <f>-('1.설계입력'!$C$6+'1.설계입력'!$C$33)*SIN(B850)+('1.설계입력'!$C$7+'1.설계입력'!$C$34)*SIN(B850+F850)+'1.설계입력'!$C$8*SIN('1.설계입력'!$C$15*B850)</f>
        <v>-14.712704127818627</v>
      </c>
      <c r="I850" s="40">
        <f t="shared" si="40"/>
        <v>78.93076401161305</v>
      </c>
      <c r="J850" s="40">
        <f t="shared" si="41"/>
        <v>78.920814449860856</v>
      </c>
      <c r="K850" s="38">
        <f>IF(OR(A850&gt;180,'1.설계입력'!$C$39&gt;=1),"",'1.설계입력'!$C$34*(1-SIN(B850)/SQRT(1+'1.설계입력'!$C$39^2-2*'1.설계입력'!$C$39*COS(B850)))-'1.설계입력'!$C$33*(1-'1.설계입력'!$C$39*COS(B850)-SQRT(MAX(0,1-'1.설계입력'!$C$39^2))*SIN(B850))/SQRT(1+'1.설계입력'!$C$39^2-2*'1.설계입력'!$C$39*COS(B850)))</f>
        <v>1.003858363827735E-2</v>
      </c>
    </row>
    <row r="851" spans="1:11" x14ac:dyDescent="0.3">
      <c r="A851" s="40">
        <f>A850+'1.설계입력'!$C$12</f>
        <v>168.99999999999895</v>
      </c>
      <c r="B851" s="40">
        <f t="shared" si="39"/>
        <v>2.9496064358703986</v>
      </c>
      <c r="C851" s="40">
        <f>ATAN2('1.설계입력'!$C$6/('1.설계입력'!$C$8*'1.설계입력'!$C$15)-COS((1-'1.설계입력'!$C$15)*B851),SIN((1-'1.설계입력'!$C$15)*B851))</f>
        <v>-0.49605815253573532</v>
      </c>
      <c r="D851" s="40">
        <f>'1.설계입력'!$C$6*COS(B851)-'1.설계입력'!$C$7*COS(B851+C851)-'1.설계입력'!$C$8*COS('1.설계입력'!$C$15*B851)</f>
        <v>-77.663943827443774</v>
      </c>
      <c r="E851" s="40">
        <f>-'1.설계입력'!$C$6*SIN(B851)+'1.설계입력'!$C$7*SIN(B851+C851)+'1.설계입력'!$C$8*SIN('1.설계입력'!$C$15*B851)</f>
        <v>-14.583438473109066</v>
      </c>
      <c r="F851" s="40">
        <f>ATAN2(('1.설계입력'!$C$6+'1.설계입력'!$C$33)/('1.설계입력'!$C$8*'1.설계입력'!$C$15)-COS((1-'1.설계입력'!$C$15)*B851),SIN((1-'1.설계입력'!$C$15)*B851))</f>
        <v>-0.49607069013223265</v>
      </c>
      <c r="G851" s="40">
        <f>('1.설계입력'!$C$6+'1.설계입력'!$C$33)*COS(B851)-('1.설계입력'!$C$7+'1.설계입력'!$C$34)*COS(B851+F851)-'1.설계입력'!$C$8*COS('1.설계입력'!$C$15*B851)</f>
        <v>-77.65467553089178</v>
      </c>
      <c r="H851" s="40">
        <f>-('1.설계입력'!$C$6+'1.설계입력'!$C$33)*SIN(B851)+('1.설계입력'!$C$7+'1.설계입력'!$C$34)*SIN(B851+F851)+'1.설계입력'!$C$8*SIN('1.설계입력'!$C$15*B851)</f>
        <v>-14.577664422009542</v>
      </c>
      <c r="I851" s="40">
        <f t="shared" si="40"/>
        <v>79.021293639950613</v>
      </c>
      <c r="J851" s="40">
        <f t="shared" si="41"/>
        <v>79.011119039087191</v>
      </c>
      <c r="K851" s="38">
        <f>IF(OR(A851&gt;180,'1.설계입력'!$C$39&gt;=1),"",'1.설계입력'!$C$34*(1-SIN(B851)/SQRT(1+'1.설계입력'!$C$39^2-2*'1.설계입력'!$C$39*COS(B851)))-'1.설계입력'!$C$33*(1-'1.설계입력'!$C$39*COS(B851)-SQRT(MAX(0,1-'1.설계입력'!$C$39^2))*SIN(B851))/SQRT(1+'1.설계입력'!$C$39^2-2*'1.설계입력'!$C$39*COS(B851)))</f>
        <v>1.005943935997305E-2</v>
      </c>
    </row>
    <row r="852" spans="1:11" x14ac:dyDescent="0.3">
      <c r="A852" s="40">
        <f>A851+'1.설계입력'!$C$12</f>
        <v>169.19999999999894</v>
      </c>
      <c r="B852" s="40">
        <f t="shared" si="39"/>
        <v>2.9530970943743871</v>
      </c>
      <c r="C852" s="40">
        <f>ATAN2('1.설계입력'!$C$6/('1.설계입력'!$C$8*'1.설계입력'!$C$15)-COS((1-'1.설계입력'!$C$15)*B852),SIN((1-'1.설계입력'!$C$15)*B852))</f>
        <v>-0.44270077298443006</v>
      </c>
      <c r="D852" s="40">
        <f>'1.설계입력'!$C$6*COS(B852)-'1.설계입력'!$C$7*COS(B852+C852)-'1.설계입력'!$C$8*COS('1.설계입력'!$C$15*B852)</f>
        <v>-77.781791581684615</v>
      </c>
      <c r="E852" s="40">
        <f>-'1.설계입력'!$C$6*SIN(B852)+'1.설계입력'!$C$7*SIN(B852+C852)+'1.설계입력'!$C$8*SIN('1.설계입력'!$C$15*B852)</f>
        <v>-14.431408548701462</v>
      </c>
      <c r="F852" s="40">
        <f>ATAN2(('1.설계입력'!$C$6+'1.설계입력'!$C$33)/('1.설계입력'!$C$8*'1.설계입력'!$C$15)-COS((1-'1.설계입력'!$C$15)*B852),SIN((1-'1.설계입력'!$C$15)*B852))</f>
        <v>-0.44271159294107454</v>
      </c>
      <c r="G852" s="40">
        <f>('1.설계입력'!$C$6+'1.설계입력'!$C$33)*COS(B852)-('1.설계입력'!$C$7+'1.설계입력'!$C$34)*COS(B852+F852)-'1.설계입력'!$C$8*COS('1.설계입력'!$C$15*B852)</f>
        <v>-77.772232773866051</v>
      </c>
      <c r="H852" s="40">
        <f>-('1.설계입력'!$C$6+'1.설계입력'!$C$33)*SIN(B852)+('1.설계입력'!$C$7+'1.설계입력'!$C$34)*SIN(B852+F852)+'1.설계입력'!$C$8*SIN('1.설계입력'!$C$15*B852)</f>
        <v>-14.426012756104333</v>
      </c>
      <c r="I852" s="40">
        <f t="shared" si="40"/>
        <v>79.10924506248405</v>
      </c>
      <c r="J852" s="40">
        <f t="shared" si="41"/>
        <v>79.098862410730604</v>
      </c>
      <c r="K852" s="38">
        <f>IF(OR(A852&gt;180,'1.설계입력'!$C$39&gt;=1),"",'1.설계입력'!$C$34*(1-SIN(B852)/SQRT(1+'1.설계입력'!$C$39^2-2*'1.설계입력'!$C$39*COS(B852)))-'1.설계입력'!$C$33*(1-'1.설계입력'!$C$39*COS(B852)-SQRT(MAX(0,1-'1.설계입력'!$C$39^2))*SIN(B852))/SQRT(1+'1.설계입력'!$C$39^2-2*'1.설계입력'!$C$39*COS(B852)))</f>
        <v>1.0080292100235838E-2</v>
      </c>
    </row>
    <row r="853" spans="1:11" x14ac:dyDescent="0.3">
      <c r="A853" s="40">
        <f>A852+'1.설계입력'!$C$12</f>
        <v>169.39999999999893</v>
      </c>
      <c r="B853" s="40">
        <f t="shared" si="39"/>
        <v>2.9565877528783755</v>
      </c>
      <c r="C853" s="40">
        <f>ATAN2('1.설계입력'!$C$6/('1.설계입력'!$C$8*'1.설계입력'!$C$15)-COS((1-'1.설계입력'!$C$15)*B853),SIN((1-'1.설계입력'!$C$15)*B853))</f>
        <v>-0.38823858520472526</v>
      </c>
      <c r="D853" s="40">
        <f>'1.설계입력'!$C$6*COS(B853)-'1.설계입력'!$C$7*COS(B853+C853)-'1.설계입력'!$C$8*COS('1.설계입력'!$C$15*B853)</f>
        <v>-77.897670307240219</v>
      </c>
      <c r="E853" s="40">
        <f>-'1.설계입력'!$C$6*SIN(B853)+'1.설계입력'!$C$7*SIN(B853+C853)+'1.설계입력'!$C$8*SIN('1.설계입력'!$C$15*B853)</f>
        <v>-14.262762222151819</v>
      </c>
      <c r="F853" s="40">
        <f>ATAN2(('1.설계입력'!$C$6+'1.설계입력'!$C$33)/('1.설계입력'!$C$8*'1.설계입력'!$C$15)-COS((1-'1.설계입력'!$C$15)*B853),SIN((1-'1.설계입력'!$C$15)*B853))</f>
        <v>-0.38824780815423787</v>
      </c>
      <c r="G853" s="40">
        <f>('1.설계입력'!$C$6+'1.설계입력'!$C$33)*COS(B853)-('1.설계입력'!$C$7+'1.설계입력'!$C$34)*COS(B853+F853)-'1.설계입력'!$C$8*COS('1.설계입력'!$C$15*B853)</f>
        <v>-77.88783807223794</v>
      </c>
      <c r="H853" s="40">
        <f>-('1.설계입력'!$C$6+'1.설계입력'!$C$33)*SIN(B853)+('1.설계입력'!$C$7+'1.설계입력'!$C$34)*SIN(B853+F853)+'1.설계입력'!$C$8*SIN('1.설계입력'!$C$15*B853)</f>
        <v>-14.257767800602291</v>
      </c>
      <c r="I853" s="40">
        <f t="shared" si="40"/>
        <v>79.192634919550045</v>
      </c>
      <c r="J853" s="40">
        <f t="shared" si="41"/>
        <v>79.182064018457169</v>
      </c>
      <c r="K853" s="38">
        <f>IF(OR(A853&gt;180,'1.설계입력'!$C$39&gt;=1),"",'1.설계입력'!$C$34*(1-SIN(B853)/SQRT(1+'1.설계입력'!$C$39^2-2*'1.설계입력'!$C$39*COS(B853)))-'1.설계입력'!$C$33*(1-'1.설계입력'!$C$39*COS(B853)-SQRT(MAX(0,1-'1.설계입력'!$C$39^2))*SIN(B853))/SQRT(1+'1.설계입력'!$C$39^2-2*'1.설계입력'!$C$39*COS(B853)))</f>
        <v>1.010114178950669E-2</v>
      </c>
    </row>
    <row r="854" spans="1:11" x14ac:dyDescent="0.3">
      <c r="A854" s="40">
        <f>A853+'1.설계입력'!$C$12</f>
        <v>169.59999999999891</v>
      </c>
      <c r="B854" s="40">
        <f t="shared" si="39"/>
        <v>2.9600784113823639</v>
      </c>
      <c r="C854" s="40">
        <f>ATAN2('1.설계입력'!$C$6/('1.설계입력'!$C$8*'1.설계입력'!$C$15)-COS((1-'1.설계입력'!$C$15)*B854),SIN((1-'1.설계입력'!$C$15)*B854))</f>
        <v>-0.33290051505401391</v>
      </c>
      <c r="D854" s="40">
        <f>'1.설계입력'!$C$6*COS(B854)-'1.설계입력'!$C$7*COS(B854+C854)-'1.설계입력'!$C$8*COS('1.설계입력'!$C$15*B854)</f>
        <v>-78.009326659166831</v>
      </c>
      <c r="E854" s="40">
        <f>-'1.설계입력'!$C$6*SIN(B854)+'1.설계입력'!$C$7*SIN(B854+C854)+'1.설계입력'!$C$8*SIN('1.설계입력'!$C$15*B854)</f>
        <v>-14.078024540499783</v>
      </c>
      <c r="F854" s="40">
        <f>ATAN2(('1.설계입력'!$C$6+'1.설계입력'!$C$33)/('1.설계입력'!$C$8*'1.설계입력'!$C$15)-COS((1-'1.설계입력'!$C$15)*B854),SIN((1-'1.설계입력'!$C$15)*B854))</f>
        <v>-0.33290823760044541</v>
      </c>
      <c r="G854" s="40">
        <f>('1.설계입력'!$C$6+'1.설계입력'!$C$33)*COS(B854)-('1.설계입력'!$C$7+'1.설계입력'!$C$34)*COS(B854+F854)-'1.설계입력'!$C$8*COS('1.설계입력'!$C$15*B854)</f>
        <v>-77.999241112557783</v>
      </c>
      <c r="H854" s="40">
        <f>-('1.설계입력'!$C$6+'1.설계입력'!$C$33)*SIN(B854)+('1.설계입력'!$C$7+'1.설계입력'!$C$34)*SIN(B854+F854)+'1.설계입력'!$C$8*SIN('1.설계입력'!$C$15*B854)</f>
        <v>-14.073452578346815</v>
      </c>
      <c r="I854" s="40">
        <f t="shared" si="40"/>
        <v>79.269450740998025</v>
      </c>
      <c r="J854" s="40">
        <f t="shared" si="41"/>
        <v>79.258713600524075</v>
      </c>
      <c r="K854" s="38">
        <f>IF(OR(A854&gt;180,'1.설계입력'!$C$39&gt;=1),"",'1.설계입력'!$C$34*(1-SIN(B854)/SQRT(1+'1.설계입력'!$C$39^2-2*'1.설계입력'!$C$39*COS(B854)))-'1.설계입력'!$C$33*(1-'1.설계입력'!$C$39*COS(B854)-SQRT(MAX(0,1-'1.설계입력'!$C$39^2))*SIN(B854))/SQRT(1+'1.설계입력'!$C$39^2-2*'1.설계입력'!$C$39*COS(B854)))</f>
        <v>1.0121988358268649E-2</v>
      </c>
    </row>
    <row r="855" spans="1:11" x14ac:dyDescent="0.3">
      <c r="A855" s="40">
        <f>A854+'1.설계입력'!$C$12</f>
        <v>169.7999999999989</v>
      </c>
      <c r="B855" s="40">
        <f t="shared" si="39"/>
        <v>2.9635690698863524</v>
      </c>
      <c r="C855" s="40">
        <f>ATAN2('1.설계입력'!$C$6/('1.설계입력'!$C$8*'1.설계입력'!$C$15)-COS((1-'1.설계입력'!$C$15)*B855),SIN((1-'1.설계입력'!$C$15)*B855))</f>
        <v>-0.27687264441185155</v>
      </c>
      <c r="D855" s="40">
        <f>'1.설계입력'!$C$6*COS(B855)-'1.설계입력'!$C$7*COS(B855+C855)-'1.설계입력'!$C$8*COS('1.설계입력'!$C$15*B855)</f>
        <v>-78.114509254316872</v>
      </c>
      <c r="E855" s="40">
        <f>-'1.설계입력'!$C$6*SIN(B855)+'1.설계입력'!$C$7*SIN(B855+C855)+'1.설계입력'!$C$8*SIN('1.설계입력'!$C$15*B855)</f>
        <v>-13.87818955562437</v>
      </c>
      <c r="F855" s="40">
        <f>ATAN2(('1.설계입력'!$C$6+'1.설계입력'!$C$33)/('1.설계입력'!$C$8*'1.설계입력'!$C$15)-COS((1-'1.설계입력'!$C$15)*B855),SIN((1-'1.설계입력'!$C$15)*B855))</f>
        <v>-0.27687894323772538</v>
      </c>
      <c r="G855" s="40">
        <f>('1.설계입력'!$C$6+'1.설계입력'!$C$33)*COS(B855)-('1.설계입력'!$C$7+'1.설계입력'!$C$34)*COS(B855+F855)-'1.설계입력'!$C$8*COS('1.설계입력'!$C$15*B855)</f>
        <v>-78.104193056778044</v>
      </c>
      <c r="H855" s="40">
        <f>-('1.설계입력'!$C$6+'1.설계입력'!$C$33)*SIN(B855)+('1.설계입력'!$C$7+'1.설계입력'!$C$34)*SIN(B855+F855)+'1.설계입력'!$C$8*SIN('1.설계입력'!$C$15*B855)</f>
        <v>-13.874059024336846</v>
      </c>
      <c r="I855" s="40">
        <f t="shared" si="40"/>
        <v>79.337763400442526</v>
      </c>
      <c r="J855" s="40">
        <f t="shared" si="41"/>
        <v>79.326883758668089</v>
      </c>
      <c r="K855" s="38">
        <f>IF(OR(A855&gt;180,'1.설계입력'!$C$39&gt;=1),"",'1.설계입력'!$C$34*(1-SIN(B855)/SQRT(1+'1.설계입력'!$C$39^2-2*'1.설계입력'!$C$39*COS(B855)))-'1.설계입력'!$C$33*(1-'1.설계입력'!$C$39*COS(B855)-SQRT(MAX(0,1-'1.설계입력'!$C$39^2))*SIN(B855))/SQRT(1+'1.설계입력'!$C$39^2-2*'1.설계입력'!$C$39*COS(B855)))</f>
        <v>1.0142831737046838E-2</v>
      </c>
    </row>
    <row r="856" spans="1:11" x14ac:dyDescent="0.3">
      <c r="A856" s="40">
        <f>A855+'1.설계입력'!$C$12</f>
        <v>169.99999999999889</v>
      </c>
      <c r="B856" s="40">
        <f t="shared" si="39"/>
        <v>2.9670597283903408</v>
      </c>
      <c r="C856" s="40">
        <f>ATAN2('1.설계입력'!$C$6/('1.설계입력'!$C$8*'1.설계입력'!$C$15)-COS((1-'1.설계입력'!$C$15)*B856),SIN((1-'1.설계입력'!$C$15)*B856))</f>
        <v>-0.2203099553003813</v>
      </c>
      <c r="D856" s="40">
        <f>'1.설계입력'!$C$6*COS(B856)-'1.설계입력'!$C$7*COS(B856+C856)-'1.설계입력'!$C$8*COS('1.설계입력'!$C$15*B856)</f>
        <v>-78.21107435631707</v>
      </c>
      <c r="E856" s="40">
        <f>-'1.설계입력'!$C$6*SIN(B856)+'1.설계입력'!$C$7*SIN(B856+C856)+'1.설계입력'!$C$8*SIN('1.설계입력'!$C$15*B856)</f>
        <v>-13.664679330019752</v>
      </c>
      <c r="F856" s="40">
        <f>ATAN2(('1.설계입력'!$C$6+'1.설계입력'!$C$33)/('1.설계입력'!$C$8*'1.설계입력'!$C$15)-COS((1-'1.설계입력'!$C$15)*B856),SIN((1-'1.설계입력'!$C$15)*B856))</f>
        <v>-0.22031489022446793</v>
      </c>
      <c r="G856" s="40">
        <f>('1.설계입력'!$C$6+'1.설계입력'!$C$33)*COS(B856)-('1.설계입력'!$C$7+'1.설계입력'!$C$34)*COS(B856+F856)-'1.설계입력'!$C$8*COS('1.설계입력'!$C$15*B856)</f>
        <v>-78.200552299025802</v>
      </c>
      <c r="H856" s="40">
        <f>-('1.설계입력'!$C$6+'1.설계입력'!$C$33)*SIN(B856)+('1.설계입력'!$C$7+'1.설계입력'!$C$34)*SIN(B856+F856)+'1.설계입력'!$C$8*SIN('1.설계입력'!$C$15*B856)</f>
        <v>-13.66100699130261</v>
      </c>
      <c r="I856" s="40">
        <f t="shared" si="40"/>
        <v>79.395816093555126</v>
      </c>
      <c r="J856" s="40">
        <f t="shared" si="41"/>
        <v>79.38481902661924</v>
      </c>
      <c r="K856" s="38">
        <f>IF(OR(A856&gt;180,'1.설계입력'!$C$39&gt;=1),"",'1.설계입력'!$C$34*(1-SIN(B856)/SQRT(1+'1.설계입력'!$C$39^2-2*'1.설계입력'!$C$39*COS(B856)))-'1.설계입력'!$C$33*(1-'1.설계입력'!$C$39*COS(B856)-SQRT(MAX(0,1-'1.설계입력'!$C$39^2))*SIN(B856))/SQRT(1+'1.설계입력'!$C$39^2-2*'1.설계입력'!$C$39*COS(B856)))</f>
        <v>1.0163671856408476E-2</v>
      </c>
    </row>
    <row r="857" spans="1:11" x14ac:dyDescent="0.3">
      <c r="A857" s="40">
        <f>A856+'1.설계입력'!$C$12</f>
        <v>170.19999999999888</v>
      </c>
      <c r="B857" s="40">
        <f t="shared" si="39"/>
        <v>2.9705503868943293</v>
      </c>
      <c r="C857" s="40">
        <f>ATAN2('1.설계입력'!$C$6/('1.설계입력'!$C$8*'1.설계입력'!$C$15)-COS((1-'1.설계입력'!$C$15)*B857),SIN((1-'1.설계입력'!$C$15)*B857))</f>
        <v>-0.16334492825016977</v>
      </c>
      <c r="D857" s="40">
        <f>'1.설계입력'!$C$6*COS(B857)-'1.설계입력'!$C$7*COS(B857+C857)-'1.설계입력'!$C$8*COS('1.설계입력'!$C$15*B857)</f>
        <v>-78.297073405072567</v>
      </c>
      <c r="E857" s="40">
        <f>-'1.설계입력'!$C$6*SIN(B857)+'1.설계입력'!$C$7*SIN(B857+C857)+'1.설계입력'!$C$8*SIN('1.설계입력'!$C$15*B857)</f>
        <v>-13.439296352896509</v>
      </c>
      <c r="F857" s="40">
        <f>ATAN2(('1.설계입력'!$C$6+'1.설계입력'!$C$33)/('1.설계입력'!$C$8*'1.설계입력'!$C$15)-COS((1-'1.설계입력'!$C$15)*B857),SIN((1-'1.설계입력'!$C$15)*B857))</f>
        <v>-0.16334854448355249</v>
      </c>
      <c r="G857" s="40">
        <f>('1.설계입력'!$C$6+'1.설계입력'!$C$33)*COS(B857)-('1.설계입력'!$C$7+'1.설계입력'!$C$34)*COS(B857+F857)-'1.설계입력'!$C$8*COS('1.설계입력'!$C$15*B857)</f>
        <v>-78.286372043487106</v>
      </c>
      <c r="H857" s="40">
        <f>-('1.설계입력'!$C$6+'1.설계입력'!$C$33)*SIN(B857)+('1.설계입력'!$C$7+'1.설계입력'!$C$34)*SIN(B857+F857)+'1.설계입력'!$C$8*SIN('1.설계입력'!$C$15*B857)</f>
        <v>-13.436096670057534</v>
      </c>
      <c r="I857" s="40">
        <f t="shared" si="40"/>
        <v>79.442094573722684</v>
      </c>
      <c r="J857" s="40">
        <f t="shared" si="41"/>
        <v>79.431006171761481</v>
      </c>
      <c r="K857" s="38">
        <f>IF(OR(A857&gt;180,'1.설계입력'!$C$39&gt;=1),"",'1.설계입력'!$C$34*(1-SIN(B857)/SQRT(1+'1.설계입력'!$C$39^2-2*'1.설계입력'!$C$39*COS(B857)))-'1.설계입력'!$C$33*(1-'1.설계입력'!$C$39*COS(B857)-SQRT(MAX(0,1-'1.설계입력'!$C$39^2))*SIN(B857))/SQRT(1+'1.설계입력'!$C$39^2-2*'1.설계입력'!$C$39*COS(B857)))</f>
        <v>1.0184508646962886E-2</v>
      </c>
    </row>
    <row r="858" spans="1:11" x14ac:dyDescent="0.3">
      <c r="A858" s="40">
        <f>A857+'1.설계입력'!$C$12</f>
        <v>170.39999999999887</v>
      </c>
      <c r="B858" s="40">
        <f t="shared" si="39"/>
        <v>2.9740410453983177</v>
      </c>
      <c r="C858" s="40">
        <f>ATAN2('1.설계입력'!$C$6/('1.설계입력'!$C$8*'1.설계입력'!$C$15)-COS((1-'1.설계입력'!$C$15)*B858),SIN((1-'1.설계입력'!$C$15)*B858))</f>
        <v>-0.10609404751006071</v>
      </c>
      <c r="D858" s="40">
        <f>'1.설계입력'!$C$6*COS(B858)-'1.설계입력'!$C$7*COS(B858+C858)-'1.설계입력'!$C$8*COS('1.설계입력'!$C$15*B858)</f>
        <v>-78.370824894651378</v>
      </c>
      <c r="E858" s="40">
        <f>-'1.설계입력'!$C$6*SIN(B858)+'1.설계입력'!$C$7*SIN(B858+C858)+'1.설계입력'!$C$8*SIN('1.설계입력'!$C$15*B858)</f>
        <v>-13.204169262403809</v>
      </c>
      <c r="F858" s="40">
        <f>ATAN2(('1.설계입력'!$C$6+'1.설계입력'!$C$33)/('1.설계입력'!$C$8*'1.설계입력'!$C$15)-COS((1-'1.설계입력'!$C$15)*B858),SIN((1-'1.설계입력'!$C$15)*B858))</f>
        <v>-0.10609637728397567</v>
      </c>
      <c r="G858" s="40">
        <f>('1.설계입력'!$C$6+'1.설계입력'!$C$33)*COS(B858)-('1.설계입력'!$C$7+'1.설계입력'!$C$34)*COS(B858+F858)-'1.설계입력'!$C$8*COS('1.설계입력'!$C$15*B858)</f>
        <v>-78.359972214597789</v>
      </c>
      <c r="H858" s="40">
        <f>-('1.설계입력'!$C$6+'1.설계입력'!$C$33)*SIN(B858)+('1.설계입력'!$C$7+'1.설계입력'!$C$34)*SIN(B858+F858)+'1.설계입력'!$C$8*SIN('1.설계입력'!$C$15*B858)</f>
        <v>-13.201454318582206</v>
      </c>
      <c r="I858" s="40">
        <f t="shared" si="40"/>
        <v>79.475381600709028</v>
      </c>
      <c r="J858" s="40">
        <f t="shared" si="41"/>
        <v>79.464228691897276</v>
      </c>
      <c r="K858" s="38">
        <f>IF(OR(A858&gt;180,'1.설계입력'!$C$39&gt;=1),"",'1.설계입력'!$C$34*(1-SIN(B858)/SQRT(1+'1.설계입력'!$C$39^2-2*'1.설계입력'!$C$39*COS(B858)))-'1.설계입력'!$C$33*(1-'1.설계입력'!$C$39*COS(B858)-SQRT(MAX(0,1-'1.설계입력'!$C$39^2))*SIN(B858))/SQRT(1+'1.설계입력'!$C$39^2-2*'1.설계입력'!$C$39*COS(B858)))</f>
        <v>1.020534203936151E-2</v>
      </c>
    </row>
    <row r="859" spans="1:11" x14ac:dyDescent="0.3">
      <c r="A859" s="40">
        <f>A858+'1.설계입력'!$C$12</f>
        <v>170.59999999999886</v>
      </c>
      <c r="B859" s="40">
        <f t="shared" si="39"/>
        <v>2.9775317039023061</v>
      </c>
      <c r="C859" s="40">
        <f>ATAN2('1.설계입력'!$C$6/('1.설계입력'!$C$8*'1.설계입력'!$C$15)-COS((1-'1.설계입력'!$C$15)*B859),SIN((1-'1.설계입력'!$C$15)*B859))</f>
        <v>-4.8662919702653767E-2</v>
      </c>
      <c r="D859" s="40">
        <f>'1.설계입력'!$C$6*COS(B859)-'1.설계입력'!$C$7*COS(B859+C859)-'1.설계입력'!$C$8*COS('1.설계입력'!$C$15*B859)</f>
        <v>-78.430971917056468</v>
      </c>
      <c r="E859" s="40">
        <f>-'1.설계입력'!$C$6*SIN(B859)+'1.설계입력'!$C$7*SIN(B859+C859)+'1.설계입력'!$C$8*SIN('1.설계입력'!$C$15*B859)</f>
        <v>-12.961692330768825</v>
      </c>
      <c r="F859" s="40">
        <f>ATAN2(('1.설계입력'!$C$6+'1.설계입력'!$C$33)/('1.설계입력'!$C$8*'1.설계입력'!$C$15)-COS((1-'1.설계입력'!$C$15)*B859),SIN((1-'1.설계입력'!$C$15)*B859))</f>
        <v>-4.8663983387533687E-2</v>
      </c>
      <c r="G859" s="40">
        <f>('1.설계입력'!$C$6+'1.설계입력'!$C$33)*COS(B859)-('1.설계입력'!$C$7+'1.설계입력'!$C$34)*COS(B859+F859)-'1.설계입력'!$C$8*COS('1.설계입력'!$C$15*B859)</f>
        <v>-78.419997021746511</v>
      </c>
      <c r="H859" s="40">
        <f>-('1.설계입력'!$C$6+'1.설계입력'!$C$33)*SIN(B859)+('1.설계입력'!$C$7+'1.설계입력'!$C$34)*SIN(B859+F859)+'1.설계입력'!$C$8*SIN('1.설계입력'!$C$15*B859)</f>
        <v>-12.959471755500564</v>
      </c>
      <c r="I859" s="40">
        <f t="shared" si="40"/>
        <v>79.494797464561231</v>
      </c>
      <c r="J859" s="40">
        <f t="shared" si="41"/>
        <v>79.483607373296465</v>
      </c>
      <c r="K859" s="38">
        <f>IF(OR(A859&gt;180,'1.설계입력'!$C$39&gt;=1),"",'1.설계입력'!$C$34*(1-SIN(B859)/SQRT(1+'1.설계입력'!$C$39^2-2*'1.설계입력'!$C$39*COS(B859)))-'1.설계입력'!$C$33*(1-'1.설계입력'!$C$39*COS(B859)-SQRT(MAX(0,1-'1.설계입력'!$C$39^2))*SIN(B859))/SQRT(1+'1.설계입력'!$C$39^2-2*'1.설계입력'!$C$39*COS(B859)))</f>
        <v>1.0226171964297925E-2</v>
      </c>
    </row>
    <row r="860" spans="1:11" x14ac:dyDescent="0.3">
      <c r="A860" s="40">
        <f>A859+'1.설계입력'!$C$12</f>
        <v>170.79999999999885</v>
      </c>
      <c r="B860" s="40">
        <f t="shared" si="39"/>
        <v>2.9810223624062946</v>
      </c>
      <c r="C860" s="40">
        <f>ATAN2('1.설계입력'!$C$6/('1.설계입력'!$C$8*'1.설계입력'!$C$15)-COS((1-'1.설계입력'!$C$15)*B860),SIN((1-'1.설계입력'!$C$15)*B860))</f>
        <v>8.8494988853854949E-3</v>
      </c>
      <c r="D860" s="40">
        <f>'1.설계입력'!$C$6*COS(B860)-'1.설계입력'!$C$7*COS(B860+C860)-'1.설계입력'!$C$8*COS('1.설계입력'!$C$15*B860)</f>
        <v>-78.476525990545042</v>
      </c>
      <c r="E860" s="40">
        <f>-'1.설계입력'!$C$6*SIN(B860)+'1.설계입력'!$C$7*SIN(B860+C860)+'1.설계입력'!$C$8*SIN('1.설계입력'!$C$15*B860)</f>
        <v>-12.714459522025919</v>
      </c>
      <c r="F860" s="40">
        <f>ATAN2(('1.설계입력'!$C$6+'1.설계입력'!$C$33)/('1.설계입력'!$C$8*'1.설계입력'!$C$15)-COS((1-'1.설계입력'!$C$15)*B860),SIN((1-'1.설계입력'!$C$15)*B860))</f>
        <v>8.8496920907064035E-3</v>
      </c>
      <c r="G860" s="40">
        <f>('1.설계입력'!$C$6+'1.설계입력'!$C$33)*COS(B860)-('1.설계입력'!$C$7+'1.설계입력'!$C$34)*COS(B860+F860)-'1.설계입력'!$C$8*COS('1.설계입력'!$C$15*B860)</f>
        <v>-78.465458800139814</v>
      </c>
      <c r="H860" s="40">
        <f>-('1.설계입력'!$C$6+'1.설계입력'!$C$33)*SIN(B860)+('1.설계입력'!$C$7+'1.설계입력'!$C$34)*SIN(B860+F860)+'1.설계입력'!$C$8*SIN('1.설계입력'!$C$15*B860)</f>
        <v>-12.712740426856239</v>
      </c>
      <c r="I860" s="40">
        <f t="shared" si="40"/>
        <v>79.499827751272065</v>
      </c>
      <c r="J860" s="40">
        <f t="shared" si="41"/>
        <v>79.488628078971544</v>
      </c>
      <c r="K860" s="38">
        <f>IF(OR(A860&gt;180,'1.설계입력'!$C$39&gt;=1),"",'1.설계입력'!$C$34*(1-SIN(B860)/SQRT(1+'1.설계입력'!$C$39^2-2*'1.설계입력'!$C$39*COS(B860)))-'1.설계입력'!$C$33*(1-'1.설계입력'!$C$39*COS(B860)-SQRT(MAX(0,1-'1.설계입력'!$C$39^2))*SIN(B860))/SQRT(1+'1.설계입력'!$C$39^2-2*'1.설계입력'!$C$39*COS(B860)))</f>
        <v>1.0246998352507869E-2</v>
      </c>
    </row>
    <row r="861" spans="1:11" x14ac:dyDescent="0.3">
      <c r="A861" s="40">
        <f>A860+'1.설계입력'!$C$12</f>
        <v>170.99999999999883</v>
      </c>
      <c r="B861" s="40">
        <f t="shared" si="39"/>
        <v>2.984513020910283</v>
      </c>
      <c r="C861" s="40">
        <f>ATAN2('1.설계입력'!$C$6/('1.설계입력'!$C$8*'1.설계입력'!$C$15)-COS((1-'1.설계입력'!$C$15)*B861),SIN((1-'1.설계입력'!$C$15)*B861))</f>
        <v>6.6347198375828531E-2</v>
      </c>
      <c r="D861" s="40">
        <f>'1.설계입력'!$C$6*COS(B861)-'1.설계입력'!$C$7*COS(B861+C861)-'1.설계입력'!$C$8*COS('1.설계입력'!$C$15*B861)</f>
        <v>-78.506897385837476</v>
      </c>
      <c r="E861" s="40">
        <f>-'1.설계입력'!$C$6*SIN(B861)+'1.설계입력'!$C$7*SIN(B861+C861)+'1.설계입력'!$C$8*SIN('1.설계입력'!$C$15*B861)</f>
        <v>-12.465194153417148</v>
      </c>
      <c r="F861" s="40">
        <f>ATAN2(('1.설계입력'!$C$6+'1.설계입력'!$C$33)/('1.설계입력'!$C$8*'1.설계입력'!$C$15)-COS((1-'1.설계입력'!$C$15)*B861),SIN((1-'1.설계입력'!$C$15)*B861))</f>
        <v>6.6348650137503587E-2</v>
      </c>
      <c r="G861" s="40">
        <f>('1.설계입력'!$C$6+'1.설계입력'!$C$33)*COS(B861)-('1.설계입력'!$C$7+'1.설계입력'!$C$34)*COS(B861+F861)-'1.설계입력'!$C$8*COS('1.설계입력'!$C$15*B861)</f>
        <v>-78.495768343006006</v>
      </c>
      <c r="H861" s="40">
        <f>-('1.설계입력'!$C$6+'1.설계입력'!$C$33)*SIN(B861)+('1.설계입력'!$C$7+'1.설계입력'!$C$34)*SIN(B861+F861)+'1.설계입력'!$C$8*SIN('1.설계입력'!$C$15*B861)</f>
        <v>-12.463981076687739</v>
      </c>
      <c r="I861" s="40">
        <f t="shared" si="40"/>
        <v>79.490339050936242</v>
      </c>
      <c r="J861" s="40">
        <f t="shared" si="41"/>
        <v>79.479157469357304</v>
      </c>
      <c r="K861" s="38">
        <f>IF(OR(A861&gt;180,'1.설계입력'!$C$39&gt;=1),"",'1.설계입력'!$C$34*(1-SIN(B861)/SQRT(1+'1.설계입력'!$C$39^2-2*'1.설계입력'!$C$39*COS(B861)))-'1.설계입력'!$C$33*(1-'1.설계입력'!$C$39*COS(B861)-SQRT(MAX(0,1-'1.설계입력'!$C$39^2))*SIN(B861))/SQRT(1+'1.설계입력'!$C$39^2-2*'1.설계입력'!$C$39*COS(B861)))</f>
        <v>1.0267821134769243E-2</v>
      </c>
    </row>
    <row r="862" spans="1:11" x14ac:dyDescent="0.3">
      <c r="A862" s="40">
        <f>A861+'1.설계입력'!$C$12</f>
        <v>171.19999999999882</v>
      </c>
      <c r="B862" s="40">
        <f t="shared" si="39"/>
        <v>2.9880036794142715</v>
      </c>
      <c r="C862" s="40">
        <f>ATAN2('1.설계입력'!$C$6/('1.설계입력'!$C$8*'1.설계입력'!$C$15)-COS((1-'1.설계입력'!$C$15)*B862),SIN((1-'1.설계입력'!$C$15)*B862))</f>
        <v>0.12373363783058548</v>
      </c>
      <c r="D862" s="40">
        <f>'1.설계입력'!$C$6*COS(B862)-'1.설계입력'!$C$7*COS(B862+C862)-'1.설계입력'!$C$8*COS('1.설계입력'!$C$15*B862)</f>
        <v>-78.521911931535243</v>
      </c>
      <c r="E862" s="40">
        <f>-'1.설계입력'!$C$6*SIN(B862)+'1.설계입력'!$C$7*SIN(B862+C862)+'1.설계입력'!$C$8*SIN('1.설계입력'!$C$15*B862)</f>
        <v>-12.21667531854261</v>
      </c>
      <c r="F862" s="40">
        <f>ATAN2(('1.설계입력'!$C$6+'1.설계입력'!$C$33)/('1.설계입력'!$C$8*'1.설계입력'!$C$15)-COS((1-'1.설계입력'!$C$15)*B862),SIN((1-'1.설계입력'!$C$15)*B862))</f>
        <v>0.12373636073507704</v>
      </c>
      <c r="G862" s="40">
        <f>('1.설계입력'!$C$6+'1.설계입력'!$C$33)*COS(B862)-('1.설계입력'!$C$7+'1.설계입력'!$C$34)*COS(B862+F862)-'1.설계입력'!$C$8*COS('1.설계입력'!$C$15*B862)</f>
        <v>-78.51075170744798</v>
      </c>
      <c r="H862" s="40">
        <f>-('1.설계입력'!$C$6+'1.설계입력'!$C$33)*SIN(B862)+('1.설계입력'!$C$7+'1.설계입력'!$C$34)*SIN(B862+F862)+'1.설계입력'!$C$8*SIN('1.설계입력'!$C$15*B862)</f>
        <v>-12.215970178959768</v>
      </c>
      <c r="I862" s="40">
        <f t="shared" si="40"/>
        <v>79.466582971853427</v>
      </c>
      <c r="J862" s="40">
        <f t="shared" si="41"/>
        <v>79.455447019583119</v>
      </c>
      <c r="K862" s="38">
        <f>IF(OR(A862&gt;180,'1.설계입력'!$C$39&gt;=1),"",'1.설계입력'!$C$34*(1-SIN(B862)/SQRT(1+'1.설계입력'!$C$39^2-2*'1.설계입력'!$C$39*COS(B862)))-'1.설계입력'!$C$33*(1-'1.설계입력'!$C$39*COS(B862)-SQRT(MAX(0,1-'1.설계입력'!$C$39^2))*SIN(B862))/SQRT(1+'1.설계입력'!$C$39^2-2*'1.설계입력'!$C$39*COS(B862)))</f>
        <v>1.0288640241902139E-2</v>
      </c>
    </row>
    <row r="863" spans="1:11" x14ac:dyDescent="0.3">
      <c r="A863" s="40">
        <f>A862+'1.설계입력'!$C$12</f>
        <v>171.39999999999881</v>
      </c>
      <c r="B863" s="40">
        <f t="shared" si="39"/>
        <v>2.9914943379182599</v>
      </c>
      <c r="C863" s="40">
        <f>ATAN2('1.설계입력'!$C$6/('1.설계입력'!$C$8*'1.설계입력'!$C$15)-COS((1-'1.설계입력'!$C$15)*B863),SIN((1-'1.설계입력'!$C$15)*B863))</f>
        <v>0.18090822721589009</v>
      </c>
      <c r="D863" s="40">
        <f>'1.설계입력'!$C$6*COS(B863)-'1.설계입력'!$C$7*COS(B863+C863)-'1.설계입력'!$C$8*COS('1.설계입력'!$C$15*B863)</f>
        <v>-78.521814140886079</v>
      </c>
      <c r="E863" s="40">
        <f>-'1.설계입력'!$C$6*SIN(B863)+'1.설계입력'!$C$7*SIN(B863+C863)+'1.설계입력'!$C$8*SIN('1.설계입력'!$C$15*B863)</f>
        <v>-11.971662278212044</v>
      </c>
      <c r="F863" s="40">
        <f>ATAN2(('1.설계입력'!$C$6+'1.설계입력'!$C$33)/('1.설계입력'!$C$8*'1.설계입력'!$C$15)-COS((1-'1.설계입력'!$C$15)*B863),SIN((1-'1.설계입력'!$C$15)*B863))</f>
        <v>0.1809122451909348</v>
      </c>
      <c r="G863" s="40">
        <f>('1.설계입력'!$C$6+'1.설계입력'!$C$33)*COS(B863)-('1.설계입력'!$C$7+'1.설계입력'!$C$34)*COS(B863+F863)-'1.설계입력'!$C$8*COS('1.설계입력'!$C$15*B863)</f>
        <v>-78.510653336396246</v>
      </c>
      <c r="H863" s="40">
        <f>-('1.설계입력'!$C$6+'1.설계입력'!$C$33)*SIN(B863)+('1.설계입력'!$C$7+'1.설계입력'!$C$34)*SIN(B863+F863)+'1.설계입력'!$C$8*SIN('1.설계입력'!$C$15*B863)</f>
        <v>-11.971464336252014</v>
      </c>
      <c r="I863" s="40">
        <f t="shared" si="40"/>
        <v>79.429188549798383</v>
      </c>
      <c r="J863" s="40">
        <f t="shared" si="41"/>
        <v>79.418125422739237</v>
      </c>
      <c r="K863" s="38">
        <f>IF(OR(A863&gt;180,'1.설계입력'!$C$39&gt;=1),"",'1.설계입력'!$C$34*(1-SIN(B863)/SQRT(1+'1.설계입력'!$C$39^2-2*'1.설계입력'!$C$39*COS(B863)))-'1.설계입력'!$C$33*(1-'1.설계입력'!$C$39*COS(B863)-SQRT(MAX(0,1-'1.설계입력'!$C$39^2))*SIN(B863))/SQRT(1+'1.설계입력'!$C$39^2-2*'1.설계입력'!$C$39*COS(B863)))</f>
        <v>1.0309455604768866E-2</v>
      </c>
    </row>
    <row r="864" spans="1:11" x14ac:dyDescent="0.3">
      <c r="A864" s="40">
        <f>A863+'1.설계입력'!$C$12</f>
        <v>171.5999999999988</v>
      </c>
      <c r="B864" s="40">
        <f t="shared" si="39"/>
        <v>2.9949849964222484</v>
      </c>
      <c r="C864" s="40">
        <f>ATAN2('1.설계입력'!$C$6/('1.설계입력'!$C$8*'1.설계입력'!$C$15)-COS((1-'1.설계입력'!$C$15)*B864),SIN((1-'1.설계입력'!$C$15)*B864))</f>
        <v>0.2377624964609302</v>
      </c>
      <c r="D864" s="40">
        <f>'1.설계입력'!$C$6*COS(B864)-'1.설계입력'!$C$7*COS(B864+C864)-'1.설계입력'!$C$8*COS('1.설계입력'!$C$15*B864)</f>
        <v>-78.50725639492191</v>
      </c>
      <c r="E864" s="40">
        <f>-'1.설계입력'!$C$6*SIN(B864)+'1.설계입력'!$C$7*SIN(B864+C864)+'1.설계입력'!$C$8*SIN('1.설계입력'!$C$15*B864)</f>
        <v>-11.7328179949444</v>
      </c>
      <c r="F864" s="40">
        <f>ATAN2(('1.설계입력'!$C$6+'1.설계입력'!$C$33)/('1.설계입력'!$C$8*'1.설계입력'!$C$15)-COS((1-'1.설계입력'!$C$15)*B864),SIN((1-'1.설계입력'!$C$15)*B864))</f>
        <v>0.2377678455906275</v>
      </c>
      <c r="G864" s="40">
        <f>('1.설계입력'!$C$6+'1.설계입력'!$C$33)*COS(B864)-('1.설계입력'!$C$7+'1.설계입력'!$C$34)*COS(B864+F864)-'1.설계입력'!$C$8*COS('1.설계입력'!$C$15*B864)</f>
        <v>-78.496125231370854</v>
      </c>
      <c r="H864" s="40">
        <f>-('1.설계입력'!$C$6+'1.설계입력'!$C$33)*SIN(B864)+('1.설계입력'!$C$7+'1.설계입력'!$C$34)*SIN(B864+F864)+'1.설계입력'!$C$8*SIN('1.설계입력'!$C$15*B864)</f>
        <v>-11.733123820485309</v>
      </c>
      <c r="I864" s="40">
        <f t="shared" si="40"/>
        <v>79.379142882500929</v>
      </c>
      <c r="J864" s="40">
        <f t="shared" si="41"/>
        <v>79.368179208835926</v>
      </c>
      <c r="K864" s="38">
        <f>IF(OR(A864&gt;180,'1.설계입력'!$C$39&gt;=1),"",'1.설계입력'!$C$34*(1-SIN(B864)/SQRT(1+'1.설계입력'!$C$39^2-2*'1.설계입력'!$C$39*COS(B864)))-'1.설계입력'!$C$33*(1-'1.설계입력'!$C$39*COS(B864)-SQRT(MAX(0,1-'1.설계입력'!$C$39^2))*SIN(B864))/SQRT(1+'1.설계입력'!$C$39^2-2*'1.설계입력'!$C$39*COS(B864)))</f>
        <v>1.0330267154273954E-2</v>
      </c>
    </row>
    <row r="865" spans="1:11" x14ac:dyDescent="0.3">
      <c r="A865" s="40">
        <f>A864+'1.설계입력'!$C$12</f>
        <v>171.79999999999879</v>
      </c>
      <c r="B865" s="40">
        <f t="shared" si="39"/>
        <v>2.9984756549262372</v>
      </c>
      <c r="C865" s="40">
        <f>ATAN2('1.설계입력'!$C$6/('1.설계입력'!$C$8*'1.설계입력'!$C$15)-COS((1-'1.설계입력'!$C$15)*B865),SIN((1-'1.설계입력'!$C$15)*B865))</f>
        <v>0.29417563771112487</v>
      </c>
      <c r="D865" s="40">
        <f>'1.설계입력'!$C$6*COS(B865)-'1.설계입력'!$C$7*COS(B865+C865)-'1.설계입력'!$C$8*COS('1.설계입력'!$C$15*B865)</f>
        <v>-78.479273787244509</v>
      </c>
      <c r="E865" s="40">
        <f>-'1.설계입력'!$C$6*SIN(B865)+'1.설계입력'!$C$7*SIN(B865+C865)+'1.설계입력'!$C$8*SIN('1.설계입력'!$C$15*B865)</f>
        <v>-11.502632868350515</v>
      </c>
      <c r="F865" s="40">
        <f>ATAN2(('1.설계입력'!$C$6+'1.설계입력'!$C$33)/('1.설계입력'!$C$8*'1.설계입력'!$C$15)-COS((1-'1.설계입력'!$C$15)*B865),SIN((1-'1.설계입력'!$C$15)*B865))</f>
        <v>0.29418236750145488</v>
      </c>
      <c r="G865" s="40">
        <f>('1.설계입력'!$C$6+'1.설계입력'!$C$33)*COS(B865)-('1.설계입력'!$C$7+'1.설계입력'!$C$34)*COS(B865+F865)-'1.설계입력'!$C$8*COS('1.설계입력'!$C$15*B865)</f>
        <v>-78.468201780331</v>
      </c>
      <c r="H865" s="40">
        <f>-('1.설계입력'!$C$6+'1.설계입력'!$C$33)*SIN(B865)+('1.설계입력'!$C$7+'1.설계입력'!$C$34)*SIN(B865+F865)+'1.설계입력'!$C$8*SIN('1.설계입력'!$C$15*B865)</f>
        <v>-11.503436312029226</v>
      </c>
      <c r="I865" s="40">
        <f t="shared" si="40"/>
        <v>79.317759531376964</v>
      </c>
      <c r="J865" s="40">
        <f t="shared" si="41"/>
        <v>79.306921120565846</v>
      </c>
      <c r="K865" s="38">
        <f>IF(OR(A865&gt;180,'1.설계입력'!$C$39&gt;=1),"",'1.설계입력'!$C$34*(1-SIN(B865)/SQRT(1+'1.설계입력'!$C$39^2-2*'1.설계입력'!$C$39*COS(B865)))-'1.설계입력'!$C$33*(1-'1.설계입력'!$C$39*COS(B865)-SQRT(MAX(0,1-'1.설계입력'!$C$39^2))*SIN(B865))/SQRT(1+'1.설계입력'!$C$39^2-2*'1.설계입력'!$C$39*COS(B865)))</f>
        <v>1.0351074821364201E-2</v>
      </c>
    </row>
    <row r="866" spans="1:11" x14ac:dyDescent="0.3">
      <c r="A866" s="40">
        <f>A865+'1.설계입력'!$C$12</f>
        <v>171.99999999999878</v>
      </c>
      <c r="B866" s="40">
        <f t="shared" si="39"/>
        <v>3.0019663134302257</v>
      </c>
      <c r="C866" s="40">
        <f>ATAN2('1.설계입력'!$C$6/('1.설계입력'!$C$8*'1.설계입력'!$C$15)-COS((1-'1.설계입력'!$C$15)*B866),SIN((1-'1.설계입력'!$C$15)*B866))</f>
        <v>0.35000902060081268</v>
      </c>
      <c r="D866" s="40">
        <f>'1.설계입력'!$C$6*COS(B866)-'1.설계입력'!$C$7*COS(B866+C866)-'1.설계입력'!$C$8*COS('1.설계입력'!$C$15*B866)</f>
        <v>-78.439244023143388</v>
      </c>
      <c r="E866" s="40">
        <f>-'1.설계입력'!$C$6*SIN(B866)+'1.설계입력'!$C$7*SIN(B866+C866)+'1.설계입력'!$C$8*SIN('1.설계입력'!$C$15*B866)</f>
        <v>-11.28334949569857</v>
      </c>
      <c r="F866" s="40">
        <f>ATAN2(('1.설계입력'!$C$6+'1.설계입력'!$C$33)/('1.설계입력'!$C$8*'1.설계입력'!$C$15)-COS((1-'1.설계입력'!$C$15)*B866),SIN((1-'1.설계입력'!$C$15)*B866))</f>
        <v>0.35001719578586443</v>
      </c>
      <c r="G866" s="40">
        <f>('1.설계입력'!$C$6+'1.설계입력'!$C$33)*COS(B866)-('1.설계입력'!$C$7+'1.설계입력'!$C$34)*COS(B866+F866)-'1.설계입력'!$C$8*COS('1.설계입력'!$C$15*B866)</f>
        <v>-78.428259631457948</v>
      </c>
      <c r="H866" s="40">
        <f>-('1.설계입력'!$C$6+'1.설계입력'!$C$33)*SIN(B866)+('1.설계입력'!$C$7+'1.설계입력'!$C$34)*SIN(B866+F866)+'1.설계입력'!$C$8*SIN('1.설계입력'!$C$15*B866)</f>
        <v>-11.284641660219213</v>
      </c>
      <c r="I866" s="40">
        <f t="shared" si="40"/>
        <v>79.246633863933411</v>
      </c>
      <c r="J866" s="40">
        <f t="shared" si="41"/>
        <v>79.235945417587672</v>
      </c>
      <c r="K866" s="38">
        <f>IF(OR(A866&gt;180,'1.설계입력'!$C$39&gt;=1),"",'1.설계입력'!$C$34*(1-SIN(B866)/SQRT(1+'1.설계입력'!$C$39^2-2*'1.설계입력'!$C$39*COS(B866)))-'1.설계입력'!$C$33*(1-'1.설계입력'!$C$39*COS(B866)-SQRT(MAX(0,1-'1.설계입력'!$C$39^2))*SIN(B866))/SQRT(1+'1.설계입력'!$C$39^2-2*'1.설계입력'!$C$39*COS(B866)))</f>
        <v>1.0371878537028666E-2</v>
      </c>
    </row>
    <row r="867" spans="1:11" x14ac:dyDescent="0.3">
      <c r="A867" s="40">
        <f>A866+'1.설계입력'!$C$12</f>
        <v>172.19999999999877</v>
      </c>
      <c r="B867" s="40">
        <f t="shared" si="39"/>
        <v>3.0054569719342141</v>
      </c>
      <c r="C867" s="40">
        <f>ATAN2('1.설계입력'!$C$6/('1.설계입력'!$C$8*'1.설계입력'!$C$15)-COS((1-'1.설계입력'!$C$15)*B867),SIN((1-'1.설계입력'!$C$15)*B867))</f>
        <v>0.40509913106620793</v>
      </c>
      <c r="D867" s="40">
        <f>'1.설계입력'!$C$6*COS(B867)-'1.설계입력'!$C$7*COS(B867+C867)-'1.설계입력'!$C$8*COS('1.설계입력'!$C$15*B867)</f>
        <v>-78.388831391442523</v>
      </c>
      <c r="E867" s="40">
        <f>-'1.설계입력'!$C$6*SIN(B867)+'1.설계입력'!$C$7*SIN(B867+C867)+'1.설계입력'!$C$8*SIN('1.설계입력'!$C$15*B867)</f>
        <v>-11.076888886535516</v>
      </c>
      <c r="F867" s="40">
        <f>ATAN2(('1.설계입력'!$C$6+'1.설계입력'!$C$33)/('1.설계입력'!$C$8*'1.설계입력'!$C$15)-COS((1-'1.설계입력'!$C$15)*B867),SIN((1-'1.설계입력'!$C$15)*B867))</f>
        <v>0.40510883408946863</v>
      </c>
      <c r="G867" s="40">
        <f>('1.설계입력'!$C$6+'1.설계입력'!$C$33)*COS(B867)-('1.설계입력'!$C$7+'1.설계입력'!$C$34)*COS(B867+F867)-'1.설계입력'!$C$8*COS('1.설계입력'!$C$15*B867)</f>
        <v>-78.377961628271223</v>
      </c>
      <c r="H867" s="40">
        <f>-('1.설계입력'!$C$6+'1.설계입력'!$C$33)*SIN(B867)+('1.설계입력'!$C$7+'1.설계입력'!$C$34)*SIN(B867+F867)+'1.설계입력'!$C$8*SIN('1.설계입력'!$C$15*B867)</f>
        <v>-11.078658092255896</v>
      </c>
      <c r="I867" s="40">
        <f t="shared" si="40"/>
        <v>79.167583986886058</v>
      </c>
      <c r="J867" s="40">
        <f t="shared" si="41"/>
        <v>79.157068756541662</v>
      </c>
      <c r="K867" s="38">
        <f>IF(OR(A867&gt;180,'1.설계입력'!$C$39&gt;=1),"",'1.설계입력'!$C$34*(1-SIN(B867)/SQRT(1+'1.설계입력'!$C$39^2-2*'1.설계입력'!$C$39*COS(B867)))-'1.설계입력'!$C$33*(1-'1.설계입력'!$C$39*COS(B867)-SQRT(MAX(0,1-'1.설계입력'!$C$39^2))*SIN(B867))/SQRT(1+'1.설계입력'!$C$39^2-2*'1.설계입력'!$C$39*COS(B867)))</f>
        <v>1.0392678232298723E-2</v>
      </c>
    </row>
    <row r="868" spans="1:11" x14ac:dyDescent="0.3">
      <c r="A868" s="40">
        <f>A867+'1.설계입력'!$C$12</f>
        <v>172.39999999999876</v>
      </c>
      <c r="B868" s="40">
        <f t="shared" si="39"/>
        <v>3.0089476304382026</v>
      </c>
      <c r="C868" s="40">
        <f>ATAN2('1.설계입력'!$C$6/('1.설계입력'!$C$8*'1.설계입력'!$C$15)-COS((1-'1.설계입력'!$C$15)*B868),SIN((1-'1.설계입력'!$C$15)*B868))</f>
        <v>0.45924813815045806</v>
      </c>
      <c r="D868" s="40">
        <f>'1.설계입력'!$C$6*COS(B868)-'1.설계입력'!$C$7*COS(B868+C868)-'1.설계입력'!$C$8*COS('1.설계입력'!$C$15*B868)</f>
        <v>-78.329913174994019</v>
      </c>
      <c r="E868" s="40">
        <f>-'1.설계입력'!$C$6*SIN(B868)+'1.설계입력'!$C$7*SIN(B868+C868)+'1.설계입력'!$C$8*SIN('1.설계입력'!$C$15*B868)</f>
        <v>-10.884777914219352</v>
      </c>
      <c r="F868" s="40">
        <f>ATAN2(('1.설계입력'!$C$6+'1.설계입력'!$C$33)/('1.설계입력'!$C$8*'1.설계입력'!$C$15)-COS((1-'1.설계입력'!$C$15)*B868),SIN((1-'1.설계입력'!$C$15)*B868))</f>
        <v>0.45925947251496607</v>
      </c>
      <c r="G868" s="40">
        <f>('1.설계입력'!$C$6+'1.설계입력'!$C$33)*COS(B868)-('1.설계입력'!$C$7+'1.설계입력'!$C$34)*COS(B868+F868)-'1.설계입력'!$C$8*COS('1.설계입력'!$C$15*B868)</f>
        <v>-78.319183167300451</v>
      </c>
      <c r="H868" s="40">
        <f>-('1.설계입력'!$C$6+'1.설계입력'!$C$33)*SIN(B868)+('1.설계입력'!$C$7+'1.설계입력'!$C$34)*SIN(B868+F868)+'1.설계입력'!$C$8*SIN('1.설계입력'!$C$15*B868)</f>
        <v>-10.887009650394935</v>
      </c>
      <c r="I868" s="40">
        <f t="shared" si="40"/>
        <v>79.08257512400553</v>
      </c>
      <c r="J868" s="40">
        <f t="shared" si="41"/>
        <v>79.072254496257727</v>
      </c>
      <c r="K868" s="38">
        <f>IF(OR(A868&gt;180,'1.설계입력'!$C$39&gt;=1),"",'1.설계입력'!$C$34*(1-SIN(B868)/SQRT(1+'1.설계입력'!$C$39^2-2*'1.설계입력'!$C$39*COS(B868)))-'1.설계입력'!$C$33*(1-'1.설계입력'!$C$39*COS(B868)-SQRT(MAX(0,1-'1.설계입력'!$C$39^2))*SIN(B868))/SQRT(1+'1.설계입력'!$C$39^2-2*'1.설계입력'!$C$39*COS(B868)))</f>
        <v>1.0413473838248071E-2</v>
      </c>
    </row>
    <row r="869" spans="1:11" x14ac:dyDescent="0.3">
      <c r="A869" s="40">
        <f>A868+'1.설계입력'!$C$12</f>
        <v>172.59999999999874</v>
      </c>
      <c r="B869" s="40">
        <f t="shared" si="39"/>
        <v>3.012438288942191</v>
      </c>
      <c r="C869" s="40">
        <f>ATAN2('1.설계입력'!$C$6/('1.설계입력'!$C$8*'1.설계입력'!$C$15)-COS((1-'1.설계입력'!$C$15)*B869),SIN((1-'1.설계입력'!$C$15)*B869))</f>
        <v>0.51221089028988331</v>
      </c>
      <c r="D869" s="40">
        <f>'1.설계입력'!$C$6*COS(B869)-'1.설계입력'!$C$7*COS(B869+C869)-'1.설계입력'!$C$8*COS('1.설계입력'!$C$15*B869)</f>
        <v>-78.264485749739606</v>
      </c>
      <c r="E869" s="40">
        <f>-'1.설계입력'!$C$6*SIN(B869)+'1.설계입력'!$C$7*SIN(B869+C869)+'1.설계입력'!$C$8*SIN('1.설계입력'!$C$15*B869)</f>
        <v>-10.708076728442247</v>
      </c>
      <c r="F869" s="40">
        <f>ATAN2(('1.설계입력'!$C$6+'1.설계입력'!$C$33)/('1.설계입력'!$C$8*'1.설계입력'!$C$15)-COS((1-'1.설계입력'!$C$15)*B869),SIN((1-'1.설계입력'!$C$15)*B869))</f>
        <v>0.51222398505306344</v>
      </c>
      <c r="G869" s="40">
        <f>('1.설계입력'!$C$6+'1.설계입력'!$C$33)*COS(B869)-('1.설계입력'!$C$7+'1.설계입력'!$C$34)*COS(B869+F869)-'1.설계입력'!$C$8*COS('1.설계입력'!$C$15*B869)</f>
        <v>-78.25391822091872</v>
      </c>
      <c r="H869" s="40">
        <f>-('1.설계입력'!$C$6+'1.설계입력'!$C$33)*SIN(B869)+('1.설계입력'!$C$7+'1.설계입력'!$C$34)*SIN(B869+F869)+'1.설계입력'!$C$8*SIN('1.설계입력'!$C$15*B869)</f>
        <v>-10.710753576787123</v>
      </c>
      <c r="I869" s="40">
        <f t="shared" si="40"/>
        <v>78.993624026837765</v>
      </c>
      <c r="J869" s="40">
        <f t="shared" si="41"/>
        <v>78.983517008986709</v>
      </c>
      <c r="K869" s="38">
        <f>IF(OR(A869&gt;180,'1.설계입력'!$C$39&gt;=1),"",'1.설계입력'!$C$34*(1-SIN(B869)/SQRT(1+'1.설계입력'!$C$39^2-2*'1.설계입력'!$C$39*COS(B869)))-'1.설계입력'!$C$33*(1-'1.설계입력'!$C$39*COS(B869)-SQRT(MAX(0,1-'1.설계입력'!$C$39^2))*SIN(B869))/SQRT(1+'1.설계입력'!$C$39^2-2*'1.설계입력'!$C$39*COS(B869)))</f>
        <v>1.0434265285992762E-2</v>
      </c>
    </row>
    <row r="870" spans="1:11" x14ac:dyDescent="0.3">
      <c r="A870" s="40">
        <f>A869+'1.설계입력'!$C$12</f>
        <v>172.79999999999873</v>
      </c>
      <c r="B870" s="40">
        <f t="shared" si="39"/>
        <v>3.0159289474461795</v>
      </c>
      <c r="C870" s="40">
        <f>ATAN2('1.설계입력'!$C$6/('1.설계입력'!$C$8*'1.설계입력'!$C$15)-COS((1-'1.설계입력'!$C$15)*B870),SIN((1-'1.설계입력'!$C$15)*B870))</f>
        <v>0.56367647495394557</v>
      </c>
      <c r="D870" s="40">
        <f>'1.설계입력'!$C$6*COS(B870)-'1.설계입력'!$C$7*COS(B870+C870)-'1.설계입력'!$C$8*COS('1.설계입력'!$C$15*B870)</f>
        <v>-78.194545733824839</v>
      </c>
      <c r="E870" s="40">
        <f>-'1.설계입력'!$C$6*SIN(B870)+'1.설계입력'!$C$7*SIN(B870+C870)+'1.설계입력'!$C$8*SIN('1.설계입력'!$C$15*B870)</f>
        <v>-10.547303075790127</v>
      </c>
      <c r="F870" s="40">
        <f>ATAN2(('1.설계입력'!$C$6+'1.설계입력'!$C$33)/('1.설계입력'!$C$8*'1.설계입력'!$C$15)-COS((1-'1.설계입력'!$C$15)*B870),SIN((1-'1.설계입력'!$C$15)*B870))</f>
        <v>0.56369149075683866</v>
      </c>
      <c r="G870" s="40">
        <f>('1.설계입력'!$C$6+'1.설계입력'!$C$33)*COS(B870)-('1.설계입력'!$C$7+'1.설계입력'!$C$34)*COS(B870+F870)-'1.설계입력'!$C$8*COS('1.설계입력'!$C$15*B870)</f>
        <v>-78.184160375335722</v>
      </c>
      <c r="H870" s="40">
        <f>-('1.설계입력'!$C$6+'1.설계입력'!$C$33)*SIN(B870)+('1.설계입력'!$C$7+'1.설계입력'!$C$34)*SIN(B870+F870)+'1.설계입력'!$C$8*SIN('1.설계입력'!$C$15*B870)</f>
        <v>-10.550404585206808</v>
      </c>
      <c r="I870" s="40">
        <f t="shared" si="40"/>
        <v>78.90267793105501</v>
      </c>
      <c r="J870" s="40">
        <f t="shared" si="41"/>
        <v>78.89280049857382</v>
      </c>
      <c r="K870" s="38">
        <f>IF(OR(A870&gt;180,'1.설계입력'!$C$39&gt;=1),"",'1.설계입력'!$C$34*(1-SIN(B870)/SQRT(1+'1.설계입력'!$C$39^2-2*'1.설계입력'!$C$39*COS(B870)))-'1.설계입력'!$C$33*(1-'1.설계입력'!$C$39*COS(B870)-SQRT(MAX(0,1-'1.설계입력'!$C$39^2))*SIN(B870))/SQRT(1+'1.설계입력'!$C$39^2-2*'1.설계입력'!$C$39*COS(B870)))</f>
        <v>1.0455052506691228E-2</v>
      </c>
    </row>
    <row r="871" spans="1:11" x14ac:dyDescent="0.3">
      <c r="A871" s="40">
        <f>A870+'1.설계입력'!$C$12</f>
        <v>172.99999999999872</v>
      </c>
      <c r="B871" s="40">
        <f t="shared" si="39"/>
        <v>3.0194196059501679</v>
      </c>
      <c r="C871" s="40">
        <f>ATAN2('1.설계입력'!$C$6/('1.설계입력'!$C$8*'1.설계입력'!$C$15)-COS((1-'1.설계입력'!$C$15)*B871),SIN((1-'1.설계입력'!$C$15)*B871))</f>
        <v>0.61324134615112158</v>
      </c>
      <c r="D871" s="40">
        <f>'1.설계입력'!$C$6*COS(B871)-'1.설계입력'!$C$7*COS(B871+C871)-'1.설계입력'!$C$8*COS('1.설계입력'!$C$15*B871)</f>
        <v>-78.121938355955336</v>
      </c>
      <c r="E871" s="40">
        <f>-'1.설계입력'!$C$6*SIN(B871)+'1.설계입력'!$C$7*SIN(B871+C871)+'1.설계입력'!$C$8*SIN('1.설계입력'!$C$15*B871)</f>
        <v>-10.402347386976775</v>
      </c>
      <c r="F871" s="40">
        <f>ATAN2(('1.설계입력'!$C$6+'1.설계입력'!$C$33)/('1.설계입력'!$C$8*'1.설계입력'!$C$15)-COS((1-'1.설계입력'!$C$15)*B871),SIN((1-'1.설계입력'!$C$15)*B871))</f>
        <v>0.61325848332795752</v>
      </c>
      <c r="G871" s="40">
        <f>('1.설계입력'!$C$6+'1.설계입력'!$C$33)*COS(B871)-('1.설계입력'!$C$7+'1.설계입력'!$C$34)*COS(B871+F871)-'1.설계입력'!$C$8*COS('1.설계입력'!$C$15*B871)</f>
        <v>-78.111751034605774</v>
      </c>
      <c r="H871" s="40">
        <f>-('1.설계입력'!$C$6+'1.설계입력'!$C$33)*SIN(B871)+('1.설계입력'!$C$7+'1.설계입력'!$C$34)*SIN(B871+F871)+'1.설계입력'!$C$8*SIN('1.설계입력'!$C$15*B871)</f>
        <v>-10.405849864956647</v>
      </c>
      <c r="I871" s="40">
        <f t="shared" si="40"/>
        <v>78.811459088453802</v>
      </c>
      <c r="J871" s="40">
        <f t="shared" si="41"/>
        <v>78.801823336165612</v>
      </c>
      <c r="K871" s="38">
        <f>IF(OR(A871&gt;180,'1.설계입력'!$C$39&gt;=1),"",'1.설계입력'!$C$34*(1-SIN(B871)/SQRT(1+'1.설계입력'!$C$39^2-2*'1.설계입력'!$C$39*COS(B871)))-'1.설계입력'!$C$33*(1-'1.설계입력'!$C$39*COS(B871)-SQRT(MAX(0,1-'1.설계입력'!$C$39^2))*SIN(B871))/SQRT(1+'1.설계입력'!$C$39^2-2*'1.설계입력'!$C$39*COS(B871)))</f>
        <v>1.0475835431544315E-2</v>
      </c>
    </row>
    <row r="872" spans="1:11" x14ac:dyDescent="0.3">
      <c r="A872" s="40">
        <f>A871+'1.설계입력'!$C$12</f>
        <v>173.19999999999871</v>
      </c>
      <c r="B872" s="40">
        <f t="shared" si="39"/>
        <v>3.0229102644541563</v>
      </c>
      <c r="C872" s="40">
        <f>ATAN2('1.설계입력'!$C$6/('1.설계입력'!$C$8*'1.설계입력'!$C$15)-COS((1-'1.설계입력'!$C$15)*B872),SIN((1-'1.설계입력'!$C$15)*B872))</f>
        <v>0.66036906277900265</v>
      </c>
      <c r="D872" s="40">
        <f>'1.설계입력'!$C$6*COS(B872)-'1.설계입력'!$C$7*COS(B872+C872)-'1.설계입력'!$C$8*COS('1.설계입력'!$C$15*B872)</f>
        <v>-78.048159781330625</v>
      </c>
      <c r="E872" s="40">
        <f>-'1.설계입력'!$C$6*SIN(B872)+'1.설계입력'!$C$7*SIN(B872+C872)+'1.설계입력'!$C$8*SIN('1.설계입력'!$C$15*B872)</f>
        <v>-10.272366897683856</v>
      </c>
      <c r="F872" s="40">
        <f>ATAN2(('1.설계입력'!$C$6+'1.설계입력'!$C$33)/('1.설계입력'!$C$8*'1.설계입력'!$C$15)-COS((1-'1.설계입력'!$C$15)*B872),SIN((1-'1.설계입력'!$C$15)*B872))</f>
        <v>0.66038857229755443</v>
      </c>
      <c r="G872" s="40">
        <f>('1.설계입력'!$C$6+'1.설계입력'!$C$33)*COS(B872)-('1.설계입력'!$C$7+'1.설계입력'!$C$34)*COS(B872+F872)-'1.설계입력'!$C$8*COS('1.설계입력'!$C$15*B872)</f>
        <v>-78.038181499121109</v>
      </c>
      <c r="H872" s="40">
        <f>-('1.설계입력'!$C$6+'1.설계입력'!$C$33)*SIN(B872)+('1.설계입력'!$C$7+'1.설계입력'!$C$34)*SIN(B872+F872)+'1.설계입력'!$C$8*SIN('1.설계입력'!$C$15*B872)</f>
        <v>-10.27624306022591</v>
      </c>
      <c r="I872" s="40">
        <f t="shared" si="40"/>
        <v>78.721259942487876</v>
      </c>
      <c r="J872" s="40">
        <f t="shared" si="41"/>
        <v>78.711872948892591</v>
      </c>
      <c r="K872" s="38">
        <f>IF(OR(A872&gt;180,'1.설계입력'!$C$39&gt;=1),"",'1.설계입력'!$C$34*(1-SIN(B872)/SQRT(1+'1.설계입력'!$C$39^2-2*'1.설계입력'!$C$39*COS(B872)))-'1.설계입력'!$C$33*(1-'1.설계입력'!$C$39*COS(B872)-SQRT(MAX(0,1-'1.설계입력'!$C$39^2))*SIN(B872))/SQRT(1+'1.설계입력'!$C$39^2-2*'1.설계입력'!$C$39*COS(B872)))</f>
        <v>1.0496613991795307E-2</v>
      </c>
    </row>
    <row r="873" spans="1:11" x14ac:dyDescent="0.3">
      <c r="A873" s="40">
        <f>A872+'1.설계입력'!$C$12</f>
        <v>173.3999999999987</v>
      </c>
      <c r="B873" s="40">
        <f t="shared" si="39"/>
        <v>3.0264009229581448</v>
      </c>
      <c r="C873" s="40">
        <f>ATAN2('1.설계입력'!$C$6/('1.설계입력'!$C$8*'1.설계입력'!$C$15)-COS((1-'1.설계입력'!$C$15)*B873),SIN((1-'1.설계입력'!$C$15)*B873))</f>
        <v>0.70432816899438899</v>
      </c>
      <c r="D873" s="40">
        <f>'1.설계입력'!$C$6*COS(B873)-'1.설계입력'!$C$7*COS(B873+C873)-'1.설계입력'!$C$8*COS('1.설계입력'!$C$15*B873)</f>
        <v>-77.974090799356134</v>
      </c>
      <c r="E873" s="40">
        <f>-'1.설계입력'!$C$6*SIN(B873)+'1.설계입력'!$C$7*SIN(B873+C873)+'1.설계입력'!$C$8*SIN('1.설계입력'!$C$15*B873)</f>
        <v>-10.15563648559916</v>
      </c>
      <c r="F873" s="40">
        <f>ATAN2(('1.설계입력'!$C$6+'1.설계입력'!$C$33)/('1.설계입력'!$C$8*'1.설계입력'!$C$15)-COS((1-'1.설계입력'!$C$15)*B873),SIN((1-'1.설계입력'!$C$15)*B873))</f>
        <v>0.70435036721077993</v>
      </c>
      <c r="G873" s="40">
        <f>('1.설계입력'!$C$6+'1.설계입력'!$C$33)*COS(B873)-('1.설계입력'!$C$7+'1.설계입력'!$C$34)*COS(B873+F873)-'1.설계입력'!$C$8*COS('1.설계입력'!$C$15*B873)</f>
        <v>-77.964326273015601</v>
      </c>
      <c r="H873" s="40">
        <f>-('1.설계입력'!$C$6+'1.설계입력'!$C$33)*SIN(B873)+('1.설계입력'!$C$7+'1.설계입력'!$C$34)*SIN(B873+F873)+'1.설계입력'!$C$8*SIN('1.설계입력'!$C$15*B873)</f>
        <v>-10.159854863916381</v>
      </c>
      <c r="I873" s="40">
        <f t="shared" si="40"/>
        <v>78.632663622783795</v>
      </c>
      <c r="J873" s="40">
        <f t="shared" si="41"/>
        <v>78.623525881641015</v>
      </c>
      <c r="K873" s="38">
        <f>IF(OR(A873&gt;180,'1.설계입력'!$C$39&gt;=1),"",'1.설계입력'!$C$34*(1-SIN(B873)/SQRT(1+'1.설계입력'!$C$39^2-2*'1.설계입력'!$C$39*COS(B873)))-'1.설계입력'!$C$33*(1-'1.설계입력'!$C$39*COS(B873)-SQRT(MAX(0,1-'1.설계입력'!$C$39^2))*SIN(B873))/SQRT(1+'1.설계입력'!$C$39^2-2*'1.설계입력'!$C$39*COS(B873)))</f>
        <v>1.0517388118729962E-2</v>
      </c>
    </row>
    <row r="874" spans="1:11" x14ac:dyDescent="0.3">
      <c r="A874" s="40">
        <f>A873+'1.설계입력'!$C$12</f>
        <v>173.59999999999869</v>
      </c>
      <c r="B874" s="40">
        <f t="shared" si="39"/>
        <v>3.0298915814621332</v>
      </c>
      <c r="C874" s="40">
        <f>ATAN2('1.설계입력'!$C$6/('1.설계입력'!$C$8*'1.설계입력'!$C$15)-COS((1-'1.설계입력'!$C$15)*B874),SIN((1-'1.설계입력'!$C$15)*B874))</f>
        <v>0.74409324739141702</v>
      </c>
      <c r="D874" s="40">
        <f>'1.설계입력'!$C$6*COS(B874)-'1.설계입력'!$C$7*COS(B874+C874)-'1.설계입력'!$C$8*COS('1.설계입력'!$C$15*B874)</f>
        <v>-77.899623087086624</v>
      </c>
      <c r="E874" s="40">
        <f>-'1.설계입력'!$C$6*SIN(B874)+'1.설계입력'!$C$7*SIN(B874+C874)+'1.설계입력'!$C$8*SIN('1.설계입력'!$C$15*B874)</f>
        <v>-10.049312906810929</v>
      </c>
      <c r="F874" s="40">
        <f>ATAN2(('1.설계입력'!$C$6+'1.설계입력'!$C$33)/('1.설계입력'!$C$8*'1.설계입력'!$C$15)-COS((1-'1.설계입력'!$C$15)*B874),SIN((1-'1.설계입력'!$C$15)*B874))</f>
        <v>0.74411853575052256</v>
      </c>
      <c r="G874" s="40">
        <f>('1.설계입력'!$C$6+'1.설계입력'!$C$33)*COS(B874)-('1.설계입력'!$C$7+'1.설계입력'!$C$34)*COS(B874+F874)-'1.설계입력'!$C$8*COS('1.설계입력'!$C$15*B874)</f>
        <v>-77.890068729547053</v>
      </c>
      <c r="H874" s="40">
        <f>-('1.설계입력'!$C$6+'1.설계입력'!$C$33)*SIN(B874)+('1.설계입력'!$C$7+'1.설계입력'!$C$34)*SIN(B874+F874)+'1.설계입력'!$C$8*SIN('1.설계입력'!$C$15*B874)</f>
        <v>-10.053836825265414</v>
      </c>
      <c r="I874" s="40">
        <f t="shared" si="40"/>
        <v>78.545146043591743</v>
      </c>
      <c r="J874" s="40">
        <f t="shared" si="41"/>
        <v>78.53624922036083</v>
      </c>
      <c r="K874" s="38">
        <f>IF(OR(A874&gt;180,'1.설계입력'!$C$39&gt;=1),"",'1.설계입력'!$C$34*(1-SIN(B874)/SQRT(1+'1.설계입력'!$C$39^2-2*'1.설계입력'!$C$39*COS(B874)))-'1.설계입력'!$C$33*(1-'1.설계입력'!$C$39*COS(B874)-SQRT(MAX(0,1-'1.설계입력'!$C$39^2))*SIN(B874))/SQRT(1+'1.설계입력'!$C$39^2-2*'1.설계입력'!$C$39*COS(B874)))</f>
        <v>1.0538157743676536E-2</v>
      </c>
    </row>
    <row r="875" spans="1:11" x14ac:dyDescent="0.3">
      <c r="A875" s="40">
        <f>A874+'1.설계입력'!$C$12</f>
        <v>173.79999999999868</v>
      </c>
      <c r="B875" s="40">
        <f t="shared" si="39"/>
        <v>3.0333822399661217</v>
      </c>
      <c r="C875" s="40">
        <f>ATAN2('1.설계입력'!$C$6/('1.설계입력'!$C$8*'1.설계입력'!$C$15)-COS((1-'1.설계입력'!$C$15)*B875),SIN((1-'1.설계입력'!$C$15)*B875))</f>
        <v>0.7781817120884692</v>
      </c>
      <c r="D875" s="40">
        <f>'1.설계입력'!$C$6*COS(B875)-'1.설계입력'!$C$7*COS(B875+C875)-'1.설계입력'!$C$8*COS('1.설계입력'!$C$15*B875)</f>
        <v>-77.82311120037042</v>
      </c>
      <c r="E875" s="40">
        <f>-'1.설계입력'!$C$6*SIN(B875)+'1.설계입력'!$C$7*SIN(B875+C875)+'1.설계입력'!$C$8*SIN('1.설계입력'!$C$15*B875)</f>
        <v>-9.9490253456276552</v>
      </c>
      <c r="F875" s="40">
        <f>ATAN2(('1.설계입력'!$C$6+'1.설계입력'!$C$33)/('1.설계입력'!$C$8*'1.설계입력'!$C$15)-COS((1-'1.설계입력'!$C$15)*B875),SIN((1-'1.설계입력'!$C$15)*B875))</f>
        <v>0.77821060252624685</v>
      </c>
      <c r="G875" s="40">
        <f>('1.설계입력'!$C$6+'1.설계입력'!$C$33)*COS(B875)-('1.설계입력'!$C$7+'1.설계입력'!$C$34)*COS(B875+F875)-'1.설계입력'!$C$8*COS('1.설계입력'!$C$15*B875)</f>
        <v>-77.813752138775371</v>
      </c>
      <c r="H875" s="40">
        <f>-('1.설계입력'!$C$6+'1.설계입력'!$C$33)*SIN(B875)+('1.설계입력'!$C$7+'1.설계입력'!$C$34)*SIN(B875+F875)+'1.설계입력'!$C$8*SIN('1.설계입력'!$C$15*B875)</f>
        <v>-9.9538111161466176</v>
      </c>
      <c r="I875" s="40">
        <f t="shared" si="40"/>
        <v>78.456483111551464</v>
      </c>
      <c r="J875" s="40">
        <f t="shared" si="41"/>
        <v>78.447806710262412</v>
      </c>
      <c r="K875" s="38">
        <f>IF(OR(A875&gt;180,'1.설계입력'!$C$39&gt;=1),"",'1.설계입력'!$C$34*(1-SIN(B875)/SQRT(1+'1.설계입력'!$C$39^2-2*'1.설계입력'!$C$39*COS(B875)))-'1.설계입력'!$C$33*(1-'1.설계입력'!$C$39*COS(B875)-SQRT(MAX(0,1-'1.설계입력'!$C$39^2))*SIN(B875))/SQRT(1+'1.설계입력'!$C$39^2-2*'1.설계입력'!$C$39*COS(B875)))</f>
        <v>1.0558922798005823E-2</v>
      </c>
    </row>
    <row r="876" spans="1:11" x14ac:dyDescent="0.3">
      <c r="A876" s="40">
        <f>A875+'1.설계입력'!$C$12</f>
        <v>173.99999999999866</v>
      </c>
      <c r="B876" s="40">
        <f t="shared" si="39"/>
        <v>3.0368728984701101</v>
      </c>
      <c r="C876" s="40">
        <f>ATAN2('1.설계입력'!$C$6/('1.설계입력'!$C$8*'1.설계입력'!$C$15)-COS((1-'1.설계입력'!$C$15)*B876),SIN((1-'1.설계입력'!$C$15)*B876))</f>
        <v>0.80437416500289916</v>
      </c>
      <c r="D876" s="40">
        <f>'1.설계입력'!$C$6*COS(B876)-'1.설계입력'!$C$7*COS(B876+C876)-'1.설계입력'!$C$8*COS('1.설계입력'!$C$15*B876)</f>
        <v>-77.740536312710219</v>
      </c>
      <c r="E876" s="40">
        <f>-'1.설계입력'!$C$6*SIN(B876)+'1.설계입력'!$C$7*SIN(B876+C876)+'1.설계입력'!$C$8*SIN('1.설계입력'!$C$15*B876)</f>
        <v>-9.8481091897595459</v>
      </c>
      <c r="F876" s="40">
        <f>ATAN2(('1.설계입력'!$C$6+'1.설계입력'!$C$33)/('1.설계입력'!$C$8*'1.설계입력'!$C$15)-COS((1-'1.설계입력'!$C$15)*B876),SIN((1-'1.설계입력'!$C$15)*B876))</f>
        <v>0.80440730939977823</v>
      </c>
      <c r="G876" s="40">
        <f>('1.설계입력'!$C$6+'1.설계입력'!$C$33)*COS(B876)-('1.설계입력'!$C$7+'1.설계입력'!$C$34)*COS(B876+F876)-'1.설계입력'!$C$8*COS('1.설계입력'!$C$15*B876)</f>
        <v>-77.731341818486655</v>
      </c>
      <c r="H876" s="40">
        <f>-('1.설계입력'!$C$6+'1.설계입력'!$C$33)*SIN(B876)+('1.설계입력'!$C$7+'1.설계입력'!$C$34)*SIN(B876+F876)+'1.설계입력'!$C$8*SIN('1.설계입력'!$C$15*B876)</f>
        <v>-9.8531028078924177</v>
      </c>
      <c r="I876" s="40">
        <f t="shared" si="40"/>
        <v>78.361828978152644</v>
      </c>
      <c r="J876" s="40">
        <f t="shared" si="41"/>
        <v>78.353335192864066</v>
      </c>
      <c r="K876" s="38">
        <f>IF(OR(A876&gt;180,'1.설계입력'!$C$39&gt;=1),"",'1.설계입력'!$C$34*(1-SIN(B876)/SQRT(1+'1.설계입력'!$C$39^2-2*'1.설계입력'!$C$39*COS(B876)))-'1.설계입력'!$C$33*(1-'1.설계입력'!$C$39*COS(B876)-SQRT(MAX(0,1-'1.설계입력'!$C$39^2))*SIN(B876))/SQRT(1+'1.설계입력'!$C$39^2-2*'1.설계입력'!$C$39*COS(B876)))</f>
        <v>1.0579683213131182E-2</v>
      </c>
    </row>
    <row r="877" spans="1:11" x14ac:dyDescent="0.3">
      <c r="A877" s="40">
        <f>A876+'1.설계입력'!$C$12</f>
        <v>174.19999999999865</v>
      </c>
      <c r="B877" s="40">
        <f t="shared" si="39"/>
        <v>3.0403635569740985</v>
      </c>
      <c r="C877" s="40">
        <f>ATAN2('1.설계입력'!$C$6/('1.설계입력'!$C$8*'1.설계입력'!$C$15)-COS((1-'1.설계입력'!$C$15)*B877),SIN((1-'1.설계입력'!$C$15)*B877))</f>
        <v>0.81921559339859029</v>
      </c>
      <c r="D877" s="40">
        <f>'1.설계입력'!$C$6*COS(B877)-'1.설계입력'!$C$7*COS(B877+C877)-'1.설계입력'!$C$8*COS('1.설계입력'!$C$15*B877)</f>
        <v>-77.644198401296919</v>
      </c>
      <c r="E877" s="40">
        <f>-'1.설계입력'!$C$6*SIN(B877)+'1.설계입력'!$C$7*SIN(B877+C877)+'1.설계입력'!$C$8*SIN('1.설계입력'!$C$15*B877)</f>
        <v>-9.7360785310062568</v>
      </c>
      <c r="F877" s="40">
        <f>ATAN2(('1.설계입력'!$C$6+'1.설계입력'!$C$33)/('1.설계입력'!$C$8*'1.설계입력'!$C$15)-COS((1-'1.설계입력'!$C$15)*B877),SIN((1-'1.설계입력'!$C$15)*B877))</f>
        <v>0.81925380583981278</v>
      </c>
      <c r="G877" s="40">
        <f>('1.설계입력'!$C$6+'1.설계입력'!$C$33)*COS(B877)-('1.설계입력'!$C$7+'1.설계입력'!$C$34)*COS(B877+F877)-'1.설계입력'!$C$8*COS('1.설계입력'!$C$15*B877)</f>
        <v>-77.635114663930196</v>
      </c>
      <c r="H877" s="40">
        <f>-('1.설계입력'!$C$6+'1.설계입력'!$C$33)*SIN(B877)+('1.설계입력'!$C$7+'1.설계입력'!$C$34)*SIN(B877+F877)+'1.설계입력'!$C$8*SIN('1.설계입력'!$C$15*B877)</f>
        <v>-9.7412093472423358</v>
      </c>
      <c r="I877" s="40">
        <f t="shared" si="40"/>
        <v>78.252238118419839</v>
      </c>
      <c r="J877" s="40">
        <f t="shared" si="41"/>
        <v>78.243863583212658</v>
      </c>
      <c r="K877" s="38">
        <f>IF(OR(A877&gt;180,'1.설계입력'!$C$39&gt;=1),"",'1.설계입력'!$C$34*(1-SIN(B877)/SQRT(1+'1.설계입력'!$C$39^2-2*'1.설계입력'!$C$39*COS(B877)))-'1.설계입력'!$C$33*(1-'1.설계입력'!$C$39*COS(B877)-SQRT(MAX(0,1-'1.설계입력'!$C$39^2))*SIN(B877))/SQRT(1+'1.설계입력'!$C$39^2-2*'1.설계입력'!$C$39*COS(B877)))</f>
        <v>1.0600438920508581E-2</v>
      </c>
    </row>
    <row r="878" spans="1:11" x14ac:dyDescent="0.3">
      <c r="A878" s="40">
        <f>A877+'1.설계입력'!$C$12</f>
        <v>174.39999999999864</v>
      </c>
      <c r="B878" s="40">
        <f t="shared" si="39"/>
        <v>3.043854215478087</v>
      </c>
      <c r="C878" s="40">
        <f>ATAN2('1.설계입력'!$C$6/('1.설계입력'!$C$8*'1.설계입력'!$C$15)-COS((1-'1.설계입력'!$C$15)*B878),SIN((1-'1.설계입력'!$C$15)*B878))</f>
        <v>0.81709081659054439</v>
      </c>
      <c r="D878" s="40">
        <f>'1.설계입력'!$C$6*COS(B878)-'1.설계입력'!$C$7*COS(B878+C878)-'1.설계입력'!$C$8*COS('1.설계입력'!$C$15*B878)</f>
        <v>-77.520706685376751</v>
      </c>
      <c r="E878" s="40">
        <f>-'1.설계입력'!$C$6*SIN(B878)+'1.설계입력'!$C$7*SIN(B878+C878)+'1.설계입력'!$C$8*SIN('1.설계입력'!$C$15*B878)</f>
        <v>-9.5954008171951806</v>
      </c>
      <c r="F878" s="40">
        <f>ATAN2(('1.설계입력'!$C$6+'1.설계입력'!$C$33)/('1.설계입력'!$C$8*'1.설계입력'!$C$15)-COS((1-'1.설계입력'!$C$15)*B878),SIN((1-'1.설계입력'!$C$15)*B878))</f>
        <v>0.81713504250891555</v>
      </c>
      <c r="G878" s="40">
        <f>('1.설계입력'!$C$6+'1.설계입력'!$C$33)*COS(B878)-('1.설계입력'!$C$7+'1.설계입력'!$C$34)*COS(B878+F878)-'1.설계입력'!$C$8*COS('1.설계입력'!$C$15*B878)</f>
        <v>-77.511645196751061</v>
      </c>
      <c r="H878" s="40">
        <f>-('1.설계입력'!$C$6+'1.설계입력'!$C$33)*SIN(B878)+('1.설계입력'!$C$7+'1.설계입력'!$C$34)*SIN(B878+F878)+'1.설계입력'!$C$8*SIN('1.설계입력'!$C$15*B878)</f>
        <v>-9.6005687207562787</v>
      </c>
      <c r="I878" s="40">
        <f t="shared" si="40"/>
        <v>78.112301731819713</v>
      </c>
      <c r="J878" s="40">
        <f t="shared" si="41"/>
        <v>78.103943952075724</v>
      </c>
      <c r="K878" s="38">
        <f>IF(OR(A878&gt;180,'1.설계입력'!$C$39&gt;=1),"",'1.설계입력'!$C$34*(1-SIN(B878)/SQRT(1+'1.설계입력'!$C$39^2-2*'1.설계입력'!$C$39*COS(B878)))-'1.설계입력'!$C$33*(1-'1.설계입력'!$C$39*COS(B878)-SQRT(MAX(0,1-'1.설계입력'!$C$39^2))*SIN(B878))/SQRT(1+'1.설계입력'!$C$39^2-2*'1.설계입력'!$C$39*COS(B878)))</f>
        <v>1.0621189851636618E-2</v>
      </c>
    </row>
    <row r="879" spans="1:11" x14ac:dyDescent="0.3">
      <c r="A879" s="40">
        <f>A878+'1.설계입력'!$C$12</f>
        <v>174.59999999999863</v>
      </c>
      <c r="B879" s="40">
        <f t="shared" si="39"/>
        <v>3.0473448739820754</v>
      </c>
      <c r="C879" s="40">
        <f>ATAN2('1.설계입력'!$C$6/('1.설계입력'!$C$8*'1.설계입력'!$C$15)-COS((1-'1.설계입력'!$C$15)*B879),SIN((1-'1.설계입력'!$C$15)*B879))</f>
        <v>0.78846897179977771</v>
      </c>
      <c r="D879" s="40">
        <f>'1.설계입력'!$C$6*COS(B879)-'1.설계입력'!$C$7*COS(B879+C879)-'1.설계입력'!$C$8*COS('1.설계입력'!$C$15*B879)</f>
        <v>-77.348346781915609</v>
      </c>
      <c r="E879" s="40">
        <f>-'1.설계입력'!$C$6*SIN(B879)+'1.설계입력'!$C$7*SIN(B879+C879)+'1.설계입력'!$C$8*SIN('1.설계입력'!$C$15*B879)</f>
        <v>-9.3943521303264461</v>
      </c>
      <c r="F879" s="40">
        <f>ATAN2(('1.설계입력'!$C$6+'1.설계입력'!$C$33)/('1.설계입력'!$C$8*'1.설계입력'!$C$15)-COS((1-'1.설계입력'!$C$15)*B879),SIN((1-'1.설계입력'!$C$15)*B879))</f>
        <v>0.7885200350513174</v>
      </c>
      <c r="G879" s="40">
        <f>('1.설계입력'!$C$6+'1.설계입력'!$C$33)*COS(B879)-('1.설계입력'!$C$7+'1.설계입력'!$C$34)*COS(B879+F879)-'1.설계입력'!$C$8*COS('1.설계입력'!$C$15*B879)</f>
        <v>-77.339166214030826</v>
      </c>
      <c r="H879" s="40">
        <f>-('1.설계입력'!$C$6+'1.설계입력'!$C$33)*SIN(B879)+('1.설계입력'!$C$7+'1.설계입력'!$C$34)*SIN(B879+F879)+'1.설계입력'!$C$8*SIN('1.설계입력'!$C$15*B879)</f>
        <v>-9.3993999635342469</v>
      </c>
      <c r="I879" s="40">
        <f t="shared" si="40"/>
        <v>77.916754307684329</v>
      </c>
      <c r="J879" s="40">
        <f t="shared" si="41"/>
        <v>77.908249565472687</v>
      </c>
      <c r="K879" s="38">
        <f>IF(OR(A879&gt;180,'1.설계입력'!$C$39&gt;=1),"",'1.설계입력'!$C$34*(1-SIN(B879)/SQRT(1+'1.설계입력'!$C$39^2-2*'1.설계입력'!$C$39*COS(B879)))-'1.설계입력'!$C$33*(1-'1.설계입력'!$C$39*COS(B879)-SQRT(MAX(0,1-'1.설계입력'!$C$39^2))*SIN(B879))/SQRT(1+'1.설계입력'!$C$39^2-2*'1.설계입력'!$C$39*COS(B879)))</f>
        <v>1.0641935938056575E-2</v>
      </c>
    </row>
    <row r="880" spans="1:11" x14ac:dyDescent="0.3">
      <c r="A880" s="40">
        <f>A879+'1.설계입력'!$C$12</f>
        <v>174.79999999999862</v>
      </c>
      <c r="B880" s="40">
        <f t="shared" si="39"/>
        <v>3.0508355324860639</v>
      </c>
      <c r="C880" s="40">
        <f>ATAN2('1.설계입력'!$C$6/('1.설계입력'!$C$8*'1.설계입력'!$C$15)-COS((1-'1.설계입력'!$C$15)*B880),SIN((1-'1.설계입력'!$C$15)*B880))</f>
        <v>0.71667726274800592</v>
      </c>
      <c r="D880" s="40">
        <f>'1.설계입력'!$C$6*COS(B880)-'1.설계입력'!$C$7*COS(B880+C880)-'1.설계입력'!$C$8*COS('1.설계입력'!$C$15*B880)</f>
        <v>-77.096401681585078</v>
      </c>
      <c r="E880" s="40">
        <f>-'1.설계입력'!$C$6*SIN(B880)+'1.설계입력'!$C$7*SIN(B880+C880)+'1.설계입력'!$C$8*SIN('1.설계입력'!$C$15*B880)</f>
        <v>-9.0710371363758053</v>
      </c>
      <c r="F880" s="40">
        <f>ATAN2(('1.설계입력'!$C$6+'1.설계입력'!$C$33)/('1.설계입력'!$C$8*'1.설계입력'!$C$15)-COS((1-'1.설계입력'!$C$15)*B880),SIN((1-'1.설계입력'!$C$15)*B880))</f>
        <v>0.71673479693374587</v>
      </c>
      <c r="G880" s="40">
        <f>('1.설계입력'!$C$6+'1.설계입력'!$C$33)*COS(B880)-('1.설계입력'!$C$7+'1.설계입력'!$C$34)*COS(B880+F880)-'1.설계입력'!$C$8*COS('1.설계입력'!$C$15*B880)</f>
        <v>-77.086885104724445</v>
      </c>
      <c r="H880" s="40">
        <f>-('1.설계입력'!$C$6+'1.설계입력'!$C$33)*SIN(B880)+('1.설계입력'!$C$7+'1.설계입력'!$C$34)*SIN(B880+F880)+'1.설계입력'!$C$8*SIN('1.설계입력'!$C$15*B880)</f>
        <v>-9.075688387734326</v>
      </c>
      <c r="I880" s="40">
        <f t="shared" si="40"/>
        <v>77.628209221763086</v>
      </c>
      <c r="J880" s="40">
        <f t="shared" si="41"/>
        <v>77.61930156127562</v>
      </c>
      <c r="K880" s="38">
        <f>IF(OR(A880&gt;180,'1.설계입력'!$C$39&gt;=1),"",'1.설계입력'!$C$34*(1-SIN(B880)/SQRT(1+'1.설계입력'!$C$39^2-2*'1.설계입력'!$C$39*COS(B880)))-'1.설계입력'!$C$33*(1-'1.설계입력'!$C$39*COS(B880)-SQRT(MAX(0,1-'1.설계입력'!$C$39^2))*SIN(B880))/SQRT(1+'1.설계입력'!$C$39^2-2*'1.설계입력'!$C$39*COS(B880)))</f>
        <v>1.0662677111352433E-2</v>
      </c>
    </row>
    <row r="881" spans="1:11" x14ac:dyDescent="0.3">
      <c r="A881" s="40">
        <f>A880+'1.설계입력'!$C$12</f>
        <v>174.99999999999861</v>
      </c>
      <c r="B881" s="40">
        <f t="shared" si="39"/>
        <v>3.0543261909900523</v>
      </c>
      <c r="C881" s="40">
        <f>ATAN2('1.설계입력'!$C$6/('1.설계입력'!$C$8*'1.설계입력'!$C$15)-COS((1-'1.설계입력'!$C$15)*B881),SIN((1-'1.설계입력'!$C$15)*B881))</f>
        <v>0.57345329675834689</v>
      </c>
      <c r="D881" s="40">
        <f>'1.설계입력'!$C$6*COS(B881)-'1.설계입력'!$C$7*COS(B881+C881)-'1.설계입력'!$C$8*COS('1.설계입력'!$C$15*B881)</f>
        <v>-76.741942255677301</v>
      </c>
      <c r="E881" s="40">
        <f>-'1.설계입력'!$C$6*SIN(B881)+'1.설계입력'!$C$7*SIN(B881+C881)+'1.설계입력'!$C$8*SIN('1.설계입력'!$C$15*B881)</f>
        <v>-8.5027726635452403</v>
      </c>
      <c r="F881" s="40">
        <f>ATAN2(('1.설계입력'!$C$6+'1.설계입력'!$C$33)/('1.설계입력'!$C$8*'1.설계입력'!$C$15)-COS((1-'1.설계입력'!$C$15)*B881),SIN((1-'1.설계입력'!$C$15)*B881))</f>
        <v>0.57351206072489092</v>
      </c>
      <c r="G881" s="40">
        <f>('1.설계입력'!$C$6+'1.설계입력'!$C$33)*COS(B881)-('1.설계입력'!$C$7+'1.설계입력'!$C$34)*COS(B881+F881)-'1.설계입력'!$C$8*COS('1.설계입력'!$C$15*B881)</f>
        <v>-76.731802732158457</v>
      </c>
      <c r="H881" s="40">
        <f>-('1.설계입력'!$C$6+'1.설계입력'!$C$33)*SIN(B881)+('1.설계입력'!$C$7+'1.설계입력'!$C$34)*SIN(B881+F881)+'1.설계입력'!$C$8*SIN('1.설계입력'!$C$15*B881)</f>
        <v>-8.5064955059166714</v>
      </c>
      <c r="I881" s="40">
        <f t="shared" si="40"/>
        <v>77.211546054600163</v>
      </c>
      <c r="J881" s="40">
        <f t="shared" si="41"/>
        <v>77.201878321185035</v>
      </c>
      <c r="K881" s="38">
        <f>IF(OR(A881&gt;180,'1.설계입력'!$C$39&gt;=1),"",'1.설계입력'!$C$34*(1-SIN(B881)/SQRT(1+'1.설계입력'!$C$39^2-2*'1.설계입력'!$C$39*COS(B881)))-'1.설계입력'!$C$33*(1-'1.설계입력'!$C$39*COS(B881)-SQRT(MAX(0,1-'1.설계입력'!$C$39^2))*SIN(B881))/SQRT(1+'1.설계입력'!$C$39^2-2*'1.설계입력'!$C$39*COS(B881)))</f>
        <v>1.0683413303150938E-2</v>
      </c>
    </row>
    <row r="882" spans="1:11" x14ac:dyDescent="0.3">
      <c r="A882" s="40">
        <f>A881+'1.설계입력'!$C$12</f>
        <v>175.1999999999986</v>
      </c>
      <c r="B882" s="40">
        <f t="shared" si="39"/>
        <v>3.0578168494940408</v>
      </c>
      <c r="C882" s="40">
        <f>ATAN2('1.설계입력'!$C$6/('1.설계입력'!$C$8*'1.설계입력'!$C$15)-COS((1-'1.설계입력'!$C$15)*B882),SIN((1-'1.설계입력'!$C$15)*B882))</f>
        <v>0.32290967953291067</v>
      </c>
      <c r="D882" s="40">
        <f>'1.설계입력'!$C$6*COS(B882)-'1.설계입력'!$C$7*COS(B882+C882)-'1.설계입력'!$C$8*COS('1.설계입력'!$C$15*B882)</f>
        <v>-76.35901909506056</v>
      </c>
      <c r="E882" s="40">
        <f>-'1.설계입력'!$C$6*SIN(B882)+'1.설계입력'!$C$7*SIN(B882+C882)+'1.설계입력'!$C$8*SIN('1.설계입력'!$C$15*B882)</f>
        <v>-7.4971605678021449</v>
      </c>
      <c r="F882" s="40">
        <f>ATAN2(('1.설계입력'!$C$6+'1.설계입력'!$C$33)/('1.설계입력'!$C$8*'1.설계입력'!$C$15)-COS((1-'1.설계입력'!$C$15)*B882),SIN((1-'1.설계입력'!$C$15)*B882))</f>
        <v>0.3229511952616449</v>
      </c>
      <c r="G882" s="40">
        <f>('1.설계입력'!$C$6+'1.설계입력'!$C$33)*COS(B882)-('1.설계입력'!$C$7+'1.설계입력'!$C$34)*COS(B882+F882)-'1.설계입력'!$C$8*COS('1.설계입력'!$C$15*B882)</f>
        <v>-76.348099881797665</v>
      </c>
      <c r="H882" s="40">
        <f>-('1.설계입력'!$C$6+'1.설계입력'!$C$33)*SIN(B882)+('1.설계입력'!$C$7+'1.설계입력'!$C$34)*SIN(B882+F882)+'1.설계입력'!$C$8*SIN('1.설계입력'!$C$15*B882)</f>
        <v>-7.4989814057471085</v>
      </c>
      <c r="I882" s="40">
        <f t="shared" si="40"/>
        <v>76.726183364867239</v>
      </c>
      <c r="J882" s="40">
        <f t="shared" si="41"/>
        <v>76.715494378154759</v>
      </c>
      <c r="K882" s="38">
        <f>IF(OR(A882&gt;180,'1.설계입력'!$C$39&gt;=1),"",'1.설계입력'!$C$34*(1-SIN(B882)/SQRT(1+'1.설계입력'!$C$39^2-2*'1.설계입력'!$C$39*COS(B882)))-'1.설계입력'!$C$33*(1-'1.설계입력'!$C$39*COS(B882)-SQRT(MAX(0,1-'1.설계입력'!$C$39^2))*SIN(B882))/SQRT(1+'1.설계입력'!$C$39^2-2*'1.설계입력'!$C$39*COS(B882)))</f>
        <v>1.070414444512161E-2</v>
      </c>
    </row>
    <row r="883" spans="1:11" x14ac:dyDescent="0.3">
      <c r="A883" s="40">
        <f>A882+'1.설계입력'!$C$12</f>
        <v>175.39999999999858</v>
      </c>
      <c r="B883" s="40">
        <f t="shared" si="39"/>
        <v>3.0613075079980292</v>
      </c>
      <c r="C883" s="40">
        <f>ATAN2('1.설계입력'!$C$6/('1.설계입력'!$C$8*'1.설계입력'!$C$15)-COS((1-'1.설계입력'!$C$15)*B883),SIN((1-'1.설계입력'!$C$15)*B883))</f>
        <v>-2.8547383686885166E-2</v>
      </c>
      <c r="D883" s="40">
        <f>'1.설계입력'!$C$6*COS(B883)-'1.설계입력'!$C$7*COS(B883+C883)-'1.설계입력'!$C$8*COS('1.설계입력'!$C$15*B883)</f>
        <v>-76.263187624003791</v>
      </c>
      <c r="E883" s="40">
        <f>-'1.설계입력'!$C$6*SIN(B883)+'1.설계입력'!$C$7*SIN(B883+C883)+'1.설계입력'!$C$8*SIN('1.설계입력'!$C$15*B883)</f>
        <v>-6.0372058377713067</v>
      </c>
      <c r="F883" s="40">
        <f>ATAN2(('1.설계입력'!$C$6+'1.설계입력'!$C$33)/('1.설계입력'!$C$8*'1.설계입력'!$C$15)-COS((1-'1.설계입력'!$C$15)*B883),SIN((1-'1.설계입력'!$C$15)*B883))</f>
        <v>-2.855140405249193E-2</v>
      </c>
      <c r="G883" s="40">
        <f>('1.설계입력'!$C$6+'1.설계입력'!$C$33)*COS(B883)-('1.설계입력'!$C$7+'1.설계입력'!$C$34)*COS(B883+F883)-'1.설계입력'!$C$8*COS('1.설계입력'!$C$15*B883)</f>
        <v>-76.252047282756777</v>
      </c>
      <c r="H883" s="40">
        <f>-('1.설계입력'!$C$6+'1.설계입력'!$C$33)*SIN(B883)+('1.설계입력'!$C$7+'1.설계입력'!$C$34)*SIN(B883+F883)+'1.설계입력'!$C$8*SIN('1.설계입력'!$C$15*B883)</f>
        <v>-6.0360613981449891</v>
      </c>
      <c r="I883" s="40">
        <f t="shared" si="40"/>
        <v>76.501775410127735</v>
      </c>
      <c r="J883" s="40">
        <f t="shared" si="41"/>
        <v>76.490579498484337</v>
      </c>
      <c r="K883" s="38">
        <f>IF(OR(A883&gt;180,'1.설계입력'!$C$39&gt;=1),"",'1.설계입력'!$C$34*(1-SIN(B883)/SQRT(1+'1.설계입력'!$C$39^2-2*'1.설계입력'!$C$39*COS(B883)))-'1.설계입력'!$C$33*(1-'1.설계입력'!$C$39*COS(B883)-SQRT(MAX(0,1-'1.설계입력'!$C$39^2))*SIN(B883))/SQRT(1+'1.설계입력'!$C$39^2-2*'1.설계입력'!$C$39*COS(B883)))</f>
        <v>1.0724870468976808E-2</v>
      </c>
    </row>
    <row r="884" spans="1:11" x14ac:dyDescent="0.3">
      <c r="A884" s="40">
        <f>A883+'1.설계입력'!$C$12</f>
        <v>175.59999999999857</v>
      </c>
      <c r="B884" s="40">
        <f t="shared" si="39"/>
        <v>3.0647981665020176</v>
      </c>
      <c r="C884" s="40">
        <f>ATAN2('1.설계입력'!$C$6/('1.설계입력'!$C$8*'1.설계입력'!$C$15)-COS((1-'1.설계입력'!$C$15)*B884),SIN((1-'1.설계입력'!$C$15)*B884))</f>
        <v>-0.36932190355202854</v>
      </c>
      <c r="D884" s="40">
        <f>'1.설계입력'!$C$6*COS(B884)-'1.설계입력'!$C$7*COS(B884+C884)-'1.설계입력'!$C$8*COS('1.설계입력'!$C$15*B884)</f>
        <v>-76.653461431725006</v>
      </c>
      <c r="E884" s="40">
        <f>-'1.설계입력'!$C$6*SIN(B884)+'1.설계입력'!$C$7*SIN(B884+C884)+'1.설계입력'!$C$8*SIN('1.설계입력'!$C$15*B884)</f>
        <v>-4.6697339052398981</v>
      </c>
      <c r="F884" s="40">
        <f>ATAN2(('1.설계입력'!$C$6+'1.설계입력'!$C$33)/('1.설계입력'!$C$8*'1.설계입력'!$C$15)-COS((1-'1.설계입력'!$C$15)*B884),SIN((1-'1.설계입력'!$C$15)*B884))</f>
        <v>-0.36936799668518955</v>
      </c>
      <c r="G884" s="40">
        <f>('1.설계입력'!$C$6+'1.설계입력'!$C$33)*COS(B884)-('1.설계입력'!$C$7+'1.설계입력'!$C$34)*COS(B884+F884)-'1.설계입력'!$C$8*COS('1.설계입력'!$C$15*B884)</f>
        <v>-76.64314303416424</v>
      </c>
      <c r="H884" s="40">
        <f>-('1.설계입력'!$C$6+'1.설계입력'!$C$33)*SIN(B884)+('1.설계입력'!$C$7+'1.설계입력'!$C$34)*SIN(B884+F884)+'1.설계입력'!$C$8*SIN('1.설계입력'!$C$15*B884)</f>
        <v>-4.6658345446156995</v>
      </c>
      <c r="I884" s="40">
        <f t="shared" si="40"/>
        <v>76.795569951727686</v>
      </c>
      <c r="J884" s="40">
        <f t="shared" si="41"/>
        <v>76.785033607813759</v>
      </c>
      <c r="K884" s="38">
        <f>IF(OR(A884&gt;180,'1.설계입력'!$C$39&gt;=1),"",'1.설계입력'!$C$34*(1-SIN(B884)/SQRT(1+'1.설계입력'!$C$39^2-2*'1.설계입력'!$C$39*COS(B884)))-'1.설계입력'!$C$33*(1-'1.설계입력'!$C$39*COS(B884)-SQRT(MAX(0,1-'1.설계입력'!$C$39^2))*SIN(B884))/SQRT(1+'1.설계입력'!$C$39^2-2*'1.설계입력'!$C$39*COS(B884)))</f>
        <v>1.0745591306471755E-2</v>
      </c>
    </row>
    <row r="885" spans="1:11" x14ac:dyDescent="0.3">
      <c r="A885" s="40">
        <f>A884+'1.설계입력'!$C$12</f>
        <v>175.79999999999856</v>
      </c>
      <c r="B885" s="40">
        <f t="shared" si="39"/>
        <v>3.0682888250060061</v>
      </c>
      <c r="C885" s="40">
        <f>ATAN2('1.설계입력'!$C$6/('1.설계입력'!$C$8*'1.설계입력'!$C$15)-COS((1-'1.설계입력'!$C$15)*B885),SIN((1-'1.설계입력'!$C$15)*B885))</f>
        <v>-0.60163483560300113</v>
      </c>
      <c r="D885" s="40">
        <f>'1.설계입력'!$C$6*COS(B885)-'1.설계입력'!$C$7*COS(B885+C885)-'1.설계입력'!$C$8*COS('1.설계입력'!$C$15*B885)</f>
        <v>-77.189584618308473</v>
      </c>
      <c r="E885" s="40">
        <f>-'1.설계입력'!$C$6*SIN(B885)+'1.설계입력'!$C$7*SIN(B885+C885)+'1.설계입력'!$C$8*SIN('1.설계입력'!$C$15*B885)</f>
        <v>-3.8180019796668376</v>
      </c>
      <c r="F885" s="40">
        <f>ATAN2(('1.설계입력'!$C$6+'1.설계입력'!$C$33)/('1.설계입력'!$C$8*'1.설계입력'!$C$15)-COS((1-'1.설계입력'!$C$15)*B885),SIN((1-'1.설계입력'!$C$15)*B885))</f>
        <v>-0.60169416592079739</v>
      </c>
      <c r="G885" s="40">
        <f>('1.설계입력'!$C$6+'1.설계입력'!$C$33)*COS(B885)-('1.설계입력'!$C$7+'1.설계입력'!$C$34)*COS(B885+F885)-'1.설계입력'!$C$8*COS('1.설계입력'!$C$15*B885)</f>
        <v>-77.180317502531338</v>
      </c>
      <c r="H885" s="40">
        <f>-('1.설계입력'!$C$6+'1.설계입력'!$C$33)*SIN(B885)+('1.설계입력'!$C$7+'1.설계입력'!$C$34)*SIN(B885+F885)+'1.설계입력'!$C$8*SIN('1.설계입력'!$C$15*B885)</f>
        <v>-3.8125280026097133</v>
      </c>
      <c r="I885" s="40">
        <f t="shared" si="40"/>
        <v>77.283951197281212</v>
      </c>
      <c r="J885" s="40">
        <f t="shared" si="41"/>
        <v>77.27442513252511</v>
      </c>
      <c r="K885" s="38">
        <f>IF(OR(A885&gt;180,'1.설계입력'!$C$39&gt;=1),"",'1.설계입력'!$C$34*(1-SIN(B885)/SQRT(1+'1.설계입력'!$C$39^2-2*'1.설계입력'!$C$39*COS(B885)))-'1.설계입력'!$C$33*(1-'1.설계입력'!$C$39*COS(B885)-SQRT(MAX(0,1-'1.설계입력'!$C$39^2))*SIN(B885))/SQRT(1+'1.설계입력'!$C$39^2-2*'1.설계입력'!$C$39*COS(B885)))</f>
        <v>1.0766306889404584E-2</v>
      </c>
    </row>
    <row r="886" spans="1:11" x14ac:dyDescent="0.3">
      <c r="A886" s="40">
        <f>A885+'1.설계입력'!$C$12</f>
        <v>175.99999999999855</v>
      </c>
      <c r="B886" s="40">
        <f t="shared" si="39"/>
        <v>3.0717794835099945</v>
      </c>
      <c r="C886" s="40">
        <f>ATAN2('1.설계입력'!$C$6/('1.설계입력'!$C$8*'1.설계입력'!$C$15)-COS((1-'1.설계입력'!$C$15)*B886),SIN((1-'1.설계입력'!$C$15)*B886))</f>
        <v>-0.73150594024543303</v>
      </c>
      <c r="D886" s="40">
        <f>'1.설계입력'!$C$6*COS(B886)-'1.설계입력'!$C$7*COS(B886+C886)-'1.설계입력'!$C$8*COS('1.설계입력'!$C$15*B886)</f>
        <v>-77.607673863556698</v>
      </c>
      <c r="E886" s="40">
        <f>-'1.설계입력'!$C$6*SIN(B886)+'1.설계입력'!$C$7*SIN(B886+C886)+'1.설계입력'!$C$8*SIN('1.설계입력'!$C$15*B886)</f>
        <v>-3.3599630638931197</v>
      </c>
      <c r="F886" s="40">
        <f>ATAN2(('1.설계입력'!$C$6+'1.설계입력'!$C$33)/('1.설계입력'!$C$8*'1.설계입력'!$C$15)-COS((1-'1.설계입력'!$C$15)*B886),SIN((1-'1.설계입력'!$C$15)*B886))</f>
        <v>-0.73156262494853841</v>
      </c>
      <c r="G886" s="40">
        <f>('1.설계입력'!$C$6+'1.설계입력'!$C$33)*COS(B886)-('1.설계입력'!$C$7+'1.설계입력'!$C$34)*COS(B886+F886)-'1.설계입력'!$C$8*COS('1.설계입력'!$C$15*B886)</f>
        <v>-77.599108955344676</v>
      </c>
      <c r="H886" s="40">
        <f>-('1.설계입력'!$C$6+'1.설계입력'!$C$33)*SIN(B886)+('1.설계입력'!$C$7+'1.설계입력'!$C$34)*SIN(B886+F886)+'1.설계입력'!$C$8*SIN('1.설계입력'!$C$15*B886)</f>
        <v>-3.3537707247902504</v>
      </c>
      <c r="I886" s="40">
        <f t="shared" si="40"/>
        <v>77.680373288900384</v>
      </c>
      <c r="J886" s="40">
        <f t="shared" si="41"/>
        <v>77.671548772622742</v>
      </c>
      <c r="K886" s="38">
        <f>IF(OR(A886&gt;180,'1.설계입력'!$C$39&gt;=1),"",'1.설계입력'!$C$34*(1-SIN(B886)/SQRT(1+'1.설계입력'!$C$39^2-2*'1.설계입력'!$C$39*COS(B886)))-'1.설계입력'!$C$33*(1-'1.설계입력'!$C$39*COS(B886)-SQRT(MAX(0,1-'1.설계입력'!$C$39^2))*SIN(B886))/SQRT(1+'1.설계입력'!$C$39^2-2*'1.설계입력'!$C$39*COS(B886)))</f>
        <v>1.0787017149616383E-2</v>
      </c>
    </row>
    <row r="887" spans="1:11" x14ac:dyDescent="0.3">
      <c r="A887" s="40">
        <f>A886+'1.설계입력'!$C$12</f>
        <v>176.19999999999854</v>
      </c>
      <c r="B887" s="40">
        <f t="shared" si="39"/>
        <v>3.075270142013983</v>
      </c>
      <c r="C887" s="40">
        <f>ATAN2('1.설계입력'!$C$6/('1.설계입력'!$C$8*'1.설계입력'!$C$15)-COS((1-'1.설계입력'!$C$15)*B887),SIN((1-'1.설계입력'!$C$15)*B887))</f>
        <v>-0.79515308191478795</v>
      </c>
      <c r="D887" s="40">
        <f>'1.설계입력'!$C$6*COS(B887)-'1.설계입력'!$C$7*COS(B887+C887)-'1.설계입력'!$C$8*COS('1.설계입력'!$C$15*B887)</f>
        <v>-77.890025047793245</v>
      </c>
      <c r="E887" s="40">
        <f>-'1.설계입력'!$C$6*SIN(B887)+'1.설계입력'!$C$7*SIN(B887+C887)+'1.설계입력'!$C$8*SIN('1.설계입력'!$C$15*B887)</f>
        <v>-3.1034492970878285</v>
      </c>
      <c r="F887" s="40">
        <f>ATAN2(('1.설계입력'!$C$6+'1.설계입력'!$C$33)/('1.설계입력'!$C$8*'1.설계입력'!$C$15)-COS((1-'1.설계입력'!$C$15)*B887),SIN((1-'1.설계입력'!$C$15)*B887))</f>
        <v>-0.79520306446865174</v>
      </c>
      <c r="G887" s="40">
        <f>('1.설계입력'!$C$6+'1.설계입력'!$C$33)*COS(B887)-('1.설계입력'!$C$7+'1.설계입력'!$C$34)*COS(B887+F887)-'1.설계입력'!$C$8*COS('1.설계입력'!$C$15*B887)</f>
        <v>-77.881808201877348</v>
      </c>
      <c r="H887" s="40">
        <f>-('1.설계입력'!$C$6+'1.설계입력'!$C$33)*SIN(B887)+('1.설계입력'!$C$7+'1.설계입력'!$C$34)*SIN(B887+F887)+'1.설계입력'!$C$8*SIN('1.설계입력'!$C$15*B887)</f>
        <v>-3.0969670536507863</v>
      </c>
      <c r="I887" s="40">
        <f t="shared" si="40"/>
        <v>77.951827428774592</v>
      </c>
      <c r="J887" s="40">
        <f t="shared" si="41"/>
        <v>77.943359266363473</v>
      </c>
      <c r="K887" s="38">
        <f>IF(OR(A887&gt;180,'1.설계입력'!$C$39&gt;=1),"",'1.설계입력'!$C$34*(1-SIN(B887)/SQRT(1+'1.설계입력'!$C$39^2-2*'1.설계입력'!$C$39*COS(B887)))-'1.설계입력'!$C$33*(1-'1.설계입력'!$C$39*COS(B887)-SQRT(MAX(0,1-'1.설계입력'!$C$39^2))*SIN(B887))/SQRT(1+'1.설계입력'!$C$39^2-2*'1.설계입력'!$C$39*COS(B887)))</f>
        <v>1.0807722018991236E-2</v>
      </c>
    </row>
    <row r="888" spans="1:11" x14ac:dyDescent="0.3">
      <c r="A888" s="40">
        <f>A887+'1.설계입력'!$C$12</f>
        <v>176.39999999999853</v>
      </c>
      <c r="B888" s="40">
        <f t="shared" si="39"/>
        <v>3.0787608005179714</v>
      </c>
      <c r="C888" s="40">
        <f>ATAN2('1.설계입력'!$C$6/('1.설계입력'!$C$8*'1.설계입력'!$C$15)-COS((1-'1.설계입력'!$C$15)*B888),SIN((1-'1.설계입력'!$C$15)*B888))</f>
        <v>-0.8188416892209629</v>
      </c>
      <c r="D888" s="40">
        <f>'1.설계입력'!$C$6*COS(B888)-'1.설계입력'!$C$7*COS(B888+C888)-'1.설계입력'!$C$8*COS('1.설계입력'!$C$15*B888)</f>
        <v>-78.081224685787603</v>
      </c>
      <c r="E888" s="40">
        <f>-'1.설계입력'!$C$6*SIN(B888)+'1.설계입력'!$C$7*SIN(B888+C888)+'1.설계입력'!$C$8*SIN('1.설계입력'!$C$15*B888)</f>
        <v>-2.943284085974768</v>
      </c>
      <c r="F888" s="40">
        <f>ATAN2(('1.설계입력'!$C$6+'1.설계입력'!$C$33)/('1.설계입력'!$C$8*'1.설계입력'!$C$15)-COS((1-'1.설계입력'!$C$15)*B888),SIN((1-'1.설계입력'!$C$15)*B888))</f>
        <v>-0.81888492743543917</v>
      </c>
      <c r="G888" s="40">
        <f>('1.설계입력'!$C$6+'1.설계입력'!$C$33)*COS(B888)-('1.설계입력'!$C$7+'1.설계입력'!$C$34)*COS(B888+F888)-'1.설계입력'!$C$8*COS('1.설계입력'!$C$15*B888)</f>
        <v>-78.07311409219858</v>
      </c>
      <c r="H888" s="40">
        <f>-('1.설계입력'!$C$6+'1.설계입력'!$C$33)*SIN(B888)+('1.설계입력'!$C$7+'1.설계입력'!$C$34)*SIN(B888+F888)+'1.설계입력'!$C$8*SIN('1.설계입력'!$C$15*B888)</f>
        <v>-2.9367276284898645</v>
      </c>
      <c r="I888" s="40">
        <f t="shared" si="40"/>
        <v>78.136678772796586</v>
      </c>
      <c r="J888" s="40">
        <f t="shared" si="41"/>
        <v>78.128327213741059</v>
      </c>
      <c r="K888" s="38">
        <f>IF(OR(A888&gt;180,'1.설계입력'!$C$39&gt;=1),"",'1.설계입력'!$C$34*(1-SIN(B888)/SQRT(1+'1.설계입력'!$C$39^2-2*'1.설계입력'!$C$39*COS(B888)))-'1.설계입력'!$C$33*(1-'1.설계입력'!$C$39*COS(B888)-SQRT(MAX(0,1-'1.설계입력'!$C$39^2))*SIN(B888))/SQRT(1+'1.설계입력'!$C$39^2-2*'1.설계입력'!$C$39*COS(B888)))</f>
        <v>1.0828421429456267E-2</v>
      </c>
    </row>
    <row r="889" spans="1:11" x14ac:dyDescent="0.3">
      <c r="A889" s="40">
        <f>A888+'1.설계입력'!$C$12</f>
        <v>176.59999999999852</v>
      </c>
      <c r="B889" s="40">
        <f t="shared" si="39"/>
        <v>3.0822514590219603</v>
      </c>
      <c r="C889" s="40">
        <f>ATAN2('1.설계입력'!$C$6/('1.설계입력'!$C$8*'1.설계입력'!$C$15)-COS((1-'1.설계입력'!$C$15)*B889),SIN((1-'1.설계입력'!$C$15)*B889))</f>
        <v>-0.81786223373249733</v>
      </c>
      <c r="D889" s="40">
        <f>'1.설계입력'!$C$6*COS(B889)-'1.설계입력'!$C$7*COS(B889+C889)-'1.설계입력'!$C$8*COS('1.설계입력'!$C$15*B889)</f>
        <v>-78.219439883610875</v>
      </c>
      <c r="E889" s="40">
        <f>-'1.설계입력'!$C$6*SIN(B889)+'1.설계입력'!$C$7*SIN(B889+C889)+'1.설계입력'!$C$8*SIN('1.설계입력'!$C$15*B889)</f>
        <v>-2.8292940750671547</v>
      </c>
      <c r="F889" s="40">
        <f>ATAN2(('1.설계입력'!$C$6+'1.설계입력'!$C$33)/('1.설계입력'!$C$8*'1.설계입력'!$C$15)-COS((1-'1.설계입력'!$C$15)*B889),SIN((1-'1.설계입력'!$C$15)*B889))</f>
        <v>-0.81789960710253151</v>
      </c>
      <c r="G889" s="40">
        <f>('1.설계입력'!$C$6+'1.설계입력'!$C$33)*COS(B889)-('1.설계입력'!$C$7+'1.설계입력'!$C$34)*COS(B889+F889)-'1.설계입력'!$C$8*COS('1.설계입력'!$C$15*B889)</f>
        <v>-78.211282165309768</v>
      </c>
      <c r="H889" s="40">
        <f>-('1.설계입력'!$C$6+'1.설계입력'!$C$33)*SIN(B889)+('1.설계입력'!$C$7+'1.설계입력'!$C$34)*SIN(B889+F889)+'1.설계입력'!$C$8*SIN('1.설계입력'!$C$15*B889)</f>
        <v>-2.8227859345068693</v>
      </c>
      <c r="I889" s="40">
        <f t="shared" si="40"/>
        <v>78.270592693993478</v>
      </c>
      <c r="J889" s="40">
        <f t="shared" si="41"/>
        <v>78.262205299708697</v>
      </c>
      <c r="K889" s="38">
        <f>IF(OR(A889&gt;180,'1.설계입력'!$C$39&gt;=1),"",'1.설계입력'!$C$34*(1-SIN(B889)/SQRT(1+'1.설계입력'!$C$39^2-2*'1.설계입력'!$C$39*COS(B889)))-'1.설계입력'!$C$33*(1-'1.설계입력'!$C$39*COS(B889)-SQRT(MAX(0,1-'1.설계입력'!$C$39^2))*SIN(B889))/SQRT(1+'1.설계입력'!$C$39^2-2*'1.설계입력'!$C$39*COS(B889)))</f>
        <v>1.0849115312981685E-2</v>
      </c>
    </row>
    <row r="890" spans="1:11" x14ac:dyDescent="0.3">
      <c r="A890" s="40">
        <f>A889+'1.설계입력'!$C$12</f>
        <v>176.79999999999851</v>
      </c>
      <c r="B890" s="40">
        <f t="shared" si="39"/>
        <v>3.0857421175259487</v>
      </c>
      <c r="C890" s="40">
        <f>ATAN2('1.설계입력'!$C$6/('1.설계입력'!$C$8*'1.설계입력'!$C$15)-COS((1-'1.설계입력'!$C$15)*B890),SIN((1-'1.설계입력'!$C$15)*B890))</f>
        <v>-0.80097792689365954</v>
      </c>
      <c r="D890" s="40">
        <f>'1.설계입력'!$C$6*COS(B890)-'1.설계입력'!$C$7*COS(B890+C890)-'1.설계입력'!$C$8*COS('1.설계입력'!$C$15*B890)</f>
        <v>-78.329299615617117</v>
      </c>
      <c r="E890" s="40">
        <f>-'1.설계입력'!$C$6*SIN(B890)+'1.설계입력'!$C$7*SIN(B890+C890)+'1.설계입력'!$C$8*SIN('1.설계입력'!$C$15*B890)</f>
        <v>-2.7363014385157833</v>
      </c>
      <c r="F890" s="40">
        <f>ATAN2(('1.설계입력'!$C$6+'1.설계입력'!$C$33)/('1.설계입력'!$C$8*'1.설계입력'!$C$15)-COS((1-'1.설계입력'!$C$15)*B890),SIN((1-'1.설계입력'!$C$15)*B890))</f>
        <v>-0.80101036800774639</v>
      </c>
      <c r="G890" s="40">
        <f>('1.설계입력'!$C$6+'1.설계입력'!$C$33)*COS(B890)-('1.설계입력'!$C$7+'1.설계입력'!$C$34)*COS(B890+F890)-'1.설계입력'!$C$8*COS('1.설계입력'!$C$15*B890)</f>
        <v>-78.320998535807192</v>
      </c>
      <c r="H890" s="40">
        <f>-('1.설계입력'!$C$6+'1.설계입력'!$C$33)*SIN(B890)+('1.설계입력'!$C$7+'1.설계입력'!$C$34)*SIN(B890+F890)+'1.설계입력'!$C$8*SIN('1.설계입력'!$C$15*B890)</f>
        <v>-2.7299215135561856</v>
      </c>
      <c r="I890" s="40">
        <f t="shared" si="40"/>
        <v>78.37707907185326</v>
      </c>
      <c r="J890" s="40">
        <f t="shared" si="41"/>
        <v>78.368560552788566</v>
      </c>
      <c r="K890" s="38">
        <f>IF(OR(A890&gt;180,'1.설계입력'!$C$39&gt;=1),"",'1.설계입력'!$C$34*(1-SIN(B890)/SQRT(1+'1.설계입력'!$C$39^2-2*'1.설계입력'!$C$39*COS(B890)))-'1.설계입력'!$C$33*(1-'1.설계입력'!$C$39*COS(B890)-SQRT(MAX(0,1-'1.설계입력'!$C$39^2))*SIN(B890))/SQRT(1+'1.설계입력'!$C$39^2-2*'1.설계입력'!$C$39*COS(B890)))</f>
        <v>1.0869803601580828E-2</v>
      </c>
    </row>
    <row r="891" spans="1:11" x14ac:dyDescent="0.3">
      <c r="A891" s="40">
        <f>A890+'1.설계입력'!$C$12</f>
        <v>176.99999999999849</v>
      </c>
      <c r="B891" s="40">
        <f t="shared" si="39"/>
        <v>3.0892327760299372</v>
      </c>
      <c r="C891" s="40">
        <f>ATAN2('1.설계입력'!$C$6/('1.설계입력'!$C$8*'1.설계입력'!$C$15)-COS((1-'1.설계입력'!$C$15)*B891),SIN((1-'1.설계입력'!$C$15)*B891))</f>
        <v>-0.77338463111434019</v>
      </c>
      <c r="D891" s="40">
        <f>'1.설계입력'!$C$6*COS(B891)-'1.설계입력'!$C$7*COS(B891+C891)-'1.설계입력'!$C$8*COS('1.설계입력'!$C$15*B891)</f>
        <v>-78.425582248197074</v>
      </c>
      <c r="E891" s="40">
        <f>-'1.설계입력'!$C$6*SIN(B891)+'1.설계입력'!$C$7*SIN(B891+C891)+'1.설계입력'!$C$8*SIN('1.설계입력'!$C$15*B891)</f>
        <v>-2.6503754369220047</v>
      </c>
      <c r="F891" s="40">
        <f>ATAN2(('1.설계입력'!$C$6+'1.설계입력'!$C$33)/('1.설계입력'!$C$8*'1.설계입력'!$C$15)-COS((1-'1.설계입력'!$C$15)*B891),SIN((1-'1.설계입력'!$C$15)*B891))</f>
        <v>-0.77341292880241164</v>
      </c>
      <c r="G891" s="40">
        <f>('1.설계입력'!$C$6+'1.설계입력'!$C$33)*COS(B891)-('1.설계입력'!$C$7+'1.설계입력'!$C$34)*COS(B891+F891)-'1.설계입력'!$C$8*COS('1.설계입력'!$C$15*B891)</f>
        <v>-78.417077987192357</v>
      </c>
      <c r="H891" s="40">
        <f>-('1.설계입력'!$C$6+'1.설계입력'!$C$33)*SIN(B891)+('1.설계입력'!$C$7+'1.설계입력'!$C$34)*SIN(B891+F891)+'1.설계입력'!$C$8*SIN('1.설계입력'!$C$15*B891)</f>
        <v>-2.644182369340677</v>
      </c>
      <c r="I891" s="40">
        <f t="shared" si="40"/>
        <v>78.470353898305845</v>
      </c>
      <c r="J891" s="40">
        <f t="shared" si="41"/>
        <v>78.461645537496466</v>
      </c>
      <c r="K891" s="38">
        <f>IF(OR(A891&gt;180,'1.설계입력'!$C$39&gt;=1),"",'1.설계입력'!$C$34*(1-SIN(B891)/SQRT(1+'1.설계입력'!$C$39^2-2*'1.설계입력'!$C$39*COS(B891)))-'1.설계입력'!$C$33*(1-'1.설계입력'!$C$39*COS(B891)-SQRT(MAX(0,1-'1.설계입력'!$C$39^2))*SIN(B891))/SQRT(1+'1.설계입력'!$C$39^2-2*'1.설계입력'!$C$39*COS(B891)))</f>
        <v>1.0890486227310207E-2</v>
      </c>
    </row>
    <row r="892" spans="1:11" x14ac:dyDescent="0.3">
      <c r="A892" s="40">
        <f>A891+'1.설계입력'!$C$12</f>
        <v>177.19999999999848</v>
      </c>
      <c r="B892" s="40">
        <f t="shared" si="39"/>
        <v>3.0927234345339256</v>
      </c>
      <c r="C892" s="40">
        <f>ATAN2('1.설계입력'!$C$6/('1.설계입력'!$C$8*'1.설계입력'!$C$15)-COS((1-'1.설계입력'!$C$15)*B892),SIN((1-'1.설계입력'!$C$15)*B892))</f>
        <v>-0.73830116196693385</v>
      </c>
      <c r="D892" s="40">
        <f>'1.설계입력'!$C$6*COS(B892)-'1.설계입력'!$C$7*COS(B892+C892)-'1.설계입력'!$C$8*COS('1.설계입력'!$C$15*B892)</f>
        <v>-78.51678327460219</v>
      </c>
      <c r="E892" s="40">
        <f>-'1.설계입력'!$C$6*SIN(B892)+'1.설계입력'!$C$7*SIN(B892+C892)+'1.설계입력'!$C$8*SIN('1.설계입력'!$C$15*B892)</f>
        <v>-2.5630216362648288</v>
      </c>
      <c r="F892" s="40">
        <f>ATAN2(('1.설계입력'!$C$6+'1.설계입력'!$C$33)/('1.설계입력'!$C$8*'1.설계입력'!$C$15)-COS((1-'1.설계입력'!$C$15)*B892),SIN((1-'1.설계입력'!$C$15)*B892))</f>
        <v>-0.73832594469455382</v>
      </c>
      <c r="G892" s="40">
        <f>('1.설계입력'!$C$6+'1.설계입력'!$C$33)*COS(B892)-('1.설계입력'!$C$7+'1.설계입력'!$C$34)*COS(B892+F892)-'1.설계입력'!$C$8*COS('1.설계입력'!$C$15*B892)</f>
        <v>-78.508039933448757</v>
      </c>
      <c r="H892" s="40">
        <f>-('1.설계입력'!$C$6+'1.설계입력'!$C$33)*SIN(B892)+('1.설계입력'!$C$7+'1.설계입력'!$C$34)*SIN(B892+F892)+'1.설계입력'!$C$8*SIN('1.설계입력'!$C$15*B892)</f>
        <v>-2.5570623829346792</v>
      </c>
      <c r="I892" s="40">
        <f t="shared" si="40"/>
        <v>78.55860446633973</v>
      </c>
      <c r="J892" s="40">
        <f t="shared" si="41"/>
        <v>78.549671560243993</v>
      </c>
      <c r="K892" s="38">
        <f>IF(OR(A892&gt;180,'1.설계입력'!$C$39&gt;=1),"",'1.설계입력'!$C$34*(1-SIN(B892)/SQRT(1+'1.설계입력'!$C$39^2-2*'1.설계입력'!$C$39*COS(B892)))-'1.설계입력'!$C$33*(1-'1.설계입력'!$C$39*COS(B892)-SQRT(MAX(0,1-'1.설계입력'!$C$39^2))*SIN(B892))/SQRT(1+'1.설계입력'!$C$39^2-2*'1.설계입력'!$C$39*COS(B892)))</f>
        <v>1.0911163122269569E-2</v>
      </c>
    </row>
    <row r="893" spans="1:11" x14ac:dyDescent="0.3">
      <c r="A893" s="40">
        <f>A892+'1.설계입력'!$C$12</f>
        <v>177.39999999999847</v>
      </c>
      <c r="B893" s="40">
        <f t="shared" si="39"/>
        <v>3.0962140930379141</v>
      </c>
      <c r="C893" s="40">
        <f>ATAN2('1.설계입력'!$C$6/('1.설계입력'!$C$8*'1.설계입력'!$C$15)-COS((1-'1.설계입력'!$C$15)*B893),SIN((1-'1.설계입력'!$C$15)*B893))</f>
        <v>-0.69780827511017562</v>
      </c>
      <c r="D893" s="40">
        <f>'1.설계입력'!$C$6*COS(B893)-'1.설계입력'!$C$7*COS(B893+C893)-'1.설계입력'!$C$8*COS('1.설계입력'!$C$15*B893)</f>
        <v>-78.607440008667993</v>
      </c>
      <c r="E893" s="40">
        <f>-'1.설계입력'!$C$6*SIN(B893)+'1.설계입력'!$C$7*SIN(B893+C893)+'1.설계입력'!$C$8*SIN('1.설계입력'!$C$15*B893)</f>
        <v>-2.4686571697014204</v>
      </c>
      <c r="F893" s="40">
        <f>ATAN2(('1.설계입력'!$C$6+'1.설계입력'!$C$33)/('1.설계입력'!$C$8*'1.설계입력'!$C$15)-COS((1-'1.설계입력'!$C$15)*B893),SIN((1-'1.설계입력'!$C$15)*B893))</f>
        <v>-0.69783003594601067</v>
      </c>
      <c r="G893" s="40">
        <f>('1.설계입력'!$C$6+'1.설계입력'!$C$33)*COS(B893)-('1.설계입력'!$C$7+'1.설계입력'!$C$34)*COS(B893+F893)-'1.설계입력'!$C$8*COS('1.설계입력'!$C$15*B893)</f>
        <v>-78.598438057349838</v>
      </c>
      <c r="H893" s="40">
        <f>-('1.설계입력'!$C$6+'1.설계입력'!$C$33)*SIN(B893)+('1.설계입력'!$C$7+'1.설계입력'!$C$34)*SIN(B893+F893)+'1.설계입력'!$C$8*SIN('1.설계입력'!$C$15*B893)</f>
        <v>-2.4629715572128847</v>
      </c>
      <c r="I893" s="40">
        <f t="shared" si="40"/>
        <v>78.64619439577389</v>
      </c>
      <c r="J893" s="40">
        <f t="shared" si="41"/>
        <v>78.637018597774286</v>
      </c>
      <c r="K893" s="38">
        <f>IF(OR(A893&gt;180,'1.설계입력'!$C$39&gt;=1),"",'1.설계입력'!$C$34*(1-SIN(B893)/SQRT(1+'1.설계입력'!$C$39^2-2*'1.설계입력'!$C$39*COS(B893)))-'1.설계입력'!$C$33*(1-'1.설계입력'!$C$39*COS(B893)-SQRT(MAX(0,1-'1.설계입력'!$C$39^2))*SIN(B893))/SQRT(1+'1.설계입력'!$C$39^2-2*'1.설계입력'!$C$39*COS(B893)))</f>
        <v>1.0931834218601923E-2</v>
      </c>
    </row>
    <row r="894" spans="1:11" x14ac:dyDescent="0.3">
      <c r="A894" s="40">
        <f>A893+'1.설계입력'!$C$12</f>
        <v>177.59999999999846</v>
      </c>
      <c r="B894" s="40">
        <f t="shared" si="39"/>
        <v>3.0997047515419025</v>
      </c>
      <c r="C894" s="40">
        <f>ATAN2('1.설계입력'!$C$6/('1.설계입력'!$C$8*'1.설계입력'!$C$15)-COS((1-'1.설계입력'!$C$15)*B894),SIN((1-'1.설계입력'!$C$15)*B894))</f>
        <v>-0.65330378416766732</v>
      </c>
      <c r="D894" s="40">
        <f>'1.설계입력'!$C$6*COS(B894)-'1.설계입력'!$C$7*COS(B894+C894)-'1.설계입력'!$C$8*COS('1.설계입력'!$C$15*B894)</f>
        <v>-78.699555634719687</v>
      </c>
      <c r="E894" s="40">
        <f>-'1.설계입력'!$C$6*SIN(B894)+'1.설계입력'!$C$7*SIN(B894+C894)+'1.설계입력'!$C$8*SIN('1.설계입력'!$C$15*B894)</f>
        <v>-2.3634558365582001</v>
      </c>
      <c r="F894" s="40">
        <f>ATAN2(('1.설계입력'!$C$6+'1.설계입력'!$C$33)/('1.설계입력'!$C$8*'1.설계입력'!$C$15)-COS((1-'1.설계입력'!$C$15)*B894),SIN((1-'1.설계입력'!$C$15)*B894))</f>
        <v>-0.65332290995662556</v>
      </c>
      <c r="G894" s="40">
        <f>('1.설계입력'!$C$6+'1.설계입력'!$C$33)*COS(B894)-('1.설계입력'!$C$7+'1.설계입력'!$C$34)*COS(B894+F894)-'1.설계입력'!$C$8*COS('1.설계입력'!$C$15*B894)</f>
        <v>-78.690287215938866</v>
      </c>
      <c r="H894" s="40">
        <f>-('1.설계입력'!$C$6+'1.설계입력'!$C$33)*SIN(B894)+('1.설계입력'!$C$7+'1.설계입력'!$C$34)*SIN(B894+F894)+'1.설계입력'!$C$8*SIN('1.설계입력'!$C$15*B894)</f>
        <v>-2.3580788399043424</v>
      </c>
      <c r="I894" s="40">
        <f t="shared" si="40"/>
        <v>78.735036550405567</v>
      </c>
      <c r="J894" s="40">
        <f t="shared" si="41"/>
        <v>78.72561106744206</v>
      </c>
      <c r="K894" s="38">
        <f>IF(OR(A894&gt;180,'1.설계입력'!$C$39&gt;=1),"",'1.설계입력'!$C$34*(1-SIN(B894)/SQRT(1+'1.설계입력'!$C$39^2-2*'1.설계입력'!$C$39*COS(B894)))-'1.설계입력'!$C$33*(1-'1.설계입력'!$C$39*COS(B894)-SQRT(MAX(0,1-'1.설계입력'!$C$39^2))*SIN(B894))/SQRT(1+'1.설계입력'!$C$39^2-2*'1.설계입력'!$C$39*COS(B894)))</f>
        <v>1.0952499448493597E-2</v>
      </c>
    </row>
    <row r="895" spans="1:11" x14ac:dyDescent="0.3">
      <c r="A895" s="40">
        <f>A894+'1.설계입력'!$C$12</f>
        <v>177.79999999999845</v>
      </c>
      <c r="B895" s="40">
        <f t="shared" si="39"/>
        <v>3.1031954100458909</v>
      </c>
      <c r="C895" s="40">
        <f>ATAN2('1.설계입력'!$C$6/('1.설계입력'!$C$8*'1.설계입력'!$C$15)-COS((1-'1.설계입력'!$C$15)*B895),SIN((1-'1.설계입력'!$C$15)*B895))</f>
        <v>-0.605759305848527</v>
      </c>
      <c r="D895" s="40">
        <f>'1.설계입력'!$C$6*COS(B895)-'1.설계입력'!$C$7*COS(B895+C895)-'1.설계입력'!$C$8*COS('1.설계입력'!$C$15*B895)</f>
        <v>-78.793482135412091</v>
      </c>
      <c r="E895" s="40">
        <f>-'1.설계입력'!$C$6*SIN(B895)+'1.설계입력'!$C$7*SIN(B895+C895)+'1.설계입력'!$C$8*SIN('1.설계입력'!$C$15*B895)</f>
        <v>-2.244789691463299</v>
      </c>
      <c r="F895" s="40">
        <f>ATAN2(('1.설계입력'!$C$6+'1.설계입력'!$C$33)/('1.설계입력'!$C$8*'1.설계입력'!$C$15)-COS((1-'1.설계입력'!$C$15)*B895),SIN((1-'1.설계입력'!$C$15)*B895))</f>
        <v>-0.60577610174140495</v>
      </c>
      <c r="G895" s="40">
        <f>('1.설계입력'!$C$6+'1.설계입력'!$C$33)*COS(B895)-('1.설계입력'!$C$7+'1.설계입력'!$C$34)*COS(B895+F895)-'1.설계입력'!$C$8*COS('1.설계입력'!$C$15*B895)</f>
        <v>-78.783948034717739</v>
      </c>
      <c r="H895" s="40">
        <f>-('1.설계입력'!$C$6+'1.설계입력'!$C$33)*SIN(B895)+('1.설계입력'!$C$7+'1.설계입력'!$C$34)*SIN(B895+F895)+'1.설계입력'!$C$8*SIN('1.설계입력'!$C$15*B895)</f>
        <v>-2.2397526141751669</v>
      </c>
      <c r="I895" s="40">
        <f t="shared" si="40"/>
        <v>78.825452157170687</v>
      </c>
      <c r="J895" s="40">
        <f t="shared" si="41"/>
        <v>78.815778621477875</v>
      </c>
      <c r="K895" s="38">
        <f>IF(OR(A895&gt;180,'1.설계입력'!$C$39&gt;=1),"",'1.설계입력'!$C$34*(1-SIN(B895)/SQRT(1+'1.설계입력'!$C$39^2-2*'1.설계입력'!$C$39*COS(B895)))-'1.설계입력'!$C$33*(1-'1.설계입력'!$C$39*COS(B895)-SQRT(MAX(0,1-'1.설계입력'!$C$39^2))*SIN(B895))/SQRT(1+'1.설계입력'!$C$39^2-2*'1.설계입력'!$C$39*COS(B895)))</f>
        <v>1.0973158744174295E-2</v>
      </c>
    </row>
    <row r="896" spans="1:11" x14ac:dyDescent="0.3">
      <c r="A896" s="40">
        <f>A895+'1.설계입력'!$C$12</f>
        <v>177.99999999999844</v>
      </c>
      <c r="B896" s="40">
        <f t="shared" si="39"/>
        <v>3.1066860685498794</v>
      </c>
      <c r="C896" s="40">
        <f>ATAN2('1.설계입력'!$C$6/('1.설계입력'!$C$8*'1.설계입력'!$C$15)-COS((1-'1.설계입력'!$C$15)*B896),SIN((1-'1.설계입력'!$C$15)*B896))</f>
        <v>-0.55587101044824527</v>
      </c>
      <c r="D896" s="40">
        <f>'1.설계입력'!$C$6*COS(B896)-'1.설계입력'!$C$7*COS(B896+C896)-'1.설계입력'!$C$8*COS('1.설계입력'!$C$15*B896)</f>
        <v>-78.888488865638735</v>
      </c>
      <c r="E896" s="40">
        <f>-'1.설계입력'!$C$6*SIN(B896)+'1.설계입력'!$C$7*SIN(B896+C896)+'1.설계입력'!$C$8*SIN('1.설계입력'!$C$15*B896)</f>
        <v>-2.1109423976558768</v>
      </c>
      <c r="F896" s="40">
        <f>ATAN2(('1.설계입력'!$C$6+'1.설계입력'!$C$33)/('1.설계입력'!$C$8*'1.설계입력'!$C$15)-COS((1-'1.설계입력'!$C$15)*B896),SIN((1-'1.설계입력'!$C$15)*B896))</f>
        <v>-0.55588571877099069</v>
      </c>
      <c r="G896" s="40">
        <f>('1.설계입력'!$C$6+'1.설계입력'!$C$33)*COS(B896)-('1.설계입력'!$C$7+'1.설계입력'!$C$34)*COS(B896+F896)-'1.설계입력'!$C$8*COS('1.설계입력'!$C$15*B896)</f>
        <v>-78.87869647813649</v>
      </c>
      <c r="H896" s="40">
        <f>-('1.설계입력'!$C$6+'1.설계입력'!$C$33)*SIN(B896)+('1.설계입력'!$C$7+'1.설계입력'!$C$34)*SIN(B896+F896)+'1.설계입력'!$C$8*SIN('1.설계입력'!$C$15*B896)</f>
        <v>-2.1062734923837581</v>
      </c>
      <c r="I896" s="40">
        <f t="shared" si="40"/>
        <v>78.916726701696319</v>
      </c>
      <c r="J896" s="40">
        <f t="shared" si="41"/>
        <v>78.906813052579309</v>
      </c>
      <c r="K896" s="38">
        <f>IF(OR(A896&gt;180,'1.설계입력'!$C$39&gt;=1),"",'1.설계입력'!$C$34*(1-SIN(B896)/SQRT(1+'1.설계입력'!$C$39^2-2*'1.설계입력'!$C$39*COS(B896)))-'1.설계입력'!$C$33*(1-'1.설계입력'!$C$39*COS(B896)-SQRT(MAX(0,1-'1.설계입력'!$C$39^2))*SIN(B896))/SQRT(1+'1.설계입력'!$C$39^2-2*'1.설계입력'!$C$39*COS(B896)))</f>
        <v>1.0993812037917144E-2</v>
      </c>
    </row>
    <row r="897" spans="1:11" x14ac:dyDescent="0.3">
      <c r="A897" s="40">
        <f>A896+'1.설계입력'!$C$12</f>
        <v>178.19999999999843</v>
      </c>
      <c r="B897" s="40">
        <f t="shared" si="39"/>
        <v>3.1101767270538678</v>
      </c>
      <c r="C897" s="40">
        <f>ATAN2('1.설계입력'!$C$6/('1.설계입력'!$C$8*'1.설계입력'!$C$15)-COS((1-'1.설계입력'!$C$15)*B897),SIN((1-'1.설계입력'!$C$15)*B897))</f>
        <v>-0.50415152838381527</v>
      </c>
      <c r="D897" s="40">
        <f>'1.설계입력'!$C$6*COS(B897)-'1.설계입력'!$C$7*COS(B897+C897)-'1.설계입력'!$C$8*COS('1.설계입력'!$C$15*B897)</f>
        <v>-78.98314672563582</v>
      </c>
      <c r="E897" s="40">
        <f>-'1.설계입력'!$C$6*SIN(B897)+'1.설계입력'!$C$7*SIN(B897+C897)+'1.설계입력'!$C$8*SIN('1.설계입력'!$C$15*B897)</f>
        <v>-1.9609505349209042</v>
      </c>
      <c r="F897" s="40">
        <f>ATAN2(('1.설계입력'!$C$6+'1.설계입력'!$C$33)/('1.설계입력'!$C$8*'1.설계입력'!$C$15)-COS((1-'1.설계입력'!$C$15)*B897),SIN((1-'1.설계입력'!$C$15)*B897))</f>
        <v>-0.50416434273298893</v>
      </c>
      <c r="G897" s="40">
        <f>('1.설계입력'!$C$6+'1.설계입력'!$C$33)*COS(B897)-('1.설계입력'!$C$7+'1.설계입력'!$C$34)*COS(B897+F897)-'1.설계입력'!$C$8*COS('1.설계입력'!$C$15*B897)</f>
        <v>-78.973108635344403</v>
      </c>
      <c r="H897" s="40">
        <f>-('1.설계입력'!$C$6+'1.설계입력'!$C$33)*SIN(B897)+('1.설계입력'!$C$7+'1.설계입력'!$C$34)*SIN(B897+F897)+'1.설계입력'!$C$8*SIN('1.설계입력'!$C$15*B897)</f>
        <v>-1.95667532629922</v>
      </c>
      <c r="I897" s="40">
        <f t="shared" si="40"/>
        <v>79.007485681318343</v>
      </c>
      <c r="J897" s="40">
        <f t="shared" si="41"/>
        <v>78.997344676023488</v>
      </c>
      <c r="K897" s="38">
        <f>IF(OR(A897&gt;180,'1.설계입력'!$C$39&gt;=1),"",'1.설계입력'!$C$34*(1-SIN(B897)/SQRT(1+'1.설계입력'!$C$39^2-2*'1.설계입력'!$C$39*COS(B897)))-'1.설계입력'!$C$33*(1-'1.설계입력'!$C$39*COS(B897)-SQRT(MAX(0,1-'1.설계입력'!$C$39^2))*SIN(B897))/SQRT(1+'1.설계입력'!$C$39^2-2*'1.설계입력'!$C$39*COS(B897)))</f>
        <v>1.1014459262038732E-2</v>
      </c>
    </row>
    <row r="898" spans="1:11" x14ac:dyDescent="0.3">
      <c r="A898" s="40">
        <f>A897+'1.설계입력'!$C$12</f>
        <v>178.39999999999841</v>
      </c>
      <c r="B898" s="40">
        <f t="shared" si="39"/>
        <v>3.1136673855578563</v>
      </c>
      <c r="C898" s="40">
        <f>ATAN2('1.설계입력'!$C$6/('1.설계입력'!$C$8*'1.설계입력'!$C$15)-COS((1-'1.설계입력'!$C$15)*B898),SIN((1-'1.설계입력'!$C$15)*B898))</f>
        <v>-0.4509879443160878</v>
      </c>
      <c r="D898" s="40">
        <f>'1.설계입력'!$C$6*COS(B898)-'1.설계입력'!$C$7*COS(B898+C898)-'1.설계입력'!$C$8*COS('1.설계입력'!$C$15*B898)</f>
        <v>-79.075601134417809</v>
      </c>
      <c r="E898" s="40">
        <f>-'1.설계입력'!$C$6*SIN(B898)+'1.설계입력'!$C$7*SIN(B898+C898)+'1.설계입력'!$C$8*SIN('1.설계입력'!$C$15*B898)</f>
        <v>-1.7945057331986825</v>
      </c>
      <c r="F898" s="40">
        <f>ATAN2(('1.설계입력'!$C$6+'1.설계입력'!$C$33)/('1.설계입력'!$C$8*'1.설계입력'!$C$15)-COS((1-'1.설계입력'!$C$15)*B898),SIN((1-'1.설계입력'!$C$15)*B898))</f>
        <v>-0.45099902000549164</v>
      </c>
      <c r="G898" s="40">
        <f>('1.설계입력'!$C$6+'1.설계입력'!$C$33)*COS(B898)-('1.설계입력'!$C$7+'1.설계입력'!$C$34)*COS(B898+F898)-'1.설계입력'!$C$8*COS('1.설계입력'!$C$15*B898)</f>
        <v>-79.065334080328924</v>
      </c>
      <c r="H898" s="40">
        <f>-('1.설계입력'!$C$6+'1.설계입력'!$C$33)*SIN(B898)+('1.설계입력'!$C$7+'1.설계입력'!$C$34)*SIN(B898+F898)+'1.설계입력'!$C$8*SIN('1.설계입력'!$C$15*B898)</f>
        <v>-1.7906471771644792</v>
      </c>
      <c r="I898" s="40">
        <f t="shared" si="40"/>
        <v>79.095960362056559</v>
      </c>
      <c r="J898" s="40">
        <f t="shared" si="41"/>
        <v>79.085608491982342</v>
      </c>
      <c r="K898" s="38">
        <f>IF(OR(A898&gt;180,'1.설계입력'!$C$39&gt;=1),"",'1.설계입력'!$C$34*(1-SIN(B898)/SQRT(1+'1.설계입력'!$C$39^2-2*'1.설계입력'!$C$39*COS(B898)))-'1.설계입력'!$C$33*(1-'1.설계입력'!$C$39*COS(B898)-SQRT(MAX(0,1-'1.설계입력'!$C$39^2))*SIN(B898))/SQRT(1+'1.설계입력'!$C$39^2-2*'1.설계입력'!$C$39*COS(B898)))</f>
        <v>1.1035100348899174E-2</v>
      </c>
    </row>
    <row r="899" spans="1:11" x14ac:dyDescent="0.3">
      <c r="A899" s="40">
        <f>A898+'1.설계입력'!$C$12</f>
        <v>178.5999999999984</v>
      </c>
      <c r="B899" s="40">
        <f t="shared" si="39"/>
        <v>3.1171580440618447</v>
      </c>
      <c r="C899" s="40">
        <f>ATAN2('1.설계입력'!$C$6/('1.설계입력'!$C$8*'1.설계입력'!$C$15)-COS((1-'1.설계입력'!$C$15)*B899),SIN((1-'1.설계입력'!$C$15)*B899))</f>
        <v>-0.39667956056095971</v>
      </c>
      <c r="D899" s="40">
        <f>'1.설계입력'!$C$6*COS(B899)-'1.설계입력'!$C$7*COS(B899+C899)-'1.설계입력'!$C$8*COS('1.설계입력'!$C$15*B899)</f>
        <v>-79.163775280608746</v>
      </c>
      <c r="E899" s="40">
        <f>-'1.설계입력'!$C$6*SIN(B899)+'1.설계입력'!$C$7*SIN(B899+C899)+'1.설계입력'!$C$8*SIN('1.설계입력'!$C$15*B899)</f>
        <v>-1.6118848227809035</v>
      </c>
      <c r="F899" s="40">
        <f>ATAN2(('1.설계입력'!$C$6+'1.설계입력'!$C$33)/('1.설계입력'!$C$8*'1.설계입력'!$C$15)-COS((1-'1.설계입력'!$C$15)*B899),SIN((1-'1.설계입력'!$C$15)*B899))</f>
        <v>-0.39668902236796905</v>
      </c>
      <c r="G899" s="40">
        <f>('1.설계입력'!$C$6+'1.설계입력'!$C$33)*COS(B899)-('1.설계입력'!$C$7+'1.설계입력'!$C$34)*COS(B899+F899)-'1.설계입력'!$C$8*COS('1.설계입력'!$C$15*B899)</f>
        <v>-79.153299372700545</v>
      </c>
      <c r="H899" s="40">
        <f>-('1.설계입력'!$C$6+'1.설계입력'!$C$33)*SIN(B899)+('1.설계입력'!$C$7+'1.설계입력'!$C$34)*SIN(B899+F899)+'1.설계입력'!$C$8*SIN('1.설계입력'!$C$15*B899)</f>
        <v>-1.6084633744450045</v>
      </c>
      <c r="I899" s="40">
        <f t="shared" si="40"/>
        <v>79.180183691127112</v>
      </c>
      <c r="J899" s="40">
        <f t="shared" si="41"/>
        <v>79.169640368081048</v>
      </c>
      <c r="K899" s="38">
        <f>IF(OR(A899&gt;180,'1.설계입력'!$C$39&gt;=1),"",'1.설계입력'!$C$34*(1-SIN(B899)/SQRT(1+'1.설계입력'!$C$39^2-2*'1.설계입력'!$C$39*COS(B899)))-'1.설계입력'!$C$33*(1-'1.설계입력'!$C$39*COS(B899)-SQRT(MAX(0,1-'1.설계입력'!$C$39^2))*SIN(B899))/SQRT(1+'1.설계입력'!$C$39^2-2*'1.설계입력'!$C$39*COS(B899)))</f>
        <v>1.1055735230902163E-2</v>
      </c>
    </row>
    <row r="900" spans="1:11" x14ac:dyDescent="0.3">
      <c r="A900" s="40">
        <f>A899+'1.설계입력'!$C$12</f>
        <v>178.79999999999839</v>
      </c>
      <c r="B900" s="40">
        <f t="shared" si="39"/>
        <v>3.1206487025658332</v>
      </c>
      <c r="C900" s="40">
        <f>ATAN2('1.설계입력'!$C$6/('1.설계입력'!$C$8*'1.설계입력'!$C$15)-COS((1-'1.설계입력'!$C$15)*B900),SIN((1-'1.설계입력'!$C$15)*B900))</f>
        <v>-0.34146321197115903</v>
      </c>
      <c r="D900" s="40">
        <f>'1.설계입력'!$C$6*COS(B900)-'1.설계입력'!$C$7*COS(B900+C900)-'1.설계입력'!$C$8*COS('1.설계입력'!$C$15*B900)</f>
        <v>-79.245527428459695</v>
      </c>
      <c r="E900" s="40">
        <f>-'1.설계입력'!$C$6*SIN(B900)+'1.설계입력'!$C$7*SIN(B900+C900)+'1.설계입력'!$C$8*SIN('1.설계입력'!$C$15*B900)</f>
        <v>-1.4138914019096798</v>
      </c>
      <c r="F900" s="40">
        <f>ATAN2(('1.설계입력'!$C$6+'1.설계입력'!$C$33)/('1.설계입력'!$C$8*'1.설계입력'!$C$15)-COS((1-'1.설계입력'!$C$15)*B900),SIN((1-'1.설계입력'!$C$15)*B900))</f>
        <v>-0.34147115989882126</v>
      </c>
      <c r="G900" s="40">
        <f>('1.설계입력'!$C$6+'1.설계입력'!$C$33)*COS(B900)-('1.설계입력'!$C$7+'1.설계입력'!$C$34)*COS(B900+F900)-'1.설계입력'!$C$8*COS('1.설계입력'!$C$15*B900)</f>
        <v>-79.234865528607997</v>
      </c>
      <c r="H900" s="40">
        <f>-('1.설계입력'!$C$6+'1.설계입력'!$C$33)*SIN(B900)+('1.설계입력'!$C$7+'1.설계입력'!$C$34)*SIN(B900+F900)+'1.설계입력'!$C$8*SIN('1.설계입력'!$C$15*B900)</f>
        <v>-1.4109250324001081</v>
      </c>
      <c r="I900" s="40">
        <f t="shared" si="40"/>
        <v>79.2581396849002</v>
      </c>
      <c r="J900" s="40">
        <f t="shared" si="41"/>
        <v>79.247426613005203</v>
      </c>
      <c r="K900" s="38">
        <f>IF(OR(A900&gt;180,'1.설계입력'!$C$39&gt;=1),"",'1.설계입력'!$C$34*(1-SIN(B900)/SQRT(1+'1.설계입력'!$C$39^2-2*'1.설계입력'!$C$39*COS(B900)))-'1.설계입력'!$C$33*(1-'1.설계입력'!$C$39*COS(B900)-SQRT(MAX(0,1-'1.설계입력'!$C$39^2))*SIN(B900))/SQRT(1+'1.설계입력'!$C$39^2-2*'1.설계입력'!$C$39*COS(B900)))</f>
        <v>1.1076363840495016E-2</v>
      </c>
    </row>
    <row r="901" spans="1:11" x14ac:dyDescent="0.3">
      <c r="A901" s="40">
        <f>A900+'1.설계입력'!$C$12</f>
        <v>178.99999999999838</v>
      </c>
      <c r="B901" s="40">
        <f t="shared" si="39"/>
        <v>3.1241393610698216</v>
      </c>
      <c r="C901" s="40">
        <f>ATAN2('1.설계입력'!$C$6/('1.설계입력'!$C$8*'1.설계입력'!$C$15)-COS((1-'1.설계입력'!$C$15)*B901),SIN((1-'1.설계입력'!$C$15)*B901))</f>
        <v>-0.28553071039112105</v>
      </c>
      <c r="D901" s="40">
        <f>'1.설계입력'!$C$6*COS(B901)-'1.설계입력'!$C$7*COS(B901+C901)-'1.설계입력'!$C$8*COS('1.설계입력'!$C$15*B901)</f>
        <v>-79.31877605153403</v>
      </c>
      <c r="E901" s="40">
        <f>-'1.설계입력'!$C$6*SIN(B901)+'1.설계입력'!$C$7*SIN(B901+C901)+'1.설계입력'!$C$8*SIN('1.설계입력'!$C$15*B901)</f>
        <v>-1.2018002879907581</v>
      </c>
      <c r="F901" s="40">
        <f>ATAN2(('1.설계입력'!$C$6+'1.설계입력'!$C$33)/('1.설계입력'!$C$8*'1.설계입력'!$C$15)-COS((1-'1.설계입력'!$C$15)*B901),SIN((1-'1.설계입력'!$C$15)*B901))</f>
        <v>-0.28553722396480885</v>
      </c>
      <c r="G901" s="40">
        <f>('1.설계입력'!$C$6+'1.설계입력'!$C$33)*COS(B901)-('1.설계입력'!$C$7+'1.설계입력'!$C$34)*COS(B901+F901)-'1.설계입력'!$C$8*COS('1.설계입력'!$C$15*B901)</f>
        <v>-79.307953265039686</v>
      </c>
      <c r="H901" s="40">
        <f>-('1.설계입력'!$C$6+'1.설계입력'!$C$33)*SIN(B901)+('1.설계입력'!$C$7+'1.설계입력'!$C$34)*SIN(B901+F901)+'1.설계입력'!$C$8*SIN('1.설계입력'!$C$15*B901)</f>
        <v>-1.1993044737971077</v>
      </c>
      <c r="I901" s="40">
        <f t="shared" si="40"/>
        <v>79.327880081630965</v>
      </c>
      <c r="J901" s="40">
        <f t="shared" si="41"/>
        <v>79.317020760430665</v>
      </c>
      <c r="K901" s="38">
        <f>IF(OR(A901&gt;180,'1.설계입력'!$C$39&gt;=1),"",'1.설계입력'!$C$34*(1-SIN(B901)/SQRT(1+'1.설계입력'!$C$39^2-2*'1.설계입력'!$C$39*COS(B901)))-'1.설계입력'!$C$33*(1-'1.설계입력'!$C$39*COS(B901)-SQRT(MAX(0,1-'1.설계입력'!$C$39^2))*SIN(B901))/SQRT(1+'1.설계입력'!$C$39^2-2*'1.설계입력'!$C$39*COS(B901)))</f>
        <v>1.109698611016873E-2</v>
      </c>
    </row>
    <row r="902" spans="1:11" x14ac:dyDescent="0.3">
      <c r="A902" s="40">
        <f>A901+'1.설계입력'!$C$12</f>
        <v>179.19999999999837</v>
      </c>
      <c r="B902" s="40">
        <f t="shared" ref="B902:B965" si="42">RADIANS(A902)</f>
        <v>3.12763001957381</v>
      </c>
      <c r="C902" s="40">
        <f>ATAN2('1.설계입력'!$C$6/('1.설계입력'!$C$8*'1.설계입력'!$C$15)-COS((1-'1.설계입력'!$C$15)*B902),SIN((1-'1.설계입력'!$C$15)*B902))</f>
        <v>-0.22904119837424058</v>
      </c>
      <c r="D902" s="40">
        <f>'1.설계입력'!$C$6*COS(B902)-'1.설계입력'!$C$7*COS(B902+C902)-'1.설계입력'!$C$8*COS('1.설계입력'!$C$15*B902)</f>
        <v>-79.381600813456927</v>
      </c>
      <c r="E902" s="40">
        <f>-'1.설계입력'!$C$6*SIN(B902)+'1.설계입력'!$C$7*SIN(B902+C902)+'1.설계입력'!$C$8*SIN('1.설계입력'!$C$15*B902)</f>
        <v>-0.97730053970593833</v>
      </c>
      <c r="F902" s="40">
        <f>ATAN2(('1.설계입력'!$C$6+'1.설계입력'!$C$33)/('1.설계입력'!$C$8*'1.설계입력'!$C$15)-COS((1-'1.설계입력'!$C$15)*B902),SIN((1-'1.설계입력'!$C$15)*B902))</f>
        <v>-0.22904633984255135</v>
      </c>
      <c r="G902" s="40">
        <f>('1.설계입력'!$C$6+'1.설계입력'!$C$33)*COS(B902)-('1.설계입력'!$C$7+'1.설계입력'!$C$34)*COS(B902+F902)-'1.설계입력'!$C$8*COS('1.설계입력'!$C$15*B902)</f>
        <v>-79.370644055693901</v>
      </c>
      <c r="H902" s="40">
        <f>-('1.설계입력'!$C$6+'1.설계입력'!$C$33)*SIN(B902)+('1.설계입력'!$C$7+'1.설계입력'!$C$34)*SIN(B902+F902)+'1.설계입력'!$C$8*SIN('1.설계입력'!$C$15*B902)</f>
        <v>-0.9752882386806444</v>
      </c>
      <c r="I902" s="40">
        <f t="shared" ref="I902:I965" si="43">SQRT(D902^2+E902^2)</f>
        <v>79.387616566136657</v>
      </c>
      <c r="J902" s="40">
        <f t="shared" ref="J902:J965" si="44">SQRT(G902^2+H902^2)</f>
        <v>79.376635888428581</v>
      </c>
      <c r="K902" s="38">
        <f>IF(OR(A902&gt;180,'1.설계입력'!$C$39&gt;=1),"",'1.설계입력'!$C$34*(1-SIN(B902)/SQRT(1+'1.설계입력'!$C$39^2-2*'1.설계입력'!$C$39*COS(B902)))-'1.설계입력'!$C$33*(1-'1.설계입력'!$C$39*COS(B902)-SQRT(MAX(0,1-'1.설계입력'!$C$39^2))*SIN(B902))/SQRT(1+'1.설계입력'!$C$39^2-2*'1.설계입력'!$C$39*COS(B902)))</f>
        <v>1.1117601972458042E-2</v>
      </c>
    </row>
    <row r="903" spans="1:11" x14ac:dyDescent="0.3">
      <c r="A903" s="40">
        <f>A902+'1.설계입력'!$C$12</f>
        <v>179.39999999999836</v>
      </c>
      <c r="B903" s="40">
        <f t="shared" si="42"/>
        <v>3.1311206780777985</v>
      </c>
      <c r="C903" s="40">
        <f>ATAN2('1.설계입력'!$C$6/('1.설계입력'!$C$8*'1.설계입력'!$C$15)-COS((1-'1.설계입력'!$C$15)*B903),SIN((1-'1.설계입력'!$C$15)*B903))</f>
        <v>-0.1721301519012961</v>
      </c>
      <c r="D903" s="40">
        <f>'1.설계입력'!$C$6*COS(B903)-'1.설계입력'!$C$7*COS(B903+C903)-'1.설계입력'!$C$8*COS('1.설계입력'!$C$15*B903)</f>
        <v>-79.432324055558738</v>
      </c>
      <c r="E903" s="40">
        <f>-'1.설계입력'!$C$6*SIN(B903)+'1.설계입력'!$C$7*SIN(B903+C903)+'1.설계입력'!$C$8*SIN('1.설계입력'!$C$15*B903)</f>
        <v>-0.74243505787037101</v>
      </c>
      <c r="F903" s="40">
        <f>ATAN2(('1.설계입력'!$C$6+'1.설계입력'!$C$33)/('1.설계입력'!$C$8*'1.설계입력'!$C$15)-COS((1-'1.설계입력'!$C$15)*B903),SIN((1-'1.설계입력'!$C$15)*B903))</f>
        <v>-0.1721339686025794</v>
      </c>
      <c r="G903" s="40">
        <f>('1.설계입력'!$C$6+'1.설계입력'!$C$33)*COS(B903)-('1.설계입력'!$C$7+'1.설계입력'!$C$34)*COS(B903+F903)-'1.설계입력'!$C$8*COS('1.설계입력'!$C$15*B903)</f>
        <v>-79.421261669972722</v>
      </c>
      <c r="H903" s="40">
        <f>-('1.설계입력'!$C$6+'1.설계입력'!$C$33)*SIN(B903)+('1.설계입력'!$C$7+'1.설계입력'!$C$34)*SIN(B903+F903)+'1.설계입력'!$C$8*SIN('1.설계입력'!$C$15*B903)</f>
        <v>-0.74091668064301031</v>
      </c>
      <c r="I903" s="40">
        <f t="shared" si="43"/>
        <v>79.435793661815012</v>
      </c>
      <c r="J903" s="40">
        <f t="shared" si="44"/>
        <v>79.424717580725044</v>
      </c>
      <c r="K903" s="38">
        <f>IF(OR(A903&gt;180,'1.설계입력'!$C$39&gt;=1),"",'1.설계입력'!$C$34*(1-SIN(B903)/SQRT(1+'1.설계입력'!$C$39^2-2*'1.설계입력'!$C$39*COS(B903)))-'1.설계입력'!$C$33*(1-'1.설계입력'!$C$39*COS(B903)-SQRT(MAX(0,1-'1.설계입력'!$C$39^2))*SIN(B903))/SQRT(1+'1.설계입력'!$C$39^2-2*'1.설계입력'!$C$39*COS(B903)))</f>
        <v>1.1138211359941481E-2</v>
      </c>
    </row>
    <row r="904" spans="1:11" x14ac:dyDescent="0.3">
      <c r="A904" s="40">
        <f>A903+'1.설계입력'!$C$12</f>
        <v>179.59999999999835</v>
      </c>
      <c r="B904" s="40">
        <f t="shared" si="42"/>
        <v>3.1346113365817869</v>
      </c>
      <c r="C904" s="40">
        <f>ATAN2('1.설계입력'!$C$6/('1.설계입력'!$C$8*'1.설계입력'!$C$15)-COS((1-'1.설계입력'!$C$15)*B904),SIN((1-'1.설계입력'!$C$15)*B904))</f>
        <v>-0.1149161548449841</v>
      </c>
      <c r="D904" s="40">
        <f>'1.설계입력'!$C$6*COS(B904)-'1.설계입력'!$C$7*COS(B904+C904)-'1.설계입력'!$C$8*COS('1.설계입력'!$C$15*B904)</f>
        <v>-79.469575468976984</v>
      </c>
      <c r="E904" s="40">
        <f>-'1.설계입력'!$C$6*SIN(B904)+'1.설계입력'!$C$7*SIN(B904+C904)+'1.설계입력'!$C$8*SIN('1.설계입력'!$C$15*B904)</f>
        <v>-0.49953610978390717</v>
      </c>
      <c r="F904" s="40">
        <f>ATAN2(('1.설계입력'!$C$6+'1.설계입력'!$C$33)/('1.설계입력'!$C$8*'1.설계입력'!$C$15)-COS((1-'1.설계입력'!$C$15)*B904),SIN((1-'1.설계입력'!$C$15)*B904))</f>
        <v>-0.11491868092288982</v>
      </c>
      <c r="G904" s="40">
        <f>('1.설계입력'!$C$6+'1.설계입력'!$C$33)*COS(B904)-('1.설계입력'!$C$7+'1.설계입력'!$C$34)*COS(B904+F904)-'1.설계입력'!$C$8*COS('1.설계입력'!$C$15*B904)</f>
        <v>-79.458436880109161</v>
      </c>
      <c r="H904" s="40">
        <f>-('1.설계입력'!$C$6+'1.설계입력'!$C$33)*SIN(B904)+('1.설계입력'!$C$7+'1.설계입력'!$C$34)*SIN(B904+F904)+'1.설계입력'!$C$8*SIN('1.설계입력'!$C$15*B904)</f>
        <v>-0.49851949211608743</v>
      </c>
      <c r="I904" s="40">
        <f t="shared" si="43"/>
        <v>79.471145465158656</v>
      </c>
      <c r="J904" s="40">
        <f t="shared" si="44"/>
        <v>79.460000711768885</v>
      </c>
      <c r="K904" s="38">
        <f>IF(OR(A904&gt;180,'1.설계입력'!$C$39&gt;=1),"",'1.설계입력'!$C$34*(1-SIN(B904)/SQRT(1+'1.설계입력'!$C$39^2-2*'1.설계입력'!$C$39*COS(B904)))-'1.설계입력'!$C$33*(1-'1.설계입력'!$C$39*COS(B904)-SQRT(MAX(0,1-'1.설계입력'!$C$39^2))*SIN(B904))/SQRT(1+'1.설계입력'!$C$39^2-2*'1.설계입력'!$C$39*COS(B904)))</f>
        <v>1.1158814205241414E-2</v>
      </c>
    </row>
    <row r="905" spans="1:11" x14ac:dyDescent="0.3">
      <c r="A905" s="40">
        <f>A904+'1.설계입력'!$C$12</f>
        <v>179.79999999999833</v>
      </c>
      <c r="B905" s="40">
        <f t="shared" si="42"/>
        <v>3.1381019950857754</v>
      </c>
      <c r="C905" s="40">
        <f>ATAN2('1.설계입력'!$C$6/('1.설계입력'!$C$8*'1.설계입력'!$C$15)-COS((1-'1.설계입력'!$C$15)*B905),SIN((1-'1.설계입력'!$C$15)*B905))</f>
        <v>-5.7506194576141284E-2</v>
      </c>
      <c r="D905" s="40">
        <f>'1.설계입력'!$C$6*COS(B905)-'1.설계입력'!$C$7*COS(B905+C905)-'1.설계입력'!$C$8*COS('1.설계입력'!$C$15*B905)</f>
        <v>-79.492341456344377</v>
      </c>
      <c r="E905" s="40">
        <f>-'1.설계입력'!$C$6*SIN(B905)+'1.설계입력'!$C$7*SIN(B905+C905)+'1.설계입력'!$C$8*SIN('1.설계입력'!$C$15*B905)</f>
        <v>-0.25115692427696945</v>
      </c>
      <c r="F905" s="40">
        <f>ATAN2(('1.설계입력'!$C$6+'1.설계입력'!$C$33)/('1.설계입력'!$C$8*'1.설계입력'!$C$15)-COS((1-'1.설계입력'!$C$15)*B905),SIN((1-'1.설계입력'!$C$15)*B905))</f>
        <v>-5.7507452170909253E-2</v>
      </c>
      <c r="G905" s="40">
        <f>('1.설계입력'!$C$6+'1.설계입력'!$C$33)*COS(B905)-('1.설계입력'!$C$7+'1.설계입력'!$C$34)*COS(B905+F905)-'1.설계입력'!$C$8*COS('1.설계입력'!$C$15*B905)</f>
        <v>-79.481156846325547</v>
      </c>
      <c r="H905" s="40">
        <f>-('1.설계입력'!$C$6+'1.설계입력'!$C$33)*SIN(B905)+('1.설계입력'!$C$7+'1.설계입력'!$C$34)*SIN(B905+F905)+'1.설계입력'!$C$8*SIN('1.설계입력'!$C$15*B905)</f>
        <v>-0.25064730387627243</v>
      </c>
      <c r="I905" s="40">
        <f t="shared" si="43"/>
        <v>79.492738221882007</v>
      </c>
      <c r="J905" s="40">
        <f t="shared" si="44"/>
        <v>79.481552058959835</v>
      </c>
      <c r="K905" s="38">
        <f>IF(OR(A905&gt;180,'1.설계입력'!$C$39&gt;=1),"",'1.설계입력'!$C$34*(1-SIN(B905)/SQRT(1+'1.설계입력'!$C$39^2-2*'1.설계입력'!$C$39*COS(B905)))-'1.설계입력'!$C$33*(1-'1.설계입력'!$C$39*COS(B905)-SQRT(MAX(0,1-'1.설계입력'!$C$39^2))*SIN(B905))/SQRT(1+'1.설계입력'!$C$39^2-2*'1.설계입력'!$C$39*COS(B905)))</f>
        <v>1.1179410441024117E-2</v>
      </c>
    </row>
    <row r="906" spans="1:11" x14ac:dyDescent="0.3">
      <c r="A906" s="40">
        <f>A905+'1.설계입력'!$C$12</f>
        <v>179.99999999999832</v>
      </c>
      <c r="B906" s="40">
        <f t="shared" si="42"/>
        <v>3.1415926535897638</v>
      </c>
      <c r="C906" s="40">
        <f>ATAN2('1.설계입력'!$C$6/('1.설계입력'!$C$8*'1.설계입력'!$C$15)-COS((1-'1.설계입력'!$C$15)*B906),SIN((1-'1.설계입력'!$C$15)*B906))</f>
        <v>-4.8388697318412857E-13</v>
      </c>
      <c r="D906" s="40">
        <f>'1.설계입력'!$C$6*COS(B906)-'1.설계입력'!$C$7*COS(B906+C906)-'1.설계입력'!$C$8*COS('1.설계입력'!$C$15*B906)</f>
        <v>-79.5</v>
      </c>
      <c r="E906" s="40">
        <f>-'1.설계입력'!$C$6*SIN(B906)+'1.설계입력'!$C$7*SIN(B906+C906)+'1.설계입력'!$C$8*SIN('1.설계입력'!$C$15*B906)</f>
        <v>-2.1147844760094348E-12</v>
      </c>
      <c r="F906" s="40">
        <f>ATAN2(('1.설계입력'!$C$6+'1.설계입력'!$C$33)/('1.설계입력'!$C$8*'1.설계입력'!$C$15)-COS((1-'1.설계입력'!$C$15)*B906),SIN((1-'1.설계입력'!$C$15)*B906))</f>
        <v>-4.8389753714444661E-13</v>
      </c>
      <c r="G906" s="40">
        <f>('1.설계입력'!$C$6+'1.설계입력'!$C$33)*COS(B906)-('1.설계입력'!$C$7+'1.설계입력'!$C$34)*COS(B906+F906)-'1.설계입력'!$C$8*COS('1.설계입력'!$C$15*B906)</f>
        <v>-79.488799999999998</v>
      </c>
      <c r="H906" s="40">
        <f>-('1.설계입력'!$C$6+'1.설계입력'!$C$33)*SIN(B906)+('1.설계입력'!$C$7+'1.설계입력'!$C$34)*SIN(B906+F906)+'1.설계입력'!$C$8*SIN('1.설계입력'!$C$15*B906)</f>
        <v>-2.1105339694654777E-12</v>
      </c>
      <c r="I906" s="40">
        <f t="shared" si="43"/>
        <v>79.5</v>
      </c>
      <c r="J906" s="40">
        <f t="shared" si="44"/>
        <v>79.488799999999998</v>
      </c>
      <c r="K906" s="38">
        <f>IF(OR(A906&gt;180,'1.설계입력'!$C$39&gt;=1),"",'1.설계입력'!$C$34*(1-SIN(B906)/SQRT(1+'1.설계입력'!$C$39^2-2*'1.설계입력'!$C$39*COS(B906)))-'1.설계입력'!$C$33*(1-'1.설계입력'!$C$39*COS(B906)-SQRT(MAX(0,1-'1.설계입력'!$C$39^2))*SIN(B906))/SQRT(1+'1.설계입력'!$C$39^2-2*'1.설계입력'!$C$39*COS(B906)))</f>
        <v>1.1199999999999826E-2</v>
      </c>
    </row>
    <row r="907" spans="1:11" x14ac:dyDescent="0.3">
      <c r="A907" s="40">
        <f>A906+'1.설계입력'!$C$12</f>
        <v>180.19999999999831</v>
      </c>
      <c r="B907" s="40">
        <f t="shared" si="42"/>
        <v>3.1450833120937522</v>
      </c>
      <c r="C907" s="40">
        <f>ATAN2('1.설계입력'!$C$6/('1.설계입력'!$C$8*'1.설계입력'!$C$15)-COS((1-'1.설계입력'!$C$15)*B907),SIN((1-'1.설계입력'!$C$15)*B907))</f>
        <v>5.7506194575174314E-2</v>
      </c>
      <c r="D907" s="40">
        <f>'1.설계입력'!$C$6*COS(B907)-'1.설계입력'!$C$7*COS(B907+C907)-'1.설계입력'!$C$8*COS('1.설계입력'!$C$15*B907)</f>
        <v>-79.492341456344647</v>
      </c>
      <c r="E907" s="40">
        <f>-'1.설계입력'!$C$6*SIN(B907)+'1.설계입력'!$C$7*SIN(B907+C907)+'1.설계입력'!$C$8*SIN('1.설계입력'!$C$15*B907)</f>
        <v>0.25115692427276293</v>
      </c>
      <c r="F907" s="40">
        <f>ATAN2(('1.설계입력'!$C$6+'1.설계입력'!$C$33)/('1.설계입력'!$C$8*'1.설계입력'!$C$15)-COS((1-'1.설계입력'!$C$15)*B907),SIN((1-'1.설계입력'!$C$15)*B907))</f>
        <v>5.7507452169942262E-2</v>
      </c>
      <c r="G907" s="40">
        <f>('1.설계입력'!$C$6+'1.설계입력'!$C$33)*COS(B907)-('1.설계입력'!$C$7+'1.설계입력'!$C$34)*COS(B907+F907)-'1.설계입력'!$C$8*COS('1.설계입력'!$C$15*B907)</f>
        <v>-79.481156846325803</v>
      </c>
      <c r="H907" s="40">
        <f>-('1.설계입력'!$C$6+'1.설계입력'!$C$33)*SIN(B907)+('1.설계입력'!$C$7+'1.설계입력'!$C$34)*SIN(B907+F907)+'1.설계입력'!$C$8*SIN('1.설계입력'!$C$15*B907)</f>
        <v>0.25064730387207435</v>
      </c>
      <c r="I907" s="40">
        <f t="shared" si="43"/>
        <v>79.492738221882263</v>
      </c>
      <c r="J907" s="40">
        <f t="shared" si="44"/>
        <v>79.481552058960077</v>
      </c>
      <c r="K907" s="38" t="str">
        <f>IF(OR(A907&gt;180,'1.설계입력'!$C$39&gt;=1),"",'1.설계입력'!$C$34*(1-SIN(B907)/SQRT(1+'1.설계입력'!$C$39^2-2*'1.설계입력'!$C$39*COS(B907)))-'1.설계입력'!$C$33*(1-'1.설계입력'!$C$39*COS(B907)-SQRT(MAX(0,1-'1.설계입력'!$C$39^2))*SIN(B907))/SQRT(1+'1.설계입력'!$C$39^2-2*'1.설계입력'!$C$39*COS(B907)))</f>
        <v/>
      </c>
    </row>
    <row r="908" spans="1:11" x14ac:dyDescent="0.3">
      <c r="A908" s="40">
        <f>A907+'1.설계입력'!$C$12</f>
        <v>180.3999999999983</v>
      </c>
      <c r="B908" s="40">
        <f t="shared" si="42"/>
        <v>3.1485739705977407</v>
      </c>
      <c r="C908" s="40">
        <f>ATAN2('1.설계입력'!$C$6/('1.설계입력'!$C$8*'1.설계입력'!$C$15)-COS((1-'1.설계입력'!$C$15)*B908),SIN((1-'1.설계입력'!$C$15)*B908))</f>
        <v>0.1149161548440136</v>
      </c>
      <c r="D908" s="40">
        <f>'1.설계입력'!$C$6*COS(B908)-'1.설계입력'!$C$7*COS(B908+C908)-'1.설계입력'!$C$8*COS('1.설계입력'!$C$15*B908)</f>
        <v>-79.469575468977482</v>
      </c>
      <c r="E908" s="40">
        <f>-'1.설계입력'!$C$6*SIN(B908)+'1.설계입력'!$C$7*SIN(B908+C908)+'1.설계입력'!$C$8*SIN('1.설계입력'!$C$15*B908)</f>
        <v>0.49953610977979213</v>
      </c>
      <c r="F908" s="40">
        <f>ATAN2(('1.설계입력'!$C$6+'1.설계입력'!$C$33)/('1.설계입력'!$C$8*'1.설계입력'!$C$15)-COS((1-'1.설계입력'!$C$15)*B908),SIN((1-'1.설계입력'!$C$15)*B908))</f>
        <v>0.1149186809219193</v>
      </c>
      <c r="G908" s="40">
        <f>('1.설계입력'!$C$6+'1.설계입력'!$C$33)*COS(B908)-('1.설계입력'!$C$7+'1.설계입력'!$C$34)*COS(B908+F908)-'1.설계입력'!$C$8*COS('1.설계입력'!$C$15*B908)</f>
        <v>-79.458436880109659</v>
      </c>
      <c r="H908" s="40">
        <f>-('1.설계입력'!$C$6+'1.설계입력'!$C$33)*SIN(B908)+('1.설계입력'!$C$7+'1.설계입력'!$C$34)*SIN(B908+F908)+'1.설계입력'!$C$8*SIN('1.설계입력'!$C$15*B908)</f>
        <v>0.4985194921119826</v>
      </c>
      <c r="I908" s="40">
        <f t="shared" si="43"/>
        <v>79.471145465159125</v>
      </c>
      <c r="J908" s="40">
        <f t="shared" si="44"/>
        <v>79.460000711769354</v>
      </c>
      <c r="K908" s="38" t="str">
        <f>IF(OR(A908&gt;180,'1.설계입력'!$C$39&gt;=1),"",'1.설계입력'!$C$34*(1-SIN(B908)/SQRT(1+'1.설계입력'!$C$39^2-2*'1.설계입력'!$C$39*COS(B908)))-'1.설계입력'!$C$33*(1-'1.설계입력'!$C$39*COS(B908)-SQRT(MAX(0,1-'1.설계입력'!$C$39^2))*SIN(B908))/SQRT(1+'1.설계입력'!$C$39^2-2*'1.설계입력'!$C$39*COS(B908)))</f>
        <v/>
      </c>
    </row>
    <row r="909" spans="1:11" x14ac:dyDescent="0.3">
      <c r="A909" s="40">
        <f>A908+'1.설계입력'!$C$12</f>
        <v>180.59999999999829</v>
      </c>
      <c r="B909" s="40">
        <f t="shared" si="42"/>
        <v>3.1520646291017291</v>
      </c>
      <c r="C909" s="40">
        <f>ATAN2('1.설계입력'!$C$6/('1.설계입력'!$C$8*'1.설계입력'!$C$15)-COS((1-'1.설계입력'!$C$15)*B909),SIN((1-'1.설계입력'!$C$15)*B909))</f>
        <v>0.17213015190033576</v>
      </c>
      <c r="D909" s="40">
        <f>'1.설계입력'!$C$6*COS(B909)-'1.설계입력'!$C$7*COS(B909+C909)-'1.설계입력'!$C$8*COS('1.설계입력'!$C$15*B909)</f>
        <v>-79.432324055559477</v>
      </c>
      <c r="E909" s="40">
        <f>-'1.설계입력'!$C$6*SIN(B909)+'1.설계입력'!$C$7*SIN(B909+C909)+'1.설계입력'!$C$8*SIN('1.설계입력'!$C$15*B909)</f>
        <v>0.74243505786634556</v>
      </c>
      <c r="F909" s="40">
        <f>ATAN2(('1.설계입력'!$C$6+'1.설계입력'!$C$33)/('1.설계입력'!$C$8*'1.설계입력'!$C$15)-COS((1-'1.설계입력'!$C$15)*B909),SIN((1-'1.설계입력'!$C$15)*B909))</f>
        <v>0.17213396860161903</v>
      </c>
      <c r="G909" s="40">
        <f>('1.설계입력'!$C$6+'1.설계입력'!$C$33)*COS(B909)-('1.설계입력'!$C$7+'1.설계입력'!$C$34)*COS(B909+F909)-'1.설계입력'!$C$8*COS('1.설계입력'!$C$15*B909)</f>
        <v>-79.421261669973461</v>
      </c>
      <c r="H909" s="40">
        <f>-('1.설계입력'!$C$6+'1.설계입력'!$C$33)*SIN(B909)+('1.설계입력'!$C$7+'1.설계입력'!$C$34)*SIN(B909+F909)+'1.설계입력'!$C$8*SIN('1.설계입력'!$C$15*B909)</f>
        <v>0.74091668063899485</v>
      </c>
      <c r="I909" s="40">
        <f t="shared" si="43"/>
        <v>79.435793661815723</v>
      </c>
      <c r="J909" s="40">
        <f t="shared" si="44"/>
        <v>79.424717580725741</v>
      </c>
      <c r="K909" s="38" t="str">
        <f>IF(OR(A909&gt;180,'1.설계입력'!$C$39&gt;=1),"",'1.설계입력'!$C$34*(1-SIN(B909)/SQRT(1+'1.설계입력'!$C$39^2-2*'1.설계입력'!$C$39*COS(B909)))-'1.설계입력'!$C$33*(1-'1.설계입력'!$C$39*COS(B909)-SQRT(MAX(0,1-'1.설계입력'!$C$39^2))*SIN(B909))/SQRT(1+'1.설계입력'!$C$39^2-2*'1.설계입력'!$C$39*COS(B909)))</f>
        <v/>
      </c>
    </row>
    <row r="910" spans="1:11" x14ac:dyDescent="0.3">
      <c r="A910" s="40">
        <f>A909+'1.설계입력'!$C$12</f>
        <v>180.79999999999828</v>
      </c>
      <c r="B910" s="40">
        <f t="shared" si="42"/>
        <v>3.1555552876057176</v>
      </c>
      <c r="C910" s="40">
        <f>ATAN2('1.설계입력'!$C$6/('1.설계입력'!$C$8*'1.설계입력'!$C$15)-COS((1-'1.설계입력'!$C$15)*B910),SIN((1-'1.설계입력'!$C$15)*B910))</f>
        <v>0.22904119837328632</v>
      </c>
      <c r="D910" s="40">
        <f>'1.설계입력'!$C$6*COS(B910)-'1.설계입력'!$C$7*COS(B910+C910)-'1.설계입력'!$C$8*COS('1.설계입력'!$C$15*B910)</f>
        <v>-79.381600813457879</v>
      </c>
      <c r="E910" s="40">
        <f>-'1.설계입력'!$C$6*SIN(B910)+'1.설계입력'!$C$7*SIN(B910+C910)+'1.설계입력'!$C$8*SIN('1.설계입력'!$C$15*B910)</f>
        <v>0.97730053970206832</v>
      </c>
      <c r="F910" s="40">
        <f>ATAN2(('1.설계입력'!$C$6+'1.설계입력'!$C$33)/('1.설계입력'!$C$8*'1.설계입력'!$C$15)-COS((1-'1.설계입력'!$C$15)*B910),SIN((1-'1.설계입력'!$C$15)*B910))</f>
        <v>0.22904633984159706</v>
      </c>
      <c r="G910" s="40">
        <f>('1.설계입력'!$C$6+'1.설계입력'!$C$33)*COS(B910)-('1.설계입력'!$C$7+'1.설계입력'!$C$34)*COS(B910+F910)-'1.설계입력'!$C$8*COS('1.설계입력'!$C$15*B910)</f>
        <v>-79.370644055694854</v>
      </c>
      <c r="H910" s="40">
        <f>-('1.설계입력'!$C$6+'1.설계입력'!$C$33)*SIN(B910)+('1.설계입력'!$C$7+'1.설계입력'!$C$34)*SIN(B910+F910)+'1.설계입력'!$C$8*SIN('1.설계입력'!$C$15*B910)</f>
        <v>0.97528823867678249</v>
      </c>
      <c r="I910" s="40">
        <f t="shared" si="43"/>
        <v>79.387616566137567</v>
      </c>
      <c r="J910" s="40">
        <f t="shared" si="44"/>
        <v>79.376635888429476</v>
      </c>
      <c r="K910" s="38" t="str">
        <f>IF(OR(A910&gt;180,'1.설계입력'!$C$39&gt;=1),"",'1.설계입력'!$C$34*(1-SIN(B910)/SQRT(1+'1.설계입력'!$C$39^2-2*'1.설계입력'!$C$39*COS(B910)))-'1.설계입력'!$C$33*(1-'1.설계입력'!$C$39*COS(B910)-SQRT(MAX(0,1-'1.설계입력'!$C$39^2))*SIN(B910))/SQRT(1+'1.설계입력'!$C$39^2-2*'1.설계입력'!$C$39*COS(B910)))</f>
        <v/>
      </c>
    </row>
    <row r="911" spans="1:11" x14ac:dyDescent="0.3">
      <c r="A911" s="40">
        <f>A910+'1.설계입력'!$C$12</f>
        <v>180.99999999999827</v>
      </c>
      <c r="B911" s="40">
        <f t="shared" si="42"/>
        <v>3.159045946109706</v>
      </c>
      <c r="C911" s="40">
        <f>ATAN2('1.설계입력'!$C$6/('1.설계입력'!$C$8*'1.설계입력'!$C$15)-COS((1-'1.설계입력'!$C$15)*B911),SIN((1-'1.설계입력'!$C$15)*B911))</f>
        <v>0.28553071039017497</v>
      </c>
      <c r="D911" s="40">
        <f>'1.설계입력'!$C$6*COS(B911)-'1.설계입력'!$C$7*COS(B911+C911)-'1.설계입력'!$C$8*COS('1.설계입력'!$C$15*B911)</f>
        <v>-79.318776051535181</v>
      </c>
      <c r="E911" s="40">
        <f>-'1.설계입력'!$C$6*SIN(B911)+'1.설계입력'!$C$7*SIN(B911+C911)+'1.설계입력'!$C$8*SIN('1.설계입력'!$C$15*B911)</f>
        <v>1.2018002879870806</v>
      </c>
      <c r="F911" s="40">
        <f>ATAN2(('1.설계입력'!$C$6+'1.설계입력'!$C$33)/('1.설계입력'!$C$8*'1.설계입력'!$C$15)-COS((1-'1.설계입력'!$C$15)*B911),SIN((1-'1.설계입력'!$C$15)*B911))</f>
        <v>0.28553722396386272</v>
      </c>
      <c r="G911" s="40">
        <f>('1.설계입력'!$C$6+'1.설계입력'!$C$33)*COS(B911)-('1.설계입력'!$C$7+'1.설계입력'!$C$34)*COS(B911+F911)-'1.설계입력'!$C$8*COS('1.설계입력'!$C$15*B911)</f>
        <v>-79.307953265040823</v>
      </c>
      <c r="H911" s="40">
        <f>-('1.설계입력'!$C$6+'1.설계입력'!$C$33)*SIN(B911)+('1.설계입력'!$C$7+'1.설계입력'!$C$34)*SIN(B911+F911)+'1.설계입력'!$C$8*SIN('1.설계입력'!$C$15*B911)</f>
        <v>1.1993044737934377</v>
      </c>
      <c r="I911" s="40">
        <f t="shared" si="43"/>
        <v>79.32788008163206</v>
      </c>
      <c r="J911" s="40">
        <f t="shared" si="44"/>
        <v>79.317020760431745</v>
      </c>
      <c r="K911" s="38" t="str">
        <f>IF(OR(A911&gt;180,'1.설계입력'!$C$39&gt;=1),"",'1.설계입력'!$C$34*(1-SIN(B911)/SQRT(1+'1.설계입력'!$C$39^2-2*'1.설계입력'!$C$39*COS(B911)))-'1.설계입력'!$C$33*(1-'1.설계입력'!$C$39*COS(B911)-SQRT(MAX(0,1-'1.설계입력'!$C$39^2))*SIN(B911))/SQRT(1+'1.설계입력'!$C$39^2-2*'1.설계입력'!$C$39*COS(B911)))</f>
        <v/>
      </c>
    </row>
    <row r="912" spans="1:11" x14ac:dyDescent="0.3">
      <c r="A912" s="40">
        <f>A911+'1.설계입력'!$C$12</f>
        <v>181.19999999999825</v>
      </c>
      <c r="B912" s="40">
        <f t="shared" si="42"/>
        <v>3.1625366046136949</v>
      </c>
      <c r="C912" s="40">
        <f>ATAN2('1.설계입력'!$C$6/('1.설계입력'!$C$8*'1.설계입력'!$C$15)-COS((1-'1.설계입력'!$C$15)*B912),SIN((1-'1.설계입력'!$C$15)*B912))</f>
        <v>0.34146321197022939</v>
      </c>
      <c r="D912" s="40">
        <f>'1.설계입력'!$C$6*COS(B912)-'1.설계입력'!$C$7*COS(B912+C912)-'1.설계입력'!$C$8*COS('1.설계입력'!$C$15*B912)</f>
        <v>-79.245527428460974</v>
      </c>
      <c r="E912" s="40">
        <f>-'1.설계입력'!$C$6*SIN(B912)+'1.설계입력'!$C$7*SIN(B912+C912)+'1.설계입력'!$C$8*SIN('1.설계입력'!$C$15*B912)</f>
        <v>1.4138914019062512</v>
      </c>
      <c r="F912" s="40">
        <f>ATAN2(('1.설계입력'!$C$6+'1.설계입력'!$C$33)/('1.설계입력'!$C$8*'1.설계입력'!$C$15)-COS((1-'1.설계입력'!$C$15)*B912),SIN((1-'1.설계입력'!$C$15)*B912))</f>
        <v>0.34147115989789162</v>
      </c>
      <c r="G912" s="40">
        <f>('1.설계입력'!$C$6+'1.설계입력'!$C$33)*COS(B912)-('1.설계입력'!$C$7+'1.설계입력'!$C$34)*COS(B912+F912)-'1.설계입력'!$C$8*COS('1.설계입력'!$C$15*B912)</f>
        <v>-79.234865528609276</v>
      </c>
      <c r="H912" s="40">
        <f>-('1.설계입력'!$C$6+'1.설계입력'!$C$33)*SIN(B912)+('1.설계입력'!$C$7+'1.설계입력'!$C$34)*SIN(B912+F912)+'1.설계입력'!$C$8*SIN('1.설계입력'!$C$15*B912)</f>
        <v>1.4109250323966867</v>
      </c>
      <c r="I912" s="40">
        <f t="shared" si="43"/>
        <v>79.258139684901423</v>
      </c>
      <c r="J912" s="40">
        <f t="shared" si="44"/>
        <v>79.247426613006411</v>
      </c>
      <c r="K912" s="38" t="str">
        <f>IF(OR(A912&gt;180,'1.설계입력'!$C$39&gt;=1),"",'1.설계입력'!$C$34*(1-SIN(B912)/SQRT(1+'1.설계입력'!$C$39^2-2*'1.설계입력'!$C$39*COS(B912)))-'1.설계입력'!$C$33*(1-'1.설계입력'!$C$39*COS(B912)-SQRT(MAX(0,1-'1.설계입력'!$C$39^2))*SIN(B912))/SQRT(1+'1.설계입력'!$C$39^2-2*'1.설계입력'!$C$39*COS(B912)))</f>
        <v/>
      </c>
    </row>
    <row r="913" spans="1:11" x14ac:dyDescent="0.3">
      <c r="A913" s="40">
        <f>A912+'1.설계입력'!$C$12</f>
        <v>181.39999999999824</v>
      </c>
      <c r="B913" s="40">
        <f t="shared" si="42"/>
        <v>3.1660272631176833</v>
      </c>
      <c r="C913" s="40">
        <f>ATAN2('1.설계입력'!$C$6/('1.설계입력'!$C$8*'1.설계입력'!$C$15)-COS((1-'1.설계입력'!$C$15)*B913),SIN((1-'1.설계입력'!$C$15)*B913))</f>
        <v>0.3966795605600435</v>
      </c>
      <c r="D913" s="40">
        <f>'1.설계입력'!$C$6*COS(B913)-'1.설계입력'!$C$7*COS(B913+C913)-'1.설계입력'!$C$8*COS('1.설계입력'!$C$15*B913)</f>
        <v>-79.163775280610167</v>
      </c>
      <c r="E913" s="40">
        <f>-'1.설계입력'!$C$6*SIN(B913)+'1.설계입력'!$C$7*SIN(B913+C913)+'1.설계입력'!$C$8*SIN('1.설계입력'!$C$15*B913)</f>
        <v>1.6118848227777212</v>
      </c>
      <c r="F913" s="40">
        <f>ATAN2(('1.설계입력'!$C$6+'1.설계입력'!$C$33)/('1.설계입력'!$C$8*'1.설계입력'!$C$15)-COS((1-'1.설계입력'!$C$15)*B913),SIN((1-'1.설계입력'!$C$15)*B913))</f>
        <v>0.39668902236705278</v>
      </c>
      <c r="G913" s="40">
        <f>('1.설계입력'!$C$6+'1.설계입력'!$C$33)*COS(B913)-('1.설계입력'!$C$7+'1.설계입력'!$C$34)*COS(B913+F913)-'1.설계입력'!$C$8*COS('1.설계입력'!$C$15*B913)</f>
        <v>-79.153299372701952</v>
      </c>
      <c r="H913" s="40">
        <f>-('1.설계입력'!$C$6+'1.설계입력'!$C$33)*SIN(B913)+('1.설계입력'!$C$7+'1.설계입력'!$C$34)*SIN(B913+F913)+'1.설계입력'!$C$8*SIN('1.설계입력'!$C$15*B913)</f>
        <v>1.6084633744418295</v>
      </c>
      <c r="I913" s="40">
        <f t="shared" si="43"/>
        <v>79.180183691128462</v>
      </c>
      <c r="J913" s="40">
        <f t="shared" si="44"/>
        <v>79.169640368082383</v>
      </c>
      <c r="K913" s="38" t="str">
        <f>IF(OR(A913&gt;180,'1.설계입력'!$C$39&gt;=1),"",'1.설계입력'!$C$34*(1-SIN(B913)/SQRT(1+'1.설계입력'!$C$39^2-2*'1.설계입력'!$C$39*COS(B913)))-'1.설계입력'!$C$33*(1-'1.설계입력'!$C$39*COS(B913)-SQRT(MAX(0,1-'1.설계입력'!$C$39^2))*SIN(B913))/SQRT(1+'1.설계입력'!$C$39^2-2*'1.설계입력'!$C$39*COS(B913)))</f>
        <v/>
      </c>
    </row>
    <row r="914" spans="1:11" x14ac:dyDescent="0.3">
      <c r="A914" s="40">
        <f>A913+'1.설계입력'!$C$12</f>
        <v>181.59999999999823</v>
      </c>
      <c r="B914" s="40">
        <f t="shared" si="42"/>
        <v>3.1695179216216718</v>
      </c>
      <c r="C914" s="40">
        <f>ATAN2('1.설계입력'!$C$6/('1.설계입력'!$C$8*'1.설계입력'!$C$15)-COS((1-'1.설계입력'!$C$15)*B914),SIN((1-'1.설계입력'!$C$15)*B914))</f>
        <v>0.45098794431518857</v>
      </c>
      <c r="D914" s="40">
        <f>'1.설계입력'!$C$6*COS(B914)-'1.설계입력'!$C$7*COS(B914+C914)-'1.설계입력'!$C$8*COS('1.설계입력'!$C$15*B914)</f>
        <v>-79.075601134419315</v>
      </c>
      <c r="E914" s="40">
        <f>-'1.설계입력'!$C$6*SIN(B914)+'1.설계입력'!$C$7*SIN(B914+C914)+'1.설계입력'!$C$8*SIN('1.설계입력'!$C$15*B914)</f>
        <v>1.7945057331957639</v>
      </c>
      <c r="F914" s="40">
        <f>ATAN2(('1.설계입력'!$C$6+'1.설계입력'!$C$33)/('1.설계입력'!$C$8*'1.설계입력'!$C$15)-COS((1-'1.설계입력'!$C$15)*B914),SIN((1-'1.설계입력'!$C$15)*B914))</f>
        <v>0.45099902000459235</v>
      </c>
      <c r="G914" s="40">
        <f>('1.설계입력'!$C$6+'1.설계입력'!$C$33)*COS(B914)-('1.설계입력'!$C$7+'1.설계입력'!$C$34)*COS(B914+F914)-'1.설계입력'!$C$8*COS('1.설계입력'!$C$15*B914)</f>
        <v>-79.06533408033043</v>
      </c>
      <c r="H914" s="40">
        <f>-('1.설계입력'!$C$6+'1.설계입력'!$C$33)*SIN(B914)+('1.설계입력'!$C$7+'1.설계입력'!$C$34)*SIN(B914+F914)+'1.설계입력'!$C$8*SIN('1.설계입력'!$C$15*B914)</f>
        <v>1.790647177161568</v>
      </c>
      <c r="I914" s="40">
        <f t="shared" si="43"/>
        <v>79.095960362057994</v>
      </c>
      <c r="J914" s="40">
        <f t="shared" si="44"/>
        <v>79.085608491983777</v>
      </c>
      <c r="K914" s="38" t="str">
        <f>IF(OR(A914&gt;180,'1.설계입력'!$C$39&gt;=1),"",'1.설계입력'!$C$34*(1-SIN(B914)/SQRT(1+'1.설계입력'!$C$39^2-2*'1.설계입력'!$C$39*COS(B914)))-'1.설계입력'!$C$33*(1-'1.설계입력'!$C$39*COS(B914)-SQRT(MAX(0,1-'1.설계입력'!$C$39^2))*SIN(B914))/SQRT(1+'1.설계입력'!$C$39^2-2*'1.설계입력'!$C$39*COS(B914)))</f>
        <v/>
      </c>
    </row>
    <row r="915" spans="1:11" x14ac:dyDescent="0.3">
      <c r="A915" s="40">
        <f>A914+'1.설계입력'!$C$12</f>
        <v>181.79999999999822</v>
      </c>
      <c r="B915" s="40">
        <f t="shared" si="42"/>
        <v>3.1730085801256602</v>
      </c>
      <c r="C915" s="40">
        <f>ATAN2('1.설계입력'!$C$6/('1.설계입력'!$C$8*'1.설계입력'!$C$15)-COS((1-'1.설계입력'!$C$15)*B915),SIN((1-'1.설계입력'!$C$15)*B915))</f>
        <v>0.50415152838293742</v>
      </c>
      <c r="D915" s="40">
        <f>'1.설계입력'!$C$6*COS(B915)-'1.설계입력'!$C$7*COS(B915+C915)-'1.설계입력'!$C$8*COS('1.설계입력'!$C$15*B915)</f>
        <v>-78.983146725637383</v>
      </c>
      <c r="E915" s="40">
        <f>-'1.설계입력'!$C$6*SIN(B915)+'1.설계입력'!$C$7*SIN(B915+C915)+'1.설계입력'!$C$8*SIN('1.설계입력'!$C$15*B915)</f>
        <v>1.9609505349182588</v>
      </c>
      <c r="F915" s="40">
        <f>ATAN2(('1.설계입력'!$C$6+'1.설계입력'!$C$33)/('1.설계입력'!$C$8*'1.설계입력'!$C$15)-COS((1-'1.설계입력'!$C$15)*B915),SIN((1-'1.설계입력'!$C$15)*B915))</f>
        <v>0.50416434273211108</v>
      </c>
      <c r="G915" s="40">
        <f>('1.설계입력'!$C$6+'1.설계입력'!$C$33)*COS(B915)-('1.설계입력'!$C$7+'1.설계입력'!$C$34)*COS(B915+F915)-'1.설계입력'!$C$8*COS('1.설계입력'!$C$15*B915)</f>
        <v>-78.973108635345952</v>
      </c>
      <c r="H915" s="40">
        <f>-('1.설계입력'!$C$6+'1.설계입력'!$C$33)*SIN(B915)+('1.설계입력'!$C$7+'1.설계입력'!$C$34)*SIN(B915+F915)+'1.설계입력'!$C$8*SIN('1.설계입력'!$C$15*B915)</f>
        <v>1.9566753262965817</v>
      </c>
      <c r="I915" s="40">
        <f t="shared" si="43"/>
        <v>79.007485681319849</v>
      </c>
      <c r="J915" s="40">
        <f t="shared" si="44"/>
        <v>78.99734467602498</v>
      </c>
      <c r="K915" s="38" t="str">
        <f>IF(OR(A915&gt;180,'1.설계입력'!$C$39&gt;=1),"",'1.설계입력'!$C$34*(1-SIN(B915)/SQRT(1+'1.설계입력'!$C$39^2-2*'1.설계입력'!$C$39*COS(B915)))-'1.설계입력'!$C$33*(1-'1.설계입력'!$C$39*COS(B915)-SQRT(MAX(0,1-'1.설계입력'!$C$39^2))*SIN(B915))/SQRT(1+'1.설계입력'!$C$39^2-2*'1.설계입력'!$C$39*COS(B915)))</f>
        <v/>
      </c>
    </row>
    <row r="916" spans="1:11" x14ac:dyDescent="0.3">
      <c r="A916" s="40">
        <f>A915+'1.설계입력'!$C$12</f>
        <v>181.99999999999821</v>
      </c>
      <c r="B916" s="40">
        <f t="shared" si="42"/>
        <v>3.1764992386296487</v>
      </c>
      <c r="C916" s="40">
        <f>ATAN2('1.설계입력'!$C$6/('1.설계입력'!$C$8*'1.설계입력'!$C$15)-COS((1-'1.설계입력'!$C$15)*B916),SIN((1-'1.설계입력'!$C$15)*B916))</f>
        <v>0.55587101044739462</v>
      </c>
      <c r="D916" s="40">
        <f>'1.설계입력'!$C$6*COS(B916)-'1.설계입력'!$C$7*COS(B916+C916)-'1.설계입력'!$C$8*COS('1.설계입력'!$C$15*B916)</f>
        <v>-78.888488865640312</v>
      </c>
      <c r="E916" s="40">
        <f>-'1.설계입력'!$C$6*SIN(B916)+'1.설계입력'!$C$7*SIN(B916+C916)+'1.설계입력'!$C$8*SIN('1.설계입력'!$C$15*B916)</f>
        <v>2.1109423976535027</v>
      </c>
      <c r="F916" s="40">
        <f>ATAN2(('1.설계입력'!$C$6+'1.설계입력'!$C$33)/('1.설계입력'!$C$8*'1.설계입력'!$C$15)-COS((1-'1.설계입력'!$C$15)*B916),SIN((1-'1.설계입력'!$C$15)*B916))</f>
        <v>0.55588571877014004</v>
      </c>
      <c r="G916" s="40">
        <f>('1.설계입력'!$C$6+'1.설계입력'!$C$33)*COS(B916)-('1.설계입력'!$C$7+'1.설계입력'!$C$34)*COS(B916+F916)-'1.설계입력'!$C$8*COS('1.설계입력'!$C$15*B916)</f>
        <v>-78.878696478138068</v>
      </c>
      <c r="H916" s="40">
        <f>-('1.설계입력'!$C$6+'1.설계입력'!$C$33)*SIN(B916)+('1.설계입력'!$C$7+'1.설계입력'!$C$34)*SIN(B916+F916)+'1.설계입력'!$C$8*SIN('1.설계입력'!$C$15*B916)</f>
        <v>2.1062734923813906</v>
      </c>
      <c r="I916" s="40">
        <f t="shared" si="43"/>
        <v>78.916726701697826</v>
      </c>
      <c r="J916" s="40">
        <f t="shared" si="44"/>
        <v>78.90681305258083</v>
      </c>
      <c r="K916" s="38" t="str">
        <f>IF(OR(A916&gt;180,'1.설계입력'!$C$39&gt;=1),"",'1.설계입력'!$C$34*(1-SIN(B916)/SQRT(1+'1.설계입력'!$C$39^2-2*'1.설계입력'!$C$39*COS(B916)))-'1.설계입력'!$C$33*(1-'1.설계입력'!$C$39*COS(B916)-SQRT(MAX(0,1-'1.설계입력'!$C$39^2))*SIN(B916))/SQRT(1+'1.설계입력'!$C$39^2-2*'1.설계입력'!$C$39*COS(B916)))</f>
        <v/>
      </c>
    </row>
    <row r="917" spans="1:11" x14ac:dyDescent="0.3">
      <c r="A917" s="40">
        <f>A916+'1.설계입력'!$C$12</f>
        <v>182.1999999999982</v>
      </c>
      <c r="B917" s="40">
        <f t="shared" si="42"/>
        <v>3.1799898971336371</v>
      </c>
      <c r="C917" s="40">
        <f>ATAN2('1.설계입력'!$C$6/('1.설계입력'!$C$8*'1.설계입력'!$C$15)-COS((1-'1.설계입력'!$C$15)*B917),SIN((1-'1.설계입력'!$C$15)*B917))</f>
        <v>0.60575930584771076</v>
      </c>
      <c r="D917" s="40">
        <f>'1.설계입력'!$C$6*COS(B917)-'1.설계입력'!$C$7*COS(B917+C917)-'1.설계입력'!$C$8*COS('1.설계입력'!$C$15*B917)</f>
        <v>-78.793482135413655</v>
      </c>
      <c r="E917" s="40">
        <f>-'1.설계입력'!$C$6*SIN(B917)+'1.설계입력'!$C$7*SIN(B917+C917)+'1.설계입력'!$C$8*SIN('1.설계입력'!$C$15*B917)</f>
        <v>2.2447896914611882</v>
      </c>
      <c r="F917" s="40">
        <f>ATAN2(('1.설계입력'!$C$6+'1.설계입력'!$C$33)/('1.설계입력'!$C$8*'1.설계입력'!$C$15)-COS((1-'1.설계입력'!$C$15)*B917),SIN((1-'1.설계입력'!$C$15)*B917))</f>
        <v>0.60577610174058871</v>
      </c>
      <c r="G917" s="40">
        <f>('1.설계입력'!$C$6+'1.설계입력'!$C$33)*COS(B917)-('1.설계입력'!$C$7+'1.설계입력'!$C$34)*COS(B917+F917)-'1.설계입력'!$C$8*COS('1.설계입력'!$C$15*B917)</f>
        <v>-78.783948034719302</v>
      </c>
      <c r="H917" s="40">
        <f>-('1.설계입력'!$C$6+'1.설계입력'!$C$33)*SIN(B917)+('1.설계입력'!$C$7+'1.설계입력'!$C$34)*SIN(B917+F917)+'1.설계입력'!$C$8*SIN('1.설계입력'!$C$15*B917)</f>
        <v>2.2397526141730628</v>
      </c>
      <c r="I917" s="40">
        <f t="shared" si="43"/>
        <v>78.82545215717218</v>
      </c>
      <c r="J917" s="40">
        <f t="shared" si="44"/>
        <v>78.815778621479382</v>
      </c>
      <c r="K917" s="38" t="str">
        <f>IF(OR(A917&gt;180,'1.설계입력'!$C$39&gt;=1),"",'1.설계입력'!$C$34*(1-SIN(B917)/SQRT(1+'1.설계입력'!$C$39^2-2*'1.설계입력'!$C$39*COS(B917)))-'1.설계입력'!$C$33*(1-'1.설계입력'!$C$39*COS(B917)-SQRT(MAX(0,1-'1.설계입력'!$C$39^2))*SIN(B917))/SQRT(1+'1.설계입력'!$C$39^2-2*'1.설계입력'!$C$39*COS(B917)))</f>
        <v/>
      </c>
    </row>
    <row r="918" spans="1:11" x14ac:dyDescent="0.3">
      <c r="A918" s="40">
        <f>A917+'1.설계입력'!$C$12</f>
        <v>182.39999999999819</v>
      </c>
      <c r="B918" s="40">
        <f t="shared" si="42"/>
        <v>3.1834805556376256</v>
      </c>
      <c r="C918" s="40">
        <f>ATAN2('1.설계입력'!$C$6/('1.설계입력'!$C$8*'1.설계입력'!$C$15)-COS((1-'1.설계입력'!$C$15)*B918),SIN((1-'1.설계입력'!$C$15)*B918))</f>
        <v>0.6533037841668955</v>
      </c>
      <c r="D918" s="40">
        <f>'1.설계입력'!$C$6*COS(B918)-'1.설계입력'!$C$7*COS(B918+C918)-'1.설계입력'!$C$8*COS('1.설계입력'!$C$15*B918)</f>
        <v>-78.699555634721236</v>
      </c>
      <c r="E918" s="40">
        <f>-'1.설계입력'!$C$6*SIN(B918)+'1.설계입력'!$C$7*SIN(B918+C918)+'1.설계입력'!$C$8*SIN('1.설계입력'!$C$15*B918)</f>
        <v>2.3634558365563292</v>
      </c>
      <c r="F918" s="40">
        <f>ATAN2(('1.설계입력'!$C$6+'1.설계입력'!$C$33)/('1.설계입력'!$C$8*'1.설계입력'!$C$15)-COS((1-'1.설계입력'!$C$15)*B918),SIN((1-'1.설계입력'!$C$15)*B918))</f>
        <v>0.65332290995585374</v>
      </c>
      <c r="G918" s="40">
        <f>('1.설계입력'!$C$6+'1.설계입력'!$C$33)*COS(B918)-('1.설계입력'!$C$7+'1.설계입력'!$C$34)*COS(B918+F918)-'1.설계입력'!$C$8*COS('1.설계입력'!$C$15*B918)</f>
        <v>-78.690287215940415</v>
      </c>
      <c r="H918" s="40">
        <f>-('1.설계입력'!$C$6+'1.설계입력'!$C$33)*SIN(B918)+('1.설계입력'!$C$7+'1.설계입력'!$C$34)*SIN(B918+F918)+'1.설계입력'!$C$8*SIN('1.설계입력'!$C$15*B918)</f>
        <v>2.358078839902479</v>
      </c>
      <c r="I918" s="40">
        <f t="shared" si="43"/>
        <v>78.73503655040706</v>
      </c>
      <c r="J918" s="40">
        <f t="shared" si="44"/>
        <v>78.725611067443566</v>
      </c>
      <c r="K918" s="38" t="str">
        <f>IF(OR(A918&gt;180,'1.설계입력'!$C$39&gt;=1),"",'1.설계입력'!$C$34*(1-SIN(B918)/SQRT(1+'1.설계입력'!$C$39^2-2*'1.설계입력'!$C$39*COS(B918)))-'1.설계입력'!$C$33*(1-'1.설계입력'!$C$39*COS(B918)-SQRT(MAX(0,1-'1.설계입력'!$C$39^2))*SIN(B918))/SQRT(1+'1.설계입력'!$C$39^2-2*'1.설계입력'!$C$39*COS(B918)))</f>
        <v/>
      </c>
    </row>
    <row r="919" spans="1:11" x14ac:dyDescent="0.3">
      <c r="A919" s="40">
        <f>A918+'1.설계입력'!$C$12</f>
        <v>182.59999999999818</v>
      </c>
      <c r="B919" s="40">
        <f t="shared" si="42"/>
        <v>3.186971214141614</v>
      </c>
      <c r="C919" s="40">
        <f>ATAN2('1.설계입력'!$C$6/('1.설계입력'!$C$8*'1.설계입력'!$C$15)-COS((1-'1.설계입력'!$C$15)*B919),SIN((1-'1.설계입력'!$C$15)*B919))</f>
        <v>0.69780827510946186</v>
      </c>
      <c r="D919" s="40">
        <f>'1.설계입력'!$C$6*COS(B919)-'1.설계입력'!$C$7*COS(B919+C919)-'1.설계입력'!$C$8*COS('1.설계입력'!$C$15*B919)</f>
        <v>-78.607440008669499</v>
      </c>
      <c r="E919" s="40">
        <f>-'1.설계입력'!$C$6*SIN(B919)+'1.설계입력'!$C$7*SIN(B919+C919)+'1.설계입력'!$C$8*SIN('1.설계입력'!$C$15*B919)</f>
        <v>2.4686571696997528</v>
      </c>
      <c r="F919" s="40">
        <f>ATAN2(('1.설계입력'!$C$6+'1.설계입력'!$C$33)/('1.설계입력'!$C$8*'1.설계입력'!$C$15)-COS((1-'1.설계입력'!$C$15)*B919),SIN((1-'1.설계입력'!$C$15)*B919))</f>
        <v>0.69783003594529691</v>
      </c>
      <c r="G919" s="40">
        <f>('1.설계입력'!$C$6+'1.설계입력'!$C$33)*COS(B919)-('1.설계입력'!$C$7+'1.설계입력'!$C$34)*COS(B919+F919)-'1.설계입력'!$C$8*COS('1.설계입력'!$C$15*B919)</f>
        <v>-78.598438057351345</v>
      </c>
      <c r="H919" s="40">
        <f>-('1.설계입력'!$C$6+'1.설계입력'!$C$33)*SIN(B919)+('1.설계입력'!$C$7+'1.설계입력'!$C$34)*SIN(B919+F919)+'1.설계입력'!$C$8*SIN('1.설계입력'!$C$15*B919)</f>
        <v>2.4629715572112238</v>
      </c>
      <c r="I919" s="40">
        <f t="shared" si="43"/>
        <v>78.646194395775339</v>
      </c>
      <c r="J919" s="40">
        <f t="shared" si="44"/>
        <v>78.63701859777575</v>
      </c>
      <c r="K919" s="38" t="str">
        <f>IF(OR(A919&gt;180,'1.설계입력'!$C$39&gt;=1),"",'1.설계입력'!$C$34*(1-SIN(B919)/SQRT(1+'1.설계입력'!$C$39^2-2*'1.설계입력'!$C$39*COS(B919)))-'1.설계입력'!$C$33*(1-'1.설계입력'!$C$39*COS(B919)-SQRT(MAX(0,1-'1.설계입력'!$C$39^2))*SIN(B919))/SQRT(1+'1.설계입력'!$C$39^2-2*'1.설계입력'!$C$39*COS(B919)))</f>
        <v/>
      </c>
    </row>
    <row r="920" spans="1:11" x14ac:dyDescent="0.3">
      <c r="A920" s="40">
        <f>A919+'1.설계입력'!$C$12</f>
        <v>182.79999999999816</v>
      </c>
      <c r="B920" s="40">
        <f t="shared" si="42"/>
        <v>3.1904618726456024</v>
      </c>
      <c r="C920" s="40">
        <f>ATAN2('1.설계입력'!$C$6/('1.설계입력'!$C$8*'1.설계입력'!$C$15)-COS((1-'1.설계입력'!$C$15)*B920),SIN((1-'1.설계입력'!$C$15)*B920))</f>
        <v>0.73830116196629747</v>
      </c>
      <c r="D920" s="40">
        <f>'1.설계입력'!$C$6*COS(B920)-'1.설계입력'!$C$7*COS(B920+C920)-'1.설계입력'!$C$8*COS('1.설계입력'!$C$15*B920)</f>
        <v>-78.516783274603682</v>
      </c>
      <c r="E920" s="40">
        <f>-'1.설계입력'!$C$6*SIN(B920)+'1.설계입력'!$C$7*SIN(B920+C920)+'1.설계입력'!$C$8*SIN('1.설계입력'!$C$15*B920)</f>
        <v>2.5630216362633123</v>
      </c>
      <c r="F920" s="40">
        <f>ATAN2(('1.설계입력'!$C$6+'1.설계입력'!$C$33)/('1.설계입력'!$C$8*'1.설계입력'!$C$15)-COS((1-'1.설계입력'!$C$15)*B920),SIN((1-'1.설계입력'!$C$15)*B920))</f>
        <v>0.73832594469391732</v>
      </c>
      <c r="G920" s="40">
        <f>('1.설계입력'!$C$6+'1.설계입력'!$C$33)*COS(B920)-('1.설계입력'!$C$7+'1.설계입력'!$C$34)*COS(B920+F920)-'1.설계입력'!$C$8*COS('1.설계입력'!$C$15*B920)</f>
        <v>-78.508039933450263</v>
      </c>
      <c r="H920" s="40">
        <f>-('1.설계입력'!$C$6+'1.설계입력'!$C$33)*SIN(B920)+('1.설계입력'!$C$7+'1.설계입력'!$C$34)*SIN(B920+F920)+'1.설계입력'!$C$8*SIN('1.설계입력'!$C$15*B920)</f>
        <v>2.5570623829331671</v>
      </c>
      <c r="I920" s="40">
        <f t="shared" si="43"/>
        <v>78.558604466341166</v>
      </c>
      <c r="J920" s="40">
        <f t="shared" si="44"/>
        <v>78.549671560245443</v>
      </c>
      <c r="K920" s="38" t="str">
        <f>IF(OR(A920&gt;180,'1.설계입력'!$C$39&gt;=1),"",'1.설계입력'!$C$34*(1-SIN(B920)/SQRT(1+'1.설계입력'!$C$39^2-2*'1.설계입력'!$C$39*COS(B920)))-'1.설계입력'!$C$33*(1-'1.설계입력'!$C$39*COS(B920)-SQRT(MAX(0,1-'1.설계입력'!$C$39^2))*SIN(B920))/SQRT(1+'1.설계입력'!$C$39^2-2*'1.설계입력'!$C$39*COS(B920)))</f>
        <v/>
      </c>
    </row>
    <row r="921" spans="1:11" x14ac:dyDescent="0.3">
      <c r="A921" s="40">
        <f>A920+'1.설계입력'!$C$12</f>
        <v>182.99999999999815</v>
      </c>
      <c r="B921" s="40">
        <f t="shared" si="42"/>
        <v>3.1939525311495909</v>
      </c>
      <c r="C921" s="40">
        <f>ATAN2('1.설계입력'!$C$6/('1.설계입력'!$C$8*'1.설계입력'!$C$15)-COS((1-'1.설계입력'!$C$15)*B921),SIN((1-'1.설계입력'!$C$15)*B921))</f>
        <v>0.77338463111380906</v>
      </c>
      <c r="D921" s="40">
        <f>'1.설계입력'!$C$6*COS(B921)-'1.설계입력'!$C$7*COS(B921+C921)-'1.설계입력'!$C$8*COS('1.설계입력'!$C$15*B921)</f>
        <v>-78.425582248198623</v>
      </c>
      <c r="E921" s="40">
        <f>-'1.설계입력'!$C$6*SIN(B921)+'1.설계입력'!$C$7*SIN(B921+C921)+'1.설계입력'!$C$8*SIN('1.설계입력'!$C$15*B921)</f>
        <v>2.6503754369205659</v>
      </c>
      <c r="F921" s="40">
        <f>ATAN2(('1.설계입력'!$C$6+'1.설계입력'!$C$33)/('1.설계입력'!$C$8*'1.설계입력'!$C$15)-COS((1-'1.설계입력'!$C$15)*B921),SIN((1-'1.설계입력'!$C$15)*B921))</f>
        <v>0.77341292880188062</v>
      </c>
      <c r="G921" s="40">
        <f>('1.설계입력'!$C$6+'1.설계입력'!$C$33)*COS(B921)-('1.설계입력'!$C$7+'1.설계입력'!$C$34)*COS(B921+F921)-'1.설계입력'!$C$8*COS('1.설계입력'!$C$15*B921)</f>
        <v>-78.417077987193906</v>
      </c>
      <c r="H921" s="40">
        <f>-('1.설계입력'!$C$6+'1.설계입력'!$C$33)*SIN(B921)+('1.설계입력'!$C$7+'1.설계입력'!$C$34)*SIN(B921+F921)+'1.설계입력'!$C$8*SIN('1.설계입력'!$C$15*B921)</f>
        <v>2.6441823693392399</v>
      </c>
      <c r="I921" s="40">
        <f t="shared" si="43"/>
        <v>78.470353898307337</v>
      </c>
      <c r="J921" s="40">
        <f t="shared" si="44"/>
        <v>78.461645537497972</v>
      </c>
      <c r="K921" s="38" t="str">
        <f>IF(OR(A921&gt;180,'1.설계입력'!$C$39&gt;=1),"",'1.설계입력'!$C$34*(1-SIN(B921)/SQRT(1+'1.설계입력'!$C$39^2-2*'1.설계입력'!$C$39*COS(B921)))-'1.설계입력'!$C$33*(1-'1.설계입력'!$C$39*COS(B921)-SQRT(MAX(0,1-'1.설계입력'!$C$39^2))*SIN(B921))/SQRT(1+'1.설계입력'!$C$39^2-2*'1.설계입력'!$C$39*COS(B921)))</f>
        <v/>
      </c>
    </row>
    <row r="922" spans="1:11" x14ac:dyDescent="0.3">
      <c r="A922" s="40">
        <f>A921+'1.설계입력'!$C$12</f>
        <v>183.19999999999814</v>
      </c>
      <c r="B922" s="40">
        <f t="shared" si="42"/>
        <v>3.1974431896535793</v>
      </c>
      <c r="C922" s="40">
        <f>ATAN2('1.설계입력'!$C$6/('1.설계입력'!$C$8*'1.설계입력'!$C$15)-COS((1-'1.설계입력'!$C$15)*B922),SIN((1-'1.설계입력'!$C$15)*B922))</f>
        <v>0.80097792689327663</v>
      </c>
      <c r="D922" s="40">
        <f>'1.설계입력'!$C$6*COS(B922)-'1.설계입력'!$C$7*COS(B922+C922)-'1.설계입력'!$C$8*COS('1.설계입력'!$C$15*B922)</f>
        <v>-78.32929961561878</v>
      </c>
      <c r="E922" s="40">
        <f>-'1.설계입력'!$C$6*SIN(B922)+'1.설계입력'!$C$7*SIN(B922+C922)+'1.설계입력'!$C$8*SIN('1.설계입력'!$C$15*B922)</f>
        <v>2.7363014385143041</v>
      </c>
      <c r="F922" s="40">
        <f>ATAN2(('1.설계입력'!$C$6+'1.설계입력'!$C$33)/('1.설계입력'!$C$8*'1.설계입력'!$C$15)-COS((1-'1.설계입력'!$C$15)*B922),SIN((1-'1.설계입력'!$C$15)*B922))</f>
        <v>0.80101036800736336</v>
      </c>
      <c r="G922" s="40">
        <f>('1.설계입력'!$C$6+'1.설계입력'!$C$33)*COS(B922)-('1.설계입력'!$C$7+'1.설계입력'!$C$34)*COS(B922+F922)-'1.설계입력'!$C$8*COS('1.설계입력'!$C$15*B922)</f>
        <v>-78.320998535808855</v>
      </c>
      <c r="H922" s="40">
        <f>-('1.설계입력'!$C$6+'1.설계입력'!$C$33)*SIN(B922)+('1.설계입력'!$C$7+'1.설계입력'!$C$34)*SIN(B922+F922)+'1.설계입력'!$C$8*SIN('1.설계입력'!$C$15*B922)</f>
        <v>2.7299215135547099</v>
      </c>
      <c r="I922" s="40">
        <f t="shared" si="43"/>
        <v>78.37707907185488</v>
      </c>
      <c r="J922" s="40">
        <f t="shared" si="44"/>
        <v>78.368560552790186</v>
      </c>
      <c r="K922" s="38" t="str">
        <f>IF(OR(A922&gt;180,'1.설계입력'!$C$39&gt;=1),"",'1.설계입력'!$C$34*(1-SIN(B922)/SQRT(1+'1.설계입력'!$C$39^2-2*'1.설계입력'!$C$39*COS(B922)))-'1.설계입력'!$C$33*(1-'1.설계입력'!$C$39*COS(B922)-SQRT(MAX(0,1-'1.설계입력'!$C$39^2))*SIN(B922))/SQRT(1+'1.설계입력'!$C$39^2-2*'1.설계입력'!$C$39*COS(B922)))</f>
        <v/>
      </c>
    </row>
    <row r="923" spans="1:11" x14ac:dyDescent="0.3">
      <c r="A923" s="40">
        <f>A922+'1.설계입력'!$C$12</f>
        <v>183.39999999999813</v>
      </c>
      <c r="B923" s="40">
        <f t="shared" si="42"/>
        <v>3.2009338481575678</v>
      </c>
      <c r="C923" s="40">
        <f>ATAN2('1.설계입력'!$C$6/('1.설계입력'!$C$8*'1.설계입력'!$C$15)-COS((1-'1.설계입력'!$C$15)*B923),SIN((1-'1.설계입력'!$C$15)*B923))</f>
        <v>0.81786223373232969</v>
      </c>
      <c r="D923" s="40">
        <f>'1.설계입력'!$C$6*COS(B923)-'1.설계입력'!$C$7*COS(B923+C923)-'1.설계입력'!$C$8*COS('1.설계입력'!$C$15*B923)</f>
        <v>-78.219439883612907</v>
      </c>
      <c r="E923" s="40">
        <f>-'1.설계입력'!$C$6*SIN(B923)+'1.설계입력'!$C$7*SIN(B923+C923)+'1.설계입력'!$C$8*SIN('1.설계입력'!$C$15*B923)</f>
        <v>2.8292940750654743</v>
      </c>
      <c r="F923" s="40">
        <f>ATAN2(('1.설계입력'!$C$6+'1.설계입력'!$C$33)/('1.설계입력'!$C$8*'1.설계입력'!$C$15)-COS((1-'1.설계입력'!$C$15)*B923),SIN((1-'1.설계입력'!$C$15)*B923))</f>
        <v>0.81789960710236387</v>
      </c>
      <c r="G923" s="40">
        <f>('1.설계입력'!$C$6+'1.설계입력'!$C$33)*COS(B923)-('1.설계입력'!$C$7+'1.설계입력'!$C$34)*COS(B923+F923)-'1.설계입력'!$C$8*COS('1.설계입력'!$C$15*B923)</f>
        <v>-78.2112821653118</v>
      </c>
      <c r="H923" s="40">
        <f>-('1.설계입력'!$C$6+'1.설계입력'!$C$33)*SIN(B923)+('1.설계입력'!$C$7+'1.설계입력'!$C$34)*SIN(B923+F923)+'1.설계입력'!$C$8*SIN('1.설계입력'!$C$15*B923)</f>
        <v>2.8227859345051907</v>
      </c>
      <c r="I923" s="40">
        <f t="shared" si="43"/>
        <v>78.270592693995454</v>
      </c>
      <c r="J923" s="40">
        <f t="shared" si="44"/>
        <v>78.262205299710658</v>
      </c>
      <c r="K923" s="38" t="str">
        <f>IF(OR(A923&gt;180,'1.설계입력'!$C$39&gt;=1),"",'1.설계입력'!$C$34*(1-SIN(B923)/SQRT(1+'1.설계입력'!$C$39^2-2*'1.설계입력'!$C$39*COS(B923)))-'1.설계입력'!$C$33*(1-'1.설계입력'!$C$39*COS(B923)-SQRT(MAX(0,1-'1.설계입력'!$C$39^2))*SIN(B923))/SQRT(1+'1.설계입력'!$C$39^2-2*'1.설계입력'!$C$39*COS(B923)))</f>
        <v/>
      </c>
    </row>
    <row r="924" spans="1:11" x14ac:dyDescent="0.3">
      <c r="A924" s="40">
        <f>A923+'1.설계입력'!$C$12</f>
        <v>183.59999999999812</v>
      </c>
      <c r="B924" s="40">
        <f t="shared" si="42"/>
        <v>3.2044245066615562</v>
      </c>
      <c r="C924" s="40">
        <f>ATAN2('1.설계입력'!$C$6/('1.설계입력'!$C$8*'1.설계입력'!$C$15)-COS((1-'1.설계입력'!$C$15)*B924),SIN((1-'1.설계입력'!$C$15)*B924))</f>
        <v>0.81884168922112244</v>
      </c>
      <c r="D924" s="40">
        <f>'1.설계입력'!$C$6*COS(B924)-'1.설계입력'!$C$7*COS(B924+C924)-'1.설계입력'!$C$8*COS('1.설계입력'!$C$15*B924)</f>
        <v>-78.081224685790318</v>
      </c>
      <c r="E924" s="40">
        <f>-'1.설계입력'!$C$6*SIN(B924)+'1.설계입력'!$C$7*SIN(B924+C924)+'1.설계입력'!$C$8*SIN('1.설계입력'!$C$15*B924)</f>
        <v>2.9432840859725697</v>
      </c>
      <c r="F924" s="40">
        <f>ATAN2(('1.설계입력'!$C$6+'1.설계입력'!$C$33)/('1.설계입력'!$C$8*'1.설계입력'!$C$15)-COS((1-'1.설계입력'!$C$15)*B924),SIN((1-'1.설계입력'!$C$15)*B924))</f>
        <v>0.8188849274355986</v>
      </c>
      <c r="G924" s="40">
        <f>('1.설계입력'!$C$6+'1.설계입력'!$C$33)*COS(B924)-('1.설계입력'!$C$7+'1.설계입력'!$C$34)*COS(B924+F924)-'1.설계입력'!$C$8*COS('1.설계입력'!$C$15*B924)</f>
        <v>-78.07311409220128</v>
      </c>
      <c r="H924" s="40">
        <f>-('1.설계입력'!$C$6+'1.설계입력'!$C$33)*SIN(B924)+('1.설계입력'!$C$7+'1.설계입력'!$C$34)*SIN(B924+F924)+'1.설계입력'!$C$8*SIN('1.설계입력'!$C$15*B924)</f>
        <v>2.9367276284876649</v>
      </c>
      <c r="I924" s="40">
        <f t="shared" si="43"/>
        <v>78.1366787727992</v>
      </c>
      <c r="J924" s="40">
        <f t="shared" si="44"/>
        <v>78.128327213743674</v>
      </c>
      <c r="K924" s="38" t="str">
        <f>IF(OR(A924&gt;180,'1.설계입력'!$C$39&gt;=1),"",'1.설계입력'!$C$34*(1-SIN(B924)/SQRT(1+'1.설계입력'!$C$39^2-2*'1.설계입력'!$C$39*COS(B924)))-'1.설계입력'!$C$33*(1-'1.설계입력'!$C$39*COS(B924)-SQRT(MAX(0,1-'1.설계입력'!$C$39^2))*SIN(B924))/SQRT(1+'1.설계입력'!$C$39^2-2*'1.설계입력'!$C$39*COS(B924)))</f>
        <v/>
      </c>
    </row>
    <row r="925" spans="1:11" x14ac:dyDescent="0.3">
      <c r="A925" s="40">
        <f>A924+'1.설계입력'!$C$12</f>
        <v>183.79999999999811</v>
      </c>
      <c r="B925" s="40">
        <f t="shared" si="42"/>
        <v>3.2079151651655446</v>
      </c>
      <c r="C925" s="40">
        <f>ATAN2('1.설계입력'!$C$6/('1.설계입력'!$C$8*'1.설계입력'!$C$15)-COS((1-'1.설계입력'!$C$15)*B925),SIN((1-'1.설계입력'!$C$15)*B925))</f>
        <v>0.79515308191546719</v>
      </c>
      <c r="D925" s="40">
        <f>'1.설계입력'!$C$6*COS(B925)-'1.설계입력'!$C$7*COS(B925+C925)-'1.설계입력'!$C$8*COS('1.설계입력'!$C$15*B925)</f>
        <v>-77.890025047797124</v>
      </c>
      <c r="E925" s="40">
        <f>-'1.설계입력'!$C$6*SIN(B925)+'1.설계입력'!$C$7*SIN(B925+C925)+'1.설계입력'!$C$8*SIN('1.설계입력'!$C$15*B925)</f>
        <v>3.1034492970845333</v>
      </c>
      <c r="F925" s="40">
        <f>ATAN2(('1.설계입력'!$C$6+'1.설계입력'!$C$33)/('1.설계입력'!$C$8*'1.설계입력'!$C$15)-COS((1-'1.설계입력'!$C$15)*B925),SIN((1-'1.설계입력'!$C$15)*B925))</f>
        <v>0.79520306446933076</v>
      </c>
      <c r="G925" s="40">
        <f>('1.설계입력'!$C$6+'1.설계입력'!$C$33)*COS(B925)-('1.설계입력'!$C$7+'1.설계입력'!$C$34)*COS(B925+F925)-'1.설계입력'!$C$8*COS('1.설계입력'!$C$15*B925)</f>
        <v>-77.881808201881199</v>
      </c>
      <c r="H925" s="40">
        <f>-('1.설계입력'!$C$6+'1.설계입력'!$C$33)*SIN(B925)+('1.설계입력'!$C$7+'1.설계입력'!$C$34)*SIN(B925+F925)+'1.설계입력'!$C$8*SIN('1.설계입력'!$C$15*B925)</f>
        <v>3.0969670536474889</v>
      </c>
      <c r="I925" s="40">
        <f t="shared" si="43"/>
        <v>77.95182742877833</v>
      </c>
      <c r="J925" s="40">
        <f t="shared" si="44"/>
        <v>77.943359266367196</v>
      </c>
      <c r="K925" s="38" t="str">
        <f>IF(OR(A925&gt;180,'1.설계입력'!$C$39&gt;=1),"",'1.설계입력'!$C$34*(1-SIN(B925)/SQRT(1+'1.설계입력'!$C$39^2-2*'1.설계입력'!$C$39*COS(B925)))-'1.설계입력'!$C$33*(1-'1.설계입력'!$C$39*COS(B925)-SQRT(MAX(0,1-'1.설계입력'!$C$39^2))*SIN(B925))/SQRT(1+'1.설계입력'!$C$39^2-2*'1.설계입력'!$C$39*COS(B925)))</f>
        <v/>
      </c>
    </row>
    <row r="926" spans="1:11" x14ac:dyDescent="0.3">
      <c r="A926" s="40">
        <f>A925+'1.설계입력'!$C$12</f>
        <v>183.9999999999981</v>
      </c>
      <c r="B926" s="40">
        <f t="shared" si="42"/>
        <v>3.2114058236695331</v>
      </c>
      <c r="C926" s="40">
        <f>ATAN2('1.설계입력'!$C$6/('1.설계입력'!$C$8*'1.설계입력'!$C$15)-COS((1-'1.설계입력'!$C$15)*B926),SIN((1-'1.설계입력'!$C$15)*B926))</f>
        <v>0.73150594024696824</v>
      </c>
      <c r="D926" s="40">
        <f>'1.설계입력'!$C$6*COS(B926)-'1.설계입력'!$C$7*COS(B926+C926)-'1.설계입력'!$C$8*COS('1.설계입력'!$C$15*B926)</f>
        <v>-77.607673863562482</v>
      </c>
      <c r="E926" s="40">
        <f>-'1.설계입력'!$C$6*SIN(B926)+'1.설계입력'!$C$7*SIN(B926+C926)+'1.설계입력'!$C$8*SIN('1.설계입력'!$C$15*B926)</f>
        <v>3.3599630638875349</v>
      </c>
      <c r="F926" s="40">
        <f>ATAN2(('1.설계입력'!$C$6+'1.설계입력'!$C$33)/('1.설계입력'!$C$8*'1.설계입력'!$C$15)-COS((1-'1.설계입력'!$C$15)*B926),SIN((1-'1.설계입력'!$C$15)*B926))</f>
        <v>0.73156262495007351</v>
      </c>
      <c r="G926" s="40">
        <f>('1.설계입력'!$C$6+'1.설계입력'!$C$33)*COS(B926)-('1.설계입력'!$C$7+'1.설계입력'!$C$34)*COS(B926+F926)-'1.설계입력'!$C$8*COS('1.설계입력'!$C$15*B926)</f>
        <v>-77.599108955350474</v>
      </c>
      <c r="H926" s="40">
        <f>-('1.설계입력'!$C$6+'1.설계입력'!$C$33)*SIN(B926)+('1.설계입력'!$C$7+'1.설계입력'!$C$34)*SIN(B926+F926)+'1.설계입력'!$C$8*SIN('1.설계입력'!$C$15*B926)</f>
        <v>3.3537707247846589</v>
      </c>
      <c r="I926" s="40">
        <f t="shared" si="43"/>
        <v>77.680373288905912</v>
      </c>
      <c r="J926" s="40">
        <f t="shared" si="44"/>
        <v>77.671548772628299</v>
      </c>
      <c r="K926" s="38" t="str">
        <f>IF(OR(A926&gt;180,'1.설계입력'!$C$39&gt;=1),"",'1.설계입력'!$C$34*(1-SIN(B926)/SQRT(1+'1.설계입력'!$C$39^2-2*'1.설계입력'!$C$39*COS(B926)))-'1.설계입력'!$C$33*(1-'1.설계입력'!$C$39*COS(B926)-SQRT(MAX(0,1-'1.설계입력'!$C$39^2))*SIN(B926))/SQRT(1+'1.설계입력'!$C$39^2-2*'1.설계입력'!$C$39*COS(B926)))</f>
        <v/>
      </c>
    </row>
    <row r="927" spans="1:11" x14ac:dyDescent="0.3">
      <c r="A927" s="40">
        <f>A926+'1.설계입력'!$C$12</f>
        <v>184.19999999999808</v>
      </c>
      <c r="B927" s="40">
        <f t="shared" si="42"/>
        <v>3.2148964821735215</v>
      </c>
      <c r="C927" s="40">
        <f>ATAN2('1.설계입력'!$C$6/('1.설계입력'!$C$8*'1.설계입력'!$C$15)-COS((1-'1.설계입력'!$C$15)*B927),SIN((1-'1.설계입력'!$C$15)*B927))</f>
        <v>0.60163483560596431</v>
      </c>
      <c r="D927" s="40">
        <f>'1.설계입력'!$C$6*COS(B927)-'1.설계입력'!$C$7*COS(B927+C927)-'1.설계입력'!$C$8*COS('1.설계입력'!$C$15*B927)</f>
        <v>-77.189584618316829</v>
      </c>
      <c r="E927" s="40">
        <f>-'1.설계입력'!$C$6*SIN(B927)+'1.설계입력'!$C$7*SIN(B927+C927)+'1.설계입력'!$C$8*SIN('1.설계입력'!$C$15*B927)</f>
        <v>3.8180019796564295</v>
      </c>
      <c r="F927" s="40">
        <f>ATAN2(('1.설계입력'!$C$6+'1.설계입력'!$C$33)/('1.설계입력'!$C$8*'1.설계입력'!$C$15)-COS((1-'1.설계입력'!$C$15)*B927),SIN((1-'1.설계입력'!$C$15)*B927))</f>
        <v>0.60169416592376057</v>
      </c>
      <c r="G927" s="40">
        <f>('1.설계입력'!$C$6+'1.설계입력'!$C$33)*COS(B927)-('1.설계입력'!$C$7+'1.설계입력'!$C$34)*COS(B927+F927)-'1.설계입력'!$C$8*COS('1.설계입력'!$C$15*B927)</f>
        <v>-77.180317502539708</v>
      </c>
      <c r="H927" s="40">
        <f>-('1.설계입력'!$C$6+'1.설계입력'!$C$33)*SIN(B927)+('1.설계입력'!$C$7+'1.설계입력'!$C$34)*SIN(B927+F927)+'1.설계입력'!$C$8*SIN('1.설계입력'!$C$15*B927)</f>
        <v>3.8125280025992869</v>
      </c>
      <c r="I927" s="40">
        <f t="shared" si="43"/>
        <v>77.283951197289042</v>
      </c>
      <c r="J927" s="40">
        <f t="shared" si="44"/>
        <v>77.274425132532954</v>
      </c>
      <c r="K927" s="38" t="str">
        <f>IF(OR(A927&gt;180,'1.설계입력'!$C$39&gt;=1),"",'1.설계입력'!$C$34*(1-SIN(B927)/SQRT(1+'1.설계입력'!$C$39^2-2*'1.설계입력'!$C$39*COS(B927)))-'1.설계입력'!$C$33*(1-'1.설계입력'!$C$39*COS(B927)-SQRT(MAX(0,1-'1.설계입력'!$C$39^2))*SIN(B927))/SQRT(1+'1.설계입력'!$C$39^2-2*'1.설계입력'!$C$39*COS(B927)))</f>
        <v/>
      </c>
    </row>
    <row r="928" spans="1:11" x14ac:dyDescent="0.3">
      <c r="A928" s="40">
        <f>A927+'1.설계입력'!$C$12</f>
        <v>184.39999999999807</v>
      </c>
      <c r="B928" s="40">
        <f t="shared" si="42"/>
        <v>3.21838714067751</v>
      </c>
      <c r="C928" s="40">
        <f>ATAN2('1.설계입력'!$C$6/('1.설계입력'!$C$8*'1.설계입력'!$C$15)-COS((1-'1.설계입력'!$C$15)*B928),SIN((1-'1.설계입력'!$C$15)*B928))</f>
        <v>0.36932190355695155</v>
      </c>
      <c r="D928" s="40">
        <f>'1.설계입력'!$C$6*COS(B928)-'1.설계입력'!$C$7*COS(B928+C928)-'1.설계입력'!$C$8*COS('1.설계입력'!$C$15*B928)</f>
        <v>-76.653461431734016</v>
      </c>
      <c r="E928" s="40">
        <f>-'1.설계입력'!$C$6*SIN(B928)+'1.설계입력'!$C$7*SIN(B928+C928)+'1.설계입력'!$C$8*SIN('1.설계입력'!$C$15*B928)</f>
        <v>4.6697339052210758</v>
      </c>
      <c r="F928" s="40">
        <f>ATAN2(('1.설계입력'!$C$6+'1.설계입력'!$C$33)/('1.설계입력'!$C$8*'1.설계입력'!$C$15)-COS((1-'1.설계입력'!$C$15)*B928),SIN((1-'1.설계입력'!$C$15)*B928))</f>
        <v>0.36936799669011305</v>
      </c>
      <c r="G928" s="40">
        <f>('1.설계입력'!$C$6+'1.설계입력'!$C$33)*COS(B928)-('1.설계입력'!$C$7+'1.설계입력'!$C$34)*COS(B928+F928)-'1.설계입력'!$C$8*COS('1.설계입력'!$C$15*B928)</f>
        <v>-76.643143034173264</v>
      </c>
      <c r="H928" s="40">
        <f>-('1.설계입력'!$C$6+'1.설계입력'!$C$33)*SIN(B928)+('1.설계입력'!$C$7+'1.설계입력'!$C$34)*SIN(B928+F928)+'1.설계입력'!$C$8*SIN('1.설계입력'!$C$15*B928)</f>
        <v>4.6658345445968417</v>
      </c>
      <c r="I928" s="40">
        <f t="shared" si="43"/>
        <v>76.79556995173553</v>
      </c>
      <c r="J928" s="40">
        <f t="shared" si="44"/>
        <v>76.785033607821617</v>
      </c>
      <c r="K928" s="38" t="str">
        <f>IF(OR(A928&gt;180,'1.설계입력'!$C$39&gt;=1),"",'1.설계입력'!$C$34*(1-SIN(B928)/SQRT(1+'1.설계입력'!$C$39^2-2*'1.설계입력'!$C$39*COS(B928)))-'1.설계입력'!$C$33*(1-'1.설계입력'!$C$39*COS(B928)-SQRT(MAX(0,1-'1.설계입력'!$C$39^2))*SIN(B928))/SQRT(1+'1.설계입력'!$C$39^2-2*'1.설계입력'!$C$39*COS(B928)))</f>
        <v/>
      </c>
    </row>
    <row r="929" spans="1:11" x14ac:dyDescent="0.3">
      <c r="A929" s="40">
        <f>A928+'1.설계입력'!$C$12</f>
        <v>184.59999999999806</v>
      </c>
      <c r="B929" s="40">
        <f t="shared" si="42"/>
        <v>3.2218777991814984</v>
      </c>
      <c r="C929" s="40">
        <f>ATAN2('1.설계입력'!$C$6/('1.설계입력'!$C$8*'1.설계입력'!$C$15)-COS((1-'1.설계입력'!$C$15)*B929),SIN((1-'1.설계입력'!$C$15)*B929))</f>
        <v>2.8547383693123474E-2</v>
      </c>
      <c r="D929" s="40">
        <f>'1.설계입력'!$C$6*COS(B929)-'1.설계입력'!$C$7*COS(B929+C929)-'1.설계입력'!$C$8*COS('1.설계입력'!$C$15*B929)</f>
        <v>-76.263187624006619</v>
      </c>
      <c r="E929" s="40">
        <f>-'1.설계입력'!$C$6*SIN(B929)+'1.설계입력'!$C$7*SIN(B929+C929)+'1.설계입력'!$C$8*SIN('1.설계입력'!$C$15*B929)</f>
        <v>6.0372058377454678</v>
      </c>
      <c r="F929" s="40">
        <f>ATAN2(('1.설계입력'!$C$6+'1.설계입력'!$C$33)/('1.설계입력'!$C$8*'1.설계입력'!$C$15)-COS((1-'1.설계입력'!$C$15)*B929),SIN((1-'1.설계입력'!$C$15)*B929))</f>
        <v>2.8551404058731113E-2</v>
      </c>
      <c r="G929" s="40">
        <f>('1.설계입력'!$C$6+'1.설계입력'!$C$33)*COS(B929)-('1.설계입력'!$C$7+'1.설계입력'!$C$34)*COS(B929+F929)-'1.설계입력'!$C$8*COS('1.설계입력'!$C$15*B929)</f>
        <v>-76.252047282759619</v>
      </c>
      <c r="H929" s="40">
        <f>-('1.설계입력'!$C$6+'1.설계입력'!$C$33)*SIN(B929)+('1.설계입력'!$C$7+'1.설계입력'!$C$34)*SIN(B929+F929)+'1.설계입력'!$C$8*SIN('1.설계입력'!$C$15*B929)</f>
        <v>6.0360613981190987</v>
      </c>
      <c r="I929" s="40">
        <f t="shared" si="43"/>
        <v>76.501775410128516</v>
      </c>
      <c r="J929" s="40">
        <f t="shared" si="44"/>
        <v>76.490579498485118</v>
      </c>
      <c r="K929" s="38" t="str">
        <f>IF(OR(A929&gt;180,'1.설계입력'!$C$39&gt;=1),"",'1.설계입력'!$C$34*(1-SIN(B929)/SQRT(1+'1.설계입력'!$C$39^2-2*'1.설계입력'!$C$39*COS(B929)))-'1.설계입력'!$C$33*(1-'1.설계입력'!$C$39*COS(B929)-SQRT(MAX(0,1-'1.설계입력'!$C$39^2))*SIN(B929))/SQRT(1+'1.설계입력'!$C$39^2-2*'1.설계입력'!$C$39*COS(B929)))</f>
        <v/>
      </c>
    </row>
    <row r="930" spans="1:11" x14ac:dyDescent="0.3">
      <c r="A930" s="40">
        <f>A929+'1.설계입력'!$C$12</f>
        <v>184.79999999999805</v>
      </c>
      <c r="B930" s="40">
        <f t="shared" si="42"/>
        <v>3.2253684576854869</v>
      </c>
      <c r="C930" s="40">
        <f>ATAN2('1.설계입력'!$C$6/('1.설계입력'!$C$8*'1.설계입력'!$C$15)-COS((1-'1.설계입력'!$C$15)*B930),SIN((1-'1.설계입력'!$C$15)*B930))</f>
        <v>-0.3229096795276854</v>
      </c>
      <c r="D930" s="40">
        <f>'1.설계입력'!$C$6*COS(B930)-'1.설계입력'!$C$7*COS(B930+C930)-'1.설계입력'!$C$8*COS('1.설계입력'!$C$15*B930)</f>
        <v>-76.359019095055345</v>
      </c>
      <c r="E930" s="40">
        <f>-'1.설계입력'!$C$6*SIN(B930)+'1.설계입력'!$C$7*SIN(B930+C930)+'1.설계입력'!$C$8*SIN('1.설계입력'!$C$15*B930)</f>
        <v>7.4971605677807327</v>
      </c>
      <c r="F930" s="40">
        <f>ATAN2(('1.설계입력'!$C$6+'1.설계입력'!$C$33)/('1.설계입력'!$C$8*'1.설계입력'!$C$15)-COS((1-'1.설계입력'!$C$15)*B930),SIN((1-'1.설계입력'!$C$15)*B930))</f>
        <v>-0.32295119525641902</v>
      </c>
      <c r="G930" s="40">
        <f>('1.설계입력'!$C$6+'1.설계입력'!$C$33)*COS(B930)-('1.설계입력'!$C$7+'1.설계입력'!$C$34)*COS(B930+F930)-'1.설계입력'!$C$8*COS('1.설계입력'!$C$15*B930)</f>
        <v>-76.348099881792422</v>
      </c>
      <c r="H930" s="40">
        <f>-('1.설계입력'!$C$6+'1.설계입력'!$C$33)*SIN(B930)+('1.설계입력'!$C$7+'1.설계입력'!$C$34)*SIN(B930+F930)+'1.설계입력'!$C$8*SIN('1.설계입력'!$C$15*B930)</f>
        <v>7.4989814057256545</v>
      </c>
      <c r="I930" s="40">
        <f t="shared" si="43"/>
        <v>76.726183364859963</v>
      </c>
      <c r="J930" s="40">
        <f t="shared" si="44"/>
        <v>76.71549437814744</v>
      </c>
      <c r="K930" s="38" t="str">
        <f>IF(OR(A930&gt;180,'1.설계입력'!$C$39&gt;=1),"",'1.설계입력'!$C$34*(1-SIN(B930)/SQRT(1+'1.설계입력'!$C$39^2-2*'1.설계입력'!$C$39*COS(B930)))-'1.설계입력'!$C$33*(1-'1.설계입력'!$C$39*COS(B930)-SQRT(MAX(0,1-'1.설계입력'!$C$39^2))*SIN(B930))/SQRT(1+'1.설계입력'!$C$39^2-2*'1.설계입력'!$C$39*COS(B930)))</f>
        <v/>
      </c>
    </row>
    <row r="931" spans="1:11" x14ac:dyDescent="0.3">
      <c r="A931" s="40">
        <f>A930+'1.설계입력'!$C$12</f>
        <v>184.99999999999804</v>
      </c>
      <c r="B931" s="40">
        <f t="shared" si="42"/>
        <v>3.2288591161894753</v>
      </c>
      <c r="C931" s="40">
        <f>ATAN2('1.설계입력'!$C$6/('1.설계입력'!$C$8*'1.설계입력'!$C$15)-COS((1-'1.설계입력'!$C$15)*B931),SIN((1-'1.설계입력'!$C$15)*B931))</f>
        <v>-0.57345329675510526</v>
      </c>
      <c r="D931" s="40">
        <f>'1.설계입력'!$C$6*COS(B931)-'1.설계입력'!$C$7*COS(B931+C931)-'1.설계입력'!$C$8*COS('1.설계입력'!$C$15*B931)</f>
        <v>-76.741942255670551</v>
      </c>
      <c r="E931" s="40">
        <f>-'1.설계입력'!$C$6*SIN(B931)+'1.설계입력'!$C$7*SIN(B931+C931)+'1.설계입력'!$C$8*SIN('1.설계입력'!$C$15*B931)</f>
        <v>8.5027726635325145</v>
      </c>
      <c r="F931" s="40">
        <f>ATAN2(('1.설계입력'!$C$6+'1.설계입력'!$C$33)/('1.설계입력'!$C$8*'1.설계입력'!$C$15)-COS((1-'1.설계입력'!$C$15)*B931),SIN((1-'1.설계입력'!$C$15)*B931))</f>
        <v>-0.57351206072164929</v>
      </c>
      <c r="G931" s="40">
        <f>('1.설계입력'!$C$6+'1.설계입력'!$C$33)*COS(B931)-('1.설계입력'!$C$7+'1.설계입력'!$C$34)*COS(B931+F931)-'1.설계입력'!$C$8*COS('1.설계입력'!$C$15*B931)</f>
        <v>-76.731802732151706</v>
      </c>
      <c r="H931" s="40">
        <f>-('1.설계입력'!$C$6+'1.설계입력'!$C$33)*SIN(B931)+('1.설계입력'!$C$7+'1.설계입력'!$C$34)*SIN(B931+F931)+'1.설계입력'!$C$8*SIN('1.설계입력'!$C$15*B931)</f>
        <v>8.5064955059039224</v>
      </c>
      <c r="I931" s="40">
        <f t="shared" si="43"/>
        <v>77.211546054592048</v>
      </c>
      <c r="J931" s="40">
        <f t="shared" si="44"/>
        <v>77.20187832117692</v>
      </c>
      <c r="K931" s="38" t="str">
        <f>IF(OR(A931&gt;180,'1.설계입력'!$C$39&gt;=1),"",'1.설계입력'!$C$34*(1-SIN(B931)/SQRT(1+'1.설계입력'!$C$39^2-2*'1.설계입력'!$C$39*COS(B931)))-'1.설계입력'!$C$33*(1-'1.설계입력'!$C$39*COS(B931)-SQRT(MAX(0,1-'1.설계입력'!$C$39^2))*SIN(B931))/SQRT(1+'1.설계입력'!$C$39^2-2*'1.설계입력'!$C$39*COS(B931)))</f>
        <v/>
      </c>
    </row>
    <row r="932" spans="1:11" x14ac:dyDescent="0.3">
      <c r="A932" s="40">
        <f>A931+'1.설계입력'!$C$12</f>
        <v>185.19999999999803</v>
      </c>
      <c r="B932" s="40">
        <f t="shared" si="42"/>
        <v>3.2323497746934637</v>
      </c>
      <c r="C932" s="40">
        <f>ATAN2('1.설계입력'!$C$6/('1.설계입력'!$C$8*'1.설계입력'!$C$15)-COS((1-'1.설계입력'!$C$15)*B932),SIN((1-'1.설계입력'!$C$15)*B932))</f>
        <v>-0.71667726274629573</v>
      </c>
      <c r="D932" s="40">
        <f>'1.설계입력'!$C$6*COS(B932)-'1.설계입력'!$C$7*COS(B932+C932)-'1.설계입력'!$C$8*COS('1.설계입력'!$C$15*B932)</f>
        <v>-77.096401681580005</v>
      </c>
      <c r="E932" s="40">
        <f>-'1.설계입력'!$C$6*SIN(B932)+'1.설계입력'!$C$7*SIN(B932+C932)+'1.설계입력'!$C$8*SIN('1.설계입력'!$C$15*B932)</f>
        <v>9.0710371363687834</v>
      </c>
      <c r="F932" s="40">
        <f>ATAN2(('1.설계입력'!$C$6+'1.설계입력'!$C$33)/('1.설계입력'!$C$8*'1.설계입력'!$C$15)-COS((1-'1.설계입력'!$C$15)*B932),SIN((1-'1.설계입력'!$C$15)*B932))</f>
        <v>-0.71673479693203568</v>
      </c>
      <c r="G932" s="40">
        <f>('1.설계입력'!$C$6+'1.설계입력'!$C$33)*COS(B932)-('1.설계입력'!$C$7+'1.설계입력'!$C$34)*COS(B932+F932)-'1.설계입력'!$C$8*COS('1.설계입력'!$C$15*B932)</f>
        <v>-77.086885104719357</v>
      </c>
      <c r="H932" s="40">
        <f>-('1.설계입력'!$C$6+'1.설계입력'!$C$33)*SIN(B932)+('1.설계입력'!$C$7+'1.설계입력'!$C$34)*SIN(B932+F932)+'1.설계입력'!$C$8*SIN('1.설계입력'!$C$15*B932)</f>
        <v>9.0756883877272934</v>
      </c>
      <c r="I932" s="40">
        <f t="shared" si="43"/>
        <v>77.628209221757217</v>
      </c>
      <c r="J932" s="40">
        <f t="shared" si="44"/>
        <v>77.619301561269737</v>
      </c>
      <c r="K932" s="38" t="str">
        <f>IF(OR(A932&gt;180,'1.설계입력'!$C$39&gt;=1),"",'1.설계입력'!$C$34*(1-SIN(B932)/SQRT(1+'1.설계입력'!$C$39^2-2*'1.설계입력'!$C$39*COS(B932)))-'1.설계입력'!$C$33*(1-'1.설계입력'!$C$39*COS(B932)-SQRT(MAX(0,1-'1.설계입력'!$C$39^2))*SIN(B932))/SQRT(1+'1.설계입력'!$C$39^2-2*'1.설계입력'!$C$39*COS(B932)))</f>
        <v/>
      </c>
    </row>
    <row r="933" spans="1:11" x14ac:dyDescent="0.3">
      <c r="A933" s="40">
        <f>A932+'1.설계입력'!$C$12</f>
        <v>185.39999999999802</v>
      </c>
      <c r="B933" s="40">
        <f t="shared" si="42"/>
        <v>3.2358404331974522</v>
      </c>
      <c r="C933" s="40">
        <f>ATAN2('1.설계입력'!$C$6/('1.설계입력'!$C$8*'1.설계입력'!$C$15)-COS((1-'1.설계입력'!$C$15)*B933),SIN((1-'1.설계입력'!$C$15)*B933))</f>
        <v>-0.78846897179899333</v>
      </c>
      <c r="D933" s="40">
        <f>'1.설계입력'!$C$6*COS(B933)-'1.설계입력'!$C$7*COS(B933+C933)-'1.설계입력'!$C$8*COS('1.설계입력'!$C$15*B933)</f>
        <v>-77.348346781912113</v>
      </c>
      <c r="E933" s="40">
        <f>-'1.설계입력'!$C$6*SIN(B933)+'1.설계입력'!$C$7*SIN(B933+C933)+'1.설계입력'!$C$8*SIN('1.설계입력'!$C$15*B933)</f>
        <v>9.3943521303222823</v>
      </c>
      <c r="F933" s="40">
        <f>ATAN2(('1.설계입력'!$C$6+'1.설계입력'!$C$33)/('1.설계입력'!$C$8*'1.설계입력'!$C$15)-COS((1-'1.설계입력'!$C$15)*B933),SIN((1-'1.설계입력'!$C$15)*B933))</f>
        <v>-0.78852003505053325</v>
      </c>
      <c r="G933" s="40">
        <f>('1.설계입력'!$C$6+'1.설계입력'!$C$33)*COS(B933)-('1.설계입력'!$C$7+'1.설계입력'!$C$34)*COS(B933+F933)-'1.설계입력'!$C$8*COS('1.설계입력'!$C$15*B933)</f>
        <v>-77.33916621402733</v>
      </c>
      <c r="H933" s="40">
        <f>-('1.설계입력'!$C$6+'1.설계입력'!$C$33)*SIN(B933)+('1.설계입력'!$C$7+'1.설계입력'!$C$34)*SIN(B933+F933)+'1.설계입력'!$C$8*SIN('1.설계입력'!$C$15*B933)</f>
        <v>9.3993999635300813</v>
      </c>
      <c r="I933" s="40">
        <f t="shared" si="43"/>
        <v>77.91675430768035</v>
      </c>
      <c r="J933" s="40">
        <f t="shared" si="44"/>
        <v>77.908249565468708</v>
      </c>
      <c r="K933" s="38" t="str">
        <f>IF(OR(A933&gt;180,'1.설계입력'!$C$39&gt;=1),"",'1.설계입력'!$C$34*(1-SIN(B933)/SQRT(1+'1.설계입력'!$C$39^2-2*'1.설계입력'!$C$39*COS(B933)))-'1.설계입력'!$C$33*(1-'1.설계입력'!$C$39*COS(B933)-SQRT(MAX(0,1-'1.설계입력'!$C$39^2))*SIN(B933))/SQRT(1+'1.설계입력'!$C$39^2-2*'1.설계입력'!$C$39*COS(B933)))</f>
        <v/>
      </c>
    </row>
    <row r="934" spans="1:11" x14ac:dyDescent="0.3">
      <c r="A934" s="40">
        <f>A933+'1.설계입력'!$C$12</f>
        <v>185.599999999998</v>
      </c>
      <c r="B934" s="40">
        <f t="shared" si="42"/>
        <v>3.2393310917014406</v>
      </c>
      <c r="C934" s="40">
        <f>ATAN2('1.설계입력'!$C$6/('1.설계입력'!$C$8*'1.설계입력'!$C$15)-COS((1-'1.설계입력'!$C$15)*B934),SIN((1-'1.설계입력'!$C$15)*B934))</f>
        <v>-0.81709081659032001</v>
      </c>
      <c r="D934" s="40">
        <f>'1.설계입력'!$C$6*COS(B934)-'1.설계입력'!$C$7*COS(B934+C934)-'1.설계입력'!$C$8*COS('1.설계입력'!$C$15*B934)</f>
        <v>-77.520706685374321</v>
      </c>
      <c r="E934" s="40">
        <f>-'1.설계입력'!$C$6*SIN(B934)+'1.설계입력'!$C$7*SIN(B934+C934)+'1.설계입력'!$C$8*SIN('1.설계입력'!$C$15*B934)</f>
        <v>9.5954008171924325</v>
      </c>
      <c r="F934" s="40">
        <f>ATAN2(('1.설계입력'!$C$6+'1.설계입력'!$C$33)/('1.설계입력'!$C$8*'1.설계입력'!$C$15)-COS((1-'1.설계입력'!$C$15)*B934),SIN((1-'1.설계입력'!$C$15)*B934))</f>
        <v>-0.8171350425086914</v>
      </c>
      <c r="G934" s="40">
        <f>('1.설계입력'!$C$6+'1.설계입력'!$C$33)*COS(B934)-('1.설계입력'!$C$7+'1.설계입력'!$C$34)*COS(B934+F934)-'1.설계입력'!$C$8*COS('1.설계입력'!$C$15*B934)</f>
        <v>-77.511645196748646</v>
      </c>
      <c r="H934" s="40">
        <f>-('1.설계입력'!$C$6+'1.설계입력'!$C$33)*SIN(B934)+('1.설계입력'!$C$7+'1.설계입력'!$C$34)*SIN(B934+F934)+'1.설계입력'!$C$8*SIN('1.설계입력'!$C$15*B934)</f>
        <v>9.6005687207535324</v>
      </c>
      <c r="I934" s="40">
        <f t="shared" si="43"/>
        <v>78.11230173181697</v>
      </c>
      <c r="J934" s="40">
        <f t="shared" si="44"/>
        <v>78.103943952072981</v>
      </c>
      <c r="K934" s="38" t="str">
        <f>IF(OR(A934&gt;180,'1.설계입력'!$C$39&gt;=1),"",'1.설계입력'!$C$34*(1-SIN(B934)/SQRT(1+'1.설계입력'!$C$39^2-2*'1.설계입력'!$C$39*COS(B934)))-'1.설계입력'!$C$33*(1-'1.설계입력'!$C$39*COS(B934)-SQRT(MAX(0,1-'1.설계입력'!$C$39^2))*SIN(B934))/SQRT(1+'1.설계입력'!$C$39^2-2*'1.설계입력'!$C$39*COS(B934)))</f>
        <v/>
      </c>
    </row>
    <row r="935" spans="1:11" x14ac:dyDescent="0.3">
      <c r="A935" s="40">
        <f>A934+'1.설계입력'!$C$12</f>
        <v>185.79999999999799</v>
      </c>
      <c r="B935" s="40">
        <f t="shared" si="42"/>
        <v>3.2428217502054291</v>
      </c>
      <c r="C935" s="40">
        <f>ATAN2('1.설계입력'!$C$6/('1.설계입력'!$C$8*'1.설계입력'!$C$15)-COS((1-'1.설계입력'!$C$15)*B935),SIN((1-'1.설계입력'!$C$15)*B935))</f>
        <v>-0.81921559339871786</v>
      </c>
      <c r="D935" s="40">
        <f>'1.설계입력'!$C$6*COS(B935)-'1.설계입력'!$C$7*COS(B935+C935)-'1.설계입력'!$C$8*COS('1.설계입력'!$C$15*B935)</f>
        <v>-77.6441984012951</v>
      </c>
      <c r="E935" s="40">
        <f>-'1.설계입력'!$C$6*SIN(B935)+'1.설계입력'!$C$7*SIN(B935+C935)+'1.설계입력'!$C$8*SIN('1.설계입력'!$C$15*B935)</f>
        <v>9.7360785310042051</v>
      </c>
      <c r="F935" s="40">
        <f>ATAN2(('1.설계입력'!$C$6+'1.설계입력'!$C$33)/('1.설계입력'!$C$8*'1.설계입력'!$C$15)-COS((1-'1.설계입력'!$C$15)*B935),SIN((1-'1.설계입력'!$C$15)*B935))</f>
        <v>-0.81925380583994056</v>
      </c>
      <c r="G935" s="40">
        <f>('1.설계입력'!$C$6+'1.설계입력'!$C$33)*COS(B935)-('1.설계입력'!$C$7+'1.설계입력'!$C$34)*COS(B935+F935)-'1.설계입력'!$C$8*COS('1.설계입력'!$C$15*B935)</f>
        <v>-77.635114663928377</v>
      </c>
      <c r="H935" s="40">
        <f>-('1.설계입력'!$C$6+'1.설계입력'!$C$33)*SIN(B935)+('1.설계입력'!$C$7+'1.설계입력'!$C$34)*SIN(B935+F935)+'1.설계입력'!$C$8*SIN('1.설계입력'!$C$15*B935)</f>
        <v>9.7412093472402859</v>
      </c>
      <c r="I935" s="40">
        <f t="shared" si="43"/>
        <v>78.252238118417793</v>
      </c>
      <c r="J935" s="40">
        <f t="shared" si="44"/>
        <v>78.243863583210583</v>
      </c>
      <c r="K935" s="38" t="str">
        <f>IF(OR(A935&gt;180,'1.설계입력'!$C$39&gt;=1),"",'1.설계입력'!$C$34*(1-SIN(B935)/SQRT(1+'1.설계입력'!$C$39^2-2*'1.설계입력'!$C$39*COS(B935)))-'1.설계입력'!$C$33*(1-'1.설계입력'!$C$39*COS(B935)-SQRT(MAX(0,1-'1.설계입력'!$C$39^2))*SIN(B935))/SQRT(1+'1.설계입력'!$C$39^2-2*'1.설계입력'!$C$39*COS(B935)))</f>
        <v/>
      </c>
    </row>
    <row r="936" spans="1:11" x14ac:dyDescent="0.3">
      <c r="A936" s="40">
        <f>A935+'1.설계입력'!$C$12</f>
        <v>185.99999999999798</v>
      </c>
      <c r="B936" s="40">
        <f t="shared" si="42"/>
        <v>3.246312408709418</v>
      </c>
      <c r="C936" s="40">
        <f>ATAN2('1.설계입력'!$C$6/('1.설계입력'!$C$8*'1.설계입력'!$C$15)-COS((1-'1.설계입력'!$C$15)*B936),SIN((1-'1.설계입력'!$C$15)*B936))</f>
        <v>-0.80437416500325409</v>
      </c>
      <c r="D936" s="40">
        <f>'1.설계입력'!$C$6*COS(B936)-'1.설계입력'!$C$7*COS(B936+C936)-'1.설계입력'!$C$8*COS('1.설계입력'!$C$15*B936)</f>
        <v>-77.740536312708727</v>
      </c>
      <c r="E936" s="40">
        <f>-'1.설계입력'!$C$6*SIN(B936)+'1.설계입력'!$C$7*SIN(B936+C936)+'1.설계입력'!$C$8*SIN('1.설계입력'!$C$15*B936)</f>
        <v>9.8481091897577997</v>
      </c>
      <c r="F936" s="40">
        <f>ATAN2(('1.설계입력'!$C$6+'1.설계입력'!$C$33)/('1.설계입력'!$C$8*'1.설계입력'!$C$15)-COS((1-'1.설계입력'!$C$15)*B936),SIN((1-'1.설계입력'!$C$15)*B936))</f>
        <v>-0.80440730940013316</v>
      </c>
      <c r="G936" s="40">
        <f>('1.설계입력'!$C$6+'1.설계입력'!$C$33)*COS(B936)-('1.설계입력'!$C$7+'1.설계입력'!$C$34)*COS(B936+F936)-'1.설계입력'!$C$8*COS('1.설계입력'!$C$15*B936)</f>
        <v>-77.731341818485191</v>
      </c>
      <c r="H936" s="40">
        <f>-('1.설계입력'!$C$6+'1.설계입력'!$C$33)*SIN(B936)+('1.설계입력'!$C$7+'1.설계입력'!$C$34)*SIN(B936+F936)+'1.설계입력'!$C$8*SIN('1.설계입력'!$C$15*B936)</f>
        <v>9.8531028078906768</v>
      </c>
      <c r="I936" s="40">
        <f t="shared" si="43"/>
        <v>78.361828978150939</v>
      </c>
      <c r="J936" s="40">
        <f t="shared" si="44"/>
        <v>78.353335192862389</v>
      </c>
      <c r="K936" s="38" t="str">
        <f>IF(OR(A936&gt;180,'1.설계입력'!$C$39&gt;=1),"",'1.설계입력'!$C$34*(1-SIN(B936)/SQRT(1+'1.설계입력'!$C$39^2-2*'1.설계입력'!$C$39*COS(B936)))-'1.설계입력'!$C$33*(1-'1.설계입력'!$C$39*COS(B936)-SQRT(MAX(0,1-'1.설계입력'!$C$39^2))*SIN(B936))/SQRT(1+'1.설계입력'!$C$39^2-2*'1.설계입력'!$C$39*COS(B936)))</f>
        <v/>
      </c>
    </row>
    <row r="937" spans="1:11" x14ac:dyDescent="0.3">
      <c r="A937" s="40">
        <f>A936+'1.설계입력'!$C$12</f>
        <v>186.19999999999797</v>
      </c>
      <c r="B937" s="40">
        <f t="shared" si="42"/>
        <v>3.2498030672134064</v>
      </c>
      <c r="C937" s="40">
        <f>ATAN2('1.설계입력'!$C$6/('1.설계입력'!$C$8*'1.설계입력'!$C$15)-COS((1-'1.설계입력'!$C$15)*B937),SIN((1-'1.설계입력'!$C$15)*B937))</f>
        <v>-0.77818171208898057</v>
      </c>
      <c r="D937" s="40">
        <f>'1.설계입력'!$C$6*COS(B937)-'1.설계입력'!$C$7*COS(B937+C937)-'1.설계입력'!$C$8*COS('1.설계입력'!$C$15*B937)</f>
        <v>-77.823111200369084</v>
      </c>
      <c r="E937" s="40">
        <f>-'1.설계입력'!$C$6*SIN(B937)+'1.설계입력'!$C$7*SIN(B937+C937)+'1.설계입력'!$C$8*SIN('1.설계입력'!$C$15*B937)</f>
        <v>9.9490253456259943</v>
      </c>
      <c r="F937" s="40">
        <f>ATAN2(('1.설계입력'!$C$6+'1.설계입력'!$C$33)/('1.설계입력'!$C$8*'1.설계입력'!$C$15)-COS((1-'1.설계입력'!$C$15)*B937),SIN((1-'1.설계입력'!$C$15)*B937))</f>
        <v>-0.77821060252675822</v>
      </c>
      <c r="G937" s="40">
        <f>('1.설계입력'!$C$6+'1.설계입력'!$C$33)*COS(B937)-('1.설계입력'!$C$7+'1.설계입력'!$C$34)*COS(B937+F937)-'1.설계입력'!$C$8*COS('1.설계입력'!$C$15*B937)</f>
        <v>-77.813752138774049</v>
      </c>
      <c r="H937" s="40">
        <f>-('1.설계입력'!$C$6+'1.설계입력'!$C$33)*SIN(B937)+('1.설계입력'!$C$7+'1.설계입력'!$C$34)*SIN(B937+F937)+'1.설계입력'!$C$8*SIN('1.설계입력'!$C$15*B937)</f>
        <v>9.9538111161449603</v>
      </c>
      <c r="I937" s="40">
        <f t="shared" si="43"/>
        <v>78.456483111549943</v>
      </c>
      <c r="J937" s="40">
        <f t="shared" si="44"/>
        <v>78.447806710260892</v>
      </c>
      <c r="K937" s="38" t="str">
        <f>IF(OR(A937&gt;180,'1.설계입력'!$C$39&gt;=1),"",'1.설계입력'!$C$34*(1-SIN(B937)/SQRT(1+'1.설계입력'!$C$39^2-2*'1.설계입력'!$C$39*COS(B937)))-'1.설계입력'!$C$33*(1-'1.설계입력'!$C$39*COS(B937)-SQRT(MAX(0,1-'1.설계입력'!$C$39^2))*SIN(B937))/SQRT(1+'1.설계입력'!$C$39^2-2*'1.설계입력'!$C$39*COS(B937)))</f>
        <v/>
      </c>
    </row>
    <row r="938" spans="1:11" x14ac:dyDescent="0.3">
      <c r="A938" s="40">
        <f>A937+'1.설계입력'!$C$12</f>
        <v>186.39999999999796</v>
      </c>
      <c r="B938" s="40">
        <f t="shared" si="42"/>
        <v>3.2532937257173948</v>
      </c>
      <c r="C938" s="40">
        <f>ATAN2('1.설계입력'!$C$6/('1.설계입력'!$C$8*'1.설계입력'!$C$15)-COS((1-'1.설계입력'!$C$15)*B938),SIN((1-'1.설계입력'!$C$15)*B938))</f>
        <v>-0.74409324739203941</v>
      </c>
      <c r="D938" s="40">
        <f>'1.설계입력'!$C$6*COS(B938)-'1.설계입력'!$C$7*COS(B938+C938)-'1.설계입력'!$C$8*COS('1.설계입력'!$C$15*B938)</f>
        <v>-77.899623087085388</v>
      </c>
      <c r="E938" s="40">
        <f>-'1.설계입력'!$C$6*SIN(B938)+'1.설계입력'!$C$7*SIN(B938+C938)+'1.설계입력'!$C$8*SIN('1.설계입력'!$C$15*B938)</f>
        <v>10.049312906809215</v>
      </c>
      <c r="F938" s="40">
        <f>ATAN2(('1.설계입력'!$C$6+'1.설계입력'!$C$33)/('1.설계입력'!$C$8*'1.설계입력'!$C$15)-COS((1-'1.설계입력'!$C$15)*B938),SIN((1-'1.설계입력'!$C$15)*B938))</f>
        <v>-0.74411853575114495</v>
      </c>
      <c r="G938" s="40">
        <f>('1.설계입력'!$C$6+'1.설계입력'!$C$33)*COS(B938)-('1.설계입력'!$C$7+'1.설계입력'!$C$34)*COS(B938+F938)-'1.설계입력'!$C$8*COS('1.설계입력'!$C$15*B938)</f>
        <v>-77.890068729545803</v>
      </c>
      <c r="H938" s="40">
        <f>-('1.설계입력'!$C$6+'1.설계입력'!$C$33)*SIN(B938)+('1.설계입력'!$C$7+'1.설계입력'!$C$34)*SIN(B938+F938)+'1.설계입력'!$C$8*SIN('1.설계입력'!$C$15*B938)</f>
        <v>10.053836825263703</v>
      </c>
      <c r="I938" s="40">
        <f t="shared" si="43"/>
        <v>78.545146043590307</v>
      </c>
      <c r="J938" s="40">
        <f t="shared" si="44"/>
        <v>78.536249220359366</v>
      </c>
      <c r="K938" s="38" t="str">
        <f>IF(OR(A938&gt;180,'1.설계입력'!$C$39&gt;=1),"",'1.설계입력'!$C$34*(1-SIN(B938)/SQRT(1+'1.설계입력'!$C$39^2-2*'1.설계입력'!$C$39*COS(B938)))-'1.설계입력'!$C$33*(1-'1.설계입력'!$C$39*COS(B938)-SQRT(MAX(0,1-'1.설계입력'!$C$39^2))*SIN(B938))/SQRT(1+'1.설계입력'!$C$39^2-2*'1.설계입력'!$C$39*COS(B938)))</f>
        <v/>
      </c>
    </row>
    <row r="939" spans="1:11" x14ac:dyDescent="0.3">
      <c r="A939" s="40">
        <f>A938+'1.설계입력'!$C$12</f>
        <v>186.59999999999795</v>
      </c>
      <c r="B939" s="40">
        <f t="shared" si="42"/>
        <v>3.2567843842213833</v>
      </c>
      <c r="C939" s="40">
        <f>ATAN2('1.설계입력'!$C$6/('1.설계입력'!$C$8*'1.설계입력'!$C$15)-COS((1-'1.설계입력'!$C$15)*B939),SIN((1-'1.설계입력'!$C$15)*B939))</f>
        <v>-0.70432816899509665</v>
      </c>
      <c r="D939" s="40">
        <f>'1.설계입력'!$C$6*COS(B939)-'1.설계입력'!$C$7*COS(B939+C939)-'1.설계입력'!$C$8*COS('1.설계입력'!$C$15*B939)</f>
        <v>-77.974090799354897</v>
      </c>
      <c r="E939" s="40">
        <f>-'1.설계입력'!$C$6*SIN(B939)+'1.설계입력'!$C$7*SIN(B939+C939)+'1.설계입력'!$C$8*SIN('1.설계입력'!$C$15*B939)</f>
        <v>10.155636485597316</v>
      </c>
      <c r="F939" s="40">
        <f>ATAN2(('1.설계입력'!$C$6+'1.설계입력'!$C$33)/('1.설계입력'!$C$8*'1.설계입력'!$C$15)-COS((1-'1.설계입력'!$C$15)*B939),SIN((1-'1.설계입력'!$C$15)*B939))</f>
        <v>-0.70435036721148769</v>
      </c>
      <c r="G939" s="40">
        <f>('1.설계입력'!$C$6+'1.설계입력'!$C$33)*COS(B939)-('1.설계입력'!$C$7+'1.설계입력'!$C$34)*COS(B939+F939)-'1.설계입력'!$C$8*COS('1.설계입력'!$C$15*B939)</f>
        <v>-77.964326273014379</v>
      </c>
      <c r="H939" s="40">
        <f>-('1.설계입력'!$C$6+'1.설계입력'!$C$33)*SIN(B939)+('1.설계입력'!$C$7+'1.설계입력'!$C$34)*SIN(B939+F939)+'1.설계입력'!$C$8*SIN('1.설계입력'!$C$15*B939)</f>
        <v>10.159854863914546</v>
      </c>
      <c r="I939" s="40">
        <f t="shared" si="43"/>
        <v>78.632663622782346</v>
      </c>
      <c r="J939" s="40">
        <f t="shared" si="44"/>
        <v>78.62352588163958</v>
      </c>
      <c r="K939" s="38" t="str">
        <f>IF(OR(A939&gt;180,'1.설계입력'!$C$39&gt;=1),"",'1.설계입력'!$C$34*(1-SIN(B939)/SQRT(1+'1.설계입력'!$C$39^2-2*'1.설계입력'!$C$39*COS(B939)))-'1.설계입력'!$C$33*(1-'1.설계입력'!$C$39*COS(B939)-SQRT(MAX(0,1-'1.설계입력'!$C$39^2))*SIN(B939))/SQRT(1+'1.설계입력'!$C$39^2-2*'1.설계입력'!$C$39*COS(B939)))</f>
        <v/>
      </c>
    </row>
    <row r="940" spans="1:11" x14ac:dyDescent="0.3">
      <c r="A940" s="40">
        <f>A939+'1.설계입력'!$C$12</f>
        <v>186.79999999999794</v>
      </c>
      <c r="B940" s="40">
        <f t="shared" si="42"/>
        <v>3.2602750427253717</v>
      </c>
      <c r="C940" s="40">
        <f>ATAN2('1.설계입력'!$C$6/('1.설계입력'!$C$8*'1.설계입력'!$C$15)-COS((1-'1.설계입력'!$C$15)*B940),SIN((1-'1.설계입력'!$C$15)*B940))</f>
        <v>-0.66036906277976659</v>
      </c>
      <c r="D940" s="40">
        <f>'1.설계입력'!$C$6*COS(B940)-'1.설계입력'!$C$7*COS(B940+C940)-'1.설계입력'!$C$8*COS('1.설계입력'!$C$15*B940)</f>
        <v>-78.048159781329375</v>
      </c>
      <c r="E940" s="40">
        <f>-'1.설계입력'!$C$6*SIN(B940)+'1.설계입력'!$C$7*SIN(B940+C940)+'1.설계입력'!$C$8*SIN('1.설계입력'!$C$15*B940)</f>
        <v>10.272366897681795</v>
      </c>
      <c r="F940" s="40">
        <f>ATAN2(('1.설계입력'!$C$6+'1.설계입력'!$C$33)/('1.설계입력'!$C$8*'1.설계입력'!$C$15)-COS((1-'1.설계입력'!$C$15)*B940),SIN((1-'1.설계입력'!$C$15)*B940))</f>
        <v>-0.66038857229831838</v>
      </c>
      <c r="G940" s="40">
        <f>('1.설계입력'!$C$6+'1.설계입력'!$C$33)*COS(B940)-('1.설계입력'!$C$7+'1.설계입력'!$C$34)*COS(B940+F940)-'1.설계입력'!$C$8*COS('1.설계입력'!$C$15*B940)</f>
        <v>-78.038181499119872</v>
      </c>
      <c r="H940" s="40">
        <f>-('1.설계입력'!$C$6+'1.설계입력'!$C$33)*SIN(B940)+('1.설계입력'!$C$7+'1.설계입력'!$C$34)*SIN(B940+F940)+'1.설계입력'!$C$8*SIN('1.설계입력'!$C$15*B940)</f>
        <v>10.276243060223855</v>
      </c>
      <c r="I940" s="40">
        <f t="shared" si="43"/>
        <v>78.72125994248637</v>
      </c>
      <c r="J940" s="40">
        <f t="shared" si="44"/>
        <v>78.711872948891099</v>
      </c>
      <c r="K940" s="38" t="str">
        <f>IF(OR(A940&gt;180,'1.설계입력'!$C$39&gt;=1),"",'1.설계입력'!$C$34*(1-SIN(B940)/SQRT(1+'1.설계입력'!$C$39^2-2*'1.설계입력'!$C$39*COS(B940)))-'1.설계입력'!$C$33*(1-'1.설계입력'!$C$39*COS(B940)-SQRT(MAX(0,1-'1.설계입력'!$C$39^2))*SIN(B940))/SQRT(1+'1.설계입력'!$C$39^2-2*'1.설계입력'!$C$39*COS(B940)))</f>
        <v/>
      </c>
    </row>
    <row r="941" spans="1:11" x14ac:dyDescent="0.3">
      <c r="A941" s="40">
        <f>A940+'1.설계입력'!$C$12</f>
        <v>186.99999999999793</v>
      </c>
      <c r="B941" s="40">
        <f t="shared" si="42"/>
        <v>3.2637657012293602</v>
      </c>
      <c r="C941" s="40">
        <f>ATAN2('1.설계입력'!$C$6/('1.설계입력'!$C$8*'1.설계입력'!$C$15)-COS((1-'1.설계입력'!$C$15)*B941),SIN((1-'1.설계입력'!$C$15)*B941))</f>
        <v>-0.6132413461519316</v>
      </c>
      <c r="D941" s="40">
        <f>'1.설계입력'!$C$6*COS(B941)-'1.설계입력'!$C$7*COS(B941+C941)-'1.설계입력'!$C$8*COS('1.설계입력'!$C$15*B941)</f>
        <v>-78.121938355954086</v>
      </c>
      <c r="E941" s="40">
        <f>-'1.설계입력'!$C$6*SIN(B941)+'1.설계입력'!$C$7*SIN(B941+C941)+'1.설계입력'!$C$8*SIN('1.설계입력'!$C$15*B941)</f>
        <v>10.402347386974473</v>
      </c>
      <c r="F941" s="40">
        <f>ATAN2(('1.설계입력'!$C$6+'1.설계입력'!$C$33)/('1.설계입력'!$C$8*'1.설계입력'!$C$15)-COS((1-'1.설계입력'!$C$15)*B941),SIN((1-'1.설계입력'!$C$15)*B941))</f>
        <v>-0.61325848332876753</v>
      </c>
      <c r="G941" s="40">
        <f>('1.설계입력'!$C$6+'1.설계입력'!$C$33)*COS(B941)-('1.설계입력'!$C$7+'1.설계입력'!$C$34)*COS(B941+F941)-'1.설계입력'!$C$8*COS('1.설계입력'!$C$15*B941)</f>
        <v>-78.111751034604538</v>
      </c>
      <c r="H941" s="40">
        <f>-('1.설계입력'!$C$6+'1.설계입력'!$C$33)*SIN(B941)+('1.설계입력'!$C$7+'1.설계입력'!$C$34)*SIN(B941+F941)+'1.설계입력'!$C$8*SIN('1.설계입력'!$C$15*B941)</f>
        <v>10.40584986495435</v>
      </c>
      <c r="I941" s="40">
        <f t="shared" si="43"/>
        <v>78.811459088452267</v>
      </c>
      <c r="J941" s="40">
        <f t="shared" si="44"/>
        <v>78.801823336164077</v>
      </c>
      <c r="K941" s="38" t="str">
        <f>IF(OR(A941&gt;180,'1.설계입력'!$C$39&gt;=1),"",'1.설계입력'!$C$34*(1-SIN(B941)/SQRT(1+'1.설계입력'!$C$39^2-2*'1.설계입력'!$C$39*COS(B941)))-'1.설계입력'!$C$33*(1-'1.설계입력'!$C$39*COS(B941)-SQRT(MAX(0,1-'1.설계입력'!$C$39^2))*SIN(B941))/SQRT(1+'1.설계입력'!$C$39^2-2*'1.설계입력'!$C$39*COS(B941)))</f>
        <v/>
      </c>
    </row>
    <row r="942" spans="1:11" x14ac:dyDescent="0.3">
      <c r="A942" s="40">
        <f>A941+'1.설계입력'!$C$12</f>
        <v>187.19999999999791</v>
      </c>
      <c r="B942" s="40">
        <f t="shared" si="42"/>
        <v>3.2672563597333486</v>
      </c>
      <c r="C942" s="40">
        <f>ATAN2('1.설계입력'!$C$6/('1.설계입력'!$C$8*'1.설계입력'!$C$15)-COS((1-'1.설계입력'!$C$15)*B942),SIN((1-'1.설계입력'!$C$15)*B942))</f>
        <v>-0.56367647495479145</v>
      </c>
      <c r="D942" s="40">
        <f>'1.설계입력'!$C$6*COS(B942)-'1.설계입력'!$C$7*COS(B942+C942)-'1.설계입력'!$C$8*COS('1.설계입력'!$C$15*B942)</f>
        <v>-78.194545733823631</v>
      </c>
      <c r="E942" s="40">
        <f>-'1.설계입력'!$C$6*SIN(B942)+'1.설계입력'!$C$7*SIN(B942+C942)+'1.설계입력'!$C$8*SIN('1.설계입력'!$C$15*B942)</f>
        <v>10.547303075787564</v>
      </c>
      <c r="F942" s="40">
        <f>ATAN2(('1.설계입력'!$C$6+'1.설계입력'!$C$33)/('1.설계입력'!$C$8*'1.설계입력'!$C$15)-COS((1-'1.설계입력'!$C$15)*B942),SIN((1-'1.설계입력'!$C$15)*B942))</f>
        <v>-0.56369149075768465</v>
      </c>
      <c r="G942" s="40">
        <f>('1.설계입력'!$C$6+'1.설계입력'!$C$33)*COS(B942)-('1.설계입력'!$C$7+'1.설계입력'!$C$34)*COS(B942+F942)-'1.설계입력'!$C$8*COS('1.설계입력'!$C$15*B942)</f>
        <v>-78.184160375334528</v>
      </c>
      <c r="H942" s="40">
        <f>-('1.설계입력'!$C$6+'1.설계입력'!$C$33)*SIN(B942)+('1.설계입력'!$C$7+'1.설계입력'!$C$34)*SIN(B942+F942)+'1.설계입력'!$C$8*SIN('1.설계입력'!$C$15*B942)</f>
        <v>10.550404585204255</v>
      </c>
      <c r="I942" s="40">
        <f t="shared" si="43"/>
        <v>78.902677931053475</v>
      </c>
      <c r="J942" s="40">
        <f t="shared" si="44"/>
        <v>78.892800498572299</v>
      </c>
      <c r="K942" s="38" t="str">
        <f>IF(OR(A942&gt;180,'1.설계입력'!$C$39&gt;=1),"",'1.설계입력'!$C$34*(1-SIN(B942)/SQRT(1+'1.설계입력'!$C$39^2-2*'1.설계입력'!$C$39*COS(B942)))-'1.설계입력'!$C$33*(1-'1.설계입력'!$C$39*COS(B942)-SQRT(MAX(0,1-'1.설계입력'!$C$39^2))*SIN(B942))/SQRT(1+'1.설계입력'!$C$39^2-2*'1.설계입력'!$C$39*COS(B942)))</f>
        <v/>
      </c>
    </row>
    <row r="943" spans="1:11" x14ac:dyDescent="0.3">
      <c r="A943" s="40">
        <f>A942+'1.설계입력'!$C$12</f>
        <v>187.3999999999979</v>
      </c>
      <c r="B943" s="40">
        <f t="shared" si="42"/>
        <v>3.270747018237337</v>
      </c>
      <c r="C943" s="40">
        <f>ATAN2('1.설계입력'!$C$6/('1.설계입력'!$C$8*'1.설계입력'!$C$15)-COS((1-'1.설계입력'!$C$15)*B943),SIN((1-'1.설계입력'!$C$15)*B943))</f>
        <v>-0.51221089029075739</v>
      </c>
      <c r="D943" s="40">
        <f>'1.설계입력'!$C$6*COS(B943)-'1.설계입력'!$C$7*COS(B943+C943)-'1.설계입력'!$C$8*COS('1.설계입력'!$C$15*B943)</f>
        <v>-78.264485749738469</v>
      </c>
      <c r="E943" s="40">
        <f>-'1.설계입력'!$C$6*SIN(B943)+'1.설계입력'!$C$7*SIN(B943+C943)+'1.설계입력'!$C$8*SIN('1.설계입력'!$C$15*B943)</f>
        <v>10.708076728439419</v>
      </c>
      <c r="F943" s="40">
        <f>ATAN2(('1.설계입력'!$C$6+'1.설계입력'!$C$33)/('1.설계입력'!$C$8*'1.설계입력'!$C$15)-COS((1-'1.설계입력'!$C$15)*B943),SIN((1-'1.설계입력'!$C$15)*B943))</f>
        <v>-0.51222398505393762</v>
      </c>
      <c r="G943" s="40">
        <f>('1.설계입력'!$C$6+'1.설계입력'!$C$33)*COS(B943)-('1.설계입력'!$C$7+'1.설계입력'!$C$34)*COS(B943+F943)-'1.설계입력'!$C$8*COS('1.설계입력'!$C$15*B943)</f>
        <v>-78.253918220917583</v>
      </c>
      <c r="H943" s="40">
        <f>-('1.설계입력'!$C$6+'1.설계입력'!$C$33)*SIN(B943)+('1.설계입력'!$C$7+'1.설계입력'!$C$34)*SIN(B943+F943)+'1.설계입력'!$C$8*SIN('1.설계입력'!$C$15*B943)</f>
        <v>10.710753576784303</v>
      </c>
      <c r="I943" s="40">
        <f t="shared" si="43"/>
        <v>78.993624026836258</v>
      </c>
      <c r="J943" s="40">
        <f t="shared" si="44"/>
        <v>78.983517008985203</v>
      </c>
      <c r="K943" s="38" t="str">
        <f>IF(OR(A943&gt;180,'1.설계입력'!$C$39&gt;=1),"",'1.설계입력'!$C$34*(1-SIN(B943)/SQRT(1+'1.설계입력'!$C$39^2-2*'1.설계입력'!$C$39*COS(B943)))-'1.설계입력'!$C$33*(1-'1.설계입력'!$C$39*COS(B943)-SQRT(MAX(0,1-'1.설계입력'!$C$39^2))*SIN(B943))/SQRT(1+'1.설계입력'!$C$39^2-2*'1.설계입력'!$C$39*COS(B943)))</f>
        <v/>
      </c>
    </row>
    <row r="944" spans="1:11" x14ac:dyDescent="0.3">
      <c r="A944" s="40">
        <f>A943+'1.설계입력'!$C$12</f>
        <v>187.59999999999789</v>
      </c>
      <c r="B944" s="40">
        <f t="shared" si="42"/>
        <v>3.2742376767413255</v>
      </c>
      <c r="C944" s="40">
        <f>ATAN2('1.설계입력'!$C$6/('1.설계입력'!$C$8*'1.설계입력'!$C$15)-COS((1-'1.설계입력'!$C$15)*B944),SIN((1-'1.설계입력'!$C$15)*B944))</f>
        <v>-0.45924813815135429</v>
      </c>
      <c r="D944" s="40">
        <f>'1.설계입력'!$C$6*COS(B944)-'1.설계입력'!$C$7*COS(B944+C944)-'1.설계입력'!$C$8*COS('1.설계입력'!$C$15*B944)</f>
        <v>-78.329913174992981</v>
      </c>
      <c r="E944" s="40">
        <f>-'1.설계입력'!$C$6*SIN(B944)+'1.설계입력'!$C$7*SIN(B944+C944)+'1.설계입력'!$C$8*SIN('1.설계입력'!$C$15*B944)</f>
        <v>10.884777914216258</v>
      </c>
      <c r="F944" s="40">
        <f>ATAN2(('1.설계입력'!$C$6+'1.설계입력'!$C$33)/('1.설계입력'!$C$8*'1.설계입력'!$C$15)-COS((1-'1.설계입력'!$C$15)*B944),SIN((1-'1.설계입력'!$C$15)*B944))</f>
        <v>-0.45925947251586235</v>
      </c>
      <c r="G944" s="40">
        <f>('1.설계입력'!$C$6+'1.설계입력'!$C$33)*COS(B944)-('1.설계입력'!$C$7+'1.설계입력'!$C$34)*COS(B944+F944)-'1.설계입력'!$C$8*COS('1.설계입력'!$C$15*B944)</f>
        <v>-78.319183167299386</v>
      </c>
      <c r="H944" s="40">
        <f>-('1.설계입력'!$C$6+'1.설계입력'!$C$33)*SIN(B944)+('1.설계입력'!$C$7+'1.설계입력'!$C$34)*SIN(B944+F944)+'1.설계입력'!$C$8*SIN('1.설계입력'!$C$15*B944)</f>
        <v>10.88700965039185</v>
      </c>
      <c r="I944" s="40">
        <f t="shared" si="43"/>
        <v>79.08257512400408</v>
      </c>
      <c r="J944" s="40">
        <f t="shared" si="44"/>
        <v>79.072254496256249</v>
      </c>
      <c r="K944" s="38" t="str">
        <f>IF(OR(A944&gt;180,'1.설계입력'!$C$39&gt;=1),"",'1.설계입력'!$C$34*(1-SIN(B944)/SQRT(1+'1.설계입력'!$C$39^2-2*'1.설계입력'!$C$39*COS(B944)))-'1.설계입력'!$C$33*(1-'1.설계입력'!$C$39*COS(B944)-SQRT(MAX(0,1-'1.설계입력'!$C$39^2))*SIN(B944))/SQRT(1+'1.설계입력'!$C$39^2-2*'1.설계입력'!$C$39*COS(B944)))</f>
        <v/>
      </c>
    </row>
    <row r="945" spans="1:11" x14ac:dyDescent="0.3">
      <c r="A945" s="40">
        <f>A944+'1.설계입력'!$C$12</f>
        <v>187.79999999999788</v>
      </c>
      <c r="B945" s="40">
        <f t="shared" si="42"/>
        <v>3.2777283352453139</v>
      </c>
      <c r="C945" s="40">
        <f>ATAN2('1.설계입력'!$C$6/('1.설계입력'!$C$8*'1.설계입력'!$C$15)-COS((1-'1.설계입력'!$C$15)*B945),SIN((1-'1.설계입력'!$C$15)*B945))</f>
        <v>-0.40509913106712181</v>
      </c>
      <c r="D945" s="40">
        <f>'1.설계입력'!$C$6*COS(B945)-'1.설계입력'!$C$7*COS(B945+C945)-'1.설계입력'!$C$8*COS('1.설계입력'!$C$15*B945)</f>
        <v>-78.388831391441585</v>
      </c>
      <c r="E945" s="40">
        <f>-'1.설계입력'!$C$6*SIN(B945)+'1.설계입력'!$C$7*SIN(B945+C945)+'1.설계입력'!$C$8*SIN('1.설계입력'!$C$15*B945)</f>
        <v>11.076888886532171</v>
      </c>
      <c r="F945" s="40">
        <f>ATAN2(('1.설계입력'!$C$6+'1.설계입력'!$C$33)/('1.설계입력'!$C$8*'1.설계입력'!$C$15)-COS((1-'1.설계입력'!$C$15)*B945),SIN((1-'1.설계입력'!$C$15)*B945))</f>
        <v>-0.40510883409038251</v>
      </c>
      <c r="G945" s="40">
        <f>('1.설계입력'!$C$6+'1.설계입력'!$C$33)*COS(B945)-('1.설계입력'!$C$7+'1.설계입력'!$C$34)*COS(B945+F945)-'1.설계입력'!$C$8*COS('1.설계입력'!$C$15*B945)</f>
        <v>-78.377961628270299</v>
      </c>
      <c r="H945" s="40">
        <f>-('1.설계입력'!$C$6+'1.설계입력'!$C$33)*SIN(B945)+('1.설계입력'!$C$7+'1.설계입력'!$C$34)*SIN(B945+F945)+'1.설계입력'!$C$8*SIN('1.설계입력'!$C$15*B945)</f>
        <v>11.078658092252558</v>
      </c>
      <c r="I945" s="40">
        <f t="shared" si="43"/>
        <v>79.167583986884665</v>
      </c>
      <c r="J945" s="40">
        <f t="shared" si="44"/>
        <v>79.157068756540269</v>
      </c>
      <c r="K945" s="38" t="str">
        <f>IF(OR(A945&gt;180,'1.설계입력'!$C$39&gt;=1),"",'1.설계입력'!$C$34*(1-SIN(B945)/SQRT(1+'1.설계입력'!$C$39^2-2*'1.설계입력'!$C$39*COS(B945)))-'1.설계입력'!$C$33*(1-'1.설계입력'!$C$39*COS(B945)-SQRT(MAX(0,1-'1.설계입력'!$C$39^2))*SIN(B945))/SQRT(1+'1.설계입력'!$C$39^2-2*'1.설계입력'!$C$39*COS(B945)))</f>
        <v/>
      </c>
    </row>
    <row r="946" spans="1:11" x14ac:dyDescent="0.3">
      <c r="A946" s="40">
        <f>A945+'1.설계입력'!$C$12</f>
        <v>187.99999999999787</v>
      </c>
      <c r="B946" s="40">
        <f t="shared" si="42"/>
        <v>3.2812189937493024</v>
      </c>
      <c r="C946" s="40">
        <f>ATAN2('1.설계입력'!$C$6/('1.설계입력'!$C$8*'1.설계입력'!$C$15)-COS((1-'1.설계입력'!$C$15)*B946),SIN((1-'1.설계입력'!$C$15)*B946))</f>
        <v>-0.35000902060174044</v>
      </c>
      <c r="D946" s="40">
        <f>'1.설계입력'!$C$6*COS(B946)-'1.설계입력'!$C$7*COS(B946+C946)-'1.설계입력'!$C$8*COS('1.설계입력'!$C$15*B946)</f>
        <v>-78.439244023142635</v>
      </c>
      <c r="E946" s="40">
        <f>-'1.설계입력'!$C$6*SIN(B946)+'1.설계입력'!$C$7*SIN(B946+C946)+'1.설계입력'!$C$8*SIN('1.설계입력'!$C$15*B946)</f>
        <v>11.283349495694996</v>
      </c>
      <c r="F946" s="40">
        <f>ATAN2(('1.설계입력'!$C$6+'1.설계입력'!$C$33)/('1.설계입력'!$C$8*'1.설계입력'!$C$15)-COS((1-'1.설계입력'!$C$15)*B946),SIN((1-'1.설계입력'!$C$15)*B946))</f>
        <v>-0.35001719578679225</v>
      </c>
      <c r="G946" s="40">
        <f>('1.설계입력'!$C$6+'1.설계입력'!$C$33)*COS(B946)-('1.설계입력'!$C$7+'1.설계입력'!$C$34)*COS(B946+F946)-'1.설계입력'!$C$8*COS('1.설계입력'!$C$15*B946)</f>
        <v>-78.428259631457195</v>
      </c>
      <c r="H946" s="40">
        <f>-('1.설계입력'!$C$6+'1.설계입력'!$C$33)*SIN(B946)+('1.설계입력'!$C$7+'1.설계입력'!$C$34)*SIN(B946+F946)+'1.설계입력'!$C$8*SIN('1.설계입력'!$C$15*B946)</f>
        <v>11.284641660215646</v>
      </c>
      <c r="I946" s="40">
        <f t="shared" si="43"/>
        <v>79.246633863932146</v>
      </c>
      <c r="J946" s="40">
        <f t="shared" si="44"/>
        <v>79.235945417586407</v>
      </c>
      <c r="K946" s="38" t="str">
        <f>IF(OR(A946&gt;180,'1.설계입력'!$C$39&gt;=1),"",'1.설계입력'!$C$34*(1-SIN(B946)/SQRT(1+'1.설계입력'!$C$39^2-2*'1.설계입력'!$C$39*COS(B946)))-'1.설계입력'!$C$33*(1-'1.설계입력'!$C$39*COS(B946)-SQRT(MAX(0,1-'1.설계입력'!$C$39^2))*SIN(B946))/SQRT(1+'1.설계입력'!$C$39^2-2*'1.설계입력'!$C$39*COS(B946)))</f>
        <v/>
      </c>
    </row>
    <row r="947" spans="1:11" x14ac:dyDescent="0.3">
      <c r="A947" s="40">
        <f>A946+'1.설계입력'!$C$12</f>
        <v>188.19999999999786</v>
      </c>
      <c r="B947" s="40">
        <f t="shared" si="42"/>
        <v>3.2847096522532908</v>
      </c>
      <c r="C947" s="40">
        <f>ATAN2('1.설계입력'!$C$6/('1.설계입력'!$C$8*'1.설계입력'!$C$15)-COS((1-'1.설계입력'!$C$15)*B947),SIN((1-'1.설계입력'!$C$15)*B947))</f>
        <v>-0.2941756377120695</v>
      </c>
      <c r="D947" s="40">
        <f>'1.설계입력'!$C$6*COS(B947)-'1.설계입력'!$C$7*COS(B947+C947)-'1.설계입력'!$C$8*COS('1.설계입력'!$C$15*B947)</f>
        <v>-78.479273787243926</v>
      </c>
      <c r="E947" s="40">
        <f>-'1.설계입력'!$C$6*SIN(B947)+'1.설계입력'!$C$7*SIN(B947+C947)+'1.설계입력'!$C$8*SIN('1.설계입력'!$C$15*B947)</f>
        <v>11.50263286834676</v>
      </c>
      <c r="F947" s="40">
        <f>ATAN2(('1.설계입력'!$C$6+'1.설계입력'!$C$33)/('1.설계입력'!$C$8*'1.설계입력'!$C$15)-COS((1-'1.설계입력'!$C$15)*B947),SIN((1-'1.설계입력'!$C$15)*B947))</f>
        <v>-0.29418236750239951</v>
      </c>
      <c r="G947" s="40">
        <f>('1.설계입력'!$C$6+'1.설계입력'!$C$33)*COS(B947)-('1.설계입력'!$C$7+'1.설계입력'!$C$34)*COS(B947+F947)-'1.설계입력'!$C$8*COS('1.설계입력'!$C$15*B947)</f>
        <v>-78.468201780330432</v>
      </c>
      <c r="H947" s="40">
        <f>-('1.설계입력'!$C$6+'1.설계입력'!$C$33)*SIN(B947)+('1.설계입력'!$C$7+'1.설계입력'!$C$34)*SIN(B947+F947)+'1.설계입력'!$C$8*SIN('1.설계입력'!$C$15*B947)</f>
        <v>11.503436312025482</v>
      </c>
      <c r="I947" s="40">
        <f t="shared" si="43"/>
        <v>79.317759531375842</v>
      </c>
      <c r="J947" s="40">
        <f t="shared" si="44"/>
        <v>79.306921120564752</v>
      </c>
      <c r="K947" s="38" t="str">
        <f>IF(OR(A947&gt;180,'1.설계입력'!$C$39&gt;=1),"",'1.설계입력'!$C$34*(1-SIN(B947)/SQRT(1+'1.설계입력'!$C$39^2-2*'1.설계입력'!$C$39*COS(B947)))-'1.설계입력'!$C$33*(1-'1.설계입력'!$C$39*COS(B947)-SQRT(MAX(0,1-'1.설계입력'!$C$39^2))*SIN(B947))/SQRT(1+'1.설계입력'!$C$39^2-2*'1.설계입력'!$C$39*COS(B947)))</f>
        <v/>
      </c>
    </row>
    <row r="948" spans="1:11" x14ac:dyDescent="0.3">
      <c r="A948" s="40">
        <f>A947+'1.설계입력'!$C$12</f>
        <v>188.39999999999785</v>
      </c>
      <c r="B948" s="40">
        <f t="shared" si="42"/>
        <v>3.2882003107572793</v>
      </c>
      <c r="C948" s="40">
        <f>ATAN2('1.설계입력'!$C$6/('1.설계입력'!$C$8*'1.설계입력'!$C$15)-COS((1-'1.설계입력'!$C$15)*B948),SIN((1-'1.설계입력'!$C$15)*B948))</f>
        <v>-0.23776249646188341</v>
      </c>
      <c r="D948" s="40">
        <f>'1.설계입력'!$C$6*COS(B948)-'1.설계입력'!$C$7*COS(B948+C948)-'1.설계입력'!$C$8*COS('1.설계입력'!$C$15*B948)</f>
        <v>-78.507256394921555</v>
      </c>
      <c r="E948" s="40">
        <f>-'1.설계입력'!$C$6*SIN(B948)+'1.설계입력'!$C$7*SIN(B948+C948)+'1.설계입력'!$C$8*SIN('1.설계입력'!$C$15*B948)</f>
        <v>11.732817994940429</v>
      </c>
      <c r="F948" s="40">
        <f>ATAN2(('1.설계입력'!$C$6+'1.설계입력'!$C$33)/('1.설계입력'!$C$8*'1.설계입력'!$C$15)-COS((1-'1.설계입력'!$C$15)*B948),SIN((1-'1.설계입력'!$C$15)*B948))</f>
        <v>-0.23776784559158076</v>
      </c>
      <c r="G948" s="40">
        <f>('1.설계입력'!$C$6+'1.설계입력'!$C$33)*COS(B948)-('1.설계입력'!$C$7+'1.설계입력'!$C$34)*COS(B948+F948)-'1.설계입력'!$C$8*COS('1.설계입력'!$C$15*B948)</f>
        <v>-78.496125231370485</v>
      </c>
      <c r="H948" s="40">
        <f>-('1.설계입력'!$C$6+'1.설계입력'!$C$33)*SIN(B948)+('1.설계입력'!$C$7+'1.설계입력'!$C$34)*SIN(B948+F948)+'1.설계입력'!$C$8*SIN('1.설계입력'!$C$15*B948)</f>
        <v>11.733123820481348</v>
      </c>
      <c r="I948" s="40">
        <f t="shared" si="43"/>
        <v>79.379142882499991</v>
      </c>
      <c r="J948" s="40">
        <f t="shared" si="44"/>
        <v>79.368179208834974</v>
      </c>
      <c r="K948" s="38" t="str">
        <f>IF(OR(A948&gt;180,'1.설계입력'!$C$39&gt;=1),"",'1.설계입력'!$C$34*(1-SIN(B948)/SQRT(1+'1.설계입력'!$C$39^2-2*'1.설계입력'!$C$39*COS(B948)))-'1.설계입력'!$C$33*(1-'1.설계입력'!$C$39*COS(B948)-SQRT(MAX(0,1-'1.설계입력'!$C$39^2))*SIN(B948))/SQRT(1+'1.설계입력'!$C$39^2-2*'1.설계입력'!$C$39*COS(B948)))</f>
        <v/>
      </c>
    </row>
    <row r="949" spans="1:11" x14ac:dyDescent="0.3">
      <c r="A949" s="40">
        <f>A948+'1.설계입력'!$C$12</f>
        <v>188.59999999999783</v>
      </c>
      <c r="B949" s="40">
        <f t="shared" si="42"/>
        <v>3.2916909692612677</v>
      </c>
      <c r="C949" s="40">
        <f>ATAN2('1.설계입력'!$C$6/('1.설계입력'!$C$8*'1.설계입력'!$C$15)-COS((1-'1.설계입력'!$C$15)*B949),SIN((1-'1.설계입력'!$C$15)*B949))</f>
        <v>-0.18090822721684371</v>
      </c>
      <c r="D949" s="40">
        <f>'1.설계입력'!$C$6*COS(B949)-'1.설계입력'!$C$7*COS(B949+C949)-'1.설계입력'!$C$8*COS('1.설계입력'!$C$15*B949)</f>
        <v>-78.521814140885937</v>
      </c>
      <c r="E949" s="40">
        <f>-'1.설계입력'!$C$6*SIN(B949)+'1.설계입력'!$C$7*SIN(B949+C949)+'1.설계입력'!$C$8*SIN('1.설계입력'!$C$15*B949)</f>
        <v>11.971662278207925</v>
      </c>
      <c r="F949" s="40">
        <f>ATAN2(('1.설계입력'!$C$6+'1.설계입력'!$C$33)/('1.설계입력'!$C$8*'1.설계입력'!$C$15)-COS((1-'1.설계입력'!$C$15)*B949),SIN((1-'1.설계입력'!$C$15)*B949))</f>
        <v>-0.18091224519188842</v>
      </c>
      <c r="G949" s="40">
        <f>('1.설계입력'!$C$6+'1.설계입력'!$C$33)*COS(B949)-('1.설계입력'!$C$7+'1.설계입력'!$C$34)*COS(B949+F949)-'1.설계입력'!$C$8*COS('1.설계입력'!$C$15*B949)</f>
        <v>-78.510653336396103</v>
      </c>
      <c r="H949" s="40">
        <f>-('1.설계입력'!$C$6+'1.설계입력'!$C$33)*SIN(B949)+('1.설계입력'!$C$7+'1.설계입력'!$C$34)*SIN(B949+F949)+'1.설계입력'!$C$8*SIN('1.설계입력'!$C$15*B949)</f>
        <v>11.971464336247902</v>
      </c>
      <c r="I949" s="40">
        <f t="shared" si="43"/>
        <v>79.42918854979763</v>
      </c>
      <c r="J949" s="40">
        <f t="shared" si="44"/>
        <v>79.418125422738484</v>
      </c>
      <c r="K949" s="38" t="str">
        <f>IF(OR(A949&gt;180,'1.설계입력'!$C$39&gt;=1),"",'1.설계입력'!$C$34*(1-SIN(B949)/SQRT(1+'1.설계입력'!$C$39^2-2*'1.설계입력'!$C$39*COS(B949)))-'1.설계입력'!$C$33*(1-'1.설계입력'!$C$39*COS(B949)-SQRT(MAX(0,1-'1.설계입력'!$C$39^2))*SIN(B949))/SQRT(1+'1.설계입력'!$C$39^2-2*'1.설계입력'!$C$39*COS(B949)))</f>
        <v/>
      </c>
    </row>
    <row r="950" spans="1:11" x14ac:dyDescent="0.3">
      <c r="A950" s="40">
        <f>A949+'1.설계입력'!$C$12</f>
        <v>188.79999999999782</v>
      </c>
      <c r="B950" s="40">
        <f t="shared" si="42"/>
        <v>3.2951816277652561</v>
      </c>
      <c r="C950" s="40">
        <f>ATAN2('1.설계입력'!$C$6/('1.설계입력'!$C$8*'1.설계입력'!$C$15)-COS((1-'1.설계입력'!$C$15)*B950),SIN((1-'1.설계입력'!$C$15)*B950))</f>
        <v>-0.12373363783155546</v>
      </c>
      <c r="D950" s="40">
        <f>'1.설계입력'!$C$6*COS(B950)-'1.설계입력'!$C$7*COS(B950+C950)-'1.설계입력'!$C$8*COS('1.설계입력'!$C$15*B950)</f>
        <v>-78.521911931535371</v>
      </c>
      <c r="E950" s="40">
        <f>-'1.설계입력'!$C$6*SIN(B950)+'1.설계입력'!$C$7*SIN(B950+C950)+'1.설계입력'!$C$8*SIN('1.설계입력'!$C$15*B950)</f>
        <v>12.216675318538458</v>
      </c>
      <c r="F950" s="40">
        <f>ATAN2(('1.설계입력'!$C$6+'1.설계입력'!$C$33)/('1.설계입력'!$C$8*'1.설계입력'!$C$15)-COS((1-'1.설계입력'!$C$15)*B950),SIN((1-'1.설계입력'!$C$15)*B950))</f>
        <v>-0.12373636073604703</v>
      </c>
      <c r="G950" s="40">
        <f>('1.설계입력'!$C$6+'1.설계입력'!$C$33)*COS(B950)-('1.설계입력'!$C$7+'1.설계입력'!$C$34)*COS(B950+F950)-'1.설계입력'!$C$8*COS('1.설계입력'!$C$15*B950)</f>
        <v>-78.510751707448094</v>
      </c>
      <c r="H950" s="40">
        <f>-('1.설계입력'!$C$6+'1.설계입력'!$C$33)*SIN(B950)+('1.설계입력'!$C$7+'1.설계입력'!$C$34)*SIN(B950+F950)+'1.설계입력'!$C$8*SIN('1.설계입력'!$C$15*B950)</f>
        <v>12.215970178955622</v>
      </c>
      <c r="I950" s="40">
        <f t="shared" si="43"/>
        <v>79.466582971852915</v>
      </c>
      <c r="J950" s="40">
        <f t="shared" si="44"/>
        <v>79.455447019582593</v>
      </c>
      <c r="K950" s="38" t="str">
        <f>IF(OR(A950&gt;180,'1.설계입력'!$C$39&gt;=1),"",'1.설계입력'!$C$34*(1-SIN(B950)/SQRT(1+'1.설계입력'!$C$39^2-2*'1.설계입력'!$C$39*COS(B950)))-'1.설계입력'!$C$33*(1-'1.설계입력'!$C$39*COS(B950)-SQRT(MAX(0,1-'1.설계입력'!$C$39^2))*SIN(B950))/SQRT(1+'1.설계입력'!$C$39^2-2*'1.설계입력'!$C$39*COS(B950)))</f>
        <v/>
      </c>
    </row>
    <row r="951" spans="1:11" x14ac:dyDescent="0.3">
      <c r="A951" s="40">
        <f>A950+'1.설계입력'!$C$12</f>
        <v>188.99999999999781</v>
      </c>
      <c r="B951" s="40">
        <f t="shared" si="42"/>
        <v>3.2986722862692446</v>
      </c>
      <c r="C951" s="40">
        <f>ATAN2('1.설계입력'!$C$6/('1.설계입력'!$C$8*'1.설계입력'!$C$15)-COS((1-'1.설계입력'!$C$15)*B951),SIN((1-'1.설계입력'!$C$15)*B951))</f>
        <v>-6.6347198376795244E-2</v>
      </c>
      <c r="D951" s="40">
        <f>'1.설계입력'!$C$6*COS(B951)-'1.설계입력'!$C$7*COS(B951+C951)-'1.설계입력'!$C$8*COS('1.설계입력'!$C$15*B951)</f>
        <v>-78.506897385837874</v>
      </c>
      <c r="E951" s="40">
        <f>-'1.설계입력'!$C$6*SIN(B951)+'1.설계입력'!$C$7*SIN(B951+C951)+'1.설계입력'!$C$8*SIN('1.설계입력'!$C$15*B951)</f>
        <v>12.465194153412934</v>
      </c>
      <c r="F951" s="40">
        <f>ATAN2(('1.설계입력'!$C$6+'1.설계입력'!$C$33)/('1.설계입력'!$C$8*'1.설계입력'!$C$15)-COS((1-'1.설계입력'!$C$15)*B951),SIN((1-'1.설계입력'!$C$15)*B951))</f>
        <v>-6.6348650138470328E-2</v>
      </c>
      <c r="G951" s="40">
        <f>('1.설계입력'!$C$6+'1.설계입력'!$C$33)*COS(B951)-('1.설계입력'!$C$7+'1.설계입력'!$C$34)*COS(B951+F951)-'1.설계입력'!$C$8*COS('1.설계입력'!$C$15*B951)</f>
        <v>-78.495768343006375</v>
      </c>
      <c r="H951" s="40">
        <f>-('1.설계입력'!$C$6+'1.설계입력'!$C$33)*SIN(B951)+('1.설계입력'!$C$7+'1.설계입력'!$C$34)*SIN(B951+F951)+'1.설계입력'!$C$8*SIN('1.설계입력'!$C$15*B951)</f>
        <v>12.463981076683535</v>
      </c>
      <c r="I951" s="40">
        <f t="shared" si="43"/>
        <v>79.490339050935987</v>
      </c>
      <c r="J951" s="40">
        <f t="shared" si="44"/>
        <v>79.479157469357006</v>
      </c>
      <c r="K951" s="38" t="str">
        <f>IF(OR(A951&gt;180,'1.설계입력'!$C$39&gt;=1),"",'1.설계입력'!$C$34*(1-SIN(B951)/SQRT(1+'1.설계입력'!$C$39^2-2*'1.설계입력'!$C$39*COS(B951)))-'1.설계입력'!$C$33*(1-'1.설계입력'!$C$39*COS(B951)-SQRT(MAX(0,1-'1.설계입력'!$C$39^2))*SIN(B951))/SQRT(1+'1.설계입력'!$C$39^2-2*'1.설계입력'!$C$39*COS(B951)))</f>
        <v/>
      </c>
    </row>
    <row r="952" spans="1:11" x14ac:dyDescent="0.3">
      <c r="A952" s="40">
        <f>A951+'1.설계입력'!$C$12</f>
        <v>189.1999999999978</v>
      </c>
      <c r="B952" s="40">
        <f t="shared" si="42"/>
        <v>3.302162944773233</v>
      </c>
      <c r="C952" s="40">
        <f>ATAN2('1.설계입력'!$C$6/('1.설계입력'!$C$8*'1.설계입력'!$C$15)-COS((1-'1.설계입력'!$C$15)*B952),SIN((1-'1.설계입력'!$C$15)*B952))</f>
        <v>-8.8494988863592559E-3</v>
      </c>
      <c r="D952" s="40">
        <f>'1.설계입력'!$C$6*COS(B952)-'1.설계입력'!$C$7*COS(B952+C952)-'1.설계입력'!$C$8*COS('1.설계입력'!$C$15*B952)</f>
        <v>-78.476525990545696</v>
      </c>
      <c r="E952" s="40">
        <f>-'1.설계입력'!$C$6*SIN(B952)+'1.설계입력'!$C$7*SIN(B952+C952)+'1.설계입력'!$C$8*SIN('1.설계입력'!$C$15*B952)</f>
        <v>12.714459522021741</v>
      </c>
      <c r="F952" s="40">
        <f>ATAN2(('1.설계입력'!$C$6+'1.설계입력'!$C$33)/('1.설계입력'!$C$8*'1.설계입력'!$C$15)-COS((1-'1.설계입력'!$C$15)*B952),SIN((1-'1.설계입력'!$C$15)*B952))</f>
        <v>-8.8496920916801853E-3</v>
      </c>
      <c r="G952" s="40">
        <f>('1.설계입력'!$C$6+'1.설계입력'!$C$33)*COS(B952)-('1.설계입력'!$C$7+'1.설계입력'!$C$34)*COS(B952+F952)-'1.설계입력'!$C$8*COS('1.설계입력'!$C$15*B952)</f>
        <v>-78.465458800140468</v>
      </c>
      <c r="H952" s="40">
        <f>-('1.설계입력'!$C$6+'1.설계입력'!$C$33)*SIN(B952)+('1.설계입력'!$C$7+'1.설계입력'!$C$34)*SIN(B952+F952)+'1.설계입력'!$C$8*SIN('1.설계입력'!$C$15*B952)</f>
        <v>12.712740426852072</v>
      </c>
      <c r="I952" s="40">
        <f t="shared" si="43"/>
        <v>79.499827751272036</v>
      </c>
      <c r="J952" s="40">
        <f t="shared" si="44"/>
        <v>79.488628078971516</v>
      </c>
      <c r="K952" s="38" t="str">
        <f>IF(OR(A952&gt;180,'1.설계입력'!$C$39&gt;=1),"",'1.설계입력'!$C$34*(1-SIN(B952)/SQRT(1+'1.설계입력'!$C$39^2-2*'1.설계입력'!$C$39*COS(B952)))-'1.설계입력'!$C$33*(1-'1.설계입력'!$C$39*COS(B952)-SQRT(MAX(0,1-'1.설계입력'!$C$39^2))*SIN(B952))/SQRT(1+'1.설계입력'!$C$39^2-2*'1.설계입력'!$C$39*COS(B952)))</f>
        <v/>
      </c>
    </row>
    <row r="953" spans="1:11" x14ac:dyDescent="0.3">
      <c r="A953" s="40">
        <f>A952+'1.설계입력'!$C$12</f>
        <v>189.39999999999779</v>
      </c>
      <c r="B953" s="40">
        <f t="shared" si="42"/>
        <v>3.3056536032772215</v>
      </c>
      <c r="C953" s="40">
        <f>ATAN2('1.설계입력'!$C$6/('1.설계입력'!$C$8*'1.설계입력'!$C$15)-COS((1-'1.설계입력'!$C$15)*B953),SIN((1-'1.설계입력'!$C$15)*B953))</f>
        <v>4.8662919701686569E-2</v>
      </c>
      <c r="D953" s="40">
        <f>'1.설계입력'!$C$6*COS(B953)-'1.설계입력'!$C$7*COS(B953+C953)-'1.설계입력'!$C$8*COS('1.설계입력'!$C$15*B953)</f>
        <v>-78.430971917057363</v>
      </c>
      <c r="E953" s="40">
        <f>-'1.설계입력'!$C$6*SIN(B953)+'1.설계입력'!$C$7*SIN(B953+C953)+'1.설계입력'!$C$8*SIN('1.설계입력'!$C$15*B953)</f>
        <v>12.961692330764679</v>
      </c>
      <c r="F953" s="40">
        <f>ATAN2(('1.설계입력'!$C$6+'1.설계입력'!$C$33)/('1.설계입력'!$C$8*'1.설계입력'!$C$15)-COS((1-'1.설계입력'!$C$15)*B953),SIN((1-'1.설계입력'!$C$15)*B953))</f>
        <v>4.8663983386566474E-2</v>
      </c>
      <c r="G953" s="40">
        <f>('1.설계입력'!$C$6+'1.설계입력'!$C$33)*COS(B953)-('1.설계입력'!$C$7+'1.설계입력'!$C$34)*COS(B953+F953)-'1.설계입력'!$C$8*COS('1.설계입력'!$C$15*B953)</f>
        <v>-78.419997021747406</v>
      </c>
      <c r="H953" s="40">
        <f>-('1.설계입력'!$C$6+'1.설계입력'!$C$33)*SIN(B953)+('1.설계입력'!$C$7+'1.설계입력'!$C$34)*SIN(B953+F953)+'1.설계입력'!$C$8*SIN('1.설계입력'!$C$15*B953)</f>
        <v>12.959471755496427</v>
      </c>
      <c r="I953" s="40">
        <f t="shared" si="43"/>
        <v>79.494797464561444</v>
      </c>
      <c r="J953" s="40">
        <f t="shared" si="44"/>
        <v>79.483607373296678</v>
      </c>
      <c r="K953" s="38" t="str">
        <f>IF(OR(A953&gt;180,'1.설계입력'!$C$39&gt;=1),"",'1.설계입력'!$C$34*(1-SIN(B953)/SQRT(1+'1.설계입력'!$C$39^2-2*'1.설계입력'!$C$39*COS(B953)))-'1.설계입력'!$C$33*(1-'1.설계입력'!$C$39*COS(B953)-SQRT(MAX(0,1-'1.설계입력'!$C$39^2))*SIN(B953))/SQRT(1+'1.설계입력'!$C$39^2-2*'1.설계입력'!$C$39*COS(B953)))</f>
        <v/>
      </c>
    </row>
    <row r="954" spans="1:11" x14ac:dyDescent="0.3">
      <c r="A954" s="40">
        <f>A953+'1.설계입력'!$C$12</f>
        <v>189.59999999999778</v>
      </c>
      <c r="B954" s="40">
        <f t="shared" si="42"/>
        <v>3.3091442617812099</v>
      </c>
      <c r="C954" s="40">
        <f>ATAN2('1.설계입력'!$C$6/('1.설계입력'!$C$8*'1.설계입력'!$C$15)-COS((1-'1.설계입력'!$C$15)*B954),SIN((1-'1.설계입력'!$C$15)*B954))</f>
        <v>0.10609404750909572</v>
      </c>
      <c r="D954" s="40">
        <f>'1.설계입력'!$C$6*COS(B954)-'1.설계입력'!$C$7*COS(B954+C954)-'1.설계입력'!$C$8*COS('1.설계입력'!$C$15*B954)</f>
        <v>-78.3708248946525</v>
      </c>
      <c r="E954" s="40">
        <f>-'1.설계입력'!$C$6*SIN(B954)+'1.설계입력'!$C$7*SIN(B954+C954)+'1.설계입력'!$C$8*SIN('1.설계입력'!$C$15*B954)</f>
        <v>13.204169262399766</v>
      </c>
      <c r="F954" s="40">
        <f>ATAN2(('1.설계입력'!$C$6+'1.설계입력'!$C$33)/('1.설계입력'!$C$8*'1.설계입력'!$C$15)-COS((1-'1.설계입력'!$C$15)*B954),SIN((1-'1.설계입력'!$C$15)*B954))</f>
        <v>0.10609637728301066</v>
      </c>
      <c r="G954" s="40">
        <f>('1.설계입력'!$C$6+'1.설계입력'!$C$33)*COS(B954)-('1.설계입력'!$C$7+'1.설계입력'!$C$34)*COS(B954+F954)-'1.설계입력'!$C$8*COS('1.설계입력'!$C$15*B954)</f>
        <v>-78.359972214598912</v>
      </c>
      <c r="H954" s="40">
        <f>-('1.설계입력'!$C$6+'1.설계입력'!$C$33)*SIN(B954)+('1.설계입력'!$C$7+'1.설계입력'!$C$34)*SIN(B954+F954)+'1.설계입력'!$C$8*SIN('1.설계입력'!$C$15*B954)</f>
        <v>13.201454318578172</v>
      </c>
      <c r="I954" s="40">
        <f t="shared" si="43"/>
        <v>79.475381600709454</v>
      </c>
      <c r="J954" s="40">
        <f t="shared" si="44"/>
        <v>79.464228691897716</v>
      </c>
      <c r="K954" s="38" t="str">
        <f>IF(OR(A954&gt;180,'1.설계입력'!$C$39&gt;=1),"",'1.설계입력'!$C$34*(1-SIN(B954)/SQRT(1+'1.설계입력'!$C$39^2-2*'1.설계입력'!$C$39*COS(B954)))-'1.설계입력'!$C$33*(1-'1.설계입력'!$C$39*COS(B954)-SQRT(MAX(0,1-'1.설계입력'!$C$39^2))*SIN(B954))/SQRT(1+'1.설계입력'!$C$39^2-2*'1.설계입력'!$C$39*COS(B954)))</f>
        <v/>
      </c>
    </row>
    <row r="955" spans="1:11" x14ac:dyDescent="0.3">
      <c r="A955" s="40">
        <f>A954+'1.설계입력'!$C$12</f>
        <v>189.79999999999777</v>
      </c>
      <c r="B955" s="40">
        <f t="shared" si="42"/>
        <v>3.3126349202851983</v>
      </c>
      <c r="C955" s="40">
        <f>ATAN2('1.설계입력'!$C$6/('1.설계입력'!$C$8*'1.설계입력'!$C$15)-COS((1-'1.설계입력'!$C$15)*B955),SIN((1-'1.설계입력'!$C$15)*B955))</f>
        <v>0.16334492824920269</v>
      </c>
      <c r="D955" s="40">
        <f>'1.설계입력'!$C$6*COS(B955)-'1.설계입력'!$C$7*COS(B955+C955)-'1.설계입력'!$C$8*COS('1.설계입력'!$C$15*B955)</f>
        <v>-78.297073405073917</v>
      </c>
      <c r="E955" s="40">
        <f>-'1.설계입력'!$C$6*SIN(B955)+'1.설계입력'!$C$7*SIN(B955+C955)+'1.설계입력'!$C$8*SIN('1.설계입력'!$C$15*B955)</f>
        <v>13.439296352892633</v>
      </c>
      <c r="F955" s="40">
        <f>ATAN2(('1.설계입력'!$C$6+'1.설계입력'!$C$33)/('1.설계입력'!$C$8*'1.설계입력'!$C$15)-COS((1-'1.설계입력'!$C$15)*B955),SIN((1-'1.설계입력'!$C$15)*B955))</f>
        <v>0.1633485444825854</v>
      </c>
      <c r="G955" s="40">
        <f>('1.설계입력'!$C$6+'1.설계입력'!$C$33)*COS(B955)-('1.설계입력'!$C$7+'1.설계입력'!$C$34)*COS(B955+F955)-'1.설계입력'!$C$8*COS('1.설계입력'!$C$15*B955)</f>
        <v>-78.286372043488427</v>
      </c>
      <c r="H955" s="40">
        <f>-('1.설계입력'!$C$6+'1.설계입력'!$C$33)*SIN(B955)+('1.설계입력'!$C$7+'1.설계입력'!$C$34)*SIN(B955+F955)+'1.설계입력'!$C$8*SIN('1.설계입력'!$C$15*B955)</f>
        <v>13.436096670053665</v>
      </c>
      <c r="I955" s="40">
        <f t="shared" si="43"/>
        <v>79.442094573723367</v>
      </c>
      <c r="J955" s="40">
        <f t="shared" si="44"/>
        <v>79.431006171762135</v>
      </c>
      <c r="K955" s="38" t="str">
        <f>IF(OR(A955&gt;180,'1.설계입력'!$C$39&gt;=1),"",'1.설계입력'!$C$34*(1-SIN(B955)/SQRT(1+'1.설계입력'!$C$39^2-2*'1.설계입력'!$C$39*COS(B955)))-'1.설계입력'!$C$33*(1-'1.설계입력'!$C$39*COS(B955)-SQRT(MAX(0,1-'1.설계입력'!$C$39^2))*SIN(B955))/SQRT(1+'1.설계입력'!$C$39^2-2*'1.설계입력'!$C$39*COS(B955)))</f>
        <v/>
      </c>
    </row>
    <row r="956" spans="1:11" x14ac:dyDescent="0.3">
      <c r="A956" s="40">
        <f>A955+'1.설계입력'!$C$12</f>
        <v>189.99999999999775</v>
      </c>
      <c r="B956" s="40">
        <f t="shared" si="42"/>
        <v>3.3161255787891868</v>
      </c>
      <c r="C956" s="40">
        <f>ATAN2('1.설계입력'!$C$6/('1.설계입력'!$C$8*'1.설계입력'!$C$15)-COS((1-'1.설계입력'!$C$15)*B956),SIN((1-'1.설계입력'!$C$15)*B956))</f>
        <v>0.2203099552994259</v>
      </c>
      <c r="D956" s="40">
        <f>'1.설계입력'!$C$6*COS(B956)-'1.설계입력'!$C$7*COS(B956+C956)-'1.설계입력'!$C$8*COS('1.설계입력'!$C$15*B956)</f>
        <v>-78.211074356318605</v>
      </c>
      <c r="E956" s="40">
        <f>-'1.설계입력'!$C$6*SIN(B956)+'1.설계입력'!$C$7*SIN(B956+C956)+'1.설계입력'!$C$8*SIN('1.설계입력'!$C$15*B956)</f>
        <v>13.664679330016035</v>
      </c>
      <c r="F956" s="40">
        <f>ATAN2(('1.설계입력'!$C$6+'1.설계입력'!$C$33)/('1.설계입력'!$C$8*'1.설계입력'!$C$15)-COS((1-'1.설계입력'!$C$15)*B956),SIN((1-'1.설계입력'!$C$15)*B956))</f>
        <v>0.22031489022351256</v>
      </c>
      <c r="G956" s="40">
        <f>('1.설계입력'!$C$6+'1.설계입력'!$C$33)*COS(B956)-('1.설계입력'!$C$7+'1.설계입력'!$C$34)*COS(B956+F956)-'1.설계입력'!$C$8*COS('1.설계입력'!$C$15*B956)</f>
        <v>-78.200552299027351</v>
      </c>
      <c r="H956" s="40">
        <f>-('1.설계입력'!$C$6+'1.설계입력'!$C$33)*SIN(B956)+('1.설계입력'!$C$7+'1.설계입력'!$C$34)*SIN(B956+F956)+'1.설계입력'!$C$8*SIN('1.설계입력'!$C$15*B956)</f>
        <v>13.661006991298903</v>
      </c>
      <c r="I956" s="40">
        <f t="shared" si="43"/>
        <v>79.395816093555993</v>
      </c>
      <c r="J956" s="40">
        <f t="shared" si="44"/>
        <v>79.384819026620136</v>
      </c>
      <c r="K956" s="38" t="str">
        <f>IF(OR(A956&gt;180,'1.설계입력'!$C$39&gt;=1),"",'1.설계입력'!$C$34*(1-SIN(B956)/SQRT(1+'1.설계입력'!$C$39^2-2*'1.설계입력'!$C$39*COS(B956)))-'1.설계입력'!$C$33*(1-'1.설계입력'!$C$39*COS(B956)-SQRT(MAX(0,1-'1.설계입력'!$C$39^2))*SIN(B956))/SQRT(1+'1.설계입력'!$C$39^2-2*'1.설계입력'!$C$39*COS(B956)))</f>
        <v/>
      </c>
    </row>
    <row r="957" spans="1:11" x14ac:dyDescent="0.3">
      <c r="A957" s="40">
        <f>A956+'1.설계입력'!$C$12</f>
        <v>190.19999999999774</v>
      </c>
      <c r="B957" s="40">
        <f t="shared" si="42"/>
        <v>3.3196162372931752</v>
      </c>
      <c r="C957" s="40">
        <f>ATAN2('1.설계입력'!$C$6/('1.설계입력'!$C$8*'1.설계입력'!$C$15)-COS((1-'1.설계입력'!$C$15)*B957),SIN((1-'1.설계입력'!$C$15)*B957))</f>
        <v>0.27687264441089809</v>
      </c>
      <c r="D957" s="40">
        <f>'1.설계입력'!$C$6*COS(B957)-'1.설계입력'!$C$7*COS(B957+C957)-'1.설계입력'!$C$8*COS('1.설계입력'!$C$15*B957)</f>
        <v>-78.114509254318563</v>
      </c>
      <c r="E957" s="40">
        <f>-'1.설계입력'!$C$6*SIN(B957)+'1.설계입력'!$C$7*SIN(B957+C957)+'1.설계입력'!$C$8*SIN('1.설계입력'!$C$15*B957)</f>
        <v>13.878189555620896</v>
      </c>
      <c r="F957" s="40">
        <f>ATAN2(('1.설계입력'!$C$6+'1.설계입력'!$C$33)/('1.설계입력'!$C$8*'1.설계입력'!$C$15)-COS((1-'1.설계입력'!$C$15)*B957),SIN((1-'1.설계입력'!$C$15)*B957))</f>
        <v>0.27687894323677192</v>
      </c>
      <c r="G957" s="40">
        <f>('1.설계입력'!$C$6+'1.설계입력'!$C$33)*COS(B957)-('1.설계입력'!$C$7+'1.설계입력'!$C$34)*COS(B957+F957)-'1.설계입력'!$C$8*COS('1.설계입력'!$C$15*B957)</f>
        <v>-78.104193056779749</v>
      </c>
      <c r="H957" s="40">
        <f>-('1.설계입력'!$C$6+'1.설계입력'!$C$33)*SIN(B957)+('1.설계입력'!$C$7+'1.설계입력'!$C$34)*SIN(B957+F957)+'1.설계입력'!$C$8*SIN('1.설계입력'!$C$15*B957)</f>
        <v>13.874059024333379</v>
      </c>
      <c r="I957" s="40">
        <f t="shared" si="43"/>
        <v>79.337763400443578</v>
      </c>
      <c r="J957" s="40">
        <f t="shared" si="44"/>
        <v>79.326883758669155</v>
      </c>
      <c r="K957" s="38" t="str">
        <f>IF(OR(A957&gt;180,'1.설계입력'!$C$39&gt;=1),"",'1.설계입력'!$C$34*(1-SIN(B957)/SQRT(1+'1.설계입력'!$C$39^2-2*'1.설계입력'!$C$39*COS(B957)))-'1.설계입력'!$C$33*(1-'1.설계입력'!$C$39*COS(B957)-SQRT(MAX(0,1-'1.설계입력'!$C$39^2))*SIN(B957))/SQRT(1+'1.설계입력'!$C$39^2-2*'1.설계입력'!$C$39*COS(B957)))</f>
        <v/>
      </c>
    </row>
    <row r="958" spans="1:11" x14ac:dyDescent="0.3">
      <c r="A958" s="40">
        <f>A957+'1.설계입력'!$C$12</f>
        <v>190.39999999999773</v>
      </c>
      <c r="B958" s="40">
        <f t="shared" si="42"/>
        <v>3.3231068957971637</v>
      </c>
      <c r="C958" s="40">
        <f>ATAN2('1.설계입력'!$C$6/('1.설계입력'!$C$8*'1.설계입력'!$C$15)-COS((1-'1.설계입력'!$C$15)*B958),SIN((1-'1.설계입력'!$C$15)*B958))</f>
        <v>0.33290051505307078</v>
      </c>
      <c r="D958" s="40">
        <f>'1.설계입력'!$C$6*COS(B958)-'1.설계입력'!$C$7*COS(B958+C958)-'1.설계입력'!$C$8*COS('1.설계입력'!$C$15*B958)</f>
        <v>-78.009326659168664</v>
      </c>
      <c r="E958" s="40">
        <f>-'1.설계입력'!$C$6*SIN(B958)+'1.설계입력'!$C$7*SIN(B958+C958)+'1.설계입력'!$C$8*SIN('1.설계입력'!$C$15*B958)</f>
        <v>14.078024540496548</v>
      </c>
      <c r="F958" s="40">
        <f>ATAN2(('1.설계입력'!$C$6+'1.설계입력'!$C$33)/('1.설계입력'!$C$8*'1.설계입력'!$C$15)-COS((1-'1.설계입력'!$C$15)*B958),SIN((1-'1.설계입력'!$C$15)*B958))</f>
        <v>0.33290823759950228</v>
      </c>
      <c r="G958" s="40">
        <f>('1.설계입력'!$C$6+'1.설계입력'!$C$33)*COS(B958)-('1.설계입력'!$C$7+'1.설계입력'!$C$34)*COS(B958+F958)-'1.설계입력'!$C$8*COS('1.설계입력'!$C$15*B958)</f>
        <v>-77.999241112559602</v>
      </c>
      <c r="H958" s="40">
        <f>-('1.설계입력'!$C$6+'1.설계입력'!$C$33)*SIN(B958)+('1.설계입력'!$C$7+'1.설계입력'!$C$34)*SIN(B958+F958)+'1.설계입력'!$C$8*SIN('1.설계입력'!$C$15*B958)</f>
        <v>14.07345257834359</v>
      </c>
      <c r="I958" s="40">
        <f t="shared" si="43"/>
        <v>79.269450740999247</v>
      </c>
      <c r="J958" s="40">
        <f t="shared" si="44"/>
        <v>79.258713600525297</v>
      </c>
      <c r="K958" s="38" t="str">
        <f>IF(OR(A958&gt;180,'1.설계입력'!$C$39&gt;=1),"",'1.설계입력'!$C$34*(1-SIN(B958)/SQRT(1+'1.설계입력'!$C$39^2-2*'1.설계입력'!$C$39*COS(B958)))-'1.설계입력'!$C$33*(1-'1.설계입력'!$C$39*COS(B958)-SQRT(MAX(0,1-'1.설계입력'!$C$39^2))*SIN(B958))/SQRT(1+'1.설계입력'!$C$39^2-2*'1.설계입력'!$C$39*COS(B958)))</f>
        <v/>
      </c>
    </row>
    <row r="959" spans="1:11" x14ac:dyDescent="0.3">
      <c r="A959" s="40">
        <f>A958+'1.설계입력'!$C$12</f>
        <v>190.59999999999772</v>
      </c>
      <c r="B959" s="40">
        <f t="shared" si="42"/>
        <v>3.3265975543011521</v>
      </c>
      <c r="C959" s="40">
        <f>ATAN2('1.설계입력'!$C$6/('1.설계입력'!$C$8*'1.설계입력'!$C$15)-COS((1-'1.설계입력'!$C$15)*B959),SIN((1-'1.설계입력'!$C$15)*B959))</f>
        <v>0.38823858520380106</v>
      </c>
      <c r="D959" s="40">
        <f>'1.설계입력'!$C$6*COS(B959)-'1.설계입력'!$C$7*COS(B959+C959)-'1.설계입력'!$C$8*COS('1.설계입력'!$C$15*B959)</f>
        <v>-77.897670307242151</v>
      </c>
      <c r="E959" s="40">
        <f>-'1.설계입력'!$C$6*SIN(B959)+'1.설계입력'!$C$7*SIN(B959+C959)+'1.설계입력'!$C$8*SIN('1.설계입력'!$C$15*B959)</f>
        <v>14.262762222148829</v>
      </c>
      <c r="F959" s="40">
        <f>ATAN2(('1.설계입력'!$C$6+'1.설계입력'!$C$33)/('1.설계입력'!$C$8*'1.설계입력'!$C$15)-COS((1-'1.설계입력'!$C$15)*B959),SIN((1-'1.설계입력'!$C$15)*B959))</f>
        <v>0.38824780815331367</v>
      </c>
      <c r="G959" s="40">
        <f>('1.설계입력'!$C$6+'1.설계입력'!$C$33)*COS(B959)-('1.설계입력'!$C$7+'1.설계입력'!$C$34)*COS(B959+F959)-'1.설계입력'!$C$8*COS('1.설계입력'!$C$15*B959)</f>
        <v>-77.887838072239873</v>
      </c>
      <c r="H959" s="40">
        <f>-('1.설계입력'!$C$6+'1.설계입력'!$C$33)*SIN(B959)+('1.설계입력'!$C$7+'1.설계입력'!$C$34)*SIN(B959+F959)+'1.설계입력'!$C$8*SIN('1.설계입력'!$C$15*B959)</f>
        <v>14.257767800599311</v>
      </c>
      <c r="I959" s="40">
        <f t="shared" si="43"/>
        <v>79.192634919551395</v>
      </c>
      <c r="J959" s="40">
        <f t="shared" si="44"/>
        <v>79.182064018458533</v>
      </c>
      <c r="K959" s="38" t="str">
        <f>IF(OR(A959&gt;180,'1.설계입력'!$C$39&gt;=1),"",'1.설계입력'!$C$34*(1-SIN(B959)/SQRT(1+'1.설계입력'!$C$39^2-2*'1.설계입력'!$C$39*COS(B959)))-'1.설계입력'!$C$33*(1-'1.설계입력'!$C$39*COS(B959)-SQRT(MAX(0,1-'1.설계입력'!$C$39^2))*SIN(B959))/SQRT(1+'1.설계입력'!$C$39^2-2*'1.설계입력'!$C$39*COS(B959)))</f>
        <v/>
      </c>
    </row>
    <row r="960" spans="1:11" x14ac:dyDescent="0.3">
      <c r="A960" s="40">
        <f>A959+'1.설계입력'!$C$12</f>
        <v>190.79999999999771</v>
      </c>
      <c r="B960" s="40">
        <f t="shared" si="42"/>
        <v>3.330088212805141</v>
      </c>
      <c r="C960" s="40">
        <f>ATAN2('1.설계입력'!$C$6/('1.설계입력'!$C$8*'1.설계입력'!$C$15)-COS((1-'1.설계입력'!$C$15)*B960),SIN((1-'1.설계입력'!$C$15)*B960))</f>
        <v>0.44270077298352795</v>
      </c>
      <c r="D960" s="40">
        <f>'1.설계입력'!$C$6*COS(B960)-'1.설계입력'!$C$7*COS(B960+C960)-'1.설계입력'!$C$8*COS('1.설계입력'!$C$15*B960)</f>
        <v>-77.781791581686562</v>
      </c>
      <c r="E960" s="40">
        <f>-'1.설계입력'!$C$6*SIN(B960)+'1.설계입력'!$C$7*SIN(B960+C960)+'1.설계입력'!$C$8*SIN('1.설계입력'!$C$15*B960)</f>
        <v>14.43140854869878</v>
      </c>
      <c r="F960" s="40">
        <f>ATAN2(('1.설계입력'!$C$6+'1.설계입력'!$C$33)/('1.설계입력'!$C$8*'1.설계입력'!$C$15)-COS((1-'1.설계입력'!$C$15)*B960),SIN((1-'1.설계입력'!$C$15)*B960))</f>
        <v>0.44271159294017248</v>
      </c>
      <c r="G960" s="40">
        <f>('1.설계입력'!$C$6+'1.설계입력'!$C$33)*COS(B960)-('1.설계입력'!$C$7+'1.설계입력'!$C$34)*COS(B960+F960)-'1.설계입력'!$C$8*COS('1.설계입력'!$C$15*B960)</f>
        <v>-77.772232773867998</v>
      </c>
      <c r="H960" s="40">
        <f>-('1.설계입력'!$C$6+'1.설계입력'!$C$33)*SIN(B960)+('1.설계입력'!$C$7+'1.설계입력'!$C$34)*SIN(B960+F960)+'1.설계입력'!$C$8*SIN('1.설계입력'!$C$15*B960)</f>
        <v>14.426012756101656</v>
      </c>
      <c r="I960" s="40">
        <f t="shared" si="43"/>
        <v>79.109245062485471</v>
      </c>
      <c r="J960" s="40">
        <f t="shared" si="44"/>
        <v>79.098862410732025</v>
      </c>
      <c r="K960" s="38" t="str">
        <f>IF(OR(A960&gt;180,'1.설계입력'!$C$39&gt;=1),"",'1.설계입력'!$C$34*(1-SIN(B960)/SQRT(1+'1.설계입력'!$C$39^2-2*'1.설계입력'!$C$39*COS(B960)))-'1.설계입력'!$C$33*(1-'1.설계입력'!$C$39*COS(B960)-SQRT(MAX(0,1-'1.설계입력'!$C$39^2))*SIN(B960))/SQRT(1+'1.설계입력'!$C$39^2-2*'1.설계입력'!$C$39*COS(B960)))</f>
        <v/>
      </c>
    </row>
    <row r="961" spans="1:11" x14ac:dyDescent="0.3">
      <c r="A961" s="40">
        <f>A960+'1.설계입력'!$C$12</f>
        <v>190.9999999999977</v>
      </c>
      <c r="B961" s="40">
        <f t="shared" si="42"/>
        <v>3.3335788713091294</v>
      </c>
      <c r="C961" s="40">
        <f>ATAN2('1.설계입력'!$C$6/('1.설계입력'!$C$8*'1.설계입력'!$C$15)-COS((1-'1.설계입력'!$C$15)*B961),SIN((1-'1.설계입력'!$C$15)*B961))</f>
        <v>0.49605815253485941</v>
      </c>
      <c r="D961" s="40">
        <f>'1.설계입력'!$C$6*COS(B961)-'1.설계입력'!$C$7*COS(B961+C961)-'1.설계입력'!$C$8*COS('1.설계입력'!$C$15*B961)</f>
        <v>-77.663943827445749</v>
      </c>
      <c r="E961" s="40">
        <f>-'1.설계입력'!$C$6*SIN(B961)+'1.설계입력'!$C$7*SIN(B961+C961)+'1.설계입력'!$C$8*SIN('1.설계입력'!$C$15*B961)</f>
        <v>14.583438473106645</v>
      </c>
      <c r="F961" s="40">
        <f>ATAN2(('1.설계입력'!$C$6+'1.설계입력'!$C$33)/('1.설계입력'!$C$8*'1.설계입력'!$C$15)-COS((1-'1.설계입력'!$C$15)*B961),SIN((1-'1.설계입력'!$C$15)*B961))</f>
        <v>0.4960706901313568</v>
      </c>
      <c r="G961" s="40">
        <f>('1.설계입력'!$C$6+'1.설계입력'!$C$33)*COS(B961)-('1.설계입력'!$C$7+'1.설계입력'!$C$34)*COS(B961+F961)-'1.설계입력'!$C$8*COS('1.설계입력'!$C$15*B961)</f>
        <v>-77.654675530893769</v>
      </c>
      <c r="H961" s="40">
        <f>-('1.설계입력'!$C$6+'1.설계입력'!$C$33)*SIN(B961)+('1.설계입력'!$C$7+'1.설계입력'!$C$34)*SIN(B961+F961)+'1.설계입력'!$C$8*SIN('1.설계입력'!$C$15*B961)</f>
        <v>14.577664422007127</v>
      </c>
      <c r="I961" s="40">
        <f t="shared" si="43"/>
        <v>79.021293639952106</v>
      </c>
      <c r="J961" s="40">
        <f t="shared" si="44"/>
        <v>79.011119039088697</v>
      </c>
      <c r="K961" s="38" t="str">
        <f>IF(OR(A961&gt;180,'1.설계입력'!$C$39&gt;=1),"",'1.설계입력'!$C$34*(1-SIN(B961)/SQRT(1+'1.설계입력'!$C$39^2-2*'1.설계입력'!$C$39*COS(B961)))-'1.설계입력'!$C$33*(1-'1.설계입력'!$C$39*COS(B961)-SQRT(MAX(0,1-'1.설계입력'!$C$39^2))*SIN(B961))/SQRT(1+'1.설계입력'!$C$39^2-2*'1.설계입력'!$C$39*COS(B961)))</f>
        <v/>
      </c>
    </row>
    <row r="962" spans="1:11" x14ac:dyDescent="0.3">
      <c r="A962" s="40">
        <f>A961+'1.설계입력'!$C$12</f>
        <v>191.19999999999769</v>
      </c>
      <c r="B962" s="40">
        <f t="shared" si="42"/>
        <v>3.3370695298131179</v>
      </c>
      <c r="C962" s="40">
        <f>ATAN2('1.설계입력'!$C$6/('1.설계입력'!$C$8*'1.설계입력'!$C$15)-COS((1-'1.설계입력'!$C$15)*B962),SIN((1-'1.설계입력'!$C$15)*B962))</f>
        <v>0.54802244106878784</v>
      </c>
      <c r="D962" s="40">
        <f>'1.설계입력'!$C$6*COS(B962)-'1.설계입력'!$C$7*COS(B962+C962)-'1.설계입력'!$C$8*COS('1.설계입력'!$C$15*B962)</f>
        <v>-77.546254004309844</v>
      </c>
      <c r="E962" s="40">
        <f>-'1.설계입력'!$C$6*SIN(B962)+'1.설계입력'!$C$7*SIN(B962+C962)+'1.설계입력'!$C$8*SIN('1.설계입력'!$C$15*B962)</f>
        <v>14.71883138554983</v>
      </c>
      <c r="F962" s="40">
        <f>ATAN2(('1.설계입력'!$C$6+'1.설계입력'!$C$33)/('1.설계입력'!$C$8*'1.설계입력'!$C$15)-COS((1-'1.설계입력'!$C$15)*B962),SIN((1-'1.설계입력'!$C$15)*B962))</f>
        <v>0.54803684647367823</v>
      </c>
      <c r="G962" s="40">
        <f>('1.설계입력'!$C$6+'1.설계입력'!$C$33)*COS(B962)-('1.설계입력'!$C$7+'1.설계입력'!$C$34)*COS(B962+F962)-'1.설계입력'!$C$8*COS('1.설계입력'!$C$15*B962)</f>
        <v>-77.537289678431051</v>
      </c>
      <c r="H962" s="40">
        <f>-('1.설계입력'!$C$6+'1.설계입력'!$C$33)*SIN(B962)+('1.설계입력'!$C$7+'1.설계입력'!$C$34)*SIN(B962+F962)+'1.설계입력'!$C$8*SIN('1.설계입력'!$C$15*B962)</f>
        <v>14.712704127816522</v>
      </c>
      <c r="I962" s="40">
        <f t="shared" si="43"/>
        <v>78.930764011614556</v>
      </c>
      <c r="J962" s="40">
        <f t="shared" si="44"/>
        <v>78.920814449862334</v>
      </c>
      <c r="K962" s="38" t="str">
        <f>IF(OR(A962&gt;180,'1.설계입력'!$C$39&gt;=1),"",'1.설계입력'!$C$34*(1-SIN(B962)/SQRT(1+'1.설계입력'!$C$39^2-2*'1.설계입력'!$C$39*COS(B962)))-'1.설계입력'!$C$33*(1-'1.설계입력'!$C$39*COS(B962)-SQRT(MAX(0,1-'1.설계입력'!$C$39^2))*SIN(B962))/SQRT(1+'1.설계입력'!$C$39^2-2*'1.설계입력'!$C$39*COS(B962)))</f>
        <v/>
      </c>
    </row>
    <row r="963" spans="1:11" x14ac:dyDescent="0.3">
      <c r="A963" s="40">
        <f>A962+'1.설계입력'!$C$12</f>
        <v>191.39999999999768</v>
      </c>
      <c r="B963" s="40">
        <f t="shared" si="42"/>
        <v>3.3405601883171063</v>
      </c>
      <c r="C963" s="40">
        <f>ATAN2('1.설계입력'!$C$6/('1.설계입력'!$C$8*'1.설계입력'!$C$15)-COS((1-'1.설계입력'!$C$15)*B963),SIN((1-'1.설계입력'!$C$15)*B963))</f>
        <v>0.59822213579498873</v>
      </c>
      <c r="D963" s="40">
        <f>'1.설계입력'!$C$6*COS(B963)-'1.설계입력'!$C$7*COS(B963+C963)-'1.설계입력'!$C$8*COS('1.설계입력'!$C$15*B963)</f>
        <v>-77.430563774540687</v>
      </c>
      <c r="E963" s="40">
        <f>-'1.설계입력'!$C$6*SIN(B963)+'1.설계입력'!$C$7*SIN(B963+C963)+'1.설계입력'!$C$8*SIN('1.설계입력'!$C$15*B963)</f>
        <v>14.838103613120852</v>
      </c>
      <c r="F963" s="40">
        <f>ATAN2(('1.설계입력'!$C$6+'1.설계입력'!$C$33)/('1.설계입력'!$C$8*'1.설계입력'!$C$15)-COS((1-'1.설계입력'!$C$15)*B963),SIN((1-'1.설계입력'!$C$15)*B963))</f>
        <v>0.59823859611258945</v>
      </c>
      <c r="G963" s="40">
        <f>('1.설계입력'!$C$6+'1.설계입력'!$C$33)*COS(B963)-('1.설계입력'!$C$7+'1.설계입력'!$C$34)*COS(B963+F963)-'1.설계입력'!$C$8*COS('1.설계입력'!$C$15*B963)</f>
        <v>-77.421912500500468</v>
      </c>
      <c r="H963" s="40">
        <f>-('1.설계입력'!$C$6+'1.설계입력'!$C$33)*SIN(B963)+('1.설계입력'!$C$7+'1.설계입력'!$C$34)*SIN(B963+F963)+'1.설계입력'!$C$8*SIN('1.설계입력'!$C$15*B963)</f>
        <v>14.831650076174252</v>
      </c>
      <c r="I963" s="40">
        <f t="shared" si="43"/>
        <v>78.839466799800988</v>
      </c>
      <c r="J963" s="40">
        <f t="shared" si="44"/>
        <v>78.82975567142924</v>
      </c>
      <c r="K963" s="38" t="str">
        <f>IF(OR(A963&gt;180,'1.설계입력'!$C$39&gt;=1),"",'1.설계입력'!$C$34*(1-SIN(B963)/SQRT(1+'1.설계입력'!$C$39^2-2*'1.설계입력'!$C$39*COS(B963)))-'1.설계입력'!$C$33*(1-'1.설계입력'!$C$39*COS(B963)-SQRT(MAX(0,1-'1.설계입력'!$C$39^2))*SIN(B963))/SQRT(1+'1.설계입력'!$C$39^2-2*'1.설계입력'!$C$39*COS(B963)))</f>
        <v/>
      </c>
    </row>
    <row r="964" spans="1:11" x14ac:dyDescent="0.3">
      <c r="A964" s="40">
        <f>A963+'1.설계입력'!$C$12</f>
        <v>191.59999999999766</v>
      </c>
      <c r="B964" s="40">
        <f t="shared" si="42"/>
        <v>3.3440508468210948</v>
      </c>
      <c r="C964" s="40">
        <f>ATAN2('1.설계입력'!$C$6/('1.설계입력'!$C$8*'1.설계입력'!$C$15)-COS((1-'1.설계입력'!$C$15)*B964),SIN((1-'1.설계입력'!$C$15)*B964))</f>
        <v>0.6461670694299243</v>
      </c>
      <c r="D964" s="40">
        <f>'1.설계입력'!$C$6*COS(B964)-'1.설계입력'!$C$7*COS(B964+C964)-'1.설계입력'!$C$8*COS('1.설계입력'!$C$15*B964)</f>
        <v>-77.318226283219289</v>
      </c>
      <c r="E964" s="40">
        <f>-'1.설계입력'!$C$6*SIN(B964)+'1.설계입력'!$C$7*SIN(B964+C964)+'1.설계입력'!$C$8*SIN('1.설계입력'!$C$15*B964)</f>
        <v>14.9423435552639</v>
      </c>
      <c r="F964" s="40">
        <f>ATAN2(('1.설계입력'!$C$6+'1.설계입력'!$C$33)/('1.설계입력'!$C$8*'1.설계입력'!$C$15)-COS((1-'1.설계입력'!$C$15)*B964),SIN((1-'1.설계입력'!$C$15)*B964))</f>
        <v>0.64618581867573455</v>
      </c>
      <c r="G964" s="40">
        <f>('1.설계입력'!$C$6+'1.설계입력'!$C$33)*COS(B964)-('1.설계입력'!$C$7+'1.설계입력'!$C$34)*COS(B964+F964)-'1.설계입력'!$C$8*COS('1.설계입력'!$C$15*B964)</f>
        <v>-77.309891765820552</v>
      </c>
      <c r="H964" s="40">
        <f>-('1.설계입력'!$C$6+'1.설계입력'!$C$33)*SIN(B964)+('1.설계입력'!$C$7+'1.설계입력'!$C$34)*SIN(B964+F964)+'1.설계입력'!$C$8*SIN('1.설계입력'!$C$15*B964)</f>
        <v>14.935592523317869</v>
      </c>
      <c r="I964" s="40">
        <f t="shared" si="43"/>
        <v>78.748852350409777</v>
      </c>
      <c r="J964" s="40">
        <f t="shared" si="44"/>
        <v>78.739388420697537</v>
      </c>
      <c r="K964" s="38" t="str">
        <f>IF(OR(A964&gt;180,'1.설계입력'!$C$39&gt;=1),"",'1.설계입력'!$C$34*(1-SIN(B964)/SQRT(1+'1.설계입력'!$C$39^2-2*'1.설계입력'!$C$39*COS(B964)))-'1.설계입력'!$C$33*(1-'1.설계입력'!$C$39*COS(B964)-SQRT(MAX(0,1-'1.설계입력'!$C$39^2))*SIN(B964))/SQRT(1+'1.설계입력'!$C$39^2-2*'1.설계입력'!$C$39*COS(B964)))</f>
        <v/>
      </c>
    </row>
    <row r="965" spans="1:11" x14ac:dyDescent="0.3">
      <c r="A965" s="40">
        <f>A964+'1.설계입력'!$C$12</f>
        <v>191.79999999999765</v>
      </c>
      <c r="B965" s="40">
        <f t="shared" si="42"/>
        <v>3.3475415053250832</v>
      </c>
      <c r="C965" s="40">
        <f>ATAN2('1.설계입력'!$C$6/('1.설계입력'!$C$8*'1.설계입력'!$C$15)-COS((1-'1.설계입력'!$C$15)*B965),SIN((1-'1.설계입력'!$C$15)*B965))</f>
        <v>0.69119422737246849</v>
      </c>
      <c r="D965" s="40">
        <f>'1.설계입력'!$C$6*COS(B965)-'1.설계입력'!$C$7*COS(B965+C965)-'1.설계입력'!$C$8*COS('1.설계입력'!$C$15*B965)</f>
        <v>-77.209834662527939</v>
      </c>
      <c r="E965" s="40">
        <f>-'1.설계입력'!$C$6*SIN(B965)+'1.설계입력'!$C$7*SIN(B965+C965)+'1.설계입력'!$C$8*SIN('1.설계입력'!$C$15*B965)</f>
        <v>15.033260733737244</v>
      </c>
      <c r="F965" s="40">
        <f>ATAN2(('1.설계입력'!$C$6+'1.설계입력'!$C$33)/('1.설계입력'!$C$8*'1.설계입력'!$C$15)-COS((1-'1.설계입력'!$C$15)*B965),SIN((1-'1.설계입력'!$C$15)*B965))</f>
        <v>0.6912155599365295</v>
      </c>
      <c r="G965" s="40">
        <f>('1.설계입력'!$C$6+'1.설계입력'!$C$33)*COS(B965)-('1.설계입력'!$C$7+'1.설계입력'!$C$34)*COS(B965+F965)-'1.설계입력'!$C$8*COS('1.설계입력'!$C$15*B965)</f>
        <v>-77.20181385172971</v>
      </c>
      <c r="H965" s="40">
        <f>-('1.설계입력'!$C$6+'1.설계입력'!$C$33)*SIN(B965)+('1.설계입력'!$C$7+'1.설계입력'!$C$34)*SIN(B965+F965)+'1.설계입력'!$C$8*SIN('1.설계입력'!$C$15*B965)</f>
        <v>15.026242918629983</v>
      </c>
      <c r="I965" s="40">
        <f t="shared" si="43"/>
        <v>78.659757798403035</v>
      </c>
      <c r="J965" s="40">
        <f t="shared" si="44"/>
        <v>78.650543788627445</v>
      </c>
      <c r="K965" s="38" t="str">
        <f>IF(OR(A965&gt;180,'1.설계입력'!$C$39&gt;=1),"",'1.설계입력'!$C$34*(1-SIN(B965)/SQRT(1+'1.설계입력'!$C$39^2-2*'1.설계입력'!$C$39*COS(B965)))-'1.설계입력'!$C$33*(1-'1.설계입력'!$C$39*COS(B965)-SQRT(MAX(0,1-'1.설계입력'!$C$39^2))*SIN(B965))/SQRT(1+'1.설계입력'!$C$39^2-2*'1.설계입력'!$C$39*COS(B965)))</f>
        <v/>
      </c>
    </row>
    <row r="966" spans="1:11" x14ac:dyDescent="0.3">
      <c r="A966" s="40">
        <f>A965+'1.설계입력'!$C$12</f>
        <v>191.99999999999764</v>
      </c>
      <c r="B966" s="40">
        <f t="shared" ref="B966:B1029" si="45">RADIANS(A966)</f>
        <v>3.3510321638290717</v>
      </c>
      <c r="C966" s="40">
        <f>ATAN2('1.설계입력'!$C$6/('1.설계입력'!$C$8*'1.설계입력'!$C$15)-COS((1-'1.설계입력'!$C$15)*B966),SIN((1-'1.설계입력'!$C$15)*B966))</f>
        <v>0.7323823109816533</v>
      </c>
      <c r="D966" s="40">
        <f>'1.설계입력'!$C$6*COS(B966)-'1.설계입력'!$C$7*COS(B966+C966)-'1.설계입력'!$C$8*COS('1.설계입력'!$C$15*B966)</f>
        <v>-77.104839977783172</v>
      </c>
      <c r="E966" s="40">
        <f>-'1.설계입력'!$C$6*SIN(B966)+'1.설계입력'!$C$7*SIN(B966+C966)+'1.설계입력'!$C$8*SIN('1.설계입력'!$C$15*B966)</f>
        <v>15.113271760750266</v>
      </c>
      <c r="F966" s="40">
        <f>ATAN2(('1.설계입력'!$C$6+'1.설계입력'!$C$33)/('1.설계입력'!$C$8*'1.설계입력'!$C$15)-COS((1-'1.설계입력'!$C$15)*B966),SIN((1-'1.설계입력'!$C$15)*B966))</f>
        <v>0.73240659969025956</v>
      </c>
      <c r="G966" s="40">
        <f>('1.설계입력'!$C$6+'1.설계입력'!$C$33)*COS(B966)-('1.설계입력'!$C$7+'1.설계입력'!$C$34)*COS(B966+F966)-'1.설계입력'!$C$8*COS('1.설계입력'!$C$15*B966)</f>
        <v>-77.097121084293548</v>
      </c>
      <c r="H966" s="40">
        <f>-('1.설계입력'!$C$6+'1.설계입력'!$C$33)*SIN(B966)+('1.설계입력'!$C$7+'1.설계입력'!$C$34)*SIN(B966+F966)+'1.설계입력'!$C$8*SIN('1.설계입력'!$C$15*B966)</f>
        <v>15.106020048885462</v>
      </c>
      <c r="I966" s="40">
        <f t="shared" ref="I966:I1029" si="46">SQRT(D966^2+E966^2)</f>
        <v>78.572051846148455</v>
      </c>
      <c r="J966" s="40">
        <f t="shared" ref="J966:J1029" si="47">SQRT(G966^2+H966^2)</f>
        <v>78.56308243191296</v>
      </c>
      <c r="K966" s="38" t="str">
        <f>IF(OR(A966&gt;180,'1.설계입력'!$C$39&gt;=1),"",'1.설계입력'!$C$34*(1-SIN(B966)/SQRT(1+'1.설계입력'!$C$39^2-2*'1.설계입력'!$C$39*COS(B966)))-'1.설계입력'!$C$33*(1-'1.설계입력'!$C$39*COS(B966)-SQRT(MAX(0,1-'1.설계입력'!$C$39^2))*SIN(B966))/SQRT(1+'1.설계입력'!$C$39^2-2*'1.설계입력'!$C$39*COS(B966)))</f>
        <v/>
      </c>
    </row>
    <row r="967" spans="1:11" x14ac:dyDescent="0.3">
      <c r="A967" s="40">
        <f>A966+'1.설계입력'!$C$12</f>
        <v>192.19999999999763</v>
      </c>
      <c r="B967" s="40">
        <f t="shared" si="45"/>
        <v>3.3545228223330601</v>
      </c>
      <c r="C967" s="40">
        <f>ATAN2('1.설계입력'!$C$6/('1.설계입력'!$C$8*'1.설계입력'!$C$15)-COS((1-'1.설계입력'!$C$15)*B967),SIN((1-'1.설계입력'!$C$15)*B967))</f>
        <v>0.76841236863183937</v>
      </c>
      <c r="D967" s="40">
        <f>'1.설계입력'!$C$6*COS(B967)-'1.설계입력'!$C$7*COS(B967+C967)-'1.설계입력'!$C$8*COS('1.설계입력'!$C$15*B967)</f>
        <v>-77.00098283307058</v>
      </c>
      <c r="E967" s="40">
        <f>-'1.설계입력'!$C$6*SIN(B967)+'1.설계입력'!$C$7*SIN(B967+C967)+'1.설계입력'!$C$8*SIN('1.설계입력'!$C$15*B967)</f>
        <v>15.185671658117062</v>
      </c>
      <c r="F967" s="40">
        <f>ATAN2(('1.설계입력'!$C$6+'1.설계입력'!$C$33)/('1.설계입력'!$C$8*'1.설계입력'!$C$15)-COS((1-'1.설계입력'!$C$15)*B967),SIN((1-'1.설계입력'!$C$15)*B967))</f>
        <v>0.76844008838976952</v>
      </c>
      <c r="G967" s="40">
        <f>('1.설계입력'!$C$6+'1.설계입력'!$C$33)*COS(B967)-('1.설계입력'!$C$7+'1.설계입력'!$C$34)*COS(B967+F967)-'1.설계입력'!$C$8*COS('1.설계입력'!$C$15*B967)</f>
        <v>-76.993542351594968</v>
      </c>
      <c r="H967" s="40">
        <f>-('1.설계입력'!$C$6+'1.설계입력'!$C$33)*SIN(B967)+('1.설계입력'!$C$7+'1.설계입력'!$C$34)*SIN(B967+F967)+'1.설계입력'!$C$8*SIN('1.설계입력'!$C$15*B967)</f>
        <v>15.178221709264633</v>
      </c>
      <c r="I967" s="40">
        <f t="shared" si="46"/>
        <v>78.484112920813274</v>
      </c>
      <c r="J967" s="40">
        <f t="shared" si="47"/>
        <v>78.475371793336805</v>
      </c>
      <c r="K967" s="38" t="str">
        <f>IF(OR(A967&gt;180,'1.설계입력'!$C$39&gt;=1),"",'1.설계입력'!$C$34*(1-SIN(B967)/SQRT(1+'1.설계입력'!$C$39^2-2*'1.설계입력'!$C$39*COS(B967)))-'1.설계입력'!$C$33*(1-'1.설계입력'!$C$39*COS(B967)-SQRT(MAX(0,1-'1.설계입력'!$C$39^2))*SIN(B967))/SQRT(1+'1.설계입력'!$C$39^2-2*'1.설계입력'!$C$39*COS(B967)))</f>
        <v/>
      </c>
    </row>
    <row r="968" spans="1:11" x14ac:dyDescent="0.3">
      <c r="A968" s="40">
        <f>A967+'1.설계입력'!$C$12</f>
        <v>192.39999999999762</v>
      </c>
      <c r="B968" s="40">
        <f t="shared" si="45"/>
        <v>3.3580134808370485</v>
      </c>
      <c r="C968" s="40">
        <f>ATAN2('1.설계입력'!$C$6/('1.설계입력'!$C$8*'1.설계입력'!$C$15)-COS((1-'1.설계입력'!$C$15)*B968),SIN((1-'1.설계입력'!$C$15)*B968))</f>
        <v>0.79733184953406711</v>
      </c>
      <c r="D968" s="40">
        <f>'1.설계입력'!$C$6*COS(B968)-'1.설계입력'!$C$7*COS(B968+C968)-'1.설계입력'!$C$8*COS('1.설계입력'!$C$15*B968)</f>
        <v>-76.89340073229549</v>
      </c>
      <c r="E968" s="40">
        <f>-'1.설계입력'!$C$6*SIN(B968)+'1.설계입력'!$C$7*SIN(B968+C968)+'1.설계입력'!$C$8*SIN('1.설계입력'!$C$15*B968)</f>
        <v>15.254997269263889</v>
      </c>
      <c r="F968" s="40">
        <f>ATAN2(('1.설계입력'!$C$6+'1.설계입력'!$C$33)/('1.설계입력'!$C$8*'1.설계입력'!$C$15)-COS((1-'1.설계입력'!$C$15)*B968),SIN((1-'1.설계입력'!$C$15)*B968))</f>
        <v>0.7973636060404703</v>
      </c>
      <c r="G968" s="40">
        <f>('1.설계입력'!$C$6+'1.설계입력'!$C$33)*COS(B968)-('1.설계입력'!$C$7+'1.설계입력'!$C$34)*COS(B968+F968)-'1.설계입력'!$C$8*COS('1.설계입력'!$C$15*B968)</f>
        <v>-76.886198789407601</v>
      </c>
      <c r="H968" s="40">
        <f>-('1.설계입력'!$C$6+'1.설계입력'!$C$33)*SIN(B968)+('1.설계입력'!$C$7+'1.설계입력'!$C$34)*SIN(B968+F968)+'1.설계입력'!$C$8*SIN('1.설계입력'!$C$15*B968)</f>
        <v>15.247388843063575</v>
      </c>
      <c r="I968" s="40">
        <f t="shared" si="46"/>
        <v>78.392027769809786</v>
      </c>
      <c r="J968" s="40">
        <f t="shared" si="47"/>
        <v>78.383483150571223</v>
      </c>
      <c r="K968" s="38" t="str">
        <f>IF(OR(A968&gt;180,'1.설계입력'!$C$39&gt;=1),"",'1.설계입력'!$C$34*(1-SIN(B968)/SQRT(1+'1.설계입력'!$C$39^2-2*'1.설계입력'!$C$39*COS(B968)))-'1.설계입력'!$C$33*(1-'1.설계입력'!$C$39*COS(B968)-SQRT(MAX(0,1-'1.설계입력'!$C$39^2))*SIN(B968))/SQRT(1+'1.설계입력'!$C$39^2-2*'1.설계입력'!$C$39*COS(B968)))</f>
        <v/>
      </c>
    </row>
    <row r="969" spans="1:11" x14ac:dyDescent="0.3">
      <c r="A969" s="40">
        <f>A968+'1.설계입력'!$C$12</f>
        <v>192.59999999999761</v>
      </c>
      <c r="B969" s="40">
        <f t="shared" si="45"/>
        <v>3.361504139341037</v>
      </c>
      <c r="C969" s="40">
        <f>ATAN2('1.설계입력'!$C$6/('1.설계입력'!$C$8*'1.설계입력'!$C$15)-COS((1-'1.설계입력'!$C$15)*B969),SIN((1-'1.설계입력'!$C$15)*B969))</f>
        <v>0.8161389523948539</v>
      </c>
      <c r="D969" s="40">
        <f>'1.설계입력'!$C$6*COS(B969)-'1.설계입력'!$C$7*COS(B969+C969)-'1.설계입력'!$C$8*COS('1.설계입력'!$C$15*B969)</f>
        <v>-76.773159311631503</v>
      </c>
      <c r="E969" s="40">
        <f>-'1.설계입력'!$C$6*SIN(B969)+'1.설계입력'!$C$7*SIN(B969+C969)+'1.설계입력'!$C$8*SIN('1.설계입력'!$C$15*B969)</f>
        <v>15.327831041378243</v>
      </c>
      <c r="F969" s="40">
        <f>ATAN2(('1.설계입력'!$C$6+'1.설계입력'!$C$33)/('1.설계입력'!$C$8*'1.설계입력'!$C$15)-COS((1-'1.설계입력'!$C$15)*B969),SIN((1-'1.설계입력'!$C$15)*B969))</f>
        <v>0.81617550904720293</v>
      </c>
      <c r="G969" s="40">
        <f>('1.설계입력'!$C$6+'1.설계입력'!$C$33)*COS(B969)-('1.설계입력'!$C$7+'1.설계입력'!$C$34)*COS(B969+F969)-'1.설계입력'!$C$8*COS('1.설계입력'!$C$15*B969)</f>
        <v>-76.766132097317779</v>
      </c>
      <c r="H969" s="40">
        <f>-('1.설계입력'!$C$6+'1.설계입력'!$C$33)*SIN(B969)+('1.설계입력'!$C$7+'1.설계입력'!$C$34)*SIN(B969+F969)+'1.설계입력'!$C$8*SIN('1.설계입력'!$C$15*B969)</f>
        <v>15.320110903293179</v>
      </c>
      <c r="I969" s="40">
        <f t="shared" si="46"/>
        <v>78.288315827600925</v>
      </c>
      <c r="J969" s="40">
        <f t="shared" si="47"/>
        <v>78.279913357591582</v>
      </c>
      <c r="K969" s="38" t="str">
        <f>IF(OR(A969&gt;180,'1.설계입력'!$C$39&gt;=1),"",'1.설계입력'!$C$34*(1-SIN(B969)/SQRT(1+'1.설계입력'!$C$39^2-2*'1.설계입력'!$C$39*COS(B969)))-'1.설계입력'!$C$33*(1-'1.설계입력'!$C$39*COS(B969)-SQRT(MAX(0,1-'1.설계입력'!$C$39^2))*SIN(B969))/SQRT(1+'1.설계입력'!$C$39^2-2*'1.설계입력'!$C$39*COS(B969)))</f>
        <v/>
      </c>
    </row>
    <row r="970" spans="1:11" x14ac:dyDescent="0.3">
      <c r="A970" s="40">
        <f>A969+'1.설계입력'!$C$12</f>
        <v>192.7999999999976</v>
      </c>
      <c r="B970" s="40">
        <f t="shared" si="45"/>
        <v>3.3649947978450254</v>
      </c>
      <c r="C970" s="40">
        <f>ATAN2('1.설계입력'!$C$6/('1.설계입력'!$C$8*'1.설계입력'!$C$15)-COS((1-'1.설계입력'!$C$15)*B970),SIN((1-'1.설계입력'!$C$15)*B970))</f>
        <v>0.82002074287642768</v>
      </c>
      <c r="D970" s="40">
        <f>'1.설계입력'!$C$6*COS(B970)-'1.설계입력'!$C$7*COS(B970+C970)-'1.설계입력'!$C$8*COS('1.설계입력'!$C$15*B970)</f>
        <v>-76.624764123008561</v>
      </c>
      <c r="E970" s="40">
        <f>-'1.설계입력'!$C$6*SIN(B970)+'1.설계입력'!$C$7*SIN(B970+C970)+'1.설계입력'!$C$8*SIN('1.설계입력'!$C$15*B970)</f>
        <v>15.414656522423305</v>
      </c>
      <c r="F970" s="40">
        <f>ATAN2(('1.설계입력'!$C$6+'1.설계입력'!$C$33)/('1.설계입력'!$C$8*'1.설계입력'!$C$15)-COS((1-'1.설계입력'!$C$15)*B970),SIN((1-'1.설계입력'!$C$15)*B970))</f>
        <v>0.82006301553610039</v>
      </c>
      <c r="G970" s="40">
        <f>('1.설계입력'!$C$6+'1.설계입력'!$C$33)*COS(B970)-('1.설계입력'!$C$7+'1.설계입력'!$C$34)*COS(B970+F970)-'1.설계입력'!$C$8*COS('1.설계입력'!$C$15*B970)</f>
        <v>-76.617811124694569</v>
      </c>
      <c r="H970" s="40">
        <f>-('1.설계입력'!$C$6+'1.설계입력'!$C$33)*SIN(B970)+('1.설계입력'!$C$7+'1.설계입력'!$C$34)*SIN(B970+F970)+'1.설계입력'!$C$8*SIN('1.설계입력'!$C$15*B970)</f>
        <v>15.406884986943789</v>
      </c>
      <c r="I970" s="40">
        <f t="shared" si="46"/>
        <v>78.159875336460118</v>
      </c>
      <c r="J970" s="40">
        <f t="shared" si="47"/>
        <v>78.151526450481342</v>
      </c>
      <c r="K970" s="38" t="str">
        <f>IF(OR(A970&gt;180,'1.설계입력'!$C$39&gt;=1),"",'1.설계입력'!$C$34*(1-SIN(B970)/SQRT(1+'1.설계입력'!$C$39^2-2*'1.설계입력'!$C$39*COS(B970)))-'1.설계입력'!$C$33*(1-'1.설계입력'!$C$39*COS(B970)-SQRT(MAX(0,1-'1.설계입력'!$C$39^2))*SIN(B970))/SQRT(1+'1.설계입력'!$C$39^2-2*'1.설계입력'!$C$39*COS(B970)))</f>
        <v/>
      </c>
    </row>
    <row r="971" spans="1:11" x14ac:dyDescent="0.3">
      <c r="A971" s="40">
        <f>A970+'1.설계입력'!$C$12</f>
        <v>192.99999999999758</v>
      </c>
      <c r="B971" s="40">
        <f t="shared" si="45"/>
        <v>3.3684854563490139</v>
      </c>
      <c r="C971" s="40">
        <f>ATAN2('1.설계입력'!$C$6/('1.설계입력'!$C$8*'1.설계입력'!$C$15)-COS((1-'1.설계입력'!$C$15)*B971),SIN((1-'1.설계입력'!$C$15)*B971))</f>
        <v>0.80091285278263347</v>
      </c>
      <c r="D971" s="40">
        <f>'1.설계입력'!$C$6*COS(B971)-'1.설계입력'!$C$7*COS(B971+C971)-'1.설계입력'!$C$8*COS('1.설계입력'!$C$15*B971)</f>
        <v>-76.422011128082971</v>
      </c>
      <c r="E971" s="40">
        <f>-'1.설계입력'!$C$6*SIN(B971)+'1.설계입력'!$C$7*SIN(B971+C971)+'1.설계입력'!$C$8*SIN('1.설계입력'!$C$15*B971)</f>
        <v>15.534347726360263</v>
      </c>
      <c r="F971" s="40">
        <f>ATAN2(('1.설계입력'!$C$6+'1.설계입력'!$C$33)/('1.설계입력'!$C$8*'1.설계입력'!$C$15)-COS((1-'1.설계입력'!$C$15)*B971),SIN((1-'1.설계입력'!$C$15)*B971))</f>
        <v>0.80096175867819575</v>
      </c>
      <c r="G971" s="40">
        <f>('1.설계입력'!$C$6+'1.설계입력'!$C$33)*COS(B971)-('1.설계입력'!$C$7+'1.설계입력'!$C$34)*COS(B971+F971)-'1.설계입력'!$C$8*COS('1.설계입력'!$C$15*B971)</f>
        <v>-76.414973148633067</v>
      </c>
      <c r="H971" s="40">
        <f>-('1.설계입력'!$C$6+'1.설계입력'!$C$33)*SIN(B971)+('1.설계입력'!$C$7+'1.설계입력'!$C$34)*SIN(B971+F971)+'1.설계입력'!$C$8*SIN('1.설계입력'!$C$15*B971)</f>
        <v>15.526614144425695</v>
      </c>
      <c r="I971" s="40">
        <f t="shared" si="46"/>
        <v>77.98486868710053</v>
      </c>
      <c r="J971" s="40">
        <f t="shared" si="47"/>
        <v>77.976431491164007</v>
      </c>
      <c r="K971" s="38" t="str">
        <f>IF(OR(A971&gt;180,'1.설계입력'!$C$39&gt;=1),"",'1.설계입력'!$C$34*(1-SIN(B971)/SQRT(1+'1.설계입력'!$C$39^2-2*'1.설계입력'!$C$39*COS(B971)))-'1.설계입력'!$C$33*(1-'1.설계입력'!$C$39*COS(B971)-SQRT(MAX(0,1-'1.설계입력'!$C$39^2))*SIN(B971))/SQRT(1+'1.설계입력'!$C$39^2-2*'1.설계입력'!$C$39*COS(B971)))</f>
        <v/>
      </c>
    </row>
    <row r="972" spans="1:11" x14ac:dyDescent="0.3">
      <c r="A972" s="40">
        <f>A971+'1.설계입력'!$C$12</f>
        <v>193.19999999999757</v>
      </c>
      <c r="B972" s="40">
        <f t="shared" si="45"/>
        <v>3.3719761148530023</v>
      </c>
      <c r="C972" s="40">
        <f>ATAN2('1.설계입력'!$C$6/('1.설계입력'!$C$8*'1.설계입력'!$C$15)-COS((1-'1.설계입력'!$C$15)*B972),SIN((1-'1.설계입력'!$C$15)*B972))</f>
        <v>0.74479458536947651</v>
      </c>
      <c r="D972" s="40">
        <f>'1.설계입력'!$C$6*COS(B972)-'1.설계입력'!$C$7*COS(B972+C972)-'1.설계입력'!$C$8*COS('1.설계입력'!$C$15*B972)</f>
        <v>-76.122165934014234</v>
      </c>
      <c r="E972" s="40">
        <f>-'1.설계입력'!$C$6*SIN(B972)+'1.설계입력'!$C$7*SIN(B972+C972)+'1.설계입력'!$C$8*SIN('1.설계입력'!$C$15*B972)</f>
        <v>15.725431728780656</v>
      </c>
      <c r="F972" s="40">
        <f>ATAN2(('1.설계입력'!$C$6+'1.설계입력'!$C$33)/('1.설계입력'!$C$8*'1.설계입력'!$C$15)-COS((1-'1.설계입력'!$C$15)*B972),SIN((1-'1.설계입력'!$C$15)*B972))</f>
        <v>0.74485034012979834</v>
      </c>
      <c r="G972" s="40">
        <f>('1.설계입력'!$C$6+'1.설계입력'!$C$33)*COS(B972)-('1.설계입력'!$C$7+'1.설계입력'!$C$34)*COS(B972+F972)-'1.설계입력'!$C$8*COS('1.설계입력'!$C$15*B972)</f>
        <v>-76.114788564849675</v>
      </c>
      <c r="H972" s="40">
        <f>-('1.설계입력'!$C$6+'1.설계입력'!$C$33)*SIN(B972)+('1.설계입력'!$C$7+'1.설계입력'!$C$34)*SIN(B972+F972)+'1.설계입력'!$C$8*SIN('1.설계입력'!$C$15*B972)</f>
        <v>15.717893280090795</v>
      </c>
      <c r="I972" s="40">
        <f t="shared" si="46"/>
        <v>77.729488288178885</v>
      </c>
      <c r="J972" s="40">
        <f t="shared" si="47"/>
        <v>77.720738592965617</v>
      </c>
      <c r="K972" s="38" t="str">
        <f>IF(OR(A972&gt;180,'1.설계입력'!$C$39&gt;=1),"",'1.설계입력'!$C$34*(1-SIN(B972)/SQRT(1+'1.설계입력'!$C$39^2-2*'1.설계입력'!$C$39*COS(B972)))-'1.설계입력'!$C$33*(1-'1.설계입력'!$C$39*COS(B972)-SQRT(MAX(0,1-'1.설계입력'!$C$39^2))*SIN(B972))/SQRT(1+'1.설계입력'!$C$39^2-2*'1.설계입력'!$C$39*COS(B972)))</f>
        <v/>
      </c>
    </row>
    <row r="973" spans="1:11" x14ac:dyDescent="0.3">
      <c r="A973" s="40">
        <f>A972+'1.설계입력'!$C$12</f>
        <v>193.39999999999756</v>
      </c>
      <c r="B973" s="40">
        <f t="shared" si="45"/>
        <v>3.3754667733569907</v>
      </c>
      <c r="C973" s="40">
        <f>ATAN2('1.설계입력'!$C$6/('1.설계입력'!$C$8*'1.설계입력'!$C$15)-COS((1-'1.설계입력'!$C$15)*B973),SIN((1-'1.설계입력'!$C$15)*B973))</f>
        <v>0.6273585666258219</v>
      </c>
      <c r="D973" s="40">
        <f>'1.설계입력'!$C$6*COS(B973)-'1.설계입력'!$C$7*COS(B973+C973)-'1.설계입력'!$C$8*COS('1.설계입력'!$C$15*B973)</f>
        <v>-75.665264775818329</v>
      </c>
      <c r="E973" s="40">
        <f>-'1.설계입력'!$C$6*SIN(B973)+'1.설계입력'!$C$7*SIN(B973+C973)+'1.설계입력'!$C$8*SIN('1.설계입력'!$C$15*B973)</f>
        <v>16.07337784631974</v>
      </c>
      <c r="F973" s="40">
        <f>ATAN2(('1.설계입력'!$C$6+'1.설계입력'!$C$33)/('1.설계입력'!$C$8*'1.설계입력'!$C$15)-COS((1-'1.설계입력'!$C$15)*B973),SIN((1-'1.설계입력'!$C$15)*B973))</f>
        <v>0.62741810599556791</v>
      </c>
      <c r="G973" s="40">
        <f>('1.설계입력'!$C$6+'1.설계입력'!$C$33)*COS(B973)-('1.설계입력'!$C$7+'1.설계입력'!$C$34)*COS(B973+F973)-'1.설계입력'!$C$8*COS('1.설계입력'!$C$15*B973)</f>
        <v>-75.657153045768098</v>
      </c>
      <c r="H973" s="40">
        <f>-('1.설계입력'!$C$6+'1.설계입력'!$C$33)*SIN(B973)+('1.설계입력'!$C$7+'1.설계입력'!$C$34)*SIN(B973+F973)+'1.설계입력'!$C$8*SIN('1.설계입력'!$C$15*B973)</f>
        <v>16.066358924221532</v>
      </c>
      <c r="I973" s="40">
        <f t="shared" si="46"/>
        <v>77.353640954936679</v>
      </c>
      <c r="J973" s="40">
        <f t="shared" si="47"/>
        <v>77.344247983109184</v>
      </c>
      <c r="K973" s="38" t="str">
        <f>IF(OR(A973&gt;180,'1.설계입력'!$C$39&gt;=1),"",'1.설계입력'!$C$34*(1-SIN(B973)/SQRT(1+'1.설계입력'!$C$39^2-2*'1.설계입력'!$C$39*COS(B973)))-'1.설계입력'!$C$33*(1-'1.설계입력'!$C$39*COS(B973)-SQRT(MAX(0,1-'1.설계입력'!$C$39^2))*SIN(B973))/SQRT(1+'1.설계입력'!$C$39^2-2*'1.설계입력'!$C$39*COS(B973)))</f>
        <v/>
      </c>
    </row>
    <row r="974" spans="1:11" x14ac:dyDescent="0.3">
      <c r="A974" s="40">
        <f>A973+'1.설계입력'!$C$12</f>
        <v>193.59999999999755</v>
      </c>
      <c r="B974" s="40">
        <f t="shared" si="45"/>
        <v>3.3789574318609792</v>
      </c>
      <c r="C974" s="40">
        <f>ATAN2('1.설계입력'!$C$6/('1.설계입력'!$C$8*'1.설계입력'!$C$15)-COS((1-'1.설계입력'!$C$15)*B974),SIN((1-'1.설계입력'!$C$15)*B974))</f>
        <v>0.41290720168591849</v>
      </c>
      <c r="D974" s="40">
        <f>'1.설계입력'!$C$6*COS(B974)-'1.설계입력'!$C$7*COS(B974+C974)-'1.설계입력'!$C$8*COS('1.설계입력'!$C$15*B974)</f>
        <v>-75.020779289915623</v>
      </c>
      <c r="E974" s="40">
        <f>-'1.설계입력'!$C$6*SIN(B974)+'1.설계입력'!$C$7*SIN(B974+C974)+'1.설계입력'!$C$8*SIN('1.설계입력'!$C$15*B974)</f>
        <v>16.755406955047349</v>
      </c>
      <c r="F974" s="40">
        <f>ATAN2(('1.설계입력'!$C$6+'1.설계입력'!$C$33)/('1.설계입력'!$C$8*'1.설계입력'!$C$15)-COS((1-'1.설계입력'!$C$15)*B974),SIN((1-'1.설계입력'!$C$15)*B974))</f>
        <v>0.41295709324196855</v>
      </c>
      <c r="G974" s="40">
        <f>('1.설계입력'!$C$6+'1.설계입력'!$C$33)*COS(B974)-('1.설계입력'!$C$7+'1.설계입력'!$C$34)*COS(B974+F974)-'1.설계입력'!$C$8*COS('1.설계입력'!$C$15*B974)</f>
        <v>-75.011440332130533</v>
      </c>
      <c r="H974" s="40">
        <f>-('1.설계입력'!$C$6+'1.설계입력'!$C$33)*SIN(B974)+('1.설계입력'!$C$7+'1.설계입력'!$C$34)*SIN(B974+F974)+'1.설계입력'!$C$8*SIN('1.설계입력'!$C$15*B974)</f>
        <v>16.749615093777315</v>
      </c>
      <c r="I974" s="40">
        <f t="shared" si="46"/>
        <v>76.869115953648659</v>
      </c>
      <c r="J974" s="40">
        <f t="shared" si="47"/>
        <v>76.858739167972772</v>
      </c>
      <c r="K974" s="38" t="str">
        <f>IF(OR(A974&gt;180,'1.설계입력'!$C$39&gt;=1),"",'1.설계입력'!$C$34*(1-SIN(B974)/SQRT(1+'1.설계입력'!$C$39^2-2*'1.설계입력'!$C$39*COS(B974)))-'1.설계입력'!$C$33*(1-'1.설계입력'!$C$39*COS(B974)-SQRT(MAX(0,1-'1.설계입력'!$C$39^2))*SIN(B974))/SQRT(1+'1.설계입력'!$C$39^2-2*'1.설계입력'!$C$39*COS(B974)))</f>
        <v/>
      </c>
    </row>
    <row r="975" spans="1:11" x14ac:dyDescent="0.3">
      <c r="A975" s="40">
        <f>A974+'1.설계입력'!$C$12</f>
        <v>193.79999999999754</v>
      </c>
      <c r="B975" s="40">
        <f t="shared" si="45"/>
        <v>3.3824480903649676</v>
      </c>
      <c r="C975" s="40">
        <f>ATAN2('1.설계입력'!$C$6/('1.설계입력'!$C$8*'1.설계입력'!$C$15)-COS((1-'1.설계입력'!$C$15)*B975),SIN((1-'1.설계입력'!$C$15)*B975))</f>
        <v>8.5342777050634491E-2</v>
      </c>
      <c r="D975" s="40">
        <f>'1.설계입력'!$C$6*COS(B975)-'1.설계입력'!$C$7*COS(B975+C975)-'1.설계입력'!$C$8*COS('1.설계입력'!$C$15*B975)</f>
        <v>-74.376719767386945</v>
      </c>
      <c r="E975" s="40">
        <f>-'1.설계입력'!$C$6*SIN(B975)+'1.설계입력'!$C$7*SIN(B975+C975)+'1.설계입력'!$C$8*SIN('1.설계입력'!$C$15*B975)</f>
        <v>17.966099806938782</v>
      </c>
      <c r="F975" s="40">
        <f>ATAN2(('1.설계입력'!$C$6+'1.설계입력'!$C$33)/('1.설계입력'!$C$8*'1.설계입력'!$C$15)-COS((1-'1.설계입력'!$C$15)*B975),SIN((1-'1.설계입력'!$C$15)*B975))</f>
        <v>8.535472990401477E-2</v>
      </c>
      <c r="G975" s="40">
        <f>('1.설계입력'!$C$6+'1.설계입력'!$C$33)*COS(B975)-('1.설계입력'!$C$7+'1.설계입력'!$C$34)*COS(B975+F975)-'1.설계입력'!$C$8*COS('1.설계입력'!$C$15*B975)</f>
        <v>-74.366051736985156</v>
      </c>
      <c r="H975" s="40">
        <f>-('1.설계입력'!$C$6+'1.설계입력'!$C$33)*SIN(B975)+('1.설계입력'!$C$7+'1.설계입력'!$C$34)*SIN(B975+F975)+'1.설계입력'!$C$8*SIN('1.설계입력'!$C$15*B975)</f>
        <v>17.962719374642802</v>
      </c>
      <c r="I975" s="40">
        <f t="shared" si="46"/>
        <v>76.515862313831988</v>
      </c>
      <c r="J975" s="40">
        <f t="shared" si="47"/>
        <v>76.504698798702037</v>
      </c>
      <c r="K975" s="38" t="str">
        <f>IF(OR(A975&gt;180,'1.설계입력'!$C$39&gt;=1),"",'1.설계입력'!$C$34*(1-SIN(B975)/SQRT(1+'1.설계입력'!$C$39^2-2*'1.설계입력'!$C$39*COS(B975)))-'1.설계입력'!$C$33*(1-'1.설계입력'!$C$39*COS(B975)-SQRT(MAX(0,1-'1.설계입력'!$C$39^2))*SIN(B975))/SQRT(1+'1.설계입력'!$C$39^2-2*'1.설계입력'!$C$39*COS(B975)))</f>
        <v/>
      </c>
    </row>
    <row r="976" spans="1:11" x14ac:dyDescent="0.3">
      <c r="A976" s="40">
        <f>A975+'1.설계입력'!$C$12</f>
        <v>193.99999999999753</v>
      </c>
      <c r="B976" s="40">
        <f t="shared" si="45"/>
        <v>3.3859387488689561</v>
      </c>
      <c r="C976" s="40">
        <f>ATAN2('1.설계입력'!$C$6/('1.설계입력'!$C$8*'1.설계입력'!$C$15)-COS((1-'1.설계입력'!$C$15)*B976),SIN((1-'1.설계입력'!$C$15)*B976))</f>
        <v>-0.2738256358743833</v>
      </c>
      <c r="D976" s="40">
        <f>'1.설계입력'!$C$6*COS(B976)-'1.설계입력'!$C$7*COS(B976+C976)-'1.설계입력'!$C$8*COS('1.설계입력'!$C$15*B976)</f>
        <v>-74.156448584211176</v>
      </c>
      <c r="E976" s="40">
        <f>-'1.설계입력'!$C$6*SIN(B976)+'1.설계입력'!$C$7*SIN(B976+C976)+'1.설계입력'!$C$8*SIN('1.설계입력'!$C$15*B976)</f>
        <v>19.44246630797447</v>
      </c>
      <c r="F976" s="40">
        <f>ATAN2(('1.설계입력'!$C$6+'1.설계입력'!$C$33)/('1.설계입력'!$C$8*'1.설계입력'!$C$15)-COS((1-'1.설계입력'!$C$15)*B976),SIN((1-'1.설계입력'!$C$15)*B976))</f>
        <v>-0.27386178503203651</v>
      </c>
      <c r="G976" s="40">
        <f>('1.설계입력'!$C$6+'1.설계입력'!$C$33)*COS(B976)-('1.설계입력'!$C$7+'1.설계입력'!$C$34)*COS(B976+F976)-'1.설계입력'!$C$8*COS('1.설계입력'!$C$15*B976)</f>
        <v>-74.145348460103392</v>
      </c>
      <c r="H976" s="40">
        <f>-('1.설계입력'!$C$6+'1.설계입력'!$C$33)*SIN(B976)+('1.설계입력'!$C$7+'1.설계입력'!$C$34)*SIN(B976+F976)+'1.설계입력'!$C$8*SIN('1.설계입력'!$C$15*B976)</f>
        <v>19.442099926201312</v>
      </c>
      <c r="I976" s="40">
        <f t="shared" si="46"/>
        <v>76.662822559304956</v>
      </c>
      <c r="J976" s="40">
        <f t="shared" si="47"/>
        <v>76.65199245819089</v>
      </c>
      <c r="K976" s="38" t="str">
        <f>IF(OR(A976&gt;180,'1.설계입력'!$C$39&gt;=1),"",'1.설계입력'!$C$34*(1-SIN(B976)/SQRT(1+'1.설계입력'!$C$39^2-2*'1.설계입력'!$C$39*COS(B976)))-'1.설계입력'!$C$33*(1-'1.설계입력'!$C$39*COS(B976)-SQRT(MAX(0,1-'1.설계입력'!$C$39^2))*SIN(B976))/SQRT(1+'1.설계입력'!$C$39^2-2*'1.설계입력'!$C$39*COS(B976)))</f>
        <v/>
      </c>
    </row>
    <row r="977" spans="1:11" x14ac:dyDescent="0.3">
      <c r="A977" s="40">
        <f>A976+'1.설계입력'!$C$12</f>
        <v>194.19999999999752</v>
      </c>
      <c r="B977" s="40">
        <f t="shared" si="45"/>
        <v>3.3894294073729445</v>
      </c>
      <c r="C977" s="40">
        <f>ATAN2('1.설계입력'!$C$6/('1.설계입력'!$C$8*'1.설계입력'!$C$15)-COS((1-'1.설계입력'!$C$15)*B977),SIN((1-'1.설계입력'!$C$15)*B977))</f>
        <v>-0.5426733161436359</v>
      </c>
      <c r="D977" s="40">
        <f>'1.설계입력'!$C$6*COS(B977)-'1.설계입력'!$C$7*COS(B977+C977)-'1.설계입력'!$C$8*COS('1.설계입력'!$C$15*B977)</f>
        <v>-74.342698712606108</v>
      </c>
      <c r="E977" s="40">
        <f>-'1.설계입력'!$C$6*SIN(B977)+'1.설계입력'!$C$7*SIN(B977+C977)+'1.설계입력'!$C$8*SIN('1.설계입력'!$C$15*B977)</f>
        <v>20.573332172912259</v>
      </c>
      <c r="F977" s="40">
        <f>ATAN2(('1.설계입력'!$C$6+'1.설계입력'!$C$33)/('1.설계입력'!$C$8*'1.설계입력'!$C$15)-COS((1-'1.설계입력'!$C$15)*B977),SIN((1-'1.설계입력'!$C$15)*B977))</f>
        <v>-0.54273108858941177</v>
      </c>
      <c r="G977" s="40">
        <f>('1.설계입력'!$C$6+'1.설계입력'!$C$33)*COS(B977)-('1.설계입력'!$C$7+'1.설계입력'!$C$34)*COS(B977+F977)-'1.설계입력'!$C$8*COS('1.설계입력'!$C$15*B977)</f>
        <v>-74.332010243129133</v>
      </c>
      <c r="H977" s="40">
        <f>-('1.설계입력'!$C$6+'1.설계입력'!$C$33)*SIN(B977)+('1.설계입력'!$C$7+'1.설계입력'!$C$34)*SIN(B977+F977)+'1.설계입력'!$C$8*SIN('1.설계입력'!$C$15*B977)</f>
        <v>20.575147010110967</v>
      </c>
      <c r="I977" s="40">
        <f t="shared" si="46"/>
        <v>77.13688384015984</v>
      </c>
      <c r="J977" s="40">
        <f t="shared" si="47"/>
        <v>77.127066722858928</v>
      </c>
      <c r="K977" s="38" t="str">
        <f>IF(OR(A977&gt;180,'1.설계입력'!$C$39&gt;=1),"",'1.설계입력'!$C$34*(1-SIN(B977)/SQRT(1+'1.설계입력'!$C$39^2-2*'1.설계입력'!$C$39*COS(B977)))-'1.설계입력'!$C$33*(1-'1.설계입력'!$C$39*COS(B977)-SQRT(MAX(0,1-'1.설계입력'!$C$39^2))*SIN(B977))/SQRT(1+'1.설계입력'!$C$39^2-2*'1.설계입력'!$C$39*COS(B977)))</f>
        <v/>
      </c>
    </row>
    <row r="978" spans="1:11" x14ac:dyDescent="0.3">
      <c r="A978" s="40">
        <f>A977+'1.설계입력'!$C$12</f>
        <v>194.3999999999975</v>
      </c>
      <c r="B978" s="40">
        <f t="shared" si="45"/>
        <v>3.392920065876933</v>
      </c>
      <c r="C978" s="40">
        <f>ATAN2('1.설계입력'!$C$6/('1.설계입력'!$C$8*'1.설계입력'!$C$15)-COS((1-'1.설계입력'!$C$15)*B978),SIN((1-'1.설계입력'!$C$15)*B978))</f>
        <v>-0.70018345076722688</v>
      </c>
      <c r="D978" s="40">
        <f>'1.설계입력'!$C$6*COS(B978)-'1.설계입력'!$C$7*COS(B978+C978)-'1.설계입력'!$C$8*COS('1.설계입력'!$C$15*B978)</f>
        <v>-74.606517333410295</v>
      </c>
      <c r="E978" s="40">
        <f>-'1.설계입력'!$C$6*SIN(B978)+'1.설계입력'!$C$7*SIN(B978+C978)+'1.설계입력'!$C$8*SIN('1.설계입력'!$C$15*B978)</f>
        <v>21.246633560644987</v>
      </c>
      <c r="F978" s="40">
        <f>ATAN2(('1.설계입력'!$C$6+'1.설계입력'!$C$33)/('1.설계입력'!$C$8*'1.설계입력'!$C$15)-COS((1-'1.설계입력'!$C$15)*B978),SIN((1-'1.설계입력'!$C$15)*B978))</f>
        <v>-0.7002417281618083</v>
      </c>
      <c r="G978" s="40">
        <f>('1.설계입력'!$C$6+'1.설계입력'!$C$33)*COS(B978)-('1.설계입력'!$C$7+'1.설계입력'!$C$34)*COS(B978+F978)-'1.설계입력'!$C$8*COS('1.설계입력'!$C$15*B978)</f>
        <v>-74.5963184438409</v>
      </c>
      <c r="H978" s="40">
        <f>-('1.설계입력'!$C$6+'1.설계입력'!$C$33)*SIN(B978)+('1.설계입력'!$C$7+'1.설계입력'!$C$34)*SIN(B978+F978)+'1.설계입력'!$C$8*SIN('1.설계입력'!$C$15*B978)</f>
        <v>21.249587937927988</v>
      </c>
      <c r="I978" s="40">
        <f t="shared" si="46"/>
        <v>77.572880997683569</v>
      </c>
      <c r="J978" s="40">
        <f t="shared" si="47"/>
        <v>77.563881497167557</v>
      </c>
      <c r="K978" s="38" t="str">
        <f>IF(OR(A978&gt;180,'1.설계입력'!$C$39&gt;=1),"",'1.설계입력'!$C$34*(1-SIN(B978)/SQRT(1+'1.설계입력'!$C$39^2-2*'1.설계입력'!$C$39*COS(B978)))-'1.설계입력'!$C$33*(1-'1.설계입력'!$C$39*COS(B978)-SQRT(MAX(0,1-'1.설계입력'!$C$39^2))*SIN(B978))/SQRT(1+'1.설계입력'!$C$39^2-2*'1.설계입력'!$C$39*COS(B978)))</f>
        <v/>
      </c>
    </row>
    <row r="979" spans="1:11" x14ac:dyDescent="0.3">
      <c r="A979" s="40">
        <f>A978+'1.설계입력'!$C$12</f>
        <v>194.59999999999749</v>
      </c>
      <c r="B979" s="40">
        <f t="shared" si="45"/>
        <v>3.3964107243809214</v>
      </c>
      <c r="C979" s="40">
        <f>ATAN2('1.설계입력'!$C$6/('1.설계입력'!$C$8*'1.설계입력'!$C$15)-COS((1-'1.설계입력'!$C$15)*B979),SIN((1-'1.설계입력'!$C$15)*B979))</f>
        <v>-0.78078617049767918</v>
      </c>
      <c r="D979" s="40">
        <f>'1.설계입력'!$C$6*COS(B979)-'1.설계입력'!$C$7*COS(B979+C979)-'1.설계입력'!$C$8*COS('1.설계입력'!$C$15*B979)</f>
        <v>-74.813789030861344</v>
      </c>
      <c r="E979" s="40">
        <f>-'1.설계입력'!$C$6*SIN(B979)+'1.설계입력'!$C$7*SIN(B979+C979)+'1.설계입력'!$C$8*SIN('1.설계입력'!$C$15*B979)</f>
        <v>21.635901778342156</v>
      </c>
      <c r="F979" s="40">
        <f>ATAN2(('1.설계입력'!$C$6+'1.설계입력'!$C$33)/('1.설계입력'!$C$8*'1.설계입력'!$C$15)-COS((1-'1.설계입력'!$C$15)*B979),SIN((1-'1.설계입력'!$C$15)*B979))</f>
        <v>-0.78083831187392494</v>
      </c>
      <c r="G979" s="40">
        <f>('1.설계입력'!$C$6+'1.설계입력'!$C$33)*COS(B979)-('1.설계입력'!$C$7+'1.설계입력'!$C$34)*COS(B979+F979)-'1.설계입력'!$C$8*COS('1.설계입력'!$C$15*B979)</f>
        <v>-74.803888869269798</v>
      </c>
      <c r="H979" s="40">
        <f>-('1.설계입력'!$C$6+'1.설계입력'!$C$33)*SIN(B979)+('1.설계입력'!$C$7+'1.설계입력'!$C$34)*SIN(B979+F979)+'1.설계입력'!$C$8*SIN('1.설계입력'!$C$15*B979)</f>
        <v>21.639367710260807</v>
      </c>
      <c r="I979" s="40">
        <f t="shared" si="46"/>
        <v>77.879492004739603</v>
      </c>
      <c r="J979" s="40">
        <f t="shared" si="47"/>
        <v>77.870944676855856</v>
      </c>
      <c r="K979" s="38" t="str">
        <f>IF(OR(A979&gt;180,'1.설계입력'!$C$39&gt;=1),"",'1.설계입력'!$C$34*(1-SIN(B979)/SQRT(1+'1.설계입력'!$C$39^2-2*'1.설계입력'!$C$39*COS(B979)))-'1.설계입력'!$C$33*(1-'1.설계입력'!$C$39*COS(B979)-SQRT(MAX(0,1-'1.설계입력'!$C$39^2))*SIN(B979))/SQRT(1+'1.설계입력'!$C$39^2-2*'1.설계입력'!$C$39*COS(B979)))</f>
        <v/>
      </c>
    </row>
    <row r="980" spans="1:11" x14ac:dyDescent="0.3">
      <c r="A980" s="40">
        <f>A979+'1.설계입력'!$C$12</f>
        <v>194.79999999999748</v>
      </c>
      <c r="B980" s="40">
        <f t="shared" si="45"/>
        <v>3.3999013828849098</v>
      </c>
      <c r="C980" s="40">
        <f>ATAN2('1.설계입력'!$C$6/('1.설계입력'!$C$8*'1.설계입력'!$C$15)-COS((1-'1.설계입력'!$C$15)*B980),SIN((1-'1.설계입력'!$C$15)*B980))</f>
        <v>-0.81472602006439299</v>
      </c>
      <c r="D980" s="40">
        <f>'1.설계입력'!$C$6*COS(B980)-'1.설계입력'!$C$7*COS(B980+C980)-'1.설계입력'!$C$8*COS('1.설계입력'!$C$15*B980)</f>
        <v>-74.959414632409604</v>
      </c>
      <c r="E980" s="40">
        <f>-'1.설계입력'!$C$6*SIN(B980)+'1.설계입력'!$C$7*SIN(B980+C980)+'1.설계입력'!$C$8*SIN('1.설계입력'!$C$15*B980)</f>
        <v>21.877125326762698</v>
      </c>
      <c r="F980" s="40">
        <f>ATAN2(('1.설계입력'!$C$6+'1.설계입력'!$C$33)/('1.설계입력'!$C$8*'1.설계입력'!$C$15)-COS((1-'1.설계입력'!$C$15)*B980),SIN((1-'1.설계입력'!$C$15)*B980))</f>
        <v>-0.8147712548374203</v>
      </c>
      <c r="G980" s="40">
        <f>('1.설계입력'!$C$6+'1.설계입력'!$C$33)*COS(B980)-('1.설계입력'!$C$7+'1.설계입력'!$C$34)*COS(B980+F980)-'1.설계입력'!$C$8*COS('1.설계입력'!$C$15*B980)</f>
        <v>-74.949635102082979</v>
      </c>
      <c r="H980" s="40">
        <f>-('1.설계입력'!$C$6+'1.설계입력'!$C$33)*SIN(B980)+('1.설계입력'!$C$7+'1.설계입력'!$C$34)*SIN(B980+F980)+'1.설계입력'!$C$8*SIN('1.설계입력'!$C$15*B980)</f>
        <v>21.880765392152369</v>
      </c>
      <c r="I980" s="40">
        <f t="shared" si="46"/>
        <v>78.0866342890791</v>
      </c>
      <c r="J980" s="40">
        <f t="shared" si="47"/>
        <v>78.078266477181742</v>
      </c>
      <c r="K980" s="38" t="str">
        <f>IF(OR(A980&gt;180,'1.설계입력'!$C$39&gt;=1),"",'1.설계입력'!$C$34*(1-SIN(B980)/SQRT(1+'1.설계입력'!$C$39^2-2*'1.설계입력'!$C$39*COS(B980)))-'1.설계입력'!$C$33*(1-'1.설계입력'!$C$39*COS(B980)-SQRT(MAX(0,1-'1.설계입력'!$C$39^2))*SIN(B980))/SQRT(1+'1.설계입력'!$C$39^2-2*'1.설계입력'!$C$39*COS(B980)))</f>
        <v/>
      </c>
    </row>
    <row r="981" spans="1:11" x14ac:dyDescent="0.3">
      <c r="A981" s="40">
        <f>A980+'1.설계입력'!$C$12</f>
        <v>194.99999999999747</v>
      </c>
      <c r="B981" s="40">
        <f t="shared" si="45"/>
        <v>3.4033920413888983</v>
      </c>
      <c r="C981" s="40">
        <f>ATAN2('1.설계입력'!$C$6/('1.설계입력'!$C$8*'1.설계입력'!$C$15)-COS((1-'1.설계입력'!$C$15)*B981),SIN((1-'1.설계입력'!$C$15)*B981))</f>
        <v>-0.82017454861968708</v>
      </c>
      <c r="D981" s="40">
        <f>'1.설계입력'!$C$6*COS(B981)-'1.설계입력'!$C$7*COS(B981+C981)-'1.설계입력'!$C$8*COS('1.설계입력'!$C$15*B981)</f>
        <v>-75.063449418263346</v>
      </c>
      <c r="E981" s="40">
        <f>-'1.설계입력'!$C$6*SIN(B981)+'1.설계입력'!$C$7*SIN(B981+C981)+'1.설계입력'!$C$8*SIN('1.설계입력'!$C$15*B981)</f>
        <v>22.043358968865792</v>
      </c>
      <c r="F981" s="40">
        <f>ATAN2(('1.설계입력'!$C$6+'1.설계입력'!$C$33)/('1.설계입력'!$C$8*'1.설계입력'!$C$15)-COS((1-'1.설계입력'!$C$15)*B981),SIN((1-'1.설계입력'!$C$15)*B981))</f>
        <v>-0.82021362287637023</v>
      </c>
      <c r="G981" s="40">
        <f>('1.설계입력'!$C$6+'1.설계입력'!$C$33)*COS(B981)-('1.설계입력'!$C$7+'1.설계입력'!$C$34)*COS(B981+F981)-'1.설계입력'!$C$8*COS('1.설계입력'!$C$15*B981)</f>
        <v>-75.053668277645912</v>
      </c>
      <c r="H981" s="40">
        <f>-('1.설계입력'!$C$6+'1.설계입력'!$C$33)*SIN(B981)+('1.설계입력'!$C$7+'1.설계입력'!$C$34)*SIN(B981+F981)+'1.설계입력'!$C$8*SIN('1.설계입력'!$C$15*B981)</f>
        <v>22.04698090645044</v>
      </c>
      <c r="I981" s="40">
        <f t="shared" si="46"/>
        <v>78.233184219987209</v>
      </c>
      <c r="J981" s="40">
        <f t="shared" si="47"/>
        <v>78.224820159718504</v>
      </c>
      <c r="K981" s="38" t="str">
        <f>IF(OR(A981&gt;180,'1.설계입력'!$C$39&gt;=1),"",'1.설계입력'!$C$34*(1-SIN(B981)/SQRT(1+'1.설계입력'!$C$39^2-2*'1.설계입력'!$C$39*COS(B981)))-'1.설계입력'!$C$33*(1-'1.설계입력'!$C$39*COS(B981)-SQRT(MAX(0,1-'1.설계입력'!$C$39^2))*SIN(B981))/SQRT(1+'1.설계입력'!$C$39^2-2*'1.설계입력'!$C$39*COS(B981)))</f>
        <v/>
      </c>
    </row>
    <row r="982" spans="1:11" x14ac:dyDescent="0.3">
      <c r="A982" s="40">
        <f>A981+'1.설계입력'!$C$12</f>
        <v>195.19999999999746</v>
      </c>
      <c r="B982" s="40">
        <f t="shared" si="45"/>
        <v>3.4068826998928867</v>
      </c>
      <c r="C982" s="40">
        <f>ATAN2('1.설계입력'!$C$6/('1.설계입력'!$C$8*'1.설계입력'!$C$15)-COS((1-'1.설계입력'!$C$15)*B982),SIN((1-'1.설계입력'!$C$15)*B982))</f>
        <v>-0.80750570064719585</v>
      </c>
      <c r="D982" s="40">
        <f>'1.설계입력'!$C$6*COS(B982)-'1.설계입력'!$C$7*COS(B982+C982)-'1.설계입력'!$C$8*COS('1.설계입력'!$C$15*B982)</f>
        <v>-75.143172939187579</v>
      </c>
      <c r="E982" s="40">
        <f>-'1.설계입력'!$C$6*SIN(B982)+'1.설계입력'!$C$7*SIN(B982+C982)+'1.설계입력'!$C$8*SIN('1.설계입력'!$C$15*B982)</f>
        <v>22.172877323041728</v>
      </c>
      <c r="F982" s="40">
        <f>ATAN2(('1.설계입력'!$C$6+'1.설계입력'!$C$33)/('1.설계입력'!$C$8*'1.설계입력'!$C$15)-COS((1-'1.설계입력'!$C$15)*B982),SIN((1-'1.설계입력'!$C$15)*B982))</f>
        <v>-0.80753956762115331</v>
      </c>
      <c r="G982" s="40">
        <f>('1.설계입력'!$C$6+'1.설계입력'!$C$33)*COS(B982)-('1.설계입력'!$C$7+'1.설계입력'!$C$34)*COS(B982+F982)-'1.설계입력'!$C$8*COS('1.설계입력'!$C$15*B982)</f>
        <v>-75.133313241596952</v>
      </c>
      <c r="H982" s="40">
        <f>-('1.설계입력'!$C$6+'1.설계입력'!$C$33)*SIN(B982)+('1.설계입력'!$C$7+'1.설계입력'!$C$34)*SIN(B982+F982)+'1.설계입력'!$C$8*SIN('1.설계입력'!$C$15*B982)</f>
        <v>22.176360692188862</v>
      </c>
      <c r="I982" s="40">
        <f t="shared" si="46"/>
        <v>78.346237485608142</v>
      </c>
      <c r="J982" s="40">
        <f t="shared" si="47"/>
        <v>78.337766959557811</v>
      </c>
      <c r="K982" s="38" t="str">
        <f>IF(OR(A982&gt;180,'1.설계입력'!$C$39&gt;=1),"",'1.설계입력'!$C$34*(1-SIN(B982)/SQRT(1+'1.설계입력'!$C$39^2-2*'1.설계입력'!$C$39*COS(B982)))-'1.설계입력'!$C$33*(1-'1.설계입력'!$C$39*COS(B982)-SQRT(MAX(0,1-'1.설계입력'!$C$39^2))*SIN(B982))/SQRT(1+'1.설계입력'!$C$39^2-2*'1.설계입력'!$C$39*COS(B982)))</f>
        <v/>
      </c>
    </row>
    <row r="983" spans="1:11" x14ac:dyDescent="0.3">
      <c r="A983" s="40">
        <f>A982+'1.설계입력'!$C$12</f>
        <v>195.39999999999745</v>
      </c>
      <c r="B983" s="40">
        <f t="shared" si="45"/>
        <v>3.4103733583968756</v>
      </c>
      <c r="C983" s="40">
        <f>ATAN2('1.설계입력'!$C$6/('1.설계입력'!$C$8*'1.설계입력'!$C$15)-COS((1-'1.설계입력'!$C$15)*B983),SIN((1-'1.설계입력'!$C$15)*B983))</f>
        <v>-0.78279418385628374</v>
      </c>
      <c r="D983" s="40">
        <f>'1.설계입력'!$C$6*COS(B983)-'1.설계입력'!$C$7*COS(B983+C983)-'1.설계입력'!$C$8*COS('1.설계입력'!$C$15*B983)</f>
        <v>-75.209827525107286</v>
      </c>
      <c r="E983" s="40">
        <f>-'1.설계입력'!$C$6*SIN(B983)+'1.설계입력'!$C$7*SIN(B983+C983)+'1.설계입력'!$C$8*SIN('1.설계입력'!$C$15*B983)</f>
        <v>22.28686223449446</v>
      </c>
      <c r="F983" s="40">
        <f>ATAN2(('1.설계입력'!$C$6+'1.설계입력'!$C$33)/('1.설계입력'!$C$8*'1.설계입력'!$C$15)-COS((1-'1.설계입력'!$C$15)*B983),SIN((1-'1.설계입력'!$C$15)*B983))</f>
        <v>-0.78282368242104372</v>
      </c>
      <c r="G983" s="40">
        <f>('1.설계입력'!$C$6+'1.설계입력'!$C$33)*COS(B983)-('1.설계입력'!$C$7+'1.설계입력'!$C$34)*COS(B983+F983)-'1.설계입력'!$C$8*COS('1.설계입력'!$C$15*B983)</f>
        <v>-75.199843659926998</v>
      </c>
      <c r="H983" s="40">
        <f>-('1.설계입력'!$C$6+'1.설계입력'!$C$33)*SIN(B983)+('1.설계입력'!$C$7+'1.설계입력'!$C$34)*SIN(B983+F983)+'1.설계입력'!$C$8*SIN('1.설계입력'!$C$15*B983)</f>
        <v>22.290124540547755</v>
      </c>
      <c r="I983" s="40">
        <f t="shared" si="46"/>
        <v>78.442478190172707</v>
      </c>
      <c r="J983" s="40">
        <f t="shared" si="47"/>
        <v>78.433832868925847</v>
      </c>
      <c r="K983" s="38" t="str">
        <f>IF(OR(A983&gt;180,'1.설계입력'!$C$39&gt;=1),"",'1.설계입력'!$C$34*(1-SIN(B983)/SQRT(1+'1.설계입력'!$C$39^2-2*'1.설계입력'!$C$39*COS(B983)))-'1.설계입력'!$C$33*(1-'1.설계입력'!$C$39*COS(B983)-SQRT(MAX(0,1-'1.설계입력'!$C$39^2))*SIN(B983))/SQRT(1+'1.설계입력'!$C$39^2-2*'1.설계입력'!$C$39*COS(B983)))</f>
        <v/>
      </c>
    </row>
    <row r="984" spans="1:11" x14ac:dyDescent="0.3">
      <c r="A984" s="40">
        <f>A983+'1.설계입력'!$C$12</f>
        <v>195.59999999999744</v>
      </c>
      <c r="B984" s="40">
        <f t="shared" si="45"/>
        <v>3.4138640169008641</v>
      </c>
      <c r="C984" s="40">
        <f>ATAN2('1.설계입력'!$C$6/('1.설계입력'!$C$8*'1.설계입력'!$C$15)-COS((1-'1.설계입력'!$C$15)*B984),SIN((1-'1.설계입력'!$C$15)*B984))</f>
        <v>-0.74975234193891949</v>
      </c>
      <c r="D984" s="40">
        <f>'1.설계입력'!$C$6*COS(B984)-'1.설계입력'!$C$7*COS(B984+C984)-'1.설계입력'!$C$8*COS('1.설계입력'!$C$15*B984)</f>
        <v>-75.269916426649914</v>
      </c>
      <c r="E984" s="40">
        <f>-'1.설계입력'!$C$6*SIN(B984)+'1.설계입력'!$C$7*SIN(B984+C984)+'1.설계입력'!$C$8*SIN('1.설계입력'!$C$15*B984)</f>
        <v>22.397815861936735</v>
      </c>
      <c r="F984" s="40">
        <f>ATAN2(('1.설계입력'!$C$6+'1.설계입력'!$C$33)/('1.설계입력'!$C$8*'1.설계입력'!$C$15)-COS((1-'1.설계입력'!$C$15)*B984),SIN((1-'1.설계입력'!$C$15)*B984))</f>
        <v>-0.74977814798753095</v>
      </c>
      <c r="G984" s="40">
        <f>('1.설계입력'!$C$6+'1.설계입력'!$C$33)*COS(B984)-('1.설계입력'!$C$7+'1.설계입력'!$C$34)*COS(B984+F984)-'1.설계입력'!$C$8*COS('1.설계입력'!$C$15*B984)</f>
        <v>-75.259784097682939</v>
      </c>
      <c r="H984" s="40">
        <f>-('1.설계입력'!$C$6+'1.설계입력'!$C$33)*SIN(B984)+('1.설계입력'!$C$7+'1.설계입력'!$C$34)*SIN(B984+F984)+'1.설계입력'!$C$8*SIN('1.설계입력'!$C$15*B984)</f>
        <v>22.400796375813574</v>
      </c>
      <c r="I984" s="40">
        <f t="shared" si="46"/>
        <v>78.531665423955502</v>
      </c>
      <c r="J984" s="40">
        <f t="shared" si="47"/>
        <v>78.522804208080288</v>
      </c>
      <c r="K984" s="38" t="str">
        <f>IF(OR(A984&gt;180,'1.설계입력'!$C$39&gt;=1),"",'1.설계입력'!$C$34*(1-SIN(B984)/SQRT(1+'1.설계입력'!$C$39^2-2*'1.설계입력'!$C$39*COS(B984)))-'1.설계입력'!$C$33*(1-'1.설계입력'!$C$39*COS(B984)-SQRT(MAX(0,1-'1.설계입력'!$C$39^2))*SIN(B984))/SQRT(1+'1.설계입력'!$C$39^2-2*'1.설계입력'!$C$39*COS(B984)))</f>
        <v/>
      </c>
    </row>
    <row r="985" spans="1:11" x14ac:dyDescent="0.3">
      <c r="A985" s="40">
        <f>A984+'1.설계입력'!$C$12</f>
        <v>195.79999999999742</v>
      </c>
      <c r="B985" s="40">
        <f t="shared" si="45"/>
        <v>3.4173546754048525</v>
      </c>
      <c r="C985" s="40">
        <f>ATAN2('1.설계입력'!$C$6/('1.설계입력'!$C$8*'1.설계입력'!$C$15)-COS((1-'1.설계입력'!$C$15)*B985),SIN((1-'1.설계입력'!$C$15)*B985))</f>
        <v>-0.71074964848086331</v>
      </c>
      <c r="D985" s="40">
        <f>'1.설계입력'!$C$6*COS(B985)-'1.설계입력'!$C$7*COS(B985+C985)-'1.설계입력'!$C$8*COS('1.설계입력'!$C$15*B985)</f>
        <v>-75.326723688526869</v>
      </c>
      <c r="E985" s="40">
        <f>-'1.설계입력'!$C$6*SIN(B985)+'1.설계입력'!$C$7*SIN(B985+C985)+'1.설계입력'!$C$8*SIN('1.설계입력'!$C$15*B985)</f>
        <v>22.513490738107958</v>
      </c>
      <c r="F985" s="40">
        <f>ATAN2(('1.설계입력'!$C$6+'1.설계입력'!$C$33)/('1.설계입력'!$C$8*'1.설계입력'!$C$15)-COS((1-'1.설계입력'!$C$15)*B985),SIN((1-'1.설계입력'!$C$15)*B985))</f>
        <v>-0.71077229353035065</v>
      </c>
      <c r="G985" s="40">
        <f>('1.설계입력'!$C$6+'1.설계입력'!$C$33)*COS(B985)-('1.설계입력'!$C$7+'1.설계입력'!$C$34)*COS(B985+F985)-'1.설계입력'!$C$8*COS('1.설계입력'!$C$15*B985)</f>
        <v>-75.316433371817666</v>
      </c>
      <c r="H985" s="40">
        <f>-('1.설계입력'!$C$6+'1.설계입력'!$C$33)*SIN(B985)+('1.설계입력'!$C$7+'1.설계입력'!$C$34)*SIN(B985+F985)+'1.설계입력'!$C$8*SIN('1.설계입력'!$C$15*B985)</f>
        <v>22.516142313553473</v>
      </c>
      <c r="I985" s="40">
        <f t="shared" si="46"/>
        <v>78.619161575677893</v>
      </c>
      <c r="J985" s="40">
        <f t="shared" si="47"/>
        <v>78.610061700367865</v>
      </c>
      <c r="K985" s="38" t="str">
        <f>IF(OR(A985&gt;180,'1.설계입력'!$C$39&gt;=1),"",'1.설계입력'!$C$34*(1-SIN(B985)/SQRT(1+'1.설계입력'!$C$39^2-2*'1.설계입력'!$C$39*COS(B985)))-'1.설계입력'!$C$33*(1-'1.설계입력'!$C$39*COS(B985)-SQRT(MAX(0,1-'1.설계입력'!$C$39^2))*SIN(B985))/SQRT(1+'1.설계입력'!$C$39^2-2*'1.설계입력'!$C$39*COS(B985)))</f>
        <v/>
      </c>
    </row>
    <row r="986" spans="1:11" x14ac:dyDescent="0.3">
      <c r="A986" s="40">
        <f>A985+'1.설계입력'!$C$12</f>
        <v>195.99999999999741</v>
      </c>
      <c r="B986" s="40">
        <f t="shared" si="45"/>
        <v>3.4208453339088409</v>
      </c>
      <c r="C986" s="40">
        <f>ATAN2('1.설계입력'!$C$6/('1.설계입력'!$C$8*'1.설계입력'!$C$15)-COS((1-'1.설계입력'!$C$15)*B986),SIN((1-'1.설계입력'!$C$15)*B986))</f>
        <v>-0.66735989530047979</v>
      </c>
      <c r="D986" s="40">
        <f>'1.설계입력'!$C$6*COS(B986)-'1.설계입력'!$C$7*COS(B986+C986)-'1.설계입력'!$C$8*COS('1.설계입력'!$C$15*B986)</f>
        <v>-75.381423263206273</v>
      </c>
      <c r="E986" s="40">
        <f>-'1.설계입력'!$C$6*SIN(B986)+'1.설계입력'!$C$7*SIN(B986+C986)+'1.설계입력'!$C$8*SIN('1.설계입력'!$C$15*B986)</f>
        <v>22.638799871945476</v>
      </c>
      <c r="F986" s="40">
        <f>ATAN2(('1.설계입력'!$C$6+'1.설계입력'!$C$33)/('1.설계입력'!$C$8*'1.설계입력'!$C$15)-COS((1-'1.설계입력'!$C$15)*B986),SIN((1-'1.설계입력'!$C$15)*B986))</f>
        <v>-0.66737979599866304</v>
      </c>
      <c r="G986" s="40">
        <f>('1.설계입력'!$C$6+'1.설계입력'!$C$33)*COS(B986)-('1.설계입력'!$C$7+'1.설계입력'!$C$34)*COS(B986+F986)-'1.설계입력'!$C$8*COS('1.설계입력'!$C$15*B986)</f>
        <v>-75.370975959492228</v>
      </c>
      <c r="H986" s="40">
        <f>-('1.설계입력'!$C$6+'1.설계입력'!$C$33)*SIN(B986)+('1.설계입력'!$C$7+'1.설계입력'!$C$34)*SIN(B986+F986)+'1.설계입력'!$C$8*SIN('1.설계입력'!$C$15*B986)</f>
        <v>22.641084567901821</v>
      </c>
      <c r="I986" s="40">
        <f t="shared" si="46"/>
        <v>78.707523355957875</v>
      </c>
      <c r="J986" s="40">
        <f t="shared" si="47"/>
        <v>78.69817486763742</v>
      </c>
      <c r="K986" s="38" t="str">
        <f>IF(OR(A986&gt;180,'1.설계입력'!$C$39&gt;=1),"",'1.설계입력'!$C$34*(1-SIN(B986)/SQRT(1+'1.설계입력'!$C$39^2-2*'1.설계입력'!$C$39*COS(B986)))-'1.설계입력'!$C$33*(1-'1.설계입력'!$C$39*COS(B986)-SQRT(MAX(0,1-'1.설계입력'!$C$39^2))*SIN(B986))/SQRT(1+'1.설계입력'!$C$39^2-2*'1.설계입력'!$C$39*COS(B986)))</f>
        <v/>
      </c>
    </row>
    <row r="987" spans="1:11" x14ac:dyDescent="0.3">
      <c r="A987" s="40">
        <f>A986+'1.설계입력'!$C$12</f>
        <v>196.1999999999974</v>
      </c>
      <c r="B987" s="40">
        <f t="shared" si="45"/>
        <v>3.4243359924128294</v>
      </c>
      <c r="C987" s="40">
        <f>ATAN2('1.설계입력'!$C$6/('1.설계입력'!$C$8*'1.설계입력'!$C$15)-COS((1-'1.설계입력'!$C$15)*B987),SIN((1-'1.설계입력'!$C$15)*B987))</f>
        <v>-0.62066606893305387</v>
      </c>
      <c r="D987" s="40">
        <f>'1.설계입력'!$C$6*COS(B987)-'1.설계입력'!$C$7*COS(B987+C987)-'1.설계입력'!$C$8*COS('1.설계입력'!$C$15*B987)</f>
        <v>-75.433826222233307</v>
      </c>
      <c r="E987" s="40">
        <f>-'1.설계입력'!$C$6*SIN(B987)+'1.설계입력'!$C$7*SIN(B987+C987)+'1.설계입력'!$C$8*SIN('1.설계입력'!$C$15*B987)</f>
        <v>22.776797993419105</v>
      </c>
      <c r="F987" s="40">
        <f>ATAN2(('1.설계입력'!$C$6+'1.설계입력'!$C$33)/('1.설계입력'!$C$8*'1.설계입력'!$C$15)-COS((1-'1.설계입력'!$C$15)*B987),SIN((1-'1.설계입력'!$C$15)*B987))</f>
        <v>-0.62068355330580416</v>
      </c>
      <c r="G987" s="40">
        <f>('1.설계입력'!$C$6+'1.설계입력'!$C$33)*COS(B987)-('1.설계입력'!$C$7+'1.설계입력'!$C$34)*COS(B987+F987)-'1.설계입력'!$C$8*COS('1.설계입력'!$C$15*B987)</f>
        <v>-75.42323063804858</v>
      </c>
      <c r="H987" s="40">
        <f>-('1.설계입력'!$C$6+'1.설계입력'!$C$33)*SIN(B987)+('1.설계입력'!$C$7+'1.설계입력'!$C$34)*SIN(B987+F987)+'1.설계입력'!$C$8*SIN('1.설계입력'!$C$15*B987)</f>
        <v>22.778684613550677</v>
      </c>
      <c r="I987" s="40">
        <f t="shared" si="46"/>
        <v>78.797491491538707</v>
      </c>
      <c r="J987" s="40">
        <f t="shared" si="47"/>
        <v>78.787893693154913</v>
      </c>
      <c r="K987" s="38" t="str">
        <f>IF(OR(A987&gt;180,'1.설계입력'!$C$39&gt;=1),"",'1.설계입력'!$C$34*(1-SIN(B987)/SQRT(1+'1.설계입력'!$C$39^2-2*'1.설계입력'!$C$39*COS(B987)))-'1.설계입력'!$C$33*(1-'1.설계입력'!$C$39*COS(B987)-SQRT(MAX(0,1-'1.설계입력'!$C$39^2))*SIN(B987))/SQRT(1+'1.설계입력'!$C$39^2-2*'1.설계입력'!$C$39*COS(B987)))</f>
        <v/>
      </c>
    </row>
    <row r="988" spans="1:11" x14ac:dyDescent="0.3">
      <c r="A988" s="40">
        <f>A987+'1.설계입력'!$C$12</f>
        <v>196.39999999999739</v>
      </c>
      <c r="B988" s="40">
        <f t="shared" si="45"/>
        <v>3.4278266509168178</v>
      </c>
      <c r="C988" s="40">
        <f>ATAN2('1.설계입력'!$C$6/('1.설계입력'!$C$8*'1.설계입력'!$C$15)-COS((1-'1.설계입력'!$C$15)*B988),SIN((1-'1.설계입력'!$C$15)*B988))</f>
        <v>-0.57143720274433096</v>
      </c>
      <c r="D988" s="40">
        <f>'1.설계입력'!$C$6*COS(B988)-'1.설계입력'!$C$7*COS(B988+C988)-'1.설계입력'!$C$8*COS('1.설계입력'!$C$15*B988)</f>
        <v>-75.482884631958171</v>
      </c>
      <c r="E988" s="40">
        <f>-'1.설계입력'!$C$6*SIN(B988)+'1.설계입력'!$C$7*SIN(B988+C988)+'1.설계입력'!$C$8*SIN('1.설계입력'!$C$15*B988)</f>
        <v>22.929218207405203</v>
      </c>
      <c r="F988" s="40">
        <f>ATAN2(('1.설계입력'!$C$6+'1.설계입력'!$C$33)/('1.설계입력'!$C$8*'1.설계입력'!$C$15)-COS((1-'1.설계입력'!$C$15)*B988),SIN((1-'1.설계입력'!$C$15)*B988))</f>
        <v>-0.57145253074819546</v>
      </c>
      <c r="G988" s="40">
        <f>('1.설계입력'!$C$6+'1.설계입력'!$C$33)*COS(B988)-('1.설계입력'!$C$7+'1.설계입력'!$C$34)*COS(B988+F988)-'1.설계입력'!$C$8*COS('1.설계입력'!$C$15*B988)</f>
        <v>-75.472155247855724</v>
      </c>
      <c r="H988" s="40">
        <f>-('1.설계입력'!$C$6+'1.설계입력'!$C$33)*SIN(B988)+('1.설계입력'!$C$7+'1.설계입력'!$C$34)*SIN(B988+F988)+'1.설계입력'!$C$8*SIN('1.설계입력'!$C$15*B988)</f>
        <v>22.930680858060789</v>
      </c>
      <c r="I988" s="40">
        <f t="shared" si="46"/>
        <v>78.888623514194421</v>
      </c>
      <c r="J988" s="40">
        <f t="shared" si="47"/>
        <v>78.878782586768352</v>
      </c>
      <c r="K988" s="38" t="str">
        <f>IF(OR(A988&gt;180,'1.설계입력'!$C$39&gt;=1),"",'1.설계입력'!$C$34*(1-SIN(B988)/SQRT(1+'1.설계입력'!$C$39^2-2*'1.설계입력'!$C$39*COS(B988)))-'1.설계입력'!$C$33*(1-'1.설계입력'!$C$39*COS(B988)-SQRT(MAX(0,1-'1.설계입력'!$C$39^2))*SIN(B988))/SQRT(1+'1.설계입력'!$C$39^2-2*'1.설계입력'!$C$39*COS(B988)))</f>
        <v/>
      </c>
    </row>
    <row r="989" spans="1:11" x14ac:dyDescent="0.3">
      <c r="A989" s="40">
        <f>A988+'1.설계입력'!$C$12</f>
        <v>196.59999999999738</v>
      </c>
      <c r="B989" s="40">
        <f t="shared" si="45"/>
        <v>3.4313173094208063</v>
      </c>
      <c r="C989" s="40">
        <f>ATAN2('1.설계입력'!$C$6/('1.설계입력'!$C$8*'1.설계입력'!$C$15)-COS((1-'1.설계입력'!$C$15)*B989),SIN((1-'1.설계입력'!$C$15)*B989))</f>
        <v>-0.52023499138240292</v>
      </c>
      <c r="D989" s="40">
        <f>'1.설계입력'!$C$6*COS(B989)-'1.설계입력'!$C$7*COS(B989+C989)-'1.설계입력'!$C$8*COS('1.설계입력'!$C$15*B989)</f>
        <v>-75.527040768612807</v>
      </c>
      <c r="E989" s="40">
        <f>-'1.설계입력'!$C$6*SIN(B989)+'1.설계입력'!$C$7*SIN(B989+C989)+'1.설계입력'!$C$8*SIN('1.설계입력'!$C$15*B989)</f>
        <v>23.096787329980863</v>
      </c>
      <c r="F989" s="40">
        <f>ATAN2(('1.설계입력'!$C$6+'1.설계입력'!$C$33)/('1.설계입력'!$C$8*'1.설계입력'!$C$15)-COS((1-'1.설계입력'!$C$15)*B989),SIN((1-'1.설계입력'!$C$15)*B989))</f>
        <v>-0.52024837034631766</v>
      </c>
      <c r="G989" s="40">
        <f>('1.설계입력'!$C$6+'1.설계입력'!$C$33)*COS(B989)-('1.설계입력'!$C$7+'1.설계입력'!$C$34)*COS(B989+F989)-'1.설계입력'!$C$8*COS('1.설계입력'!$C$15*B989)</f>
        <v>-75.516196466365585</v>
      </c>
      <c r="H989" s="40">
        <f>-('1.설계입력'!$C$6+'1.설계입력'!$C$33)*SIN(B989)+('1.설계입력'!$C$7+'1.설계입력'!$C$34)*SIN(B989+F989)+'1.설계입력'!$C$8*SIN('1.설계입력'!$C$15*B989)</f>
        <v>23.097804544382598</v>
      </c>
      <c r="I989" s="40">
        <f t="shared" si="46"/>
        <v>78.979715574507267</v>
      </c>
      <c r="J989" s="40">
        <f t="shared" si="47"/>
        <v>78.969642923830094</v>
      </c>
      <c r="K989" s="38" t="str">
        <f>IF(OR(A989&gt;180,'1.설계입력'!$C$39&gt;=1),"",'1.설계입력'!$C$34*(1-SIN(B989)/SQRT(1+'1.설계입력'!$C$39^2-2*'1.설계입력'!$C$39*COS(B989)))-'1.설계입력'!$C$33*(1-'1.설계입력'!$C$39*COS(B989)-SQRT(MAX(0,1-'1.설계입력'!$C$39^2))*SIN(B989))/SQRT(1+'1.설계입력'!$C$39^2-2*'1.설계입력'!$C$39*COS(B989)))</f>
        <v/>
      </c>
    </row>
    <row r="990" spans="1:11" x14ac:dyDescent="0.3">
      <c r="A990" s="40">
        <f>A989+'1.설계입력'!$C$12</f>
        <v>196.79999999999737</v>
      </c>
      <c r="B990" s="40">
        <f t="shared" si="45"/>
        <v>3.4348079679247947</v>
      </c>
      <c r="C990" s="40">
        <f>ATAN2('1.설계입력'!$C$6/('1.설계입력'!$C$8*'1.설계입력'!$C$15)-COS((1-'1.설계입력'!$C$15)*B990),SIN((1-'1.설계입력'!$C$15)*B990))</f>
        <v>-0.46748037950585819</v>
      </c>
      <c r="D990" s="40">
        <f>'1.설계입력'!$C$6*COS(B990)-'1.설계입력'!$C$7*COS(B990+C990)-'1.설계입력'!$C$8*COS('1.설계입력'!$C$15*B990)</f>
        <v>-75.564477782814834</v>
      </c>
      <c r="E990" s="40">
        <f>-'1.설계입력'!$C$6*SIN(B990)+'1.설계입력'!$C$7*SIN(B990+C990)+'1.설계입력'!$C$8*SIN('1.설계입력'!$C$15*B990)</f>
        <v>23.279427634455843</v>
      </c>
      <c r="F990" s="40">
        <f>ATAN2(('1.설계입력'!$C$6+'1.설계입력'!$C$33)/('1.설계입력'!$C$8*'1.설계입력'!$C$15)-COS((1-'1.설계입력'!$C$15)*B990),SIN((1-'1.설계입력'!$C$15)*B990))</f>
        <v>-0.46749197558861083</v>
      </c>
      <c r="G990" s="40">
        <f>('1.설계입력'!$C$6+'1.설계입력'!$C$33)*COS(B990)-('1.설계입력'!$C$7+'1.설계입력'!$C$34)*COS(B990+F990)-'1.설계입력'!$C$8*COS('1.설계입력'!$C$15*B990)</f>
        <v>-75.553540831970281</v>
      </c>
      <c r="H990" s="40">
        <f>-('1.설계입력'!$C$6+'1.설계입력'!$C$33)*SIN(B990)+('1.설계입력'!$C$7+'1.설계입력'!$C$34)*SIN(B990+F990)+'1.설계입력'!$C$8*SIN('1.설계입력'!$C$15*B990)</f>
        <v>23.279981823633442</v>
      </c>
      <c r="I990" s="40">
        <f t="shared" si="46"/>
        <v>79.069096703942321</v>
      </c>
      <c r="J990" s="40">
        <f t="shared" si="47"/>
        <v>79.058807769640097</v>
      </c>
      <c r="K990" s="38" t="str">
        <f>IF(OR(A990&gt;180,'1.설계입력'!$C$39&gt;=1),"",'1.설계입력'!$C$34*(1-SIN(B990)/SQRT(1+'1.설계입력'!$C$39^2-2*'1.설계입력'!$C$39*COS(B990)))-'1.설계입력'!$C$33*(1-'1.설계입력'!$C$39*COS(B990)-SQRT(MAX(0,1-'1.설계입력'!$C$39^2))*SIN(B990))/SQRT(1+'1.설계입력'!$C$39^2-2*'1.설계입력'!$C$39*COS(B990)))</f>
        <v/>
      </c>
    </row>
    <row r="991" spans="1:11" x14ac:dyDescent="0.3">
      <c r="A991" s="40">
        <f>A990+'1.설계입력'!$C$12</f>
        <v>196.99999999999736</v>
      </c>
      <c r="B991" s="40">
        <f t="shared" si="45"/>
        <v>3.4382986264287831</v>
      </c>
      <c r="C991" s="40">
        <f>ATAN2('1.설계입력'!$C$6/('1.설계입력'!$C$8*'1.설계입력'!$C$15)-COS((1-'1.설계입력'!$C$15)*B991),SIN((1-'1.설계입력'!$C$15)*B991))</f>
        <v>-0.41349651671854559</v>
      </c>
      <c r="D991" s="40">
        <f>'1.설계입력'!$C$6*COS(B991)-'1.설계입력'!$C$7*COS(B991+C991)-'1.설계입력'!$C$8*COS('1.설계입력'!$C$15*B991)</f>
        <v>-75.593305721612907</v>
      </c>
      <c r="E991" s="40">
        <f>-'1.설계입력'!$C$6*SIN(B991)+'1.설계입력'!$C$7*SIN(B991+C991)+'1.설계입력'!$C$8*SIN('1.설계입력'!$C$15*B991)</f>
        <v>23.476399254539452</v>
      </c>
      <c r="F991" s="40">
        <f>ATAN2(('1.설계입력'!$C$6+'1.설계입력'!$C$33)/('1.설계입력'!$C$8*'1.설계입력'!$C$15)-COS((1-'1.설계입력'!$C$15)*B991),SIN((1-'1.설계입력'!$C$15)*B991))</f>
        <v>-0.41350646339927566</v>
      </c>
      <c r="G991" s="40">
        <f>('1.설계입력'!$C$6+'1.설계입력'!$C$33)*COS(B991)-('1.설계입력'!$C$7+'1.설계입력'!$C$34)*COS(B991+F991)-'1.설계입력'!$C$8*COS('1.설계입력'!$C$15*B991)</f>
        <v>-75.582301001973846</v>
      </c>
      <c r="H991" s="40">
        <f>-('1.설계입력'!$C$6+'1.설계입력'!$C$33)*SIN(B991)+('1.설계입력'!$C$7+'1.설계입력'!$C$34)*SIN(B991+F991)+'1.설계입력'!$C$8*SIN('1.설계입력'!$C$15*B991)</f>
        <v>23.476476352221777</v>
      </c>
      <c r="I991" s="40">
        <f t="shared" si="46"/>
        <v>79.154843135968477</v>
      </c>
      <c r="J991" s="40">
        <f t="shared" si="47"/>
        <v>79.144356505498266</v>
      </c>
      <c r="K991" s="38" t="str">
        <f>IF(OR(A991&gt;180,'1.설계입력'!$C$39&gt;=1),"",'1.설계입력'!$C$34*(1-SIN(B991)/SQRT(1+'1.설계입력'!$C$39^2-2*'1.설계입력'!$C$39*COS(B991)))-'1.설계입력'!$C$33*(1-'1.설계입력'!$C$39*COS(B991)-SQRT(MAX(0,1-'1.설계입력'!$C$39^2))*SIN(B991))/SQRT(1+'1.설계입력'!$C$39^2-2*'1.설계입력'!$C$39*COS(B991)))</f>
        <v/>
      </c>
    </row>
    <row r="992" spans="1:11" x14ac:dyDescent="0.3">
      <c r="A992" s="40">
        <f>A991+'1.설계입력'!$C$12</f>
        <v>197.19999999999735</v>
      </c>
      <c r="B992" s="40">
        <f t="shared" si="45"/>
        <v>3.4417892849327716</v>
      </c>
      <c r="C992" s="40">
        <f>ATAN2('1.설계입력'!$C$6/('1.설계입력'!$C$8*'1.설계입력'!$C$15)-COS((1-'1.설계입력'!$C$15)*B992),SIN((1-'1.설계입력'!$C$15)*B992))</f>
        <v>-0.35853730218437035</v>
      </c>
      <c r="D992" s="40">
        <f>'1.설계입력'!$C$6*COS(B992)-'1.설계입력'!$C$7*COS(B992+C992)-'1.설계입력'!$C$8*COS('1.설계입력'!$C$15*B992)</f>
        <v>-75.611703175446706</v>
      </c>
      <c r="E992" s="40">
        <f>-'1.설계입력'!$C$6*SIN(B992)+'1.설계입력'!$C$7*SIN(B992+C992)+'1.설계입력'!$C$8*SIN('1.설계입력'!$C$15*B992)</f>
        <v>23.686411532959436</v>
      </c>
      <c r="F992" s="40">
        <f>ATAN2(('1.설계입력'!$C$6+'1.설계입력'!$C$33)/('1.설계입력'!$C$8*'1.설계입력'!$C$15)-COS((1-'1.설계입력'!$C$15)*B992),SIN((1-'1.설계입력'!$C$15)*B992))</f>
        <v>-0.35854570657175455</v>
      </c>
      <c r="G992" s="40">
        <f>('1.설계입력'!$C$6+'1.설계입력'!$C$33)*COS(B992)-('1.설계입력'!$C$7+'1.설계입력'!$C$34)*COS(B992+F992)-'1.설계입력'!$C$8*COS('1.설계입력'!$C$15*B992)</f>
        <v>-75.600657557600556</v>
      </c>
      <c r="H992" s="40">
        <f>-('1.설계입력'!$C$6+'1.설계입력'!$C$33)*SIN(B992)+('1.설계입력'!$C$7+'1.설계입력'!$C$34)*SIN(B992+F992)+'1.설계입력'!$C$8*SIN('1.설계입력'!$C$15*B992)</f>
        <v>23.686000757720159</v>
      </c>
      <c r="I992" s="40">
        <f t="shared" si="46"/>
        <v>79.234940199387864</v>
      </c>
      <c r="J992" s="40">
        <f t="shared" si="47"/>
        <v>79.224276929715842</v>
      </c>
      <c r="K992" s="38" t="str">
        <f>IF(OR(A992&gt;180,'1.설계입력'!$C$39&gt;=1),"",'1.설계입력'!$C$34*(1-SIN(B992)/SQRT(1+'1.설계입력'!$C$39^2-2*'1.설계입력'!$C$39*COS(B992)))-'1.설계입력'!$C$33*(1-'1.설계입력'!$C$39*COS(B992)-SQRT(MAX(0,1-'1.설계입력'!$C$39^2))*SIN(B992))/SQRT(1+'1.설계입력'!$C$39^2-2*'1.설계입력'!$C$39*COS(B992)))</f>
        <v/>
      </c>
    </row>
    <row r="993" spans="1:11" x14ac:dyDescent="0.3">
      <c r="A993" s="40">
        <f>A992+'1.설계입력'!$C$12</f>
        <v>197.39999999999733</v>
      </c>
      <c r="B993" s="40">
        <f t="shared" si="45"/>
        <v>3.44527994343676</v>
      </c>
      <c r="C993" s="40">
        <f>ATAN2('1.설계입력'!$C$6/('1.설계입력'!$C$8*'1.설계입력'!$C$15)-COS((1-'1.설계입력'!$C$15)*B993),SIN((1-'1.설계입력'!$C$15)*B993))</f>
        <v>-0.30280689027056978</v>
      </c>
      <c r="D993" s="40">
        <f>'1.설계입력'!$C$6*COS(B993)-'1.설계입력'!$C$7*COS(B993+C993)-'1.설계입력'!$C$8*COS('1.설계입력'!$C$15*B993)</f>
        <v>-75.618026675005353</v>
      </c>
      <c r="E993" s="40">
        <f>-'1.설계입력'!$C$6*SIN(B993)+'1.설계입력'!$C$7*SIN(B993+C993)+'1.설계입력'!$C$8*SIN('1.설계입력'!$C$15*B993)</f>
        <v>23.907718402528548</v>
      </c>
      <c r="F993" s="40">
        <f>ATAN2(('1.설계입력'!$C$6+'1.설계입력'!$C$33)/('1.설계입력'!$C$8*'1.설계입력'!$C$15)-COS((1-'1.설계입력'!$C$15)*B993),SIN((1-'1.설계입력'!$C$15)*B993))</f>
        <v>-0.30281383780498022</v>
      </c>
      <c r="G993" s="40">
        <f>('1.설계입력'!$C$6+'1.설계입력'!$C$33)*COS(B993)-('1.설계입력'!$C$7+'1.설계입력'!$C$34)*COS(B993+F993)-'1.설계입력'!$C$8*COS('1.설계입력'!$C$15*B993)</f>
        <v>-75.606968508706871</v>
      </c>
      <c r="H993" s="40">
        <f>-('1.설계입력'!$C$6+'1.설계입력'!$C$33)*SIN(B993)+('1.설계입력'!$C$7+'1.설계입력'!$C$34)*SIN(B993+F993)+'1.설계입력'!$C$8*SIN('1.설계입력'!$C$15*B993)</f>
        <v>23.906812091238869</v>
      </c>
      <c r="I993" s="40">
        <f t="shared" si="46"/>
        <v>79.307407960646543</v>
      </c>
      <c r="J993" s="40">
        <f t="shared" si="47"/>
        <v>79.296591045532324</v>
      </c>
      <c r="K993" s="38" t="str">
        <f>IF(OR(A993&gt;180,'1.설계입력'!$C$39&gt;=1),"",'1.설계입력'!$C$34*(1-SIN(B993)/SQRT(1+'1.설계입력'!$C$39^2-2*'1.설계입력'!$C$39*COS(B993)))-'1.설계입력'!$C$33*(1-'1.설계입력'!$C$39*COS(B993)-SQRT(MAX(0,1-'1.설계입력'!$C$39^2))*SIN(B993))/SQRT(1+'1.설계입력'!$C$39^2-2*'1.설계입력'!$C$39*COS(B993)))</f>
        <v/>
      </c>
    </row>
    <row r="994" spans="1:11" x14ac:dyDescent="0.3">
      <c r="A994" s="40">
        <f>A993+'1.설계입력'!$C$12</f>
        <v>197.59999999999732</v>
      </c>
      <c r="B994" s="40">
        <f t="shared" si="45"/>
        <v>3.4487706019407485</v>
      </c>
      <c r="C994" s="40">
        <f>ATAN2('1.설계입력'!$C$6/('1.설계입력'!$C$8*'1.설계입력'!$C$15)-COS((1-'1.설계입력'!$C$15)*B994),SIN((1-'1.설계입력'!$C$15)*B994))</f>
        <v>-0.24647338757838039</v>
      </c>
      <c r="D994" s="40">
        <f>'1.설계입력'!$C$6*COS(B994)-'1.설계입력'!$C$7*COS(B994+C994)-'1.설계입력'!$C$8*COS('1.설계입력'!$C$15*B994)</f>
        <v>-75.610895127346851</v>
      </c>
      <c r="E994" s="40">
        <f>-'1.설계입력'!$C$6*SIN(B994)+'1.설계입력'!$C$7*SIN(B994+C994)+'1.설계입력'!$C$8*SIN('1.설계입력'!$C$15*B994)</f>
        <v>24.138205869878121</v>
      </c>
      <c r="F994" s="40">
        <f>ATAN2(('1.설계입력'!$C$6+'1.설계입력'!$C$33)/('1.설계입력'!$C$8*'1.설계입력'!$C$15)-COS((1-'1.설계입력'!$C$15)*B994),SIN((1-'1.설계입력'!$C$15)*B994))</f>
        <v>-0.24647894553775887</v>
      </c>
      <c r="G994" s="40">
        <f>('1.설계입력'!$C$6+'1.설계입력'!$C$33)*COS(B994)-('1.설계입력'!$C$7+'1.설계입력'!$C$34)*COS(B994+F994)-'1.설계입력'!$C$8*COS('1.설계입력'!$C$15*B994)</f>
        <v>-75.599853804706513</v>
      </c>
      <c r="H994" s="40">
        <f>-('1.설계입력'!$C$6+'1.설계입력'!$C$33)*SIN(B994)+('1.설계입력'!$C$7+'1.설계입력'!$C$34)*SIN(B994+F994)+'1.설계입력'!$C$8*SIN('1.설계입력'!$C$15*B994)</f>
        <v>24.136799354040239</v>
      </c>
      <c r="I994" s="40">
        <f t="shared" si="46"/>
        <v>79.370400304995712</v>
      </c>
      <c r="J994" s="40">
        <f t="shared" si="47"/>
        <v>79.35945424680159</v>
      </c>
      <c r="K994" s="38" t="str">
        <f>IF(OR(A994&gt;180,'1.설계입력'!$C$39&gt;=1),"",'1.설계입력'!$C$34*(1-SIN(B994)/SQRT(1+'1.설계입력'!$C$39^2-2*'1.설계입력'!$C$39*COS(B994)))-'1.설계입력'!$C$33*(1-'1.설계입력'!$C$39*COS(B994)-SQRT(MAX(0,1-'1.설계입력'!$C$39^2))*SIN(B994))/SQRT(1+'1.설계입력'!$C$39^2-2*'1.설계입력'!$C$39*COS(B994)))</f>
        <v/>
      </c>
    </row>
    <row r="995" spans="1:11" x14ac:dyDescent="0.3">
      <c r="A995" s="40">
        <f>A994+'1.설계입력'!$C$12</f>
        <v>197.79999999999731</v>
      </c>
      <c r="B995" s="40">
        <f t="shared" si="45"/>
        <v>3.4522612604447369</v>
      </c>
      <c r="C995" s="40">
        <f>ATAN2('1.설계입력'!$C$6/('1.설계입력'!$C$8*'1.설계입력'!$C$15)-COS((1-'1.설계입력'!$C$15)*B995),SIN((1-'1.설계입력'!$C$15)*B995))</f>
        <v>-0.18967874449328315</v>
      </c>
      <c r="D995" s="40">
        <f>'1.설계입력'!$C$6*COS(B995)-'1.설계입력'!$C$7*COS(B995+C995)-'1.설계입력'!$C$8*COS('1.설계입력'!$C$15*B995)</f>
        <v>-75.589253704470792</v>
      </c>
      <c r="E995" s="40">
        <f>-'1.설계입력'!$C$6*SIN(B995)+'1.설계입력'!$C$7*SIN(B995+C995)+'1.설계입력'!$C$8*SIN('1.설계입력'!$C$15*B995)</f>
        <v>24.375475786005115</v>
      </c>
      <c r="F995" s="40">
        <f>ATAN2(('1.설계입력'!$C$6+'1.설계입력'!$C$33)/('1.설계입력'!$C$8*'1.설계입력'!$C$15)-COS((1-'1.설계입력'!$C$15)*B995),SIN((1-'1.설계입력'!$C$15)*B995))</f>
        <v>-0.18968296459373643</v>
      </c>
      <c r="G995" s="40">
        <f>('1.설계입력'!$C$6+'1.설계입력'!$C$33)*COS(B995)-('1.설계입력'!$C$7+'1.설계입력'!$C$34)*COS(B995+F995)-'1.설계입력'!$C$8*COS('1.설계입력'!$C$15*B995)</f>
        <v>-75.578259275712654</v>
      </c>
      <c r="H995" s="40">
        <f>-('1.설계입력'!$C$6+'1.설계입력'!$C$33)*SIN(B995)+('1.설계입력'!$C$7+'1.설계입력'!$C$34)*SIN(B995+F995)+'1.설계입력'!$C$8*SIN('1.설계입력'!$C$15*B995)</f>
        <v>24.373567292868859</v>
      </c>
      <c r="I995" s="40">
        <f t="shared" si="46"/>
        <v>79.422283368038308</v>
      </c>
      <c r="J995" s="40">
        <f t="shared" si="47"/>
        <v>79.411233825743139</v>
      </c>
      <c r="K995" s="38" t="str">
        <f>IF(OR(A995&gt;180,'1.설계입력'!$C$39&gt;=1),"",'1.설계입력'!$C$34*(1-SIN(B995)/SQRT(1+'1.설계입력'!$C$39^2-2*'1.설계입력'!$C$39*COS(B995)))-'1.설계입력'!$C$33*(1-'1.설계입력'!$C$39*COS(B995)-SQRT(MAX(0,1-'1.설계입력'!$C$39^2))*SIN(B995))/SQRT(1+'1.설계입력'!$C$39^2-2*'1.설계입력'!$C$39*COS(B995)))</f>
        <v/>
      </c>
    </row>
    <row r="996" spans="1:11" x14ac:dyDescent="0.3">
      <c r="A996" s="40">
        <f>A995+'1.설계입력'!$C$12</f>
        <v>197.9999999999973</v>
      </c>
      <c r="B996" s="40">
        <f t="shared" si="45"/>
        <v>3.4557519189487254</v>
      </c>
      <c r="C996" s="40">
        <f>ATAN2('1.설계입력'!$C$6/('1.설계입력'!$C$8*'1.설계입력'!$C$15)-COS((1-'1.설계입력'!$C$15)*B996),SIN((1-'1.설계입력'!$C$15)*B996))</f>
        <v>-0.13254612163332655</v>
      </c>
      <c r="D996" s="40">
        <f>'1.설계입력'!$C$6*COS(B996)-'1.설계입력'!$C$7*COS(B996+C996)-'1.설계입력'!$C$8*COS('1.설계입력'!$C$15*B996)</f>
        <v>-75.55241988666188</v>
      </c>
      <c r="E996" s="40">
        <f>-'1.설계입력'!$C$6*SIN(B996)+'1.설계입력'!$C$7*SIN(B996+C996)+'1.설계입력'!$C$8*SIN('1.설계입력'!$C$15*B996)</f>
        <v>24.616927854422194</v>
      </c>
      <c r="F996" s="40">
        <f>ATAN2(('1.설계입력'!$C$6+'1.설계입력'!$C$33)/('1.설계입력'!$C$8*'1.설계입력'!$C$15)-COS((1-'1.설계입력'!$C$15)*B996),SIN((1-'1.설계입력'!$C$15)*B996))</f>
        <v>-0.13254904192918546</v>
      </c>
      <c r="G996" s="40">
        <f>('1.설계입력'!$C$6+'1.설계입력'!$C$33)*COS(B996)-('1.설계입력'!$C$7+'1.설계입력'!$C$34)*COS(B996+F996)-'1.설계입력'!$C$8*COS('1.설계입력'!$C$15*B996)</f>
        <v>-75.541502713131919</v>
      </c>
      <c r="H996" s="40">
        <f>-('1.설계입력'!$C$6+'1.설계입력'!$C$33)*SIN(B996)+('1.설계입력'!$C$7+'1.설계입력'!$C$34)*SIN(B996+F996)+'1.설계입력'!$C$8*SIN('1.설계입력'!$C$15*B996)</f>
        <v>24.614518421067508</v>
      </c>
      <c r="I996" s="40">
        <f t="shared" si="46"/>
        <v>79.461696984901408</v>
      </c>
      <c r="J996" s="40">
        <f t="shared" si="47"/>
        <v>79.450570477871267</v>
      </c>
      <c r="K996" s="38" t="str">
        <f>IF(OR(A996&gt;180,'1.설계입력'!$C$39&gt;=1),"",'1.설계입력'!$C$34*(1-SIN(B996)/SQRT(1+'1.설계입력'!$C$39^2-2*'1.설계입력'!$C$39*COS(B996)))-'1.설계입력'!$C$33*(1-'1.설계입력'!$C$39*COS(B996)-SQRT(MAX(0,1-'1.설계입력'!$C$39^2))*SIN(B996))/SQRT(1+'1.설계입력'!$C$39^2-2*'1.설계입력'!$C$39*COS(B996)))</f>
        <v/>
      </c>
    </row>
    <row r="997" spans="1:11" x14ac:dyDescent="0.3">
      <c r="A997" s="40">
        <f>A996+'1.설계입력'!$C$12</f>
        <v>198.19999999999729</v>
      </c>
      <c r="B997" s="40">
        <f t="shared" si="45"/>
        <v>3.4592425774527138</v>
      </c>
      <c r="C997" s="40">
        <f>ATAN2('1.설계입력'!$C$6/('1.설계입력'!$C$8*'1.설계입력'!$C$15)-COS((1-'1.설계입력'!$C$15)*B997),SIN((1-'1.설계입력'!$C$15)*B997))</f>
        <v>-7.5185576522954337E-2</v>
      </c>
      <c r="D997" s="40">
        <f>'1.설계입력'!$C$6*COS(B997)-'1.설계입력'!$C$7*COS(B997+C997)-'1.설계입력'!$C$8*COS('1.설계입력'!$C$15*B997)</f>
        <v>-75.500113351576516</v>
      </c>
      <c r="E997" s="40">
        <f>-'1.설계입력'!$C$6*SIN(B997)+'1.설계입력'!$C$7*SIN(B997+C997)+'1.설계입력'!$C$8*SIN('1.설계입력'!$C$15*B997)</f>
        <v>24.859840503939679</v>
      </c>
      <c r="F997" s="40">
        <f>ATAN2(('1.설계입력'!$C$6+'1.설계입력'!$C$33)/('1.설계입력'!$C$8*'1.설계입력'!$C$15)-COS((1-'1.설계입력'!$C$15)*B997),SIN((1-'1.설계입력'!$C$15)*B997))</f>
        <v>-7.5187222748637456E-2</v>
      </c>
      <c r="G997" s="40">
        <f>('1.설계입력'!$C$6+'1.설계입력'!$C$33)*COS(B997)-('1.설계입력'!$C$7+'1.설계입력'!$C$34)*COS(B997+F997)-'1.설계입력'!$C$8*COS('1.설계입력'!$C$15*B997)</f>
        <v>-75.489303785136713</v>
      </c>
      <c r="H997" s="40">
        <f>-('1.설계입력'!$C$6+'1.설계입력'!$C$33)*SIN(B997)+('1.설계입력'!$C$7+'1.설계입력'!$C$34)*SIN(B997+F997)+'1.설계입력'!$C$8*SIN('1.설계입력'!$C$15*B997)</f>
        <v>24.8569338964347</v>
      </c>
      <c r="I997" s="40">
        <f t="shared" si="46"/>
        <v>79.487601460744955</v>
      </c>
      <c r="J997" s="40">
        <f t="shared" si="47"/>
        <v>79.476425112711127</v>
      </c>
      <c r="K997" s="38" t="str">
        <f>IF(OR(A997&gt;180,'1.설계입력'!$C$39&gt;=1),"",'1.설계입력'!$C$34*(1-SIN(B997)/SQRT(1+'1.설계입력'!$C$39^2-2*'1.설계입력'!$C$39*COS(B997)))-'1.설계입력'!$C$33*(1-'1.설계입력'!$C$39*COS(B997)-SQRT(MAX(0,1-'1.설계입력'!$C$39^2))*SIN(B997))/SQRT(1+'1.설계입력'!$C$39^2-2*'1.설계입력'!$C$39*COS(B997)))</f>
        <v/>
      </c>
    </row>
    <row r="998" spans="1:11" x14ac:dyDescent="0.3">
      <c r="A998" s="40">
        <f>A997+'1.설계입력'!$C$12</f>
        <v>198.39999999999728</v>
      </c>
      <c r="B998" s="40">
        <f t="shared" si="45"/>
        <v>3.4627332359567022</v>
      </c>
      <c r="C998" s="40">
        <f>ATAN2('1.설계입력'!$C$6/('1.설계입력'!$C$8*'1.설계입력'!$C$15)-COS((1-'1.설계입력'!$C$15)*B998),SIN((1-'1.설계입력'!$C$15)*B998))</f>
        <v>-1.769865040373932E-2</v>
      </c>
      <c r="D998" s="40">
        <f>'1.설계입력'!$C$6*COS(B998)-'1.설계입력'!$C$7*COS(B998+C998)-'1.설계입력'!$C$8*COS('1.설계입력'!$C$15*B998)</f>
        <v>-75.432470811523643</v>
      </c>
      <c r="E998" s="40">
        <f>-'1.설계입력'!$C$6*SIN(B998)+'1.설계입력'!$C$7*SIN(B998+C998)+'1.설계입력'!$C$8*SIN('1.설계입력'!$C$15*B998)</f>
        <v>25.101450451903233</v>
      </c>
      <c r="F998" s="40">
        <f>ATAN2(('1.설계입력'!$C$6+'1.설계입력'!$C$33)/('1.설계입력'!$C$8*'1.설계입력'!$C$15)-COS((1-'1.설계입력'!$C$15)*B998),SIN((1-'1.설계입력'!$C$15)*B998))</f>
        <v>-1.7699036853711148E-2</v>
      </c>
      <c r="G998" s="40">
        <f>('1.설계입력'!$C$6+'1.설계입력'!$C$33)*COS(B998)-('1.설계입력'!$C$7+'1.설계입력'!$C$34)*COS(B998+F998)-'1.설계입력'!$C$8*COS('1.설계입력'!$C$15*B998)</f>
        <v>-75.42179889231555</v>
      </c>
      <c r="H998" s="40">
        <f>-('1.설계입력'!$C$6+'1.설계입력'!$C$33)*SIN(B998)+('1.설계입력'!$C$7+'1.설계입력'!$C$34)*SIN(B998+F998)+'1.설계입력'!$C$8*SIN('1.설계입력'!$C$15*B998)</f>
        <v>25.098053084165741</v>
      </c>
      <c r="I998" s="40">
        <f t="shared" si="46"/>
        <v>79.499311113497825</v>
      </c>
      <c r="J998" s="40">
        <f t="shared" si="47"/>
        <v>79.488112424239219</v>
      </c>
      <c r="K998" s="38" t="str">
        <f>IF(OR(A998&gt;180,'1.설계입력'!$C$39&gt;=1),"",'1.설계입력'!$C$34*(1-SIN(B998)/SQRT(1+'1.설계입력'!$C$39^2-2*'1.설계입력'!$C$39*COS(B998)))-'1.설계입력'!$C$33*(1-'1.설계입력'!$C$39*COS(B998)-SQRT(MAX(0,1-'1.설계입력'!$C$39^2))*SIN(B998))/SQRT(1+'1.설계입력'!$C$39^2-2*'1.설계입력'!$C$39*COS(B998)))</f>
        <v/>
      </c>
    </row>
    <row r="999" spans="1:11" x14ac:dyDescent="0.3">
      <c r="A999" s="40">
        <f>A998+'1.설계입력'!$C$12</f>
        <v>198.59999999999727</v>
      </c>
      <c r="B999" s="40">
        <f t="shared" si="45"/>
        <v>3.4662238944606907</v>
      </c>
      <c r="C999" s="40">
        <f>ATAN2('1.설계입력'!$C$6/('1.설계입력'!$C$8*'1.설계입력'!$C$15)-COS((1-'1.설계입력'!$C$15)*B999),SIN((1-'1.설계입력'!$C$15)*B999))</f>
        <v>3.9817726403339727E-2</v>
      </c>
      <c r="D999" s="40">
        <f>'1.설계입력'!$C$6*COS(B999)-'1.설계입력'!$C$7*COS(B999+C999)-'1.설계입력'!$C$8*COS('1.설계입력'!$C$15*B999)</f>
        <v>-75.35004656693188</v>
      </c>
      <c r="E999" s="40">
        <f>-'1.설계입력'!$C$6*SIN(B999)+'1.설계입력'!$C$7*SIN(B999+C999)+'1.설계입력'!$C$8*SIN('1.설계입력'!$C$15*B999)</f>
        <v>25.339030296852567</v>
      </c>
      <c r="F999" s="40">
        <f>ATAN2(('1.설계입력'!$C$6+'1.설계입력'!$C$33)/('1.설계입력'!$C$8*'1.설계입력'!$C$15)-COS((1-'1.설계입력'!$C$15)*B999),SIN((1-'1.설계입력'!$C$15)*B999))</f>
        <v>3.981859639547021E-2</v>
      </c>
      <c r="G999" s="40">
        <f>('1.설계입력'!$C$6+'1.설계입력'!$C$33)*COS(B999)-('1.설계입력'!$C$7+'1.설계입력'!$C$34)*COS(B999+F999)-'1.설계입력'!$C$8*COS('1.설계입력'!$C$15*B999)</f>
        <v>-75.339541733243252</v>
      </c>
      <c r="H999" s="40">
        <f>-('1.설계입력'!$C$6+'1.설계입력'!$C$33)*SIN(B999)+('1.설계입력'!$C$7+'1.설계입력'!$C$34)*SIN(B999+F999)+'1.설계입력'!$C$8*SIN('1.설계입력'!$C$15*B999)</f>
        <v>25.335151145493771</v>
      </c>
      <c r="I999" s="40">
        <f t="shared" si="46"/>
        <v>79.496515483533088</v>
      </c>
      <c r="J999" s="40">
        <f t="shared" si="47"/>
        <v>79.485322117609343</v>
      </c>
      <c r="K999" s="38" t="str">
        <f>IF(OR(A999&gt;180,'1.설계입력'!$C$39&gt;=1),"",'1.설계입력'!$C$34*(1-SIN(B999)/SQRT(1+'1.설계입력'!$C$39^2-2*'1.설계입력'!$C$39*COS(B999)))-'1.설계입력'!$C$33*(1-'1.설계입력'!$C$39*COS(B999)-SQRT(MAX(0,1-'1.설계입력'!$C$39^2))*SIN(B999))/SQRT(1+'1.설계입력'!$C$39^2-2*'1.설계입력'!$C$39*COS(B999)))</f>
        <v/>
      </c>
    </row>
    <row r="1000" spans="1:11" x14ac:dyDescent="0.3">
      <c r="A1000" s="40">
        <f>A999+'1.설계입력'!$C$12</f>
        <v>198.79999999999725</v>
      </c>
      <c r="B1000" s="40">
        <f t="shared" si="45"/>
        <v>3.4697145529646791</v>
      </c>
      <c r="C1000" s="40">
        <f>ATAN2('1.설계입력'!$C$6/('1.설계입력'!$C$8*'1.설계입력'!$C$15)-COS((1-'1.설계입력'!$C$15)*B1000),SIN((1-'1.설계입력'!$C$15)*B1000))</f>
        <v>9.7267686647189586E-2</v>
      </c>
      <c r="D1000" s="40">
        <f>'1.설계입력'!$C$6*COS(B1000)-'1.설계입력'!$C$7*COS(B1000+C1000)-'1.설계입력'!$C$8*COS('1.설계입력'!$C$15*B1000)</f>
        <v>-75.253799356094802</v>
      </c>
      <c r="E1000" s="40">
        <f>-'1.설계입력'!$C$6*SIN(B1000)+'1.설계입력'!$C$7*SIN(B1000+C1000)+'1.설계입력'!$C$8*SIN('1.설계입력'!$C$15*B1000)</f>
        <v>25.569963191645872</v>
      </c>
      <c r="F1000" s="40">
        <f>ATAN2(('1.설계입력'!$C$6+'1.설계입력'!$C$33)/('1.설계입력'!$C$8*'1.설계입력'!$C$15)-COS((1-'1.설계입력'!$C$15)*B1000),SIN((1-'1.설계입력'!$C$15)*B1000))</f>
        <v>9.7269820597938816E-2</v>
      </c>
      <c r="G1000" s="40">
        <f>('1.설계입력'!$C$6+'1.설계입력'!$C$33)*COS(B1000)-('1.설계입력'!$C$7+'1.설계입력'!$C$34)*COS(B1000+F1000)-'1.설계입력'!$C$8*COS('1.설계입력'!$C$15*B1000)</f>
        <v>-75.243490161009959</v>
      </c>
      <c r="H1000" s="40">
        <f>-('1.설계입력'!$C$6+'1.설계입력'!$C$33)*SIN(B1000)+('1.설계입력'!$C$7+'1.설계입력'!$C$34)*SIN(B1000+F1000)+'1.설계입력'!$C$8*SIN('1.설계입력'!$C$15*B1000)</f>
        <v>25.565613704179444</v>
      </c>
      <c r="I1000" s="40">
        <f t="shared" si="46"/>
        <v>79.479288718190602</v>
      </c>
      <c r="J1000" s="40">
        <f t="shared" si="47"/>
        <v>79.468128301107811</v>
      </c>
      <c r="K1000" s="38" t="str">
        <f>IF(OR(A1000&gt;180,'1.설계입력'!$C$39&gt;=1),"",'1.설계입력'!$C$34*(1-SIN(B1000)/SQRT(1+'1.설계입력'!$C$39^2-2*'1.설계입력'!$C$39*COS(B1000)))-'1.설계입력'!$C$33*(1-'1.설계입력'!$C$39*COS(B1000)-SQRT(MAX(0,1-'1.설계입력'!$C$39^2))*SIN(B1000))/SQRT(1+'1.설계입력'!$C$39^2-2*'1.설계입력'!$C$39*COS(B1000)))</f>
        <v/>
      </c>
    </row>
    <row r="1001" spans="1:11" x14ac:dyDescent="0.3">
      <c r="A1001" s="40">
        <f>A1000+'1.설계입력'!$C$12</f>
        <v>198.99999999999724</v>
      </c>
      <c r="B1001" s="40">
        <f t="shared" si="45"/>
        <v>3.4732052114686676</v>
      </c>
      <c r="C1001" s="40">
        <f>ATAN2('1.설계입력'!$C$6/('1.설계입력'!$C$8*'1.설계입력'!$C$15)-COS((1-'1.설계입력'!$C$15)*B1001),SIN((1-'1.설계입력'!$C$15)*B1001))</f>
        <v>0.15455295955484091</v>
      </c>
      <c r="D1001" s="40">
        <f>'1.설계입력'!$C$6*COS(B1001)-'1.설계입력'!$C$7*COS(B1001+C1001)-'1.설계입력'!$C$8*COS('1.설계입력'!$C$15*B1001)</f>
        <v>-75.145065966321397</v>
      </c>
      <c r="E1001" s="40">
        <f>-'1.설계입력'!$C$6*SIN(B1001)+'1.설계입력'!$C$7*SIN(B1001+C1001)+'1.설계입력'!$C$8*SIN('1.설계입력'!$C$15*B1001)</f>
        <v>25.791813493467881</v>
      </c>
      <c r="F1001" s="40">
        <f>ATAN2(('1.설계입력'!$C$6+'1.설계입력'!$C$33)/('1.설계입력'!$C$8*'1.설계입력'!$C$15)-COS((1-'1.설계입력'!$C$15)*B1001),SIN((1-'1.설계입력'!$C$15)*B1001))</f>
        <v>0.15455637608105741</v>
      </c>
      <c r="G1001" s="40">
        <f>('1.설계입력'!$C$6+'1.설계입력'!$C$33)*COS(B1001)-('1.설계입력'!$C$7+'1.설계입력'!$C$34)*COS(B1001+F1001)-'1.설계입력'!$C$8*COS('1.설계입력'!$C$15*B1001)</f>
        <v>-75.134979796134758</v>
      </c>
      <c r="H1001" s="40">
        <f>-('1.설계입력'!$C$6+'1.설계입력'!$C$33)*SIN(B1001)+('1.설계입력'!$C$7+'1.설계입력'!$C$34)*SIN(B1001+F1001)+'1.설계입력'!$C$8*SIN('1.설계입력'!$C$15*B1001)</f>
        <v>25.787007488018315</v>
      </c>
      <c r="I1001" s="40">
        <f t="shared" si="46"/>
        <v>79.448087342393748</v>
      </c>
      <c r="J1001" s="40">
        <f t="shared" si="47"/>
        <v>79.436987255010436</v>
      </c>
      <c r="K1001" s="38" t="str">
        <f>IF(OR(A1001&gt;180,'1.설계입력'!$C$39&gt;=1),"",'1.설계입력'!$C$34*(1-SIN(B1001)/SQRT(1+'1.설계입력'!$C$39^2-2*'1.설계입력'!$C$39*COS(B1001)))-'1.설계입력'!$C$33*(1-'1.설계입력'!$C$39*COS(B1001)-SQRT(MAX(0,1-'1.설계입력'!$C$39^2))*SIN(B1001))/SQRT(1+'1.설계입력'!$C$39^2-2*'1.설계입력'!$C$39*COS(B1001)))</f>
        <v/>
      </c>
    </row>
    <row r="1002" spans="1:11" x14ac:dyDescent="0.3">
      <c r="A1002" s="40">
        <f>A1001+'1.설계입력'!$C$12</f>
        <v>199.19999999999723</v>
      </c>
      <c r="B1002" s="40">
        <f t="shared" si="45"/>
        <v>3.476695869972656</v>
      </c>
      <c r="C1002" s="40">
        <f>ATAN2('1.설계입력'!$C$6/('1.설계입력'!$C$8*'1.설계입력'!$C$15)-COS((1-'1.설계입력'!$C$15)*B1002),SIN((1-'1.설계입력'!$C$15)*B1002))</f>
        <v>0.21156921989260155</v>
      </c>
      <c r="D1002" s="40">
        <f>'1.설계입력'!$C$6*COS(B1002)-'1.설계입력'!$C$7*COS(B1002+C1002)-'1.설계입력'!$C$8*COS('1.설계입력'!$C$15*B1002)</f>
        <v>-75.025521972812669</v>
      </c>
      <c r="E1002" s="40">
        <f>-'1.설계입력'!$C$6*SIN(B1002)+'1.설계입력'!$C$7*SIN(B1002+C1002)+'1.설계입력'!$C$8*SIN('1.설계입력'!$C$15*B1002)</f>
        <v>26.002392227892766</v>
      </c>
      <c r="F1002" s="40">
        <f>ATAN2(('1.설계입력'!$C$6+'1.설계입력'!$C$33)/('1.설계입력'!$C$8*'1.설계입력'!$C$15)-COS((1-'1.설계입력'!$C$15)*B1002),SIN((1-'1.설계입력'!$C$15)*B1002))</f>
        <v>0.21157394933944407</v>
      </c>
      <c r="G1002" s="40">
        <f>('1.설계입력'!$C$6+'1.설계입력'!$C$33)*COS(B1002)-('1.설계입력'!$C$7+'1.설계입력'!$C$34)*COS(B1002+F1002)-'1.설계입력'!$C$8*COS('1.설계입력'!$C$15*B1002)</f>
        <v>-75.015684761882682</v>
      </c>
      <c r="H1002" s="40">
        <f>-('1.설계입력'!$C$6+'1.설계입력'!$C$33)*SIN(B1002)+('1.설계입력'!$C$7+'1.설계입력'!$C$34)*SIN(B1002+F1002)+'1.설계입력'!$C$8*SIN('1.설계입력'!$C$15*B1002)</f>
        <v>25.997145783057423</v>
      </c>
      <c r="I1002" s="40">
        <f t="shared" si="46"/>
        <v>79.403736365905189</v>
      </c>
      <c r="J1002" s="40">
        <f t="shared" si="47"/>
        <v>79.392723527787467</v>
      </c>
      <c r="K1002" s="38" t="str">
        <f>IF(OR(A1002&gt;180,'1.설계입력'!$C$39&gt;=1),"",'1.설계입력'!$C$34*(1-SIN(B1002)/SQRT(1+'1.설계입력'!$C$39^2-2*'1.설계입력'!$C$39*COS(B1002)))-'1.설계입력'!$C$33*(1-'1.설계입력'!$C$39*COS(B1002)-SQRT(MAX(0,1-'1.설계입력'!$C$39^2))*SIN(B1002))/SQRT(1+'1.설계입력'!$C$39^2-2*'1.설계입력'!$C$39*COS(B1002)))</f>
        <v/>
      </c>
    </row>
    <row r="1003" spans="1:11" x14ac:dyDescent="0.3">
      <c r="A1003" s="40">
        <f>A1002+'1.설계입력'!$C$12</f>
        <v>199.39999999999722</v>
      </c>
      <c r="B1003" s="40">
        <f t="shared" si="45"/>
        <v>3.4801865284766444</v>
      </c>
      <c r="C1003" s="40">
        <f>ATAN2('1.설계입력'!$C$6/('1.설계입력'!$C$8*'1.설계입력'!$C$15)-COS((1-'1.설계입력'!$C$15)*B1003),SIN((1-'1.설계입력'!$C$15)*B1003))</f>
        <v>0.26820196281679048</v>
      </c>
      <c r="D1003" s="40">
        <f>'1.설계입력'!$C$6*COS(B1003)-'1.설계입력'!$C$7*COS(B1003+C1003)-'1.설계입력'!$C$8*COS('1.설계입력'!$C$15*B1003)</f>
        <v>-74.897129836902863</v>
      </c>
      <c r="E1003" s="40">
        <f>-'1.설계입력'!$C$6*SIN(B1003)+'1.설계입력'!$C$7*SIN(B1003+C1003)+'1.설계입력'!$C$8*SIN('1.설계입력'!$C$15*B1003)</f>
        <v>26.199816218869973</v>
      </c>
      <c r="F1003" s="40">
        <f>ATAN2(('1.설계입력'!$C$6+'1.설계입력'!$C$33)/('1.설계입력'!$C$8*'1.설계입력'!$C$15)-COS((1-'1.설계입력'!$C$15)*B1003),SIN((1-'1.설계입력'!$C$15)*B1003))</f>
        <v>0.26820804830637823</v>
      </c>
      <c r="G1003" s="40">
        <f>('1.설계입력'!$C$6+'1.설계입력'!$C$33)*COS(B1003)-('1.설계입력'!$C$7+'1.설계입력'!$C$34)*COS(B1003+F1003)-'1.설계입력'!$C$8*COS('1.설계입력'!$C$15*B1003)</f>
        <v>-74.887565772671323</v>
      </c>
      <c r="H1003" s="40">
        <f>-('1.설계입력'!$C$6+'1.설계입력'!$C$33)*SIN(B1003)+('1.설계입력'!$C$7+'1.설계입력'!$C$34)*SIN(B1003+F1003)+'1.설계입력'!$C$8*SIN('1.설계입력'!$C$15*B1003)</f>
        <v>26.194147552761464</v>
      </c>
      <c r="I1003" s="40">
        <f t="shared" si="46"/>
        <v>79.347403408734479</v>
      </c>
      <c r="J1003" s="40">
        <f t="shared" si="47"/>
        <v>79.336504040523579</v>
      </c>
      <c r="K1003" s="38" t="str">
        <f>IF(OR(A1003&gt;180,'1.설계입력'!$C$39&gt;=1),"",'1.설계입력'!$C$34*(1-SIN(B1003)/SQRT(1+'1.설계입력'!$C$39^2-2*'1.설계입력'!$C$39*COS(B1003)))-'1.설계입력'!$C$33*(1-'1.설계입력'!$C$39*COS(B1003)-SQRT(MAX(0,1-'1.설계입력'!$C$39^2))*SIN(B1003))/SQRT(1+'1.설계입력'!$C$39^2-2*'1.설계입력'!$C$39*COS(B1003)))</f>
        <v/>
      </c>
    </row>
    <row r="1004" spans="1:11" x14ac:dyDescent="0.3">
      <c r="A1004" s="40">
        <f>A1003+'1.설계입력'!$C$12</f>
        <v>199.59999999999721</v>
      </c>
      <c r="B1004" s="40">
        <f t="shared" si="45"/>
        <v>3.4836771869806329</v>
      </c>
      <c r="C1004" s="40">
        <f>ATAN2('1.설계입력'!$C$6/('1.설계입력'!$C$8*'1.설계입력'!$C$15)-COS((1-'1.설계입력'!$C$15)*B1004),SIN((1-'1.설계입력'!$C$15)*B1004))</f>
        <v>0.32432155060547013</v>
      </c>
      <c r="D1004" s="40">
        <f>'1.설계입력'!$C$6*COS(B1004)-'1.설계입력'!$C$7*COS(B1004+C1004)-'1.설계입력'!$C$8*COS('1.설계입력'!$C$15*B1004)</f>
        <v>-74.76207436655595</v>
      </c>
      <c r="E1004" s="40">
        <f>-'1.설계입력'!$C$6*SIN(B1004)+'1.설계입력'!$C$7*SIN(B1004+C1004)+'1.설계입력'!$C$8*SIN('1.설계입력'!$C$15*B1004)</f>
        <v>26.382559815059157</v>
      </c>
      <c r="F1004" s="40">
        <f>ATAN2(('1.설계입력'!$C$6+'1.설계입력'!$C$33)/('1.설계입력'!$C$8*'1.설계입력'!$C$15)-COS((1-'1.설계입력'!$C$15)*B1004),SIN((1-'1.설계입력'!$C$15)*B1004))</f>
        <v>0.32432904957981551</v>
      </c>
      <c r="G1004" s="40">
        <f>('1.설계입력'!$C$6+'1.설계입력'!$C$33)*COS(B1004)-('1.설계입력'!$C$7+'1.설계입력'!$C$34)*COS(B1004+F1004)-'1.설계입력'!$C$8*COS('1.설계입력'!$C$15*B1004)</f>
        <v>-74.752805576701562</v>
      </c>
      <c r="H1004" s="40">
        <f>-('1.설계입력'!$C$6+'1.설계입력'!$C$33)*SIN(B1004)+('1.설계입력'!$C$7+'1.설계입력'!$C$34)*SIN(B1004+F1004)+'1.설계입력'!$C$8*SIN('1.설계입력'!$C$15*B1004)</f>
        <v>26.376489152843266</v>
      </c>
      <c r="I1004" s="40">
        <f t="shared" si="46"/>
        <v>79.280560202269115</v>
      </c>
      <c r="J1004" s="40">
        <f t="shared" si="47"/>
        <v>79.269799555809414</v>
      </c>
      <c r="K1004" s="38" t="str">
        <f>IF(OR(A1004&gt;180,'1.설계입력'!$C$39&gt;=1),"",'1.설계입력'!$C$34*(1-SIN(B1004)/SQRT(1+'1.설계입력'!$C$39^2-2*'1.설계입력'!$C$39*COS(B1004)))-'1.설계입력'!$C$33*(1-'1.설계입력'!$C$39*COS(B1004)-SQRT(MAX(0,1-'1.설계입력'!$C$39^2))*SIN(B1004))/SQRT(1+'1.설계입력'!$C$39^2-2*'1.설계입력'!$C$39*COS(B1004)))</f>
        <v/>
      </c>
    </row>
    <row r="1005" spans="1:11" x14ac:dyDescent="0.3">
      <c r="A1005" s="40">
        <f>A1004+'1.설계입력'!$C$12</f>
        <v>199.7999999999972</v>
      </c>
      <c r="B1005" s="40">
        <f t="shared" si="45"/>
        <v>3.4871678454846213</v>
      </c>
      <c r="C1005" s="40">
        <f>ATAN2('1.설계입력'!$C$6/('1.설계입력'!$C$8*'1.설계입력'!$C$15)-COS((1-'1.설계입력'!$C$15)*B1005),SIN((1-'1.설계입력'!$C$15)*B1005))</f>
        <v>0.37977696022860591</v>
      </c>
      <c r="D1005" s="40">
        <f>'1.설계입력'!$C$6*COS(B1005)-'1.설계입력'!$C$7*COS(B1005+C1005)-'1.설계입력'!$C$8*COS('1.설계입력'!$C$15*B1005)</f>
        <v>-74.622685141790654</v>
      </c>
      <c r="E1005" s="40">
        <f>-'1.설계입력'!$C$6*SIN(B1005)+'1.설계입력'!$C$7*SIN(B1005+C1005)+'1.설계입력'!$C$8*SIN('1.설계입력'!$C$15*B1005)</f>
        <v>26.549498285749308</v>
      </c>
      <c r="F1005" s="40">
        <f>ATAN2(('1.설계입력'!$C$6+'1.설계입력'!$C$33)/('1.설계입력'!$C$8*'1.설계입력'!$C$15)-COS((1-'1.설계입력'!$C$15)*B1005),SIN((1-'1.설계입력'!$C$15)*B1005))</f>
        <v>0.37978594659928694</v>
      </c>
      <c r="G1005" s="40">
        <f>('1.설계입력'!$C$6+'1.설계입력'!$C$33)*COS(B1005)-('1.설계입력'!$C$7+'1.설계입력'!$C$34)*COS(B1005+F1005)-'1.설계입력'!$C$8*COS('1.설계입력'!$C$15*B1005)</f>
        <v>-74.613731352620235</v>
      </c>
      <c r="H1005" s="40">
        <f>-('1.설계입력'!$C$6+'1.설계입력'!$C$33)*SIN(B1005)+('1.설계입력'!$C$7+'1.설계입력'!$C$34)*SIN(B1005+F1005)+'1.설계입력'!$C$8*SIN('1.설계입력'!$C$15*B1005)</f>
        <v>26.543047715264386</v>
      </c>
      <c r="I1005" s="40">
        <f t="shared" si="46"/>
        <v>79.204930383125955</v>
      </c>
      <c r="J1005" s="40">
        <f t="shared" si="47"/>
        <v>79.194332425848415</v>
      </c>
      <c r="K1005" s="38" t="str">
        <f>IF(OR(A1005&gt;180,'1.설계입력'!$C$39&gt;=1),"",'1.설계입력'!$C$34*(1-SIN(B1005)/SQRT(1+'1.설계입력'!$C$39^2-2*'1.설계입력'!$C$39*COS(B1005)))-'1.설계입력'!$C$33*(1-'1.설계입력'!$C$39*COS(B1005)-SQRT(MAX(0,1-'1.설계입력'!$C$39^2))*SIN(B1005))/SQRT(1+'1.설계입력'!$C$39^2-2*'1.설계입력'!$C$39*COS(B1005)))</f>
        <v/>
      </c>
    </row>
    <row r="1006" spans="1:11" x14ac:dyDescent="0.3">
      <c r="A1006" s="40">
        <f>A1005+'1.설계입력'!$C$12</f>
        <v>199.99999999999719</v>
      </c>
      <c r="B1006" s="40">
        <f t="shared" si="45"/>
        <v>3.4906585039886098</v>
      </c>
      <c r="C1006" s="40">
        <f>ATAN2('1.설계입력'!$C$6/('1.설계입력'!$C$8*'1.설계입력'!$C$15)-COS((1-'1.설계입력'!$C$15)*B1006),SIN((1-'1.설계입력'!$C$15)*B1006))</f>
        <v>0.4343875648360635</v>
      </c>
      <c r="D1006" s="40">
        <f>'1.설계입력'!$C$6*COS(B1006)-'1.설계입력'!$C$7*COS(B1006+C1006)-'1.설계입력'!$C$8*COS('1.설계입력'!$C$15*B1006)</f>
        <v>-74.481344819834675</v>
      </c>
      <c r="E1006" s="40">
        <f>-'1.설계입력'!$C$6*SIN(B1006)+'1.설계입력'!$C$7*SIN(B1006+C1006)+'1.설계입력'!$C$8*SIN('1.설계입력'!$C$15*B1006)</f>
        <v>26.699942181077439</v>
      </c>
      <c r="F1006" s="40">
        <f>ATAN2(('1.설계입력'!$C$6+'1.설계입력'!$C$33)/('1.설계입력'!$C$8*'1.설계입력'!$C$15)-COS((1-'1.설계입력'!$C$15)*B1006),SIN((1-'1.설계입력'!$C$15)*B1006))</f>
        <v>0.43439813190467957</v>
      </c>
      <c r="G1006" s="40">
        <f>('1.설계입력'!$C$6+'1.설계입력'!$C$33)*COS(B1006)-('1.설계입력'!$C$7+'1.설계입력'!$C$34)*COS(B1006+F1006)-'1.설계입력'!$C$8*COS('1.설계입력'!$C$15*B1006)</f>
        <v>-74.472722970515562</v>
      </c>
      <c r="H1006" s="40">
        <f>-('1.설계입력'!$C$6+'1.설계입력'!$C$33)*SIN(B1006)+('1.설계입력'!$C$7+'1.설계입력'!$C$34)*SIN(B1006+F1006)+'1.설계입력'!$C$8*SIN('1.설계입력'!$C$15*B1006)</f>
        <v>26.693135496465647</v>
      </c>
      <c r="I1006" s="40">
        <f t="shared" si="46"/>
        <v>79.122421845163402</v>
      </c>
      <c r="J1006" s="40">
        <f t="shared" si="47"/>
        <v>79.112008881558751</v>
      </c>
      <c r="K1006" s="38" t="str">
        <f>IF(OR(A1006&gt;180,'1.설계입력'!$C$39&gt;=1),"",'1.설계입력'!$C$34*(1-SIN(B1006)/SQRT(1+'1.설계입력'!$C$39^2-2*'1.설계입력'!$C$39*COS(B1006)))-'1.설계입력'!$C$33*(1-'1.설계입력'!$C$39*COS(B1006)-SQRT(MAX(0,1-'1.설계입력'!$C$39^2))*SIN(B1006))/SQRT(1+'1.설계입력'!$C$39^2-2*'1.설계입력'!$C$39*COS(B1006)))</f>
        <v/>
      </c>
    </row>
    <row r="1007" spans="1:11" x14ac:dyDescent="0.3">
      <c r="A1007" s="40">
        <f>A1006+'1.설계입력'!$C$12</f>
        <v>200.19999999999717</v>
      </c>
      <c r="B1007" s="40">
        <f t="shared" si="45"/>
        <v>3.4941491624925987</v>
      </c>
      <c r="C1007" s="40">
        <f>ATAN2('1.설계입력'!$C$6/('1.설계입력'!$C$8*'1.설계입력'!$C$15)-COS((1-'1.설계입력'!$C$15)*B1007),SIN((1-'1.설계입력'!$C$15)*B1007))</f>
        <v>0.48793196153132273</v>
      </c>
      <c r="D1007" s="40">
        <f>'1.설계입력'!$C$6*COS(B1007)-'1.설계입력'!$C$7*COS(B1007+C1007)-'1.설계입력'!$C$8*COS('1.설계입력'!$C$15*B1007)</f>
        <v>-74.340381071028659</v>
      </c>
      <c r="E1007" s="40">
        <f>-'1.설계입력'!$C$6*SIN(B1007)+'1.설계입력'!$C$7*SIN(B1007+C1007)+'1.설계입력'!$C$8*SIN('1.설계입력'!$C$15*B1007)</f>
        <v>26.833662290496513</v>
      </c>
      <c r="F1007" s="40">
        <f>ATAN2(('1.설계입력'!$C$6+'1.설계입력'!$C$33)/('1.설계입력'!$C$8*'1.설계입력'!$C$15)-COS((1-'1.설계입력'!$C$15)*B1007),SIN((1-'1.설계입력'!$C$15)*B1007))</f>
        <v>0.48794422591535069</v>
      </c>
      <c r="G1007" s="40">
        <f>('1.설계입력'!$C$6+'1.설계입력'!$C$33)*COS(B1007)-('1.설계입력'!$C$7+'1.설계입력'!$C$34)*COS(B1007+F1007)-'1.설계입력'!$C$8*COS('1.설계입력'!$C$15*B1007)</f>
        <v>-74.332104861230803</v>
      </c>
      <c r="H1007" s="40">
        <f>-('1.설계입력'!$C$6+'1.설계입력'!$C$33)*SIN(B1007)+('1.설계입력'!$C$7+'1.설계입력'!$C$34)*SIN(B1007+F1007)+'1.설계입력'!$C$8*SIN('1.설계입력'!$C$15*B1007)</f>
        <v>26.826524824357268</v>
      </c>
      <c r="I1007" s="40">
        <f t="shared" si="46"/>
        <v>79.035040897732003</v>
      </c>
      <c r="J1007" s="40">
        <f t="shared" si="47"/>
        <v>79.024833104871973</v>
      </c>
      <c r="K1007" s="38" t="str">
        <f>IF(OR(A1007&gt;180,'1.설계입력'!$C$39&gt;=1),"",'1.설계입력'!$C$34*(1-SIN(B1007)/SQRT(1+'1.설계입력'!$C$39^2-2*'1.설계입력'!$C$39*COS(B1007)))-'1.설계입력'!$C$33*(1-'1.설계입력'!$C$39*COS(B1007)-SQRT(MAX(0,1-'1.설계입력'!$C$39^2))*SIN(B1007))/SQRT(1+'1.설계입력'!$C$39^2-2*'1.설계입력'!$C$39*COS(B1007)))</f>
        <v/>
      </c>
    </row>
    <row r="1008" spans="1:11" x14ac:dyDescent="0.3">
      <c r="A1008" s="40">
        <f>A1007+'1.설계입력'!$C$12</f>
        <v>200.39999999999716</v>
      </c>
      <c r="B1008" s="40">
        <f t="shared" si="45"/>
        <v>3.4976398209965871</v>
      </c>
      <c r="C1008" s="40">
        <f>ATAN2('1.설계입력'!$C$6/('1.설계입력'!$C$8*'1.설계입력'!$C$15)-COS((1-'1.설계입력'!$C$15)*B1008),SIN((1-'1.설계입력'!$C$15)*B1008))</f>
        <v>0.54013233008977324</v>
      </c>
      <c r="D1008" s="40">
        <f>'1.설계입력'!$C$6*COS(B1008)-'1.설계입력'!$C$7*COS(B1008+C1008)-'1.설계입력'!$C$8*COS('1.설계입력'!$C$15*B1008)</f>
        <v>-74.201937936113524</v>
      </c>
      <c r="E1008" s="40">
        <f>-'1.설계입력'!$C$6*SIN(B1008)+'1.설계입력'!$C$7*SIN(B1008+C1008)+'1.설계입력'!$C$8*SIN('1.설계입력'!$C$15*B1008)</f>
        <v>26.950905378804585</v>
      </c>
      <c r="F1008" s="40">
        <f>ATAN2(('1.설계입력'!$C$6+'1.설계입력'!$C$33)/('1.설계입력'!$C$8*'1.설계입력'!$C$15)-COS((1-'1.설계입력'!$C$15)*B1008),SIN((1-'1.설계입력'!$C$15)*B1008))</f>
        <v>0.54014643698633669</v>
      </c>
      <c r="G1008" s="40">
        <f>('1.설계입력'!$C$6+'1.설계입력'!$C$33)*COS(B1008)-('1.설계입력'!$C$7+'1.설계입력'!$C$34)*COS(B1008+F1008)-'1.설계입력'!$C$8*COS('1.설계입력'!$C$15*B1008)</f>
        <v>-74.194017273520103</v>
      </c>
      <c r="H1008" s="40">
        <f>-('1.설계입력'!$C$6+'1.설계입력'!$C$33)*SIN(B1008)+('1.설계입력'!$C$7+'1.설계입력'!$C$34)*SIN(B1008+F1008)+'1.설계입력'!$C$8*SIN('1.설계입력'!$C$15*B1008)</f>
        <v>26.943463824511539</v>
      </c>
      <c r="I1008" s="40">
        <f t="shared" si="46"/>
        <v>78.944783831562432</v>
      </c>
      <c r="J1008" s="40">
        <f t="shared" si="47"/>
        <v>78.934798676161591</v>
      </c>
      <c r="K1008" s="38" t="str">
        <f>IF(OR(A1008&gt;180,'1.설계입력'!$C$39&gt;=1),"",'1.설계입력'!$C$34*(1-SIN(B1008)/SQRT(1+'1.설계입력'!$C$39^2-2*'1.설계입력'!$C$39*COS(B1008)))-'1.설계입력'!$C$33*(1-'1.설계입력'!$C$39*COS(B1008)-SQRT(MAX(0,1-'1.설계입력'!$C$39^2))*SIN(B1008))/SQRT(1+'1.설계입력'!$C$39^2-2*'1.설계입력'!$C$39*COS(B1008)))</f>
        <v/>
      </c>
    </row>
    <row r="1009" spans="1:11" x14ac:dyDescent="0.3">
      <c r="A1009" s="40">
        <f>A1008+'1.설계입력'!$C$12</f>
        <v>200.59999999999715</v>
      </c>
      <c r="B1009" s="40">
        <f t="shared" si="45"/>
        <v>3.5011304795005755</v>
      </c>
      <c r="C1009" s="40">
        <f>ATAN2('1.설계입력'!$C$6/('1.설계입력'!$C$8*'1.설계입력'!$C$15)-COS((1-'1.설계입력'!$C$15)*B1009),SIN((1-'1.설계입력'!$C$15)*B1009))</f>
        <v>0.59063192387443353</v>
      </c>
      <c r="D1009" s="40">
        <f>'1.설계입력'!$C$6*COS(B1009)-'1.설계입력'!$C$7*COS(B1009+C1009)-'1.설계입력'!$C$8*COS('1.설계입력'!$C$15*B1009)</f>
        <v>-74.067819071293727</v>
      </c>
      <c r="E1009" s="40">
        <f>-'1.설계입력'!$C$6*SIN(B1009)+'1.설계입력'!$C$7*SIN(B1009+C1009)+'1.설계입력'!$C$8*SIN('1.설계입력'!$C$15*B1009)</f>
        <v>27.052401823999972</v>
      </c>
      <c r="F1009" s="40">
        <f>ATAN2(('1.설계입력'!$C$6+'1.설계입력'!$C$33)/('1.설계입력'!$C$8*'1.설계입력'!$C$15)-COS((1-'1.설계입력'!$C$15)*B1009),SIN((1-'1.설계입력'!$C$15)*B1009))</f>
        <v>0.59064805412995181</v>
      </c>
      <c r="G1009" s="40">
        <f>('1.설계입력'!$C$6+'1.설계입력'!$C$33)*COS(B1009)-('1.설계입력'!$C$7+'1.설계입력'!$C$34)*COS(B1009+F1009)-'1.설계입력'!$C$8*COS('1.설계입력'!$C$15*B1009)</f>
        <v>-74.060259367563532</v>
      </c>
      <c r="H1009" s="40">
        <f>-('1.설계입력'!$C$6+'1.설계입력'!$C$33)*SIN(B1009)+('1.설계입력'!$C$7+'1.설계입력'!$C$34)*SIN(B1009+F1009)+'1.설계입력'!$C$8*SIN('1.설계입력'!$C$15*B1009)</f>
        <v>27.044684052161706</v>
      </c>
      <c r="I1009" s="40">
        <f t="shared" si="46"/>
        <v>78.853498758298983</v>
      </c>
      <c r="J1009" s="40">
        <f t="shared" si="47"/>
        <v>78.84375024738506</v>
      </c>
      <c r="K1009" s="38" t="str">
        <f>IF(OR(A1009&gt;180,'1.설계입력'!$C$39&gt;=1),"",'1.설계입력'!$C$34*(1-SIN(B1009)/SQRT(1+'1.설계입력'!$C$39^2-2*'1.설계입력'!$C$39*COS(B1009)))-'1.설계입력'!$C$33*(1-'1.설계입력'!$C$39*COS(B1009)-SQRT(MAX(0,1-'1.설계입력'!$C$39^2))*SIN(B1009))/SQRT(1+'1.설계입력'!$C$39^2-2*'1.설계입력'!$C$39*COS(B1009)))</f>
        <v/>
      </c>
    </row>
    <row r="1010" spans="1:11" x14ac:dyDescent="0.3">
      <c r="A1010" s="40">
        <f>A1009+'1.설계입력'!$C$12</f>
        <v>200.79999999999714</v>
      </c>
      <c r="B1010" s="40">
        <f t="shared" si="45"/>
        <v>3.504621138004564</v>
      </c>
      <c r="C1010" s="40">
        <f>ATAN2('1.설계입력'!$C$6/('1.설계입력'!$C$8*'1.설계입력'!$C$15)-COS((1-'1.설계입력'!$C$15)*B1010),SIN((1-'1.설계입력'!$C$15)*B1010))</f>
        <v>0.6389617792730049</v>
      </c>
      <c r="D1010" s="40">
        <f>'1.설계입력'!$C$6*COS(B1010)-'1.설계입력'!$C$7*COS(B1010+C1010)-'1.설계입력'!$C$8*COS('1.설계입력'!$C$15*B1010)</f>
        <v>-73.939289623474934</v>
      </c>
      <c r="E1010" s="40">
        <f>-'1.설계입력'!$C$6*SIN(B1010)+'1.설계입력'!$C$7*SIN(B1010+C1010)+'1.설계입력'!$C$8*SIN('1.설계입력'!$C$15*B1010)</f>
        <v>27.13936805306632</v>
      </c>
      <c r="F1010" s="40">
        <f>ATAN2(('1.설계입력'!$C$6+'1.설계입력'!$C$33)/('1.설계입력'!$C$8*'1.설계입력'!$C$15)-COS((1-'1.설계입력'!$C$15)*B1010),SIN((1-'1.설계입력'!$C$15)*B1010))</f>
        <v>0.63898015890898974</v>
      </c>
      <c r="G1010" s="40">
        <f>('1.설계입력'!$C$6+'1.설계입력'!$C$33)*COS(B1010)-('1.설계입력'!$C$7+'1.설계입력'!$C$34)*COS(B1010+F1010)-'1.설계입력'!$C$8*COS('1.설계입력'!$C$15*B1010)</f>
        <v>-73.932090857782811</v>
      </c>
      <c r="H1010" s="40">
        <f>-('1.설계입력'!$C$6+'1.설계입력'!$C$33)*SIN(B1010)+('1.설계입력'!$C$7+'1.설계입력'!$C$34)*SIN(B1010+F1010)+'1.설계입력'!$C$8*SIN('1.설계입력'!$C$15*B1010)</f>
        <v>27.131402931071449</v>
      </c>
      <c r="I1010" s="40">
        <f t="shared" si="46"/>
        <v>78.762705948589044</v>
      </c>
      <c r="J1010" s="40">
        <f t="shared" si="47"/>
        <v>78.753203640306623</v>
      </c>
      <c r="K1010" s="38" t="str">
        <f>IF(OR(A1010&gt;180,'1.설계입력'!$C$39&gt;=1),"",'1.설계입력'!$C$34*(1-SIN(B1010)/SQRT(1+'1.설계입력'!$C$39^2-2*'1.설계입력'!$C$39*COS(B1010)))-'1.설계입력'!$C$33*(1-'1.설계입력'!$C$39*COS(B1010)-SQRT(MAX(0,1-'1.설계입력'!$C$39^2))*SIN(B1010))/SQRT(1+'1.설계입력'!$C$39^2-2*'1.설계입력'!$C$39*COS(B1010)))</f>
        <v/>
      </c>
    </row>
    <row r="1011" spans="1:11" x14ac:dyDescent="0.3">
      <c r="A1011" s="40">
        <f>A1010+'1.설계입력'!$C$12</f>
        <v>200.99999999999713</v>
      </c>
      <c r="B1011" s="40">
        <f t="shared" si="45"/>
        <v>3.5081117965085524</v>
      </c>
      <c r="C1011" s="40">
        <f>ATAN2('1.설계입력'!$C$6/('1.설계입력'!$C$8*'1.설계입력'!$C$15)-COS((1-'1.설계입력'!$C$15)*B1011),SIN((1-'1.설계입력'!$C$15)*B1011))</f>
        <v>0.68449005658839501</v>
      </c>
      <c r="D1011" s="40">
        <f>'1.설계입력'!$C$6*COS(B1011)-'1.설계입력'!$C$7*COS(B1011+C1011)-'1.설계입력'!$C$8*COS('1.설계입력'!$C$15*B1011)</f>
        <v>-73.816813406516246</v>
      </c>
      <c r="E1011" s="40">
        <f>-'1.설계입력'!$C$6*SIN(B1011)+'1.설계입력'!$C$7*SIN(B1011+C1011)+'1.설계입력'!$C$8*SIN('1.설계입력'!$C$15*B1011)</f>
        <v>27.213510239441199</v>
      </c>
      <c r="F1011" s="40">
        <f>ATAN2(('1.설계입력'!$C$6+'1.설계입력'!$C$33)/('1.설계입력'!$C$8*'1.설계입력'!$C$15)-COS((1-'1.설계입력'!$C$15)*B1011),SIN((1-'1.설계입력'!$C$15)*B1011))</f>
        <v>0.684510969659469</v>
      </c>
      <c r="G1011" s="40">
        <f>('1.설계입력'!$C$6+'1.설계입력'!$C$33)*COS(B1011)-('1.설계입력'!$C$7+'1.설계입력'!$C$34)*COS(B1011+F1011)-'1.설계입력'!$C$8*COS('1.설계입력'!$C$15*B1011)</f>
        <v>-73.809968825883843</v>
      </c>
      <c r="H1011" s="40">
        <f>-('1.설계입력'!$C$6+'1.설계입력'!$C$33)*SIN(B1011)+('1.설계입력'!$C$7+'1.설계입력'!$C$34)*SIN(B1011+F1011)+'1.설계입력'!$C$8*SIN('1.설계입력'!$C$15*B1011)</f>
        <v>27.20532747376496</v>
      </c>
      <c r="I1011" s="40">
        <f t="shared" si="46"/>
        <v>78.673356869048163</v>
      </c>
      <c r="J1011" s="40">
        <f t="shared" si="47"/>
        <v>78.664104526986989</v>
      </c>
      <c r="K1011" s="38" t="str">
        <f>IF(OR(A1011&gt;180,'1.설계입력'!$C$39&gt;=1),"",'1.설계입력'!$C$34*(1-SIN(B1011)/SQRT(1+'1.설계입력'!$C$39^2-2*'1.설계입력'!$C$39*COS(B1011)))-'1.설계입력'!$C$33*(1-'1.설계입력'!$C$39*COS(B1011)-SQRT(MAX(0,1-'1.설계입력'!$C$39^2))*SIN(B1011))/SQRT(1+'1.설계입력'!$C$39^2-2*'1.설계입력'!$C$39*COS(B1011)))</f>
        <v/>
      </c>
    </row>
    <row r="1012" spans="1:11" x14ac:dyDescent="0.3">
      <c r="A1012" s="40">
        <f>A1011+'1.설계입력'!$C$12</f>
        <v>201.19999999999712</v>
      </c>
      <c r="B1012" s="40">
        <f t="shared" si="45"/>
        <v>3.5116024550125409</v>
      </c>
      <c r="C1012" s="40">
        <f>ATAN2('1.설계입력'!$C$6/('1.설계입력'!$C$8*'1.설계입력'!$C$15)-COS((1-'1.설계입력'!$C$15)*B1012),SIN((1-'1.설계입력'!$C$15)*B1012))</f>
        <v>0.7263425539122299</v>
      </c>
      <c r="D1012" s="40">
        <f>'1.설계입력'!$C$6*COS(B1012)-'1.설계입력'!$C$7*COS(B1012+C1012)-'1.설계입력'!$C$8*COS('1.설계입력'!$C$15*B1012)</f>
        <v>-73.699683869193052</v>
      </c>
      <c r="E1012" s="40">
        <f>-'1.설계입력'!$C$6*SIN(B1012)+'1.설계입력'!$C$7*SIN(B1012+C1012)+'1.설계입력'!$C$8*SIN('1.설계입력'!$C$15*B1012)</f>
        <v>27.277043367664191</v>
      </c>
      <c r="F1012" s="40">
        <f>ATAN2(('1.설계입력'!$C$6+'1.설계입력'!$C$33)/('1.설계입력'!$C$8*'1.설계입력'!$C$15)-COS((1-'1.설계입력'!$C$15)*B1012),SIN((1-'1.설계입력'!$C$15)*B1012))</f>
        <v>0.72636635978564923</v>
      </c>
      <c r="G1012" s="40">
        <f>('1.설계입력'!$C$6+'1.설계입력'!$C$33)*COS(B1012)-('1.설계입력'!$C$7+'1.설계입력'!$C$34)*COS(B1012+F1012)-'1.설계입력'!$C$8*COS('1.설계입력'!$C$15*B1012)</f>
        <v>-73.693178107593312</v>
      </c>
      <c r="H1012" s="40">
        <f>-('1.설계입력'!$C$6+'1.설계입력'!$C$33)*SIN(B1012)+('1.설계입력'!$C$7+'1.설계입력'!$C$34)*SIN(B1012+F1012)+'1.설계입력'!$C$8*SIN('1.설계입력'!$C$15*B1012)</f>
        <v>27.268673412435803</v>
      </c>
      <c r="I1012" s="40">
        <f t="shared" si="46"/>
        <v>78.58549800885929</v>
      </c>
      <c r="J1012" s="40">
        <f t="shared" si="47"/>
        <v>78.576491708853695</v>
      </c>
      <c r="K1012" s="38" t="str">
        <f>IF(OR(A1012&gt;180,'1.설계입력'!$C$39&gt;=1),"",'1.설계입력'!$C$34*(1-SIN(B1012)/SQRT(1+'1.설계입력'!$C$39^2-2*'1.설계입력'!$C$39*COS(B1012)))-'1.설계입력'!$C$33*(1-'1.설계입력'!$C$39*COS(B1012)-SQRT(MAX(0,1-'1.설계입력'!$C$39^2))*SIN(B1012))/SQRT(1+'1.설계입력'!$C$39^2-2*'1.설계입력'!$C$39*COS(B1012)))</f>
        <v/>
      </c>
    </row>
    <row r="1013" spans="1:11" x14ac:dyDescent="0.3">
      <c r="A1013" s="40">
        <f>A1012+'1.설계입력'!$C$12</f>
        <v>201.39999999999711</v>
      </c>
      <c r="B1013" s="40">
        <f t="shared" si="45"/>
        <v>3.5150931135165293</v>
      </c>
      <c r="C1013" s="40">
        <f>ATAN2('1.설계입력'!$C$6/('1.설계입력'!$C$8*'1.설계입력'!$C$15)-COS((1-'1.설계입력'!$C$15)*B1013),SIN((1-'1.설계입력'!$C$15)*B1013))</f>
        <v>0.76327374704994988</v>
      </c>
      <c r="D1013" s="40">
        <f>'1.설계입력'!$C$6*COS(B1013)-'1.설계입력'!$C$7*COS(B1013+C1013)-'1.설계입력'!$C$8*COS('1.설계입력'!$C$15*B1013)</f>
        <v>-73.585473641105352</v>
      </c>
      <c r="E1013" s="40">
        <f>-'1.설계입력'!$C$6*SIN(B1013)+'1.설계입력'!$C$7*SIN(B1013+C1013)+'1.설계입력'!$C$8*SIN('1.설계입력'!$C$15*B1013)</f>
        <v>27.332757081305591</v>
      </c>
      <c r="F1013" s="40">
        <f>ATAN2(('1.설계입력'!$C$6+'1.설계입력'!$C$33)/('1.설계입력'!$C$8*'1.설계입력'!$C$15)-COS((1-'1.설계입력'!$C$15)*B1013),SIN((1-'1.설계입력'!$C$15)*B1013))</f>
        <v>0.76330090315612376</v>
      </c>
      <c r="G1013" s="40">
        <f>('1.설계입력'!$C$6+'1.설계입력'!$C$33)*COS(B1013)-('1.설계입력'!$C$7+'1.설계입력'!$C$34)*COS(B1013+F1013)-'1.설계입력'!$C$8*COS('1.설계입력'!$C$15*B1013)</f>
        <v>-73.579279881762588</v>
      </c>
      <c r="H1013" s="40">
        <f>-('1.설계입력'!$C$6+'1.설계입력'!$C$33)*SIN(B1013)+('1.설계입력'!$C$7+'1.설계입력'!$C$34)*SIN(B1013+F1013)+'1.설계입력'!$C$8*SIN('1.설계입력'!$C$15*B1013)</f>
        <v>27.324231211253643</v>
      </c>
      <c r="I1013" s="40">
        <f t="shared" si="46"/>
        <v>78.497780482326192</v>
      </c>
      <c r="J1013" s="40">
        <f t="shared" si="47"/>
        <v>78.489005849257651</v>
      </c>
      <c r="K1013" s="38" t="str">
        <f>IF(OR(A1013&gt;180,'1.설계입력'!$C$39&gt;=1),"",'1.설계입력'!$C$34*(1-SIN(B1013)/SQRT(1+'1.설계입력'!$C$39^2-2*'1.설계입력'!$C$39*COS(B1013)))-'1.설계입력'!$C$33*(1-'1.설계입력'!$C$39*COS(B1013)-SQRT(MAX(0,1-'1.설계입력'!$C$39^2))*SIN(B1013))/SQRT(1+'1.설계입력'!$C$39^2-2*'1.설계입력'!$C$39*COS(B1013)))</f>
        <v/>
      </c>
    </row>
    <row r="1014" spans="1:11" x14ac:dyDescent="0.3">
      <c r="A1014" s="40">
        <f>A1013+'1.설계입력'!$C$12</f>
        <v>201.5999999999971</v>
      </c>
      <c r="B1014" s="40">
        <f t="shared" si="45"/>
        <v>3.5185837720205178</v>
      </c>
      <c r="C1014" s="40">
        <f>ATAN2('1.설계입력'!$C$6/('1.설계입력'!$C$8*'1.설계입력'!$C$15)-COS((1-'1.설계입력'!$C$15)*B1014),SIN((1-'1.설계입력'!$C$15)*B1014))</f>
        <v>0.79344975223938885</v>
      </c>
      <c r="D1014" s="40">
        <f>'1.설계입력'!$C$6*COS(B1014)-'1.설계입력'!$C$7*COS(B1014+C1014)-'1.설계입력'!$C$8*COS('1.설계입력'!$C$15*B1014)</f>
        <v>-73.469163493389303</v>
      </c>
      <c r="E1014" s="40">
        <f>-'1.설계입력'!$C$6*SIN(B1014)+'1.설계입력'!$C$7*SIN(B1014+C1014)+'1.설계입력'!$C$8*SIN('1.설계입력'!$C$15*B1014)</f>
        <v>27.384201139847576</v>
      </c>
      <c r="F1014" s="40">
        <f>ATAN2(('1.설계입력'!$C$6+'1.설계입력'!$C$33)/('1.설계입력'!$C$8*'1.설계입력'!$C$15)-COS((1-'1.설계입력'!$C$15)*B1014),SIN((1-'1.설계입력'!$C$15)*B1014))</f>
        <v>0.79348084219432613</v>
      </c>
      <c r="G1014" s="40">
        <f>('1.설계입력'!$C$6+'1.설계입력'!$C$33)*COS(B1014)-('1.설계입력'!$C$7+'1.설계입력'!$C$34)*COS(B1014+F1014)-'1.설계입력'!$C$8*COS('1.설계입력'!$C$15*B1014)</f>
        <v>-73.463239004423372</v>
      </c>
      <c r="H1014" s="40">
        <f>-('1.설계입력'!$C$6+'1.설계입력'!$C$33)*SIN(B1014)+('1.설계입력'!$C$7+'1.설계입력'!$C$34)*SIN(B1014+F1014)+'1.설계입력'!$C$8*SIN('1.설계입력'!$C$15*B1014)</f>
        <v>27.375551916293301</v>
      </c>
      <c r="I1014" s="40">
        <f t="shared" si="46"/>
        <v>78.406711807637976</v>
      </c>
      <c r="J1014" s="40">
        <f t="shared" si="47"/>
        <v>78.398139823229869</v>
      </c>
      <c r="K1014" s="38" t="str">
        <f>IF(OR(A1014&gt;180,'1.설계입력'!$C$39&gt;=1),"",'1.설계입력'!$C$34*(1-SIN(B1014)/SQRT(1+'1.설계입력'!$C$39^2-2*'1.설계입력'!$C$39*COS(B1014)))-'1.설계입력'!$C$33*(1-'1.설계입력'!$C$39*COS(B1014)-SQRT(MAX(0,1-'1.설계입력'!$C$39^2))*SIN(B1014))/SQRT(1+'1.설계입력'!$C$39^2-2*'1.설계입력'!$C$39*COS(B1014)))</f>
        <v/>
      </c>
    </row>
    <row r="1015" spans="1:11" x14ac:dyDescent="0.3">
      <c r="A1015" s="40">
        <f>A1014+'1.설계입력'!$C$12</f>
        <v>201.79999999999708</v>
      </c>
      <c r="B1015" s="40">
        <f t="shared" si="45"/>
        <v>3.5220744305245062</v>
      </c>
      <c r="C1015" s="40">
        <f>ATAN2('1.설계입력'!$C$6/('1.설계입력'!$C$8*'1.설계입력'!$C$15)-COS((1-'1.설계입력'!$C$15)*B1015),SIN((1-'1.설계입력'!$C$15)*B1015))</f>
        <v>0.81406835660723365</v>
      </c>
      <c r="D1015" s="40">
        <f>'1.설계입력'!$C$6*COS(B1015)-'1.설계입력'!$C$7*COS(B1015+C1015)-'1.설계입력'!$C$8*COS('1.설계입력'!$C$15*B1015)</f>
        <v>-73.341689068165479</v>
      </c>
      <c r="E1015" s="40">
        <f>-'1.설계입력'!$C$6*SIN(B1015)+'1.설계입력'!$C$7*SIN(B1015+C1015)+'1.설계입력'!$C$8*SIN('1.설계입력'!$C$15*B1015)</f>
        <v>27.436168046744903</v>
      </c>
      <c r="F1015" s="40">
        <f>ATAN2(('1.설계입력'!$C$6+'1.설계입력'!$C$33)/('1.설계입력'!$C$8*'1.설계입력'!$C$15)-COS((1-'1.설계입력'!$C$15)*B1015),SIN((1-'1.설계입력'!$C$15)*B1015))</f>
        <v>0.81410411842890673</v>
      </c>
      <c r="G1015" s="40">
        <f>('1.설계입력'!$C$6+'1.설계입력'!$C$33)*COS(B1015)-('1.설계입력'!$C$7+'1.설계입력'!$C$34)*COS(B1015+F1015)-'1.설계입력'!$C$8*COS('1.설계입력'!$C$15*B1015)</f>
        <v>-73.33596787576883</v>
      </c>
      <c r="H1015" s="40">
        <f>-('1.설계입력'!$C$6+'1.설계입력'!$C$33)*SIN(B1015)+('1.설계입력'!$C$7+'1.설계입력'!$C$34)*SIN(B1015+F1015)+'1.설계입력'!$C$8*SIN('1.설계입력'!$C$15*B1015)</f>
        <v>27.427430733606464</v>
      </c>
      <c r="I1015" s="40">
        <f t="shared" si="46"/>
        <v>78.305470258856687</v>
      </c>
      <c r="J1015" s="40">
        <f t="shared" si="47"/>
        <v>78.297050652770949</v>
      </c>
      <c r="K1015" s="38" t="str">
        <f>IF(OR(A1015&gt;180,'1.설계입력'!$C$39&gt;=1),"",'1.설계입력'!$C$34*(1-SIN(B1015)/SQRT(1+'1.설계입력'!$C$39^2-2*'1.설계입력'!$C$39*COS(B1015)))-'1.설계입력'!$C$33*(1-'1.설계입력'!$C$39*COS(B1015)-SQRT(MAX(0,1-'1.설계입력'!$C$39^2))*SIN(B1015))/SQRT(1+'1.설계입력'!$C$39^2-2*'1.설계입력'!$C$39*COS(B1015)))</f>
        <v/>
      </c>
    </row>
    <row r="1016" spans="1:11" x14ac:dyDescent="0.3">
      <c r="A1016" s="40">
        <f>A1015+'1.설계입력'!$C$12</f>
        <v>201.99999999999707</v>
      </c>
      <c r="B1016" s="40">
        <f t="shared" si="45"/>
        <v>3.5255650890284946</v>
      </c>
      <c r="C1016" s="40">
        <f>ATAN2('1.설계입력'!$C$6/('1.설계입력'!$C$8*'1.설계입력'!$C$15)-COS((1-'1.설계입력'!$C$15)*B1016),SIN((1-'1.설계입력'!$C$15)*B1016))</f>
        <v>0.82066661728326107</v>
      </c>
      <c r="D1016" s="40">
        <f>'1.설계입력'!$C$6*COS(B1016)-'1.설계입력'!$C$7*COS(B1016+C1016)-'1.설계입력'!$C$8*COS('1.설계입력'!$C$15*B1016)</f>
        <v>-73.187416773631384</v>
      </c>
      <c r="E1016" s="40">
        <f>-'1.설계입력'!$C$6*SIN(B1016)+'1.설계입력'!$C$7*SIN(B1016+C1016)+'1.설계입력'!$C$8*SIN('1.설계입력'!$C$15*B1016)</f>
        <v>27.495930684832551</v>
      </c>
      <c r="F1016" s="40">
        <f>ATAN2(('1.설계입력'!$C$6+'1.설계입력'!$C$33)/('1.설계입력'!$C$8*'1.설계입력'!$C$15)-COS((1-'1.설계입력'!$C$15)*B1016),SIN((1-'1.설계입력'!$C$15)*B1016))</f>
        <v>0.8207079471684382</v>
      </c>
      <c r="G1016" s="40">
        <f>('1.설계입력'!$C$6+'1.설계입력'!$C$33)*COS(B1016)-('1.설계입력'!$C$7+'1.설계입력'!$C$34)*COS(B1016+F1016)-'1.설계입력'!$C$8*COS('1.설계입력'!$C$15*B1016)</f>
        <v>-73.18179713425549</v>
      </c>
      <c r="H1016" s="40">
        <f>-('1.설계입력'!$C$6+'1.설계입력'!$C$33)*SIN(B1016)+('1.설계입력'!$C$7+'1.설계입력'!$C$34)*SIN(B1016+F1016)+'1.설계입력'!$C$8*SIN('1.설계입력'!$C$15*B1016)</f>
        <v>27.4871470469751</v>
      </c>
      <c r="I1016" s="40">
        <f t="shared" si="46"/>
        <v>78.181993951435743</v>
      </c>
      <c r="J1016" s="40">
        <f t="shared" si="47"/>
        <v>78.173644437120601</v>
      </c>
      <c r="K1016" s="38" t="str">
        <f>IF(OR(A1016&gt;180,'1.설계입력'!$C$39&gt;=1),"",'1.설계입력'!$C$34*(1-SIN(B1016)/SQRT(1+'1.설계입력'!$C$39^2-2*'1.설계입력'!$C$39*COS(B1016)))-'1.설계입력'!$C$33*(1-'1.설계입력'!$C$39*COS(B1016)-SQRT(MAX(0,1-'1.설계입력'!$C$39^2))*SIN(B1016))/SQRT(1+'1.설계입력'!$C$39^2-2*'1.설계입력'!$C$39*COS(B1016)))</f>
        <v/>
      </c>
    </row>
    <row r="1017" spans="1:11" x14ac:dyDescent="0.3">
      <c r="A1017" s="40">
        <f>A1016+'1.설계입력'!$C$12</f>
        <v>202.19999999999706</v>
      </c>
      <c r="B1017" s="40">
        <f t="shared" si="45"/>
        <v>3.5290557475324831</v>
      </c>
      <c r="C1017" s="40">
        <f>ATAN2('1.설계입력'!$C$6/('1.설계입력'!$C$8*'1.설계입력'!$C$15)-COS((1-'1.설계입력'!$C$15)*B1017),SIN((1-'1.설계입력'!$C$15)*B1017))</f>
        <v>0.80581641004258586</v>
      </c>
      <c r="D1017" s="40">
        <f>'1.설계입력'!$C$6*COS(B1017)-'1.설계입력'!$C$7*COS(B1017+C1017)-'1.설계입력'!$C$8*COS('1.설계입력'!$C$15*B1017)</f>
        <v>-72.979713395866071</v>
      </c>
      <c r="E1017" s="40">
        <f>-'1.설계입력'!$C$6*SIN(B1017)+'1.설계입력'!$C$7*SIN(B1017+C1017)+'1.설계입력'!$C$8*SIN('1.설계입력'!$C$15*B1017)</f>
        <v>27.57648072442414</v>
      </c>
      <c r="F1017" s="40">
        <f>ATAN2(('1.설계입력'!$C$6+'1.설계입력'!$C$33)/('1.설계입력'!$C$8*'1.설계입력'!$C$15)-COS((1-'1.설계입력'!$C$15)*B1017),SIN((1-'1.설계입력'!$C$15)*B1017))</f>
        <v>0.80586424852835192</v>
      </c>
      <c r="G1017" s="40">
        <f>('1.설계입력'!$C$6+'1.설계입력'!$C$33)*COS(B1017)-('1.설계입력'!$C$7+'1.설계입력'!$C$34)*COS(B1017+F1017)-'1.설계입력'!$C$8*COS('1.설계입력'!$C$15*B1017)</f>
        <v>-72.974035670645918</v>
      </c>
      <c r="H1017" s="40">
        <f>-('1.설계입력'!$C$6+'1.설계입력'!$C$33)*SIN(B1017)+('1.설계입력'!$C$7+'1.설계입력'!$C$34)*SIN(B1017+F1017)+'1.설계입력'!$C$8*SIN('1.설계입력'!$C$15*B1017)</f>
        <v>27.567709122862286</v>
      </c>
      <c r="I1017" s="40">
        <f t="shared" si="46"/>
        <v>78.016029484249515</v>
      </c>
      <c r="J1017" s="40">
        <f t="shared" si="47"/>
        <v>78.007618014803185</v>
      </c>
      <c r="K1017" s="38" t="str">
        <f>IF(OR(A1017&gt;180,'1.설계입력'!$C$39&gt;=1),"",'1.설계입력'!$C$34*(1-SIN(B1017)/SQRT(1+'1.설계입력'!$C$39^2-2*'1.설계입력'!$C$39*COS(B1017)))-'1.설계입력'!$C$33*(1-'1.설계입력'!$C$39*COS(B1017)-SQRT(MAX(0,1-'1.설계입력'!$C$39^2))*SIN(B1017))/SQRT(1+'1.설계입력'!$C$39^2-2*'1.설계입력'!$C$39*COS(B1017)))</f>
        <v/>
      </c>
    </row>
    <row r="1018" spans="1:11" x14ac:dyDescent="0.3">
      <c r="A1018" s="40">
        <f>A1017+'1.설계입력'!$C$12</f>
        <v>202.39999999999705</v>
      </c>
      <c r="B1018" s="40">
        <f t="shared" si="45"/>
        <v>3.5325464060364715</v>
      </c>
      <c r="C1018" s="40">
        <f>ATAN2('1.설계입력'!$C$6/('1.설계입력'!$C$8*'1.설계입력'!$C$15)-COS((1-'1.설계입력'!$C$15)*B1018),SIN((1-'1.설계입력'!$C$15)*B1018))</f>
        <v>0.756659886808981</v>
      </c>
      <c r="D1018" s="40">
        <f>'1.설계입력'!$C$6*COS(B1018)-'1.설계입력'!$C$7*COS(B1018+C1018)-'1.설계입력'!$C$8*COS('1.설계입력'!$C$15*B1018)</f>
        <v>-72.673770841850043</v>
      </c>
      <c r="E1018" s="40">
        <f>-'1.설계입력'!$C$6*SIN(B1018)+'1.설계입력'!$C$7*SIN(B1018+C1018)+'1.설계입력'!$C$8*SIN('1.설계입력'!$C$15*B1018)</f>
        <v>27.7052593960297</v>
      </c>
      <c r="F1018" s="40">
        <f>ATAN2(('1.설계입력'!$C$6+'1.설계입력'!$C$33)/('1.설계입력'!$C$8*'1.설계입력'!$C$15)-COS((1-'1.설계입력'!$C$15)*B1018),SIN((1-'1.설계입력'!$C$15)*B1018))</f>
        <v>0.75671465249853154</v>
      </c>
      <c r="G1018" s="40">
        <f>('1.설계입력'!$C$6+'1.설계입력'!$C$33)*COS(B1018)-('1.설계입력'!$C$7+'1.설계입력'!$C$34)*COS(B1018+F1018)-'1.설계입력'!$C$8*COS('1.설계입력'!$C$15*B1018)</f>
        <v>-72.667778512435802</v>
      </c>
      <c r="H1018" s="40">
        <f>-('1.설계입력'!$C$6+'1.설계입력'!$C$33)*SIN(B1018)+('1.설계입력'!$C$7+'1.설계입력'!$C$34)*SIN(B1018+F1018)+'1.설계입력'!$C$8*SIN('1.설계입력'!$C$15*B1018)</f>
        <v>27.696602468877686</v>
      </c>
      <c r="I1018" s="40">
        <f t="shared" si="46"/>
        <v>77.775692646064073</v>
      </c>
      <c r="J1018" s="40">
        <f t="shared" si="47"/>
        <v>77.767009857981989</v>
      </c>
      <c r="K1018" s="38" t="str">
        <f>IF(OR(A1018&gt;180,'1.설계입력'!$C$39&gt;=1),"",'1.설계입력'!$C$34*(1-SIN(B1018)/SQRT(1+'1.설계입력'!$C$39^2-2*'1.설계입력'!$C$39*COS(B1018)))-'1.설계입력'!$C$33*(1-'1.설계입력'!$C$39*COS(B1018)-SQRT(MAX(0,1-'1.설계입력'!$C$39^2))*SIN(B1018))/SQRT(1+'1.설계입력'!$C$39^2-2*'1.설계입력'!$C$39*COS(B1018)))</f>
        <v/>
      </c>
    </row>
    <row r="1019" spans="1:11" x14ac:dyDescent="0.3">
      <c r="A1019" s="40">
        <f>A1018+'1.설계입력'!$C$12</f>
        <v>202.59999999999704</v>
      </c>
      <c r="B1019" s="40">
        <f t="shared" si="45"/>
        <v>3.53603706454046</v>
      </c>
      <c r="C1019" s="40">
        <f>ATAN2('1.설계입력'!$C$6/('1.설계입력'!$C$8*'1.설계입력'!$C$15)-COS((1-'1.설계입력'!$C$15)*B1019),SIN((1-'1.설계입력'!$C$15)*B1019))</f>
        <v>0.65077265334892143</v>
      </c>
      <c r="D1019" s="40">
        <f>'1.설계입력'!$C$6*COS(B1019)-'1.설계입력'!$C$7*COS(B1019+C1019)-'1.설계입력'!$C$8*COS('1.설계입력'!$C$15*B1019)</f>
        <v>-72.200035046829413</v>
      </c>
      <c r="E1019" s="40">
        <f>-'1.설계입력'!$C$6*SIN(B1019)+'1.설계입력'!$C$7*SIN(B1019+C1019)+'1.설계입력'!$C$8*SIN('1.설계입력'!$C$15*B1019)</f>
        <v>27.947447897223551</v>
      </c>
      <c r="F1019" s="40">
        <f>ATAN2(('1.설계입력'!$C$6+'1.설계입력'!$C$33)/('1.설계입력'!$C$8*'1.설계입력'!$C$15)-COS((1-'1.설계입력'!$C$15)*B1019),SIN((1-'1.설계입력'!$C$15)*B1019))</f>
        <v>0.65083210576418515</v>
      </c>
      <c r="G1019" s="40">
        <f>('1.설계입력'!$C$6+'1.설계입력'!$C$33)*COS(B1019)-('1.설계입력'!$C$7+'1.설계입력'!$C$34)*COS(B1019+F1019)-'1.설계입력'!$C$8*COS('1.설계입력'!$C$15*B1019)</f>
        <v>-72.193315343815001</v>
      </c>
      <c r="H1019" s="40">
        <f>-('1.설계입력'!$C$6+'1.설계입력'!$C$33)*SIN(B1019)+('1.설계입력'!$C$7+'1.설계입력'!$C$34)*SIN(B1019+F1019)+'1.설계입력'!$C$8*SIN('1.설계입력'!$C$15*B1019)</f>
        <v>27.939130262719509</v>
      </c>
      <c r="I1019" s="40">
        <f t="shared" si="46"/>
        <v>77.420313256479531</v>
      </c>
      <c r="J1019" s="40">
        <f t="shared" si="47"/>
        <v>77.411044303566428</v>
      </c>
      <c r="K1019" s="38" t="str">
        <f>IF(OR(A1019&gt;180,'1.설계입력'!$C$39&gt;=1),"",'1.설계입력'!$C$34*(1-SIN(B1019)/SQRT(1+'1.설계입력'!$C$39^2-2*'1.설계입력'!$C$39*COS(B1019)))-'1.설계입력'!$C$33*(1-'1.설계입력'!$C$39*COS(B1019)-SQRT(MAX(0,1-'1.설계입력'!$C$39^2))*SIN(B1019))/SQRT(1+'1.설계입력'!$C$39^2-2*'1.설계입력'!$C$39*COS(B1019)))</f>
        <v/>
      </c>
    </row>
    <row r="1020" spans="1:11" x14ac:dyDescent="0.3">
      <c r="A1020" s="40">
        <f>A1019+'1.설계입력'!$C$12</f>
        <v>202.79999999999703</v>
      </c>
      <c r="B1020" s="40">
        <f t="shared" si="45"/>
        <v>3.5395277230444484</v>
      </c>
      <c r="C1020" s="40">
        <f>ATAN2('1.설계입력'!$C$6/('1.설계입력'!$C$8*'1.설계입력'!$C$15)-COS((1-'1.설계입력'!$C$15)*B1020),SIN((1-'1.설계입력'!$C$15)*B1020))</f>
        <v>0.45359002221907146</v>
      </c>
      <c r="D1020" s="40">
        <f>'1.설계입력'!$C$6*COS(B1020)-'1.설계입력'!$C$7*COS(B1020+C1020)-'1.설계입력'!$C$8*COS('1.설계입력'!$C$15*B1020)</f>
        <v>-71.49021059991793</v>
      </c>
      <c r="E1020" s="40">
        <f>-'1.설계입력'!$C$6*SIN(B1020)+'1.설계입력'!$C$7*SIN(B1020+C1020)+'1.설계입력'!$C$8*SIN('1.설계입력'!$C$15*B1020)</f>
        <v>28.45526628945457</v>
      </c>
      <c r="F1020" s="40">
        <f>ATAN2(('1.설계입력'!$C$6+'1.설계입력'!$C$33)/('1.설계입력'!$C$8*'1.설계입력'!$C$15)-COS((1-'1.설계입력'!$C$15)*B1020),SIN((1-'1.설계입력'!$C$15)*B1020))</f>
        <v>0.45364297232813933</v>
      </c>
      <c r="G1020" s="40">
        <f>('1.설계입력'!$C$6+'1.설계입력'!$C$33)*COS(B1020)-('1.설계입력'!$C$7+'1.설계입력'!$C$34)*COS(B1020+F1020)-'1.설계입력'!$C$8*COS('1.설계입력'!$C$15*B1020)</f>
        <v>-71.482175908499912</v>
      </c>
      <c r="H1020" s="40">
        <f>-('1.설계입력'!$C$6+'1.설계입력'!$C$33)*SIN(B1020)+('1.설계입력'!$C$7+'1.설계입력'!$C$34)*SIN(B1020+F1020)+'1.설계입력'!$C$8*SIN('1.설계입력'!$C$15*B1020)</f>
        <v>28.447831653777037</v>
      </c>
      <c r="I1020" s="40">
        <f t="shared" si="46"/>
        <v>76.945125844489908</v>
      </c>
      <c r="J1020" s="40">
        <f t="shared" si="47"/>
        <v>76.934911440875553</v>
      </c>
      <c r="K1020" s="38" t="str">
        <f>IF(OR(A1020&gt;180,'1.설계입력'!$C$39&gt;=1),"",'1.설계입력'!$C$34*(1-SIN(B1020)/SQRT(1+'1.설계입력'!$C$39^2-2*'1.설계입력'!$C$39*COS(B1020)))-'1.설계입력'!$C$33*(1-'1.설계입력'!$C$39*COS(B1020)-SQRT(MAX(0,1-'1.설계입력'!$C$39^2))*SIN(B1020))/SQRT(1+'1.설계입력'!$C$39^2-2*'1.설계입력'!$C$39*COS(B1020)))</f>
        <v/>
      </c>
    </row>
    <row r="1021" spans="1:11" x14ac:dyDescent="0.3">
      <c r="A1021" s="40">
        <f>A1020+'1.설계입력'!$C$12</f>
        <v>202.99999999999702</v>
      </c>
      <c r="B1021" s="40">
        <f t="shared" si="45"/>
        <v>3.5430183815484368</v>
      </c>
      <c r="C1021" s="40">
        <f>ATAN2('1.설계입력'!$C$6/('1.설계입력'!$C$8*'1.설계입력'!$C$15)-COS((1-'1.설계입력'!$C$15)*B1021),SIN((1-'1.설계입력'!$C$15)*B1021))</f>
        <v>0.14125586134224735</v>
      </c>
      <c r="D1021" s="40">
        <f>'1.설계입력'!$C$6*COS(B1021)-'1.설계입력'!$C$7*COS(B1021+C1021)-'1.설계입력'!$C$8*COS('1.설계입력'!$C$15*B1021)</f>
        <v>-70.646551461578454</v>
      </c>
      <c r="E1021" s="40">
        <f>-'1.설계입력'!$C$6*SIN(B1021)+'1.설계입력'!$C$7*SIN(B1021+C1021)+'1.설계입력'!$C$8*SIN('1.설계입력'!$C$15*B1021)</f>
        <v>29.461185670070119</v>
      </c>
      <c r="F1021" s="40">
        <f>ATAN2(('1.설계입력'!$C$6+'1.설계입력'!$C$33)/('1.설계입력'!$C$8*'1.설계입력'!$C$15)-COS((1-'1.설계입력'!$C$15)*B1021),SIN((1-'1.설계입력'!$C$15)*B1021))</f>
        <v>0.14127543141999921</v>
      </c>
      <c r="G1021" s="40">
        <f>('1.설계입력'!$C$6+'1.설계입력'!$C$33)*COS(B1021)-('1.설계입력'!$C$7+'1.설계입력'!$C$34)*COS(B1021+F1021)-'1.설계입력'!$C$8*COS('1.설계입력'!$C$15*B1021)</f>
        <v>-70.636802157810351</v>
      </c>
      <c r="H1021" s="40">
        <f>-('1.설계입력'!$C$6+'1.설계입력'!$C$33)*SIN(B1021)+('1.설계입력'!$C$7+'1.설계입력'!$C$34)*SIN(B1021+F1021)+'1.설계입력'!$C$8*SIN('1.설계입력'!$C$15*B1021)</f>
        <v>29.455724117971009</v>
      </c>
      <c r="I1021" s="40">
        <f t="shared" si="46"/>
        <v>76.543430119767933</v>
      </c>
      <c r="J1021" s="40">
        <f t="shared" si="47"/>
        <v>76.532329785494312</v>
      </c>
      <c r="K1021" s="38" t="str">
        <f>IF(OR(A1021&gt;180,'1.설계입력'!$C$39&gt;=1),"",'1.설계입력'!$C$34*(1-SIN(B1021)/SQRT(1+'1.설계입력'!$C$39^2-2*'1.설계입력'!$C$39*COS(B1021)))-'1.설계입력'!$C$33*(1-'1.설계입력'!$C$39*COS(B1021)-SQRT(MAX(0,1-'1.설계입력'!$C$39^2))*SIN(B1021))/SQRT(1+'1.설계입력'!$C$39^2-2*'1.설계입력'!$C$39*COS(B1021)))</f>
        <v/>
      </c>
    </row>
    <row r="1022" spans="1:11" x14ac:dyDescent="0.3">
      <c r="A1022" s="40">
        <f>A1021+'1.설계입력'!$C$12</f>
        <v>203.199999999997</v>
      </c>
      <c r="B1022" s="40">
        <f t="shared" si="45"/>
        <v>3.5465090400524253</v>
      </c>
      <c r="C1022" s="40">
        <f>ATAN2('1.설계입력'!$C$6/('1.설계입력'!$C$8*'1.설계입력'!$C$15)-COS((1-'1.설계입력'!$C$15)*B1022),SIN((1-'1.설계입력'!$C$15)*B1022))</f>
        <v>-0.2223137616557295</v>
      </c>
      <c r="D1022" s="40">
        <f>'1.설계입력'!$C$6*COS(B1022)-'1.설계입력'!$C$7*COS(B1022+C1022)-'1.설계입력'!$C$8*COS('1.설계입력'!$C$15*B1022)</f>
        <v>-70.111178772050039</v>
      </c>
      <c r="E1022" s="40">
        <f>-'1.설계입력'!$C$6*SIN(B1022)+'1.설계입력'!$C$7*SIN(B1022+C1022)+'1.설계입력'!$C$8*SIN('1.설계입력'!$C$15*B1022)</f>
        <v>30.872671081501867</v>
      </c>
      <c r="F1022" s="40">
        <f>ATAN2(('1.설계입력'!$C$6+'1.설계입력'!$C$33)/('1.설계입력'!$C$8*'1.설계입력'!$C$15)-COS((1-'1.설계입력'!$C$15)*B1022),SIN((1-'1.설계입력'!$C$15)*B1022))</f>
        <v>-0.22234378255775405</v>
      </c>
      <c r="G1022" s="40">
        <f>('1.설계입력'!$C$6+'1.설계입력'!$C$33)*COS(B1022)-('1.설계입력'!$C$7+'1.설계입력'!$C$34)*COS(B1022+F1022)-'1.설계입력'!$C$8*COS('1.설계입력'!$C$15*B1022)</f>
        <v>-70.100342271433675</v>
      </c>
      <c r="H1022" s="40">
        <f>-('1.설계입력'!$C$6+'1.설계입력'!$C$33)*SIN(B1022)+('1.설계입력'!$C$7+'1.설계입력'!$C$34)*SIN(B1022+F1022)+'1.설계입력'!$C$8*SIN('1.설계입력'!$C$15*B1022)</f>
        <v>30.870097312908797</v>
      </c>
      <c r="I1022" s="40">
        <f t="shared" si="46"/>
        <v>76.607435725998315</v>
      </c>
      <c r="J1022" s="40">
        <f t="shared" si="47"/>
        <v>76.596480954940802</v>
      </c>
      <c r="K1022" s="38" t="str">
        <f>IF(OR(A1022&gt;180,'1.설계입력'!$C$39&gt;=1),"",'1.설계입력'!$C$34*(1-SIN(B1022)/SQRT(1+'1.설계입력'!$C$39^2-2*'1.설계입력'!$C$39*COS(B1022)))-'1.설계입력'!$C$33*(1-'1.설계입력'!$C$39*COS(B1022)-SQRT(MAX(0,1-'1.설계입력'!$C$39^2))*SIN(B1022))/SQRT(1+'1.설계입력'!$C$39^2-2*'1.설계입력'!$C$39*COS(B1022)))</f>
        <v/>
      </c>
    </row>
    <row r="1023" spans="1:11" x14ac:dyDescent="0.3">
      <c r="A1023" s="40">
        <f>A1022+'1.설계입력'!$C$12</f>
        <v>203.39999999999699</v>
      </c>
      <c r="B1023" s="40">
        <f t="shared" si="45"/>
        <v>3.5499996985564137</v>
      </c>
      <c r="C1023" s="40">
        <f>ATAN2('1.설계입력'!$C$6/('1.설계입력'!$C$8*'1.설계입력'!$C$15)-COS((1-'1.설계입력'!$C$15)*B1023),SIN((1-'1.설계입력'!$C$15)*B1023))</f>
        <v>-0.50916897797340543</v>
      </c>
      <c r="D1023" s="40">
        <f>'1.설계입력'!$C$6*COS(B1023)-'1.설계입력'!$C$7*COS(B1023+C1023)-'1.설계입력'!$C$8*COS('1.설계입력'!$C$15*B1023)</f>
        <v>-70.062642574166816</v>
      </c>
      <c r="E1023" s="40">
        <f>-'1.설계입력'!$C$6*SIN(B1023)+'1.설계입력'!$C$7*SIN(B1023+C1023)+'1.설계입력'!$C$8*SIN('1.설계입력'!$C$15*B1023)</f>
        <v>32.086815210052485</v>
      </c>
      <c r="F1023" s="40">
        <f>ATAN2(('1.설계입력'!$C$6+'1.설계입력'!$C$33)/('1.설계입력'!$C$8*'1.설계입력'!$C$15)-COS((1-'1.설계입력'!$C$15)*B1023),SIN((1-'1.설계입력'!$C$15)*B1023))</f>
        <v>-0.50922526079155128</v>
      </c>
      <c r="G1023" s="40">
        <f>('1.설계입력'!$C$6+'1.설계입력'!$C$33)*COS(B1023)-('1.설계입력'!$C$7+'1.설계입력'!$C$34)*COS(B1023+F1023)-'1.설계입력'!$C$8*COS('1.설계입력'!$C$15*B1023)</f>
        <v>-70.051761318035943</v>
      </c>
      <c r="H1023" s="40">
        <f>-('1.설계입력'!$C$6+'1.설계입력'!$C$33)*SIN(B1023)+('1.설계입력'!$C$7+'1.설계입력'!$C$34)*SIN(B1023+F1023)+'1.설계입력'!$C$8*SIN('1.설계입력'!$C$15*B1023)</f>
        <v>32.086623285159583</v>
      </c>
      <c r="I1023" s="40">
        <f t="shared" si="46"/>
        <v>77.060609878195933</v>
      </c>
      <c r="J1023" s="40">
        <f t="shared" si="47"/>
        <v>77.050636970779294</v>
      </c>
      <c r="K1023" s="38" t="str">
        <f>IF(OR(A1023&gt;180,'1.설계입력'!$C$39&gt;=1),"",'1.설계입력'!$C$34*(1-SIN(B1023)/SQRT(1+'1.설계입력'!$C$39^2-2*'1.설계입력'!$C$39*COS(B1023)))-'1.설계입력'!$C$33*(1-'1.설계입력'!$C$39*COS(B1023)-SQRT(MAX(0,1-'1.설계입력'!$C$39^2))*SIN(B1023))/SQRT(1+'1.설계입력'!$C$39^2-2*'1.설계입력'!$C$39*COS(B1023)))</f>
        <v/>
      </c>
    </row>
    <row r="1024" spans="1:11" x14ac:dyDescent="0.3">
      <c r="A1024" s="40">
        <f>A1023+'1.설계입력'!$C$12</f>
        <v>203.59999999999698</v>
      </c>
      <c r="B1024" s="40">
        <f t="shared" si="45"/>
        <v>3.5534903570604022</v>
      </c>
      <c r="C1024" s="40">
        <f>ATAN2('1.설계입력'!$C$6/('1.설계입력'!$C$8*'1.설계입력'!$C$15)-COS((1-'1.설계입력'!$C$15)*B1024),SIN((1-'1.설계입력'!$C$15)*B1024))</f>
        <v>-0.68189134705408816</v>
      </c>
      <c r="D1024" s="40">
        <f>'1.설계입력'!$C$6*COS(B1024)-'1.설계입력'!$C$7*COS(B1024+C1024)-'1.설계입력'!$C$8*COS('1.설계입력'!$C$15*B1024)</f>
        <v>-70.207643756385082</v>
      </c>
      <c r="E1024" s="40">
        <f>-'1.설계입력'!$C$6*SIN(B1024)+'1.설계입력'!$C$7*SIN(B1024+C1024)+'1.설계입력'!$C$8*SIN('1.설계입력'!$C$15*B1024)</f>
        <v>32.853534356191972</v>
      </c>
      <c r="F1024" s="40">
        <f>ATAN2(('1.설계입력'!$C$6+'1.설계입력'!$C$33)/('1.설계입력'!$C$8*'1.설계입력'!$C$15)-COS((1-'1.설계입력'!$C$15)*B1024),SIN((1-'1.설계입력'!$C$15)*B1024))</f>
        <v>-0.68195023038945513</v>
      </c>
      <c r="G1024" s="40">
        <f>('1.설계입력'!$C$6+'1.설계입력'!$C$33)*COS(B1024)-('1.설계입력'!$C$7+'1.설계입력'!$C$34)*COS(B1024+F1024)-'1.설계입력'!$C$8*COS('1.설계입력'!$C$15*B1024)</f>
        <v>-70.197059430546233</v>
      </c>
      <c r="H1024" s="40">
        <f>-('1.설계입력'!$C$6+'1.설계입력'!$C$33)*SIN(B1024)+('1.설계입력'!$C$7+'1.설계입력'!$C$34)*SIN(B1024+F1024)+'1.설계입력'!$C$8*SIN('1.설계입력'!$C$15*B1024)</f>
        <v>32.854681207608188</v>
      </c>
      <c r="I1024" s="40">
        <f t="shared" si="46"/>
        <v>77.514308108354825</v>
      </c>
      <c r="J1024" s="40">
        <f t="shared" si="47"/>
        <v>77.505207760183453</v>
      </c>
      <c r="K1024" s="38" t="str">
        <f>IF(OR(A1024&gt;180,'1.설계입력'!$C$39&gt;=1),"",'1.설계입력'!$C$34*(1-SIN(B1024)/SQRT(1+'1.설계입력'!$C$39^2-2*'1.설계입력'!$C$39*COS(B1024)))-'1.설계입력'!$C$33*(1-'1.설계입력'!$C$39*COS(B1024)-SQRT(MAX(0,1-'1.설계입력'!$C$39^2))*SIN(B1024))/SQRT(1+'1.설계입력'!$C$39^2-2*'1.설계입력'!$C$39*COS(B1024)))</f>
        <v/>
      </c>
    </row>
    <row r="1025" spans="1:11" x14ac:dyDescent="0.3">
      <c r="A1025" s="40">
        <f>A1024+'1.설계입력'!$C$12</f>
        <v>203.79999999999697</v>
      </c>
      <c r="B1025" s="40">
        <f t="shared" si="45"/>
        <v>3.5569810155643906</v>
      </c>
      <c r="C1025" s="40">
        <f>ATAN2('1.설계입력'!$C$6/('1.설계입력'!$C$8*'1.설계입력'!$C$15)-COS((1-'1.설계입력'!$C$15)*B1025),SIN((1-'1.설계입력'!$C$15)*B1025))</f>
        <v>-0.77202359528459641</v>
      </c>
      <c r="D1025" s="40">
        <f>'1.설계입력'!$C$6*COS(B1025)-'1.설계입력'!$C$7*COS(B1025+C1025)-'1.설계입력'!$C$8*COS('1.설계입력'!$C$15*B1025)</f>
        <v>-70.354893174289373</v>
      </c>
      <c r="E1025" s="40">
        <f>-'1.설계입력'!$C$6*SIN(B1025)+'1.설계입력'!$C$7*SIN(B1025+C1025)+'1.설계입력'!$C$8*SIN('1.설계입력'!$C$15*B1025)</f>
        <v>33.305190852875299</v>
      </c>
      <c r="F1025" s="40">
        <f>ATAN2(('1.설계입력'!$C$6+'1.설계입력'!$C$33)/('1.설계입력'!$C$8*'1.설계입력'!$C$15)-COS((1-'1.설계입력'!$C$15)*B1025),SIN((1-'1.설계입력'!$C$15)*B1025))</f>
        <v>-0.7720768038968634</v>
      </c>
      <c r="G1025" s="40">
        <f>('1.설계입력'!$C$6+'1.설계입력'!$C$33)*COS(B1025)-('1.설계입력'!$C$7+'1.설계입력'!$C$34)*COS(B1025+F1025)-'1.설계입력'!$C$8*COS('1.설계입력'!$C$15*B1025)</f>
        <v>-70.344540938104728</v>
      </c>
      <c r="H1025" s="40">
        <f>-('1.설계입력'!$C$6+'1.설계입력'!$C$33)*SIN(B1025)+('1.설계입력'!$C$7+'1.설계입력'!$C$34)*SIN(B1025+F1025)+'1.설계입력'!$C$8*SIN('1.설계입력'!$C$15*B1025)</f>
        <v>33.306967604261871</v>
      </c>
      <c r="I1025" s="40">
        <f t="shared" si="46"/>
        <v>77.839878798159219</v>
      </c>
      <c r="J1025" s="40">
        <f t="shared" si="47"/>
        <v>77.831282469094916</v>
      </c>
      <c r="K1025" s="38" t="str">
        <f>IF(OR(A1025&gt;180,'1.설계입력'!$C$39&gt;=1),"",'1.설계입력'!$C$34*(1-SIN(B1025)/SQRT(1+'1.설계입력'!$C$39^2-2*'1.설계입력'!$C$39*COS(B1025)))-'1.설계입력'!$C$33*(1-'1.설계입력'!$C$39*COS(B1025)-SQRT(MAX(0,1-'1.설계입력'!$C$39^2))*SIN(B1025))/SQRT(1+'1.설계입력'!$C$39^2-2*'1.설계입력'!$C$39*COS(B1025)))</f>
        <v/>
      </c>
    </row>
    <row r="1026" spans="1:11" x14ac:dyDescent="0.3">
      <c r="A1026" s="40">
        <f>A1025+'1.설계입력'!$C$12</f>
        <v>203.99999999999696</v>
      </c>
      <c r="B1026" s="40">
        <f t="shared" si="45"/>
        <v>3.5604716740683791</v>
      </c>
      <c r="C1026" s="40">
        <f>ATAN2('1.설계입력'!$C$6/('1.설계입력'!$C$8*'1.설계입력'!$C$15)-COS((1-'1.설계입력'!$C$15)*B1026),SIN((1-'1.설계입력'!$C$15)*B1026))</f>
        <v>-0.81170138601665498</v>
      </c>
      <c r="D1026" s="40">
        <f>'1.설계입력'!$C$6*COS(B1026)-'1.설계입력'!$C$7*COS(B1026+C1026)-'1.설계입력'!$C$8*COS('1.설계입력'!$C$15*B1026)</f>
        <v>-70.46539813946174</v>
      </c>
      <c r="E1026" s="40">
        <f>-'1.설계입력'!$C$6*SIN(B1026)+'1.설계입력'!$C$7*SIN(B1026+C1026)+'1.설계입력'!$C$8*SIN('1.설계입력'!$C$15*B1026)</f>
        <v>33.584555942026476</v>
      </c>
      <c r="F1026" s="40">
        <f>ATAN2(('1.설계입력'!$C$6+'1.설계입력'!$C$33)/('1.설계입력'!$C$8*'1.설계입력'!$C$15)-COS((1-'1.설계입력'!$C$15)*B1026),SIN((1-'1.설계입력'!$C$15)*B1026))</f>
        <v>-0.81174764934120747</v>
      </c>
      <c r="G1026" s="40">
        <f>('1.설계입력'!$C$6+'1.설계입력'!$C$33)*COS(B1026)-('1.설계입력'!$C$7+'1.설계입력'!$C$34)*COS(B1026+F1026)-'1.설계입력'!$C$8*COS('1.설계입력'!$C$15*B1026)</f>
        <v>-70.455154091851455</v>
      </c>
      <c r="H1026" s="40">
        <f>-('1.설계입력'!$C$6+'1.설계입력'!$C$33)*SIN(B1026)+('1.설계입력'!$C$7+'1.설계입력'!$C$34)*SIN(B1026+F1026)+'1.설계입력'!$C$8*SIN('1.설계입력'!$C$15*B1026)</f>
        <v>33.586567019567994</v>
      </c>
      <c r="I1026" s="40">
        <f t="shared" si="46"/>
        <v>78.059558881510242</v>
      </c>
      <c r="J1026" s="40">
        <f t="shared" si="47"/>
        <v>78.051176943505894</v>
      </c>
      <c r="K1026" s="38" t="str">
        <f>IF(OR(A1026&gt;180,'1.설계입력'!$C$39&gt;=1),"",'1.설계입력'!$C$34*(1-SIN(B1026)/SQRT(1+'1.설계입력'!$C$39^2-2*'1.설계입력'!$C$39*COS(B1026)))-'1.설계입력'!$C$33*(1-'1.설계입력'!$C$39*COS(B1026)-SQRT(MAX(0,1-'1.설계입력'!$C$39^2))*SIN(B1026))/SQRT(1+'1.설계입력'!$C$39^2-2*'1.설계입력'!$C$39*COS(B1026)))</f>
        <v/>
      </c>
    </row>
    <row r="1027" spans="1:11" x14ac:dyDescent="0.3">
      <c r="A1027" s="40">
        <f>A1026+'1.설계입력'!$C$12</f>
        <v>204.19999999999695</v>
      </c>
      <c r="B1027" s="40">
        <f t="shared" si="45"/>
        <v>3.5639623325723675</v>
      </c>
      <c r="C1027" s="40">
        <f>ATAN2('1.설계입력'!$C$6/('1.설계입력'!$C$8*'1.설계입력'!$C$15)-COS((1-'1.설계입력'!$C$15)*B1027),SIN((1-'1.설계입력'!$C$15)*B1027))</f>
        <v>-0.82071255773085716</v>
      </c>
      <c r="D1027" s="40">
        <f>'1.설계입력'!$C$6*COS(B1027)-'1.설계입력'!$C$7*COS(B1027+C1027)-'1.설계입력'!$C$8*COS('1.설계입력'!$C$15*B1027)</f>
        <v>-70.545119466087272</v>
      </c>
      <c r="E1027" s="40">
        <f>-'1.설계입력'!$C$6*SIN(B1027)+'1.설계입력'!$C$7*SIN(B1027+C1027)+'1.설계입력'!$C$8*SIN('1.설계입력'!$C$15*B1027)</f>
        <v>33.774478987470999</v>
      </c>
      <c r="F1027" s="40">
        <f>ATAN2(('1.설계입력'!$C$6+'1.설계입력'!$C$33)/('1.설계입력'!$C$8*'1.설계입력'!$C$15)-COS((1-'1.설계입력'!$C$15)*B1027),SIN((1-'1.설계입력'!$C$15)*B1027))</f>
        <v>-0.82075251683834216</v>
      </c>
      <c r="G1027" s="40">
        <f>('1.설계입력'!$C$6+'1.설계입력'!$C$33)*COS(B1027)-('1.설계입력'!$C$7+'1.설계입력'!$C$34)*COS(B1027+F1027)-'1.설계입력'!$C$8*COS('1.설계입력'!$C$15*B1027)</f>
        <v>-70.534888210573129</v>
      </c>
      <c r="H1027" s="40">
        <f>-('1.설계입력'!$C$6+'1.설계입력'!$C$33)*SIN(B1027)+('1.설계입력'!$C$7+'1.설계입력'!$C$34)*SIN(B1027+F1027)+'1.설계입력'!$C$8*SIN('1.설계입력'!$C$15*B1027)</f>
        <v>33.776497766333897</v>
      </c>
      <c r="I1027" s="40">
        <f t="shared" si="46"/>
        <v>78.213357627451614</v>
      </c>
      <c r="J1027" s="40">
        <f t="shared" si="47"/>
        <v>78.205001478404228</v>
      </c>
      <c r="K1027" s="38" t="str">
        <f>IF(OR(A1027&gt;180,'1.설계입력'!$C$39&gt;=1),"",'1.설계입력'!$C$34*(1-SIN(B1027)/SQRT(1+'1.설계입력'!$C$39^2-2*'1.설계입력'!$C$39*COS(B1027)))-'1.설계입력'!$C$33*(1-'1.설계입력'!$C$39*COS(B1027)-SQRT(MAX(0,1-'1.설계입력'!$C$39^2))*SIN(B1027))/SQRT(1+'1.설계입력'!$C$39^2-2*'1.설계입력'!$C$39*COS(B1027)))</f>
        <v/>
      </c>
    </row>
    <row r="1028" spans="1:11" x14ac:dyDescent="0.3">
      <c r="A1028" s="40">
        <f>A1027+'1.설계입력'!$C$12</f>
        <v>204.39999999999694</v>
      </c>
      <c r="B1028" s="40">
        <f t="shared" si="45"/>
        <v>3.5674529910763559</v>
      </c>
      <c r="C1028" s="40">
        <f>ATAN2('1.설계입력'!$C$6/('1.설계입력'!$C$8*'1.설계입력'!$C$15)-COS((1-'1.설계입력'!$C$15)*B1028),SIN((1-'1.설계입력'!$C$15)*B1028))</f>
        <v>-0.81035653114548556</v>
      </c>
      <c r="D1028" s="40">
        <f>'1.설계입력'!$C$6*COS(B1028)-'1.설계입력'!$C$7*COS(B1028+C1028)-'1.설계입력'!$C$8*COS('1.설계입력'!$C$15*B1028)</f>
        <v>-70.60522724622831</v>
      </c>
      <c r="E1028" s="40">
        <f>-'1.설계입력'!$C$6*SIN(B1028)+'1.설계입력'!$C$7*SIN(B1028+C1028)+'1.설계입력'!$C$8*SIN('1.설계입력'!$C$15*B1028)</f>
        <v>33.919488304905634</v>
      </c>
      <c r="F1028" s="40">
        <f>ATAN2(('1.설계입력'!$C$6+'1.설계입력'!$C$33)/('1.설계입력'!$C$8*'1.설계입력'!$C$15)-COS((1-'1.설계입력'!$C$15)*B1028),SIN((1-'1.설계입력'!$C$15)*B1028))</f>
        <v>-0.81039114060439654</v>
      </c>
      <c r="G1028" s="40">
        <f>('1.설계입력'!$C$6+'1.설계입력'!$C$33)*COS(B1028)-('1.설계입력'!$C$7+'1.설계입력'!$C$34)*COS(B1028+F1028)-'1.설계입력'!$C$8*COS('1.설계입력'!$C$15*B1028)</f>
        <v>-70.59494756225881</v>
      </c>
      <c r="H1028" s="40">
        <f>-('1.설계입력'!$C$6+'1.설계입력'!$C$33)*SIN(B1028)+('1.설계입력'!$C$7+'1.설계입력'!$C$34)*SIN(B1028+F1028)+'1.설계입력'!$C$8*SIN('1.설계입력'!$C$15*B1028)</f>
        <v>33.921374516801443</v>
      </c>
      <c r="I1028" s="40">
        <f t="shared" si="46"/>
        <v>78.330261083173795</v>
      </c>
      <c r="J1028" s="40">
        <f t="shared" si="47"/>
        <v>78.321812226398194</v>
      </c>
      <c r="K1028" s="38" t="str">
        <f>IF(OR(A1028&gt;180,'1.설계입력'!$C$39&gt;=1),"",'1.설계입력'!$C$34*(1-SIN(B1028)/SQRT(1+'1.설계입력'!$C$39^2-2*'1.설계입력'!$C$39*COS(B1028)))-'1.설계입력'!$C$33*(1-'1.설계입력'!$C$39*COS(B1028)-SQRT(MAX(0,1-'1.설계입력'!$C$39^2))*SIN(B1028))/SQRT(1+'1.설계입력'!$C$39^2-2*'1.설계입력'!$C$39*COS(B1028)))</f>
        <v/>
      </c>
    </row>
    <row r="1029" spans="1:11" x14ac:dyDescent="0.3">
      <c r="A1029" s="40">
        <f>A1028+'1.설계입력'!$C$12</f>
        <v>204.59999999999692</v>
      </c>
      <c r="B1029" s="40">
        <f t="shared" si="45"/>
        <v>3.5709436495803444</v>
      </c>
      <c r="C1029" s="40">
        <f>ATAN2('1.설계입력'!$C$6/('1.설계입력'!$C$8*'1.설계입력'!$C$15)-COS((1-'1.설계입력'!$C$15)*B1029),SIN((1-'1.설계입력'!$C$15)*B1029))</f>
        <v>-0.78721196229278245</v>
      </c>
      <c r="D1029" s="40">
        <f>'1.설계입력'!$C$6*COS(B1029)-'1.설계입력'!$C$7*COS(B1029+C1029)-'1.설계입력'!$C$8*COS('1.설계입력'!$C$15*B1029)</f>
        <v>-70.65397541304354</v>
      </c>
      <c r="E1029" s="40">
        <f>-'1.설계입력'!$C$6*SIN(B1029)+'1.설계입력'!$C$7*SIN(B1029+C1029)+'1.설계입력'!$C$8*SIN('1.설계입력'!$C$15*B1029)</f>
        <v>34.044328178493963</v>
      </c>
      <c r="F1029" s="40">
        <f>ATAN2(('1.설계입력'!$C$6+'1.설계입력'!$C$33)/('1.설계입력'!$C$8*'1.설계입력'!$C$15)-COS((1-'1.설계입력'!$C$15)*B1029),SIN((1-'1.설계입력'!$C$15)*B1029))</f>
        <v>-0.78724208493512216</v>
      </c>
      <c r="G1029" s="40">
        <f>('1.설계입력'!$C$6+'1.설계입력'!$C$33)*COS(B1029)-('1.설계입력'!$C$7+'1.설계입력'!$C$34)*COS(B1029+F1029)-'1.설계입력'!$C$8*COS('1.설계입력'!$C$15*B1029)</f>
        <v>-70.643612222198129</v>
      </c>
      <c r="H1029" s="40">
        <f>-('1.설계입력'!$C$6+'1.설계입력'!$C$33)*SIN(B1029)+('1.설계입력'!$C$7+'1.설계입력'!$C$34)*SIN(B1029+F1029)+'1.설계입력'!$C$8*SIN('1.설계입력'!$C$15*B1029)</f>
        <v>34.045987992476711</v>
      </c>
      <c r="I1029" s="40">
        <f t="shared" si="46"/>
        <v>78.428314547693546</v>
      </c>
      <c r="J1029" s="40">
        <f t="shared" si="47"/>
        <v>78.419699350253623</v>
      </c>
      <c r="K1029" s="38" t="str">
        <f>IF(OR(A1029&gt;180,'1.설계입력'!$C$39&gt;=1),"",'1.설계입력'!$C$34*(1-SIN(B1029)/SQRT(1+'1.설계입력'!$C$39^2-2*'1.설계입력'!$C$39*COS(B1029)))-'1.설계입력'!$C$33*(1-'1.설계입력'!$C$39*COS(B1029)-SQRT(MAX(0,1-'1.설계입력'!$C$39^2))*SIN(B1029))/SQRT(1+'1.설계입력'!$C$39^2-2*'1.설계입력'!$C$39*COS(B1029)))</f>
        <v/>
      </c>
    </row>
    <row r="1030" spans="1:11" x14ac:dyDescent="0.3">
      <c r="A1030" s="40">
        <f>A1029+'1.설계입력'!$C$12</f>
        <v>204.79999999999691</v>
      </c>
      <c r="B1030" s="40">
        <f t="shared" ref="B1030:B1093" si="48">RADIANS(A1030)</f>
        <v>3.5744343080843328</v>
      </c>
      <c r="C1030" s="40">
        <f>ATAN2('1.설계입력'!$C$6/('1.설계입력'!$C$8*'1.설계입력'!$C$15)-COS((1-'1.설계입력'!$C$15)*B1030),SIN((1-'1.설계입력'!$C$15)*B1030))</f>
        <v>-0.755271826002062</v>
      </c>
      <c r="D1030" s="40">
        <f>'1.설계입력'!$C$6*COS(B1030)-'1.설계입력'!$C$7*COS(B1030+C1030)-'1.설계입력'!$C$8*COS('1.설계입력'!$C$15*B1030)</f>
        <v>-70.696229824040074</v>
      </c>
      <c r="E1030" s="40">
        <f>-'1.설계입력'!$C$6*SIN(B1030)+'1.설계입력'!$C$7*SIN(B1030+C1030)+'1.설계입력'!$C$8*SIN('1.설계입력'!$C$15*B1030)</f>
        <v>34.163474257413021</v>
      </c>
      <c r="F1030" s="40">
        <f>ATAN2(('1.설계입력'!$C$6+'1.설계입력'!$C$33)/('1.설계입력'!$C$8*'1.설계입력'!$C$15)-COS((1-'1.설계입력'!$C$15)*B1030),SIN((1-'1.설계입력'!$C$15)*B1030))</f>
        <v>-0.75529816226097479</v>
      </c>
      <c r="G1030" s="40">
        <f>('1.설계입력'!$C$6+'1.설계입력'!$C$33)*COS(B1030)-('1.설계입력'!$C$7+'1.설계입력'!$C$34)*COS(B1030+F1030)-'1.설계입력'!$C$8*COS('1.설계입력'!$C$15*B1030)</f>
        <v>-70.685766571571349</v>
      </c>
      <c r="H1030" s="40">
        <f>-('1.설계입력'!$C$6+'1.설계입력'!$C$33)*SIN(B1030)+('1.설계입력'!$C$7+'1.설계입력'!$C$34)*SIN(B1030+F1030)+'1.설계입력'!$C$8*SIN('1.설계입력'!$C$15*B1030)</f>
        <v>34.164840740978541</v>
      </c>
      <c r="I1030" s="40">
        <f t="shared" ref="I1030:I1093" si="49">SQRT(D1030^2+E1030^2)</f>
        <v>78.518150033418479</v>
      </c>
      <c r="J1030" s="40">
        <f t="shared" ref="J1030:J1093" si="50">SQRT(G1030^2+H1030^2)</f>
        <v>78.509323896382526</v>
      </c>
      <c r="K1030" s="38" t="str">
        <f>IF(OR(A1030&gt;180,'1.설계입력'!$C$39&gt;=1),"",'1.설계입력'!$C$34*(1-SIN(B1030)/SQRT(1+'1.설계입력'!$C$39^2-2*'1.설계입력'!$C$39*COS(B1030)))-'1.설계입력'!$C$33*(1-'1.설계입력'!$C$39*COS(B1030)-SQRT(MAX(0,1-'1.설계입력'!$C$39^2))*SIN(B1030))/SQRT(1+'1.설계입력'!$C$39^2-2*'1.설계입력'!$C$39*COS(B1030)))</f>
        <v/>
      </c>
    </row>
    <row r="1031" spans="1:11" x14ac:dyDescent="0.3">
      <c r="A1031" s="40">
        <f>A1030+'1.설계입력'!$C$12</f>
        <v>204.9999999999969</v>
      </c>
      <c r="B1031" s="40">
        <f t="shared" si="48"/>
        <v>3.5779249665883217</v>
      </c>
      <c r="C1031" s="40">
        <f>ATAN2('1.설계입력'!$C$6/('1.설계입력'!$C$8*'1.설계입력'!$C$15)-COS((1-'1.설계입력'!$C$15)*B1031),SIN((1-'1.설계입력'!$C$15)*B1031))</f>
        <v>-0.71706820680380468</v>
      </c>
      <c r="D1031" s="40">
        <f>'1.설계입력'!$C$6*COS(B1031)-'1.설계입력'!$C$7*COS(B1031+C1031)-'1.설계입력'!$C$8*COS('1.설계입력'!$C$15*B1031)</f>
        <v>-70.73430356472646</v>
      </c>
      <c r="E1031" s="40">
        <f>-'1.설계입력'!$C$6*SIN(B1031)+'1.설계입력'!$C$7*SIN(B1031+C1031)+'1.설계입력'!$C$8*SIN('1.설계입력'!$C$15*B1031)</f>
        <v>34.285737066874823</v>
      </c>
      <c r="F1031" s="40">
        <f>ATAN2(('1.설계입력'!$C$6+'1.설계입력'!$C$33)/('1.설계입력'!$C$8*'1.설계입력'!$C$15)-COS((1-'1.설계입력'!$C$15)*B1031),SIN((1-'1.설계입력'!$C$15)*B1031))</f>
        <v>-0.7170913084969821</v>
      </c>
      <c r="G1031" s="40">
        <f>('1.설계입력'!$C$6+'1.설계입력'!$C$33)*COS(B1031)-('1.설계입력'!$C$7+'1.설계입력'!$C$34)*COS(B1031+F1031)-'1.설계입력'!$C$8*COS('1.설계입력'!$C$15*B1031)</f>
        <v>-70.72373676628078</v>
      </c>
      <c r="H1031" s="40">
        <f>-('1.설계입력'!$C$6+'1.설계입력'!$C$33)*SIN(B1031)+('1.설계입력'!$C$7+'1.설계입력'!$C$34)*SIN(B1031+F1031)+'1.설계입력'!$C$8*SIN('1.설계입력'!$C$15*B1031)</f>
        <v>34.286760127728201</v>
      </c>
      <c r="I1031" s="40">
        <f t="shared" si="49"/>
        <v>78.60568342687283</v>
      </c>
      <c r="J1031" s="40">
        <f t="shared" si="50"/>
        <v>78.596621188461711</v>
      </c>
      <c r="K1031" s="38" t="str">
        <f>IF(OR(A1031&gt;180,'1.설계입력'!$C$39&gt;=1),"",'1.설계입력'!$C$34*(1-SIN(B1031)/SQRT(1+'1.설계입력'!$C$39^2-2*'1.설계입력'!$C$39*COS(B1031)))-'1.설계입력'!$C$33*(1-'1.설계입력'!$C$39*COS(B1031)-SQRT(MAX(0,1-'1.설계입력'!$C$39^2))*SIN(B1031))/SQRT(1+'1.설계입력'!$C$39^2-2*'1.설계입력'!$C$39*COS(B1031)))</f>
        <v/>
      </c>
    </row>
    <row r="1032" spans="1:11" x14ac:dyDescent="0.3">
      <c r="A1032" s="40">
        <f>A1031+'1.설계입력'!$C$12</f>
        <v>205.19999999999689</v>
      </c>
      <c r="B1032" s="40">
        <f t="shared" si="48"/>
        <v>3.5814156250923102</v>
      </c>
      <c r="C1032" s="40">
        <f>ATAN2('1.설계입력'!$C$6/('1.설계입력'!$C$8*'1.설계입력'!$C$15)-COS((1-'1.설계입력'!$C$15)*B1032),SIN((1-'1.설계입력'!$C$15)*B1032))</f>
        <v>-0.67427311258720013</v>
      </c>
      <c r="D1032" s="40">
        <f>'1.설계입력'!$C$6*COS(B1032)-'1.설계입력'!$C$7*COS(B1032+C1032)-'1.설계입력'!$C$8*COS('1.설계입력'!$C$15*B1032)</f>
        <v>-70.768774893373603</v>
      </c>
      <c r="E1032" s="40">
        <f>-'1.설계입력'!$C$6*SIN(B1032)+'1.설계입력'!$C$7*SIN(B1032+C1032)+'1.설계입력'!$C$8*SIN('1.설계입력'!$C$15*B1032)</f>
        <v>34.416549952524505</v>
      </c>
      <c r="F1032" s="40">
        <f>ATAN2(('1.설계입력'!$C$6+'1.설계입력'!$C$33)/('1.설계입력'!$C$8*'1.설계입력'!$C$15)-COS((1-'1.설계입력'!$C$15)*B1032),SIN((1-'1.설계입력'!$C$15)*B1032))</f>
        <v>-0.67429341218958871</v>
      </c>
      <c r="G1032" s="40">
        <f>('1.설계입력'!$C$6+'1.설계입력'!$C$33)*COS(B1032)-('1.설계입력'!$C$7+'1.설계입력'!$C$34)*COS(B1032+F1032)-'1.설계입력'!$C$8*COS('1.설계입력'!$C$15*B1032)</f>
        <v>-70.758110429545312</v>
      </c>
      <c r="H1032" s="40">
        <f>-('1.설계입력'!$C$6+'1.설계입력'!$C$33)*SIN(B1032)+('1.설계입력'!$C$7+'1.설계입력'!$C$34)*SIN(B1032+F1032)+'1.설계입력'!$C$8*SIN('1.설계입력'!$C$15*B1032)</f>
        <v>34.417190869916709</v>
      </c>
      <c r="I1032" s="40">
        <f t="shared" si="49"/>
        <v>78.693827016759073</v>
      </c>
      <c r="J1032" s="40">
        <f t="shared" si="50"/>
        <v>78.684517021686077</v>
      </c>
      <c r="K1032" s="38" t="str">
        <f>IF(OR(A1032&gt;180,'1.설계입력'!$C$39&gt;=1),"",'1.설계입력'!$C$34*(1-SIN(B1032)/SQRT(1+'1.설계입력'!$C$39^2-2*'1.설계입력'!$C$39*COS(B1032)))-'1.설계입력'!$C$33*(1-'1.설계입력'!$C$39*COS(B1032)-SQRT(MAX(0,1-'1.설계입력'!$C$39^2))*SIN(B1032))/SQRT(1+'1.설계입력'!$C$39^2-2*'1.설계입력'!$C$39*COS(B1032)))</f>
        <v/>
      </c>
    </row>
    <row r="1033" spans="1:11" x14ac:dyDescent="0.3">
      <c r="A1033" s="40">
        <f>A1032+'1.설계입력'!$C$12</f>
        <v>205.39999999999688</v>
      </c>
      <c r="B1033" s="40">
        <f t="shared" si="48"/>
        <v>3.5849062835962986</v>
      </c>
      <c r="C1033" s="40">
        <f>ATAN2('1.설계입력'!$C$6/('1.설계입력'!$C$8*'1.설계입력'!$C$15)-COS((1-'1.설계입력'!$C$15)*B1033),SIN((1-'1.설계입력'!$C$15)*B1033))</f>
        <v>-0.62803118034749184</v>
      </c>
      <c r="D1033" s="40">
        <f>'1.설계입력'!$C$6*COS(B1033)-'1.설계입력'!$C$7*COS(B1033+C1033)-'1.설계입력'!$C$8*COS('1.설계입력'!$C$15*B1033)</f>
        <v>-70.799098066745401</v>
      </c>
      <c r="E1033" s="40">
        <f>-'1.설계입력'!$C$6*SIN(B1033)+'1.설계입력'!$C$7*SIN(B1033+C1033)+'1.설계입력'!$C$8*SIN('1.설계입력'!$C$15*B1033)</f>
        <v>34.559165454345688</v>
      </c>
      <c r="F1033" s="40">
        <f>ATAN2(('1.설계입력'!$C$6+'1.설계입력'!$C$33)/('1.설계입력'!$C$8*'1.설계입력'!$C$15)-COS((1-'1.설계입력'!$C$15)*B1033),SIN((1-'1.설계입력'!$C$15)*B1033))</f>
        <v>-0.62804901803954516</v>
      </c>
      <c r="G1033" s="40">
        <f>('1.설계입력'!$C$6+'1.설계입력'!$C$33)*COS(B1033)-('1.설계입력'!$C$7+'1.설계입력'!$C$34)*COS(B1033+F1033)-'1.설계입력'!$C$8*COS('1.설계입력'!$C$15*B1033)</f>
        <v>-70.788348655265466</v>
      </c>
      <c r="H1033" s="40">
        <f>-('1.설계입력'!$C$6+'1.설계입력'!$C$33)*SIN(B1033)+('1.설계입력'!$C$7+'1.설계입력'!$C$34)*SIN(B1033+F1033)+'1.설계입력'!$C$8*SIN('1.설계입력'!$C$15*B1033)</f>
        <v>34.559393752362332</v>
      </c>
      <c r="I1033" s="40">
        <f t="shared" si="49"/>
        <v>78.783552877269216</v>
      </c>
      <c r="J1033" s="40">
        <f t="shared" si="50"/>
        <v>78.773993182206041</v>
      </c>
      <c r="K1033" s="38" t="str">
        <f>IF(OR(A1033&gt;180,'1.설계입력'!$C$39&gt;=1),"",'1.설계입력'!$C$34*(1-SIN(B1033)/SQRT(1+'1.설계입력'!$C$39^2-2*'1.설계입력'!$C$39*COS(B1033)))-'1.설계입력'!$C$33*(1-'1.설계입력'!$C$39*COS(B1033)-SQRT(MAX(0,1-'1.설계입력'!$C$39^2))*SIN(B1033))/SQRT(1+'1.설계입력'!$C$39^2-2*'1.설계입력'!$C$39*COS(B1033)))</f>
        <v/>
      </c>
    </row>
    <row r="1034" spans="1:11" x14ac:dyDescent="0.3">
      <c r="A1034" s="40">
        <f>A1033+'1.설계입력'!$C$12</f>
        <v>205.59999999999687</v>
      </c>
      <c r="B1034" s="40">
        <f t="shared" si="48"/>
        <v>3.588396942100287</v>
      </c>
      <c r="C1034" s="40">
        <f>ATAN2('1.설계입력'!$C$6/('1.설계입력'!$C$8*'1.설계입력'!$C$15)-COS((1-'1.설계입력'!$C$15)*B1034),SIN((1-'1.설계입력'!$C$15)*B1034))</f>
        <v>-0.57915148942112771</v>
      </c>
      <c r="D1034" s="40">
        <f>'1.설계입력'!$C$6*COS(B1034)-'1.설계입력'!$C$7*COS(B1034+C1034)-'1.설계입력'!$C$8*COS('1.설계입력'!$C$15*B1034)</f>
        <v>-70.824036979680585</v>
      </c>
      <c r="E1034" s="40">
        <f>-'1.설계입력'!$C$6*SIN(B1034)+'1.설계입력'!$C$7*SIN(B1034+C1034)+'1.설계입력'!$C$8*SIN('1.설계입력'!$C$15*B1034)</f>
        <v>34.715319756374505</v>
      </c>
      <c r="F1034" s="40">
        <f>ATAN2(('1.설계입력'!$C$6+'1.설계입력'!$C$33)/('1.설계입력'!$C$8*'1.설계입력'!$C$15)-COS((1-'1.설계입력'!$C$15)*B1034),SIN((1-'1.설계입력'!$C$15)*B1034))</f>
        <v>-0.57916713451135604</v>
      </c>
      <c r="G1034" s="40">
        <f>('1.설계입력'!$C$6+'1.설계입력'!$C$33)*COS(B1034)-('1.설계입력'!$C$7+'1.설계입력'!$C$34)*COS(B1034+F1034)-'1.설계입력'!$C$8*COS('1.설계입력'!$C$15*B1034)</f>
        <v>-70.813220409665931</v>
      </c>
      <c r="H1034" s="40">
        <f>-('1.설계입력'!$C$6+'1.설계입력'!$C$33)*SIN(B1034)+('1.설계입력'!$C$7+'1.설계입력'!$C$34)*SIN(B1034+F1034)+'1.설계입력'!$C$8*SIN('1.설계입력'!$C$15*B1034)</f>
        <v>34.715111334738694</v>
      </c>
      <c r="I1034" s="40">
        <f t="shared" si="49"/>
        <v>78.874569031383544</v>
      </c>
      <c r="J1034" s="40">
        <f t="shared" si="50"/>
        <v>78.864764881227089</v>
      </c>
      <c r="K1034" s="38" t="str">
        <f>IF(OR(A1034&gt;180,'1.설계입력'!$C$39&gt;=1),"",'1.설계입력'!$C$34*(1-SIN(B1034)/SQRT(1+'1.설계입력'!$C$39^2-2*'1.설계입력'!$C$39*COS(B1034)))-'1.설계입력'!$C$33*(1-'1.설계입력'!$C$39*COS(B1034)-SQRT(MAX(0,1-'1.설계입력'!$C$39^2))*SIN(B1034))/SQRT(1+'1.설계입력'!$C$39^2-2*'1.설계입력'!$C$39*COS(B1034)))</f>
        <v/>
      </c>
    </row>
    <row r="1035" spans="1:11" x14ac:dyDescent="0.3">
      <c r="A1035" s="40">
        <f>A1034+'1.설계입력'!$C$12</f>
        <v>205.79999999999686</v>
      </c>
      <c r="B1035" s="40">
        <f t="shared" si="48"/>
        <v>3.5918876006042755</v>
      </c>
      <c r="C1035" s="40">
        <f>ATAN2('1.설계입력'!$C$6/('1.설계입력'!$C$8*'1.설계입력'!$C$15)-COS((1-'1.설계입력'!$C$15)*B1035),SIN((1-'1.설계입력'!$C$15)*B1035))</f>
        <v>-0.52822253405977482</v>
      </c>
      <c r="D1035" s="40">
        <f>'1.설계입력'!$C$6*COS(B1035)-'1.설계입력'!$C$7*COS(B1035+C1035)-'1.설계입력'!$C$8*COS('1.설계입력'!$C$15*B1035)</f>
        <v>-70.841974437108348</v>
      </c>
      <c r="E1035" s="40">
        <f>-'1.설계입력'!$C$6*SIN(B1035)+'1.설계입력'!$C$7*SIN(B1035+C1035)+'1.설계입력'!$C$8*SIN('1.설계입력'!$C$15*B1035)</f>
        <v>34.88562786657215</v>
      </c>
      <c r="F1035" s="40">
        <f>ATAN2(('1.설계입력'!$C$6+'1.설계입력'!$C$33)/('1.설계입력'!$C$8*'1.설계입력'!$C$15)-COS((1-'1.설계입력'!$C$15)*B1035),SIN((1-'1.설계입력'!$C$15)*B1035))</f>
        <v>-0.52823620114102521</v>
      </c>
      <c r="G1035" s="40">
        <f>('1.설계입력'!$C$6+'1.설계입력'!$C$33)*COS(B1035)-('1.설계입력'!$C$7+'1.설계입력'!$C$34)*COS(B1035+F1035)-'1.설계입력'!$C$8*COS('1.설계입력'!$C$15*B1035)</f>
        <v>-70.831112295795464</v>
      </c>
      <c r="H1035" s="40">
        <f>-('1.설계입력'!$C$6+'1.설계입력'!$C$33)*SIN(B1035)+('1.설계입력'!$C$7+'1.설계입력'!$C$34)*SIN(B1035+F1035)+'1.설계입력'!$C$8*SIN('1.설계입력'!$C$15*B1035)</f>
        <v>34.884963837705357</v>
      </c>
      <c r="I1035" s="40">
        <f t="shared" si="49"/>
        <v>78.965767100642211</v>
      </c>
      <c r="J1035" s="40">
        <f t="shared" si="50"/>
        <v>78.955729184256143</v>
      </c>
      <c r="K1035" s="38" t="str">
        <f>IF(OR(A1035&gt;180,'1.설계입력'!$C$39&gt;=1),"",'1.설계입력'!$C$34*(1-SIN(B1035)/SQRT(1+'1.설계입력'!$C$39^2-2*'1.설계입력'!$C$39*COS(B1035)))-'1.설계입력'!$C$33*(1-'1.설계입력'!$C$39*COS(B1035)-SQRT(MAX(0,1-'1.설계입력'!$C$39^2))*SIN(B1035))/SQRT(1+'1.설계입력'!$C$39^2-2*'1.설계입력'!$C$39*COS(B1035)))</f>
        <v/>
      </c>
    </row>
    <row r="1036" spans="1:11" x14ac:dyDescent="0.3">
      <c r="A1036" s="40">
        <f>A1035+'1.설계입력'!$C$12</f>
        <v>205.99999999999685</v>
      </c>
      <c r="B1036" s="40">
        <f t="shared" si="48"/>
        <v>3.5953782591082639</v>
      </c>
      <c r="C1036" s="40">
        <f>ATAN2('1.설계입력'!$C$6/('1.설계입력'!$C$8*'1.설계입력'!$C$15)-COS((1-'1.설계입력'!$C$15)*B1036),SIN((1-'1.설계입력'!$C$15)*B1036))</f>
        <v>-0.47568365729521178</v>
      </c>
      <c r="D1036" s="40">
        <f>'1.설계입력'!$C$6*COS(B1036)-'1.설계입력'!$C$7*COS(B1036+C1036)-'1.설계입력'!$C$8*COS('1.설계입력'!$C$15*B1036)</f>
        <v>-70.85113747222988</v>
      </c>
      <c r="E1036" s="40">
        <f>-'1.설계입력'!$C$6*SIN(B1036)+'1.설계입력'!$C$7*SIN(B1036+C1036)+'1.설계입력'!$C$8*SIN('1.설계입력'!$C$15*B1036)</f>
        <v>35.069837829005394</v>
      </c>
      <c r="F1036" s="40">
        <f>ATAN2(('1.설계입력'!$C$6+'1.설계입력'!$C$33)/('1.설계입력'!$C$8*'1.설계입력'!$C$15)-COS((1-'1.설계입력'!$C$15)*B1036),SIN((1-'1.설계입력'!$C$15)*B1036))</f>
        <v>-0.47569551824347334</v>
      </c>
      <c r="G1036" s="40">
        <f>('1.설계입력'!$C$6+'1.설계입력'!$C$33)*COS(B1036)-('1.설계입력'!$C$7+'1.설계입력'!$C$34)*COS(B1036+F1036)-'1.설계입력'!$C$8*COS('1.설계입력'!$C$15*B1036)</f>
        <v>-70.840254193912813</v>
      </c>
      <c r="H1036" s="40">
        <f>-('1.설계입력'!$C$6+'1.설계입력'!$C$33)*SIN(B1036)+('1.설계입력'!$C$7+'1.설계입력'!$C$34)*SIN(B1036+F1036)+'1.설계입력'!$C$8*SIN('1.설계입력'!$C$15*B1036)</f>
        <v>35.068703766956929</v>
      </c>
      <c r="I1036" s="40">
        <f t="shared" si="49"/>
        <v>79.055532421593085</v>
      </c>
      <c r="J1036" s="40">
        <f t="shared" si="50"/>
        <v>79.045275621967193</v>
      </c>
      <c r="K1036" s="38" t="str">
        <f>IF(OR(A1036&gt;180,'1.설계입력'!$C$39&gt;=1),"",'1.설계입력'!$C$34*(1-SIN(B1036)/SQRT(1+'1.설계입력'!$C$39^2-2*'1.설계입력'!$C$39*COS(B1036)))-'1.설계입력'!$C$33*(1-'1.설계입력'!$C$39*COS(B1036)-SQRT(MAX(0,1-'1.설계입력'!$C$39^2))*SIN(B1036))/SQRT(1+'1.설계입력'!$C$39^2-2*'1.설계입력'!$C$39*COS(B1036)))</f>
        <v/>
      </c>
    </row>
    <row r="1037" spans="1:11" x14ac:dyDescent="0.3">
      <c r="A1037" s="40">
        <f>A1036+'1.설계입력'!$C$12</f>
        <v>206.19999999999683</v>
      </c>
      <c r="B1037" s="40">
        <f t="shared" si="48"/>
        <v>3.5988689176122524</v>
      </c>
      <c r="C1037" s="40">
        <f>ATAN2('1.설계입력'!$C$6/('1.설계입력'!$C$8*'1.설계입력'!$C$15)-COS((1-'1.설계입력'!$C$15)*B1037),SIN((1-'1.설계입력'!$C$15)*B1037))</f>
        <v>-0.42187091148010047</v>
      </c>
      <c r="D1037" s="40">
        <f>'1.설계입력'!$C$6*COS(B1037)-'1.설계입력'!$C$7*COS(B1037+C1037)-'1.설계입력'!$C$8*COS('1.설계입력'!$C$15*B1037)</f>
        <v>-70.849765273624698</v>
      </c>
      <c r="E1037" s="40">
        <f>-'1.설계입력'!$C$6*SIN(B1037)+'1.설계입력'!$C$7*SIN(B1037+C1037)+'1.설계입력'!$C$8*SIN('1.설계입력'!$C$15*B1037)</f>
        <v>35.267009208535754</v>
      </c>
      <c r="F1037" s="40">
        <f>ATAN2(('1.설계입력'!$C$6+'1.설계입력'!$C$33)/('1.설계입력'!$C$8*'1.설계입력'!$C$15)-COS((1-'1.설계입력'!$C$15)*B1037),SIN((1-'1.설계입력'!$C$15)*B1037))</f>
        <v>-0.42188110434446469</v>
      </c>
      <c r="G1037" s="40">
        <f>('1.설계입력'!$C$6+'1.설계입력'!$C$33)*COS(B1037)-('1.설계입력'!$C$7+'1.설계입력'!$C$34)*COS(B1037+F1037)-'1.설계입력'!$C$8*COS('1.설계입력'!$C$15*B1037)</f>
        <v>-70.838887403040587</v>
      </c>
      <c r="H1037" s="40">
        <f>-('1.설계입력'!$C$6+'1.설계입력'!$C$33)*SIN(B1037)+('1.설계입력'!$C$7+'1.설계입력'!$C$34)*SIN(B1037+F1037)+'1.설계입력'!$C$8*SIN('1.설계입력'!$C$15*B1037)</f>
        <v>35.265394645372091</v>
      </c>
      <c r="I1037" s="40">
        <f t="shared" si="49"/>
        <v>79.141968498658542</v>
      </c>
      <c r="J1037" s="40">
        <f t="shared" si="50"/>
        <v>79.131510967467946</v>
      </c>
      <c r="K1037" s="38" t="str">
        <f>IF(OR(A1037&gt;180,'1.설계입력'!$C$39&gt;=1),"",'1.설계입력'!$C$34*(1-SIN(B1037)/SQRT(1+'1.설계입력'!$C$39^2-2*'1.설계입력'!$C$39*COS(B1037)))-'1.설계입력'!$C$33*(1-'1.설계입력'!$C$39*COS(B1037)-SQRT(MAX(0,1-'1.설계입력'!$C$39^2))*SIN(B1037))/SQRT(1+'1.설계입력'!$C$39^2-2*'1.설계입력'!$C$39*COS(B1037)))</f>
        <v/>
      </c>
    </row>
    <row r="1038" spans="1:11" x14ac:dyDescent="0.3">
      <c r="A1038" s="40">
        <f>A1037+'1.설계입력'!$C$12</f>
        <v>206.39999999999682</v>
      </c>
      <c r="B1038" s="40">
        <f t="shared" si="48"/>
        <v>3.6023595761162408</v>
      </c>
      <c r="C1038" s="40">
        <f>ATAN2('1.설계입력'!$C$6/('1.설계입력'!$C$8*'1.설계입력'!$C$15)-COS((1-'1.설계입력'!$C$15)*B1038),SIN((1-'1.설계입력'!$C$15)*B1038))</f>
        <v>-0.3670473990486714</v>
      </c>
      <c r="D1038" s="40">
        <f>'1.설계입력'!$C$6*COS(B1038)-'1.설계입력'!$C$7*COS(B1038+C1038)-'1.설계입력'!$C$8*COS('1.설계입력'!$C$15*B1038)</f>
        <v>-70.83623637015198</v>
      </c>
      <c r="E1038" s="40">
        <f>-'1.설계입력'!$C$6*SIN(B1038)+'1.설계입력'!$C$7*SIN(B1038+C1038)+'1.설계입력'!$C$8*SIN('1.설계입력'!$C$15*B1038)</f>
        <v>35.475650174536135</v>
      </c>
      <c r="F1038" s="40">
        <f>ATAN2(('1.설계입력'!$C$6+'1.설계입력'!$C$33)/('1.설계입력'!$C$8*'1.설계입력'!$C$15)-COS((1-'1.설계입력'!$C$15)*B1038),SIN((1-'1.설계입력'!$C$15)*B1038))</f>
        <v>-0.36705603465396702</v>
      </c>
      <c r="G1038" s="40">
        <f>('1.설계입력'!$C$6+'1.설계입력'!$C$33)*COS(B1038)-('1.설계입력'!$C$7+'1.설계입력'!$C$34)*COS(B1038+F1038)-'1.설계입력'!$C$8*COS('1.설계입력'!$C$15*B1038)</f>
        <v>-70.825391971270022</v>
      </c>
      <c r="H1038" s="40">
        <f>-('1.설계입력'!$C$6+'1.설계입력'!$C$33)*SIN(B1038)+('1.설계입력'!$C$7+'1.설계입력'!$C$34)*SIN(B1038+F1038)+'1.설계입력'!$C$8*SIN('1.설계입력'!$C$15*B1038)</f>
        <v>35.473548248622322</v>
      </c>
      <c r="I1038" s="40">
        <f t="shared" si="49"/>
        <v>79.223065696766042</v>
      </c>
      <c r="J1038" s="40">
        <f t="shared" si="50"/>
        <v>79.212428148816244</v>
      </c>
      <c r="K1038" s="38" t="str">
        <f>IF(OR(A1038&gt;180,'1.설계입력'!$C$39&gt;=1),"",'1.설계입력'!$C$34*(1-SIN(B1038)/SQRT(1+'1.설계입력'!$C$39^2-2*'1.설계입력'!$C$39*COS(B1038)))-'1.설계입력'!$C$33*(1-'1.설계입력'!$C$39*COS(B1038)-SQRT(MAX(0,1-'1.설계입력'!$C$39^2))*SIN(B1038))/SQRT(1+'1.설계입력'!$C$39^2-2*'1.설계입력'!$C$39*COS(B1038)))</f>
        <v/>
      </c>
    </row>
    <row r="1039" spans="1:11" x14ac:dyDescent="0.3">
      <c r="A1039" s="40">
        <f>A1038+'1.설계입력'!$C$12</f>
        <v>206.59999999999681</v>
      </c>
      <c r="B1039" s="40">
        <f t="shared" si="48"/>
        <v>3.6058502346202292</v>
      </c>
      <c r="C1039" s="40">
        <f>ATAN2('1.설계입력'!$C$6/('1.설계입력'!$C$8*'1.설계입력'!$C$15)-COS((1-'1.설계입력'!$C$15)*B1039),SIN((1-'1.설계입력'!$C$15)*B1039))</f>
        <v>-0.31142391823270987</v>
      </c>
      <c r="D1039" s="40">
        <f>'1.설계입력'!$C$6*COS(B1039)-'1.설계입력'!$C$7*COS(B1039+C1039)-'1.설계입력'!$C$8*COS('1.설계입력'!$C$15*B1039)</f>
        <v>-70.809165358782579</v>
      </c>
      <c r="E1039" s="40">
        <f>-'1.설계입력'!$C$6*SIN(B1039)+'1.설계입력'!$C$7*SIN(B1039+C1039)+'1.설계입력'!$C$8*SIN('1.설계입력'!$C$15*B1039)</f>
        <v>35.693831678743038</v>
      </c>
      <c r="F1039" s="40">
        <f>ATAN2(('1.설계입력'!$C$6+'1.설계입력'!$C$33)/('1.설계입력'!$C$8*'1.설계입력'!$C$15)-COS((1-'1.설계입력'!$C$15)*B1039),SIN((1-'1.설계입력'!$C$15)*B1039))</f>
        <v>-0.31143108509862127</v>
      </c>
      <c r="G1039" s="40">
        <f>('1.설계입력'!$C$6+'1.설계입력'!$C$33)*COS(B1039)-('1.설계입력'!$C$7+'1.설계입력'!$C$34)*COS(B1039+F1039)-'1.설계입력'!$C$8*COS('1.설계입력'!$C$15*B1039)</f>
        <v>-70.798383524018632</v>
      </c>
      <c r="H1039" s="40">
        <f>-('1.설계입력'!$C$6+'1.설계입력'!$C$33)*SIN(B1039)+('1.설계입력'!$C$7+'1.설계입력'!$C$34)*SIN(B1039+F1039)+'1.설계입력'!$C$8*SIN('1.설계입력'!$C$15*B1039)</f>
        <v>35.691238877349193</v>
      </c>
      <c r="I1039" s="40">
        <f t="shared" si="49"/>
        <v>79.296831706682042</v>
      </c>
      <c r="J1039" s="40">
        <f t="shared" si="50"/>
        <v>79.286036867875012</v>
      </c>
      <c r="K1039" s="38" t="str">
        <f>IF(OR(A1039&gt;180,'1.설계입력'!$C$39&gt;=1),"",'1.설계입력'!$C$34*(1-SIN(B1039)/SQRT(1+'1.설계입력'!$C$39^2-2*'1.설계입력'!$C$39*COS(B1039)))-'1.설계입력'!$C$33*(1-'1.설계입력'!$C$39*COS(B1039)-SQRT(MAX(0,1-'1.설계입력'!$C$39^2))*SIN(B1039))/SQRT(1+'1.설계입력'!$C$39^2-2*'1.설계입력'!$C$39*COS(B1039)))</f>
        <v/>
      </c>
    </row>
    <row r="1040" spans="1:11" x14ac:dyDescent="0.3">
      <c r="A1040" s="40">
        <f>A1039+'1.설계입력'!$C$12</f>
        <v>206.7999999999968</v>
      </c>
      <c r="B1040" s="40">
        <f t="shared" si="48"/>
        <v>3.6093408931242177</v>
      </c>
      <c r="C1040" s="40">
        <f>ATAN2('1.설계입력'!$C$6/('1.설계입력'!$C$8*'1.설계입력'!$C$15)-COS((1-'1.설계입력'!$C$15)*B1040),SIN((1-'1.설계입력'!$C$15)*B1040))</f>
        <v>-0.25517339989453702</v>
      </c>
      <c r="D1040" s="40">
        <f>'1.설계입력'!$C$6*COS(B1040)-'1.설계입력'!$C$7*COS(B1040+C1040)-'1.설계입력'!$C$8*COS('1.설계입력'!$C$15*B1040)</f>
        <v>-70.767475526463016</v>
      </c>
      <c r="E1040" s="40">
        <f>-'1.설계입력'!$C$6*SIN(B1040)+'1.설계입력'!$C$7*SIN(B1040+C1040)+'1.설계입력'!$C$8*SIN('1.설계입력'!$C$15*B1040)</f>
        <v>35.919288769851811</v>
      </c>
      <c r="F1040" s="40">
        <f>ATAN2(('1.설계입력'!$C$6+'1.설계입력'!$C$33)/('1.설계입력'!$C$8*'1.설계입력'!$C$15)-COS((1-'1.설계입력'!$C$15)*B1040),SIN((1-'1.설계입력'!$C$15)*B1040))</f>
        <v>-0.25517916790402329</v>
      </c>
      <c r="G1040" s="40">
        <f>('1.설계입력'!$C$6+'1.설계입력'!$C$33)*COS(B1040)-('1.설계입력'!$C$7+'1.설계입력'!$C$34)*COS(B1040+F1040)-'1.설계입력'!$C$8*COS('1.설계입력'!$C$15*B1040)</f>
        <v>-70.756785956481863</v>
      </c>
      <c r="H1040" s="40">
        <f>-('1.설계입력'!$C$6+'1.설계입력'!$C$33)*SIN(B1040)+('1.설계입력'!$C$7+'1.설계입력'!$C$34)*SIN(B1040+F1040)+'1.설계입력'!$C$8*SIN('1.설계입력'!$C$15*B1040)</f>
        <v>35.916204730288278</v>
      </c>
      <c r="I1040" s="40">
        <f t="shared" si="49"/>
        <v>79.361394255144887</v>
      </c>
      <c r="J1040" s="40">
        <f t="shared" si="50"/>
        <v>79.350466420301345</v>
      </c>
      <c r="K1040" s="38" t="str">
        <f>IF(OR(A1040&gt;180,'1.설계입력'!$C$39&gt;=1),"",'1.설계입력'!$C$34*(1-SIN(B1040)/SQRT(1+'1.설계입력'!$C$39^2-2*'1.설계입력'!$C$39*COS(B1040)))-'1.설계입력'!$C$33*(1-'1.설계입력'!$C$39*COS(B1040)-SQRT(MAX(0,1-'1.설계입력'!$C$39^2))*SIN(B1040))/SQRT(1+'1.설계입력'!$C$39^2-2*'1.설계입력'!$C$39*COS(B1040)))</f>
        <v/>
      </c>
    </row>
    <row r="1041" spans="1:11" x14ac:dyDescent="0.3">
      <c r="A1041" s="40">
        <f>A1040+'1.설계입력'!$C$12</f>
        <v>206.99999999999679</v>
      </c>
      <c r="B1041" s="40">
        <f t="shared" si="48"/>
        <v>3.6128315516282061</v>
      </c>
      <c r="C1041" s="40">
        <f>ATAN2('1.설계입력'!$C$6/('1.설계입력'!$C$8*'1.설계입력'!$C$15)-COS((1-'1.설계입력'!$C$15)*B1041),SIN((1-'1.설계입력'!$C$15)*B1041))</f>
        <v>-0.19844128720670187</v>
      </c>
      <c r="D1041" s="40">
        <f>'1.설계입력'!$C$6*COS(B1041)-'1.설계입력'!$C$7*COS(B1041+C1041)-'1.설계입력'!$C$8*COS('1.설계입력'!$C$15*B1041)</f>
        <v>-70.710451323256493</v>
      </c>
      <c r="E1041" s="40">
        <f>-'1.설계입력'!$C$6*SIN(B1041)+'1.설계입력'!$C$7*SIN(B1041+C1041)+'1.설계입력'!$C$8*SIN('1.설계입력'!$C$15*B1041)</f>
        <v>36.149514397564431</v>
      </c>
      <c r="F1041" s="40">
        <f>ATAN2(('1.설계입력'!$C$6+'1.설계입력'!$C$33)/('1.설계입력'!$C$8*'1.설계입력'!$C$15)-COS((1-'1.설계입력'!$C$15)*B1041),SIN((1-'1.설계입력'!$C$15)*B1041))</f>
        <v>-0.19844571033069808</v>
      </c>
      <c r="G1041" s="40">
        <f>('1.설계입력'!$C$6+'1.설계입력'!$C$33)*COS(B1041)-('1.설계입력'!$C$7+'1.설계입력'!$C$34)*COS(B1041+F1041)-'1.설계입력'!$C$8*COS('1.설계입력'!$C$15*B1041)</f>
        <v>-70.699883957174691</v>
      </c>
      <c r="H1041" s="40">
        <f>-('1.설계입력'!$C$6+'1.설계입력'!$C$33)*SIN(B1041)+('1.설계입력'!$C$7+'1.설계입력'!$C$34)*SIN(B1041+F1041)+'1.설계입력'!$C$8*SIN('1.설계입력'!$C$15*B1041)</f>
        <v>36.145941743945251</v>
      </c>
      <c r="I1041" s="40">
        <f t="shared" si="49"/>
        <v>79.415082430973683</v>
      </c>
      <c r="J1041" s="40">
        <f t="shared" si="50"/>
        <v>79.404047101609692</v>
      </c>
      <c r="K1041" s="38" t="str">
        <f>IF(OR(A1041&gt;180,'1.설계입력'!$C$39&gt;=1),"",'1.설계입력'!$C$34*(1-SIN(B1041)/SQRT(1+'1.설계입력'!$C$39^2-2*'1.설계입력'!$C$39*COS(B1041)))-'1.설계입력'!$C$33*(1-'1.설계입력'!$C$39*COS(B1041)-SQRT(MAX(0,1-'1.설계입력'!$C$39^2))*SIN(B1041))/SQRT(1+'1.설계입력'!$C$39^2-2*'1.설계입력'!$C$39*COS(B1041)))</f>
        <v/>
      </c>
    </row>
    <row r="1042" spans="1:11" x14ac:dyDescent="0.3">
      <c r="A1042" s="40">
        <f>A1041+'1.설계입력'!$C$12</f>
        <v>207.19999999999678</v>
      </c>
      <c r="B1042" s="40">
        <f t="shared" si="48"/>
        <v>3.6163222101321946</v>
      </c>
      <c r="C1042" s="40">
        <f>ATAN2('1.설계입력'!$C$6/('1.설계입력'!$C$8*'1.설계입력'!$C$15)-COS((1-'1.설계입력'!$C$15)*B1042),SIN((1-'1.설계입력'!$C$15)*B1042))</f>
        <v>-0.14135322705524336</v>
      </c>
      <c r="D1042" s="40">
        <f>'1.설계입력'!$C$6*COS(B1042)-'1.설계입력'!$C$7*COS(B1042+C1042)-'1.설계입력'!$C$8*COS('1.설계입력'!$C$15*B1042)</f>
        <v>-70.637773203690244</v>
      </c>
      <c r="E1042" s="40">
        <f>-'1.설계입력'!$C$6*SIN(B1042)+'1.설계입력'!$C$7*SIN(B1042+C1042)+'1.설계입력'!$C$8*SIN('1.설계입력'!$C$15*B1042)</f>
        <v>36.381848366213895</v>
      </c>
      <c r="F1042" s="40">
        <f>ATAN2(('1.설계입력'!$C$6+'1.설계입력'!$C$33)/('1.설계입력'!$C$8*'1.설계입력'!$C$15)-COS((1-'1.설계입력'!$C$15)*B1042),SIN((1-'1.설계입력'!$C$15)*B1042))</f>
        <v>-0.141356345349889</v>
      </c>
      <c r="G1042" s="40">
        <f>('1.설계입력'!$C$6+'1.설계입력'!$C$33)*COS(B1042)-('1.설계입력'!$C$7+'1.설계입력'!$C$34)*COS(B1042+F1042)-'1.설계입력'!$C$8*COS('1.설계입력'!$C$15*B1042)</f>
        <v>-70.627357885715071</v>
      </c>
      <c r="H1042" s="40">
        <f>-('1.설계입력'!$C$6+'1.설계입력'!$C$33)*SIN(B1042)+('1.설계입력'!$C$7+'1.설계입력'!$C$34)*SIN(B1042+F1042)+'1.설계입력'!$C$8*SIN('1.설계입력'!$C$15*B1042)</f>
        <v>36.37779256681452</v>
      </c>
      <c r="I1042" s="40">
        <f t="shared" si="49"/>
        <v>79.456490570111143</v>
      </c>
      <c r="J1042" s="40">
        <f t="shared" si="50"/>
        <v>79.44537415073998</v>
      </c>
      <c r="K1042" s="38" t="str">
        <f>IF(OR(A1042&gt;180,'1.설계입력'!$C$39&gt;=1),"",'1.설계입력'!$C$34*(1-SIN(B1042)/SQRT(1+'1.설계입력'!$C$39^2-2*'1.설계입력'!$C$39*COS(B1042)))-'1.설계입력'!$C$33*(1-'1.설계입력'!$C$39*COS(B1042)-SQRT(MAX(0,1-'1.설계입력'!$C$39^2))*SIN(B1042))/SQRT(1+'1.설계입력'!$C$39^2-2*'1.설계입력'!$C$39*COS(B1042)))</f>
        <v/>
      </c>
    </row>
    <row r="1043" spans="1:11" x14ac:dyDescent="0.3">
      <c r="A1043" s="40">
        <f>A1042+'1.설계입력'!$C$12</f>
        <v>207.39999999999677</v>
      </c>
      <c r="B1043" s="40">
        <f t="shared" si="48"/>
        <v>3.619812868636183</v>
      </c>
      <c r="C1043" s="40">
        <f>ATAN2('1.설계입력'!$C$6/('1.설계입력'!$C$8*'1.설계입력'!$C$15)-COS((1-'1.설계입력'!$C$15)*B1043),SIN((1-'1.설계입력'!$C$15)*B1043))</f>
        <v>-8.4020972192526563E-2</v>
      </c>
      <c r="D1043" s="40">
        <f>'1.설계입력'!$C$6*COS(B1043)-'1.설계입력'!$C$7*COS(B1043+C1043)-'1.설계입력'!$C$8*COS('1.설계입력'!$C$15*B1043)</f>
        <v>-70.549536499819283</v>
      </c>
      <c r="E1043" s="40">
        <f>-'1.설계입력'!$C$6*SIN(B1043)+'1.설계입력'!$C$7*SIN(B1043+C1043)+'1.설계입력'!$C$8*SIN('1.설계입력'!$C$15*B1043)</f>
        <v>36.61356250831134</v>
      </c>
      <c r="F1043" s="40">
        <f>ATAN2(('1.설계입력'!$C$6+'1.설계입력'!$C$33)/('1.설계입력'!$C$8*'1.설계입력'!$C$15)-COS((1-'1.설계입력'!$C$15)*B1043),SIN((1-'1.설계입력'!$C$15)*B1043))</f>
        <v>-8.4022813219633785E-2</v>
      </c>
      <c r="G1043" s="40">
        <f>('1.설계입력'!$C$6+'1.설계입력'!$C$33)*COS(B1043)-('1.설계입력'!$C$7+'1.설계입력'!$C$34)*COS(B1043+F1043)-'1.설계입력'!$C$8*COS('1.설계입력'!$C$15*B1043)</f>
        <v>-70.539302672387564</v>
      </c>
      <c r="H1043" s="40">
        <f>-('1.설계입력'!$C$6+'1.설계입력'!$C$33)*SIN(B1043)+('1.설계입력'!$C$7+'1.설계입력'!$C$34)*SIN(B1043+F1043)+'1.설계입력'!$C$8*SIN('1.설계입력'!$C$15*B1043)</f>
        <v>36.609031743411187</v>
      </c>
      <c r="I1043" s="40">
        <f t="shared" si="49"/>
        <v>79.484527172836323</v>
      </c>
      <c r="J1043" s="40">
        <f t="shared" si="50"/>
        <v>79.473356709634402</v>
      </c>
      <c r="K1043" s="38" t="str">
        <f>IF(OR(A1043&gt;180,'1.설계입력'!$C$39&gt;=1),"",'1.설계입력'!$C$34*(1-SIN(B1043)/SQRT(1+'1.설계입력'!$C$39^2-2*'1.설계입력'!$C$39*COS(B1043)))-'1.설계입력'!$C$33*(1-'1.설계입력'!$C$39*COS(B1043)-SQRT(MAX(0,1-'1.설계입력'!$C$39^2))*SIN(B1043))/SQRT(1+'1.설계입력'!$C$39^2-2*'1.설계입력'!$C$39*COS(B1043)))</f>
        <v/>
      </c>
    </row>
    <row r="1044" spans="1:11" x14ac:dyDescent="0.3">
      <c r="A1044" s="40">
        <f>A1043+'1.설계입력'!$C$12</f>
        <v>207.59999999999675</v>
      </c>
      <c r="B1044" s="40">
        <f t="shared" si="48"/>
        <v>3.6233035271401715</v>
      </c>
      <c r="C1044" s="40">
        <f>ATAN2('1.설계입력'!$C$6/('1.설계입력'!$C$8*'1.설계입력'!$C$15)-COS((1-'1.설계입력'!$C$15)*B1044),SIN((1-'1.설계입력'!$C$15)*B1044))</f>
        <v>-2.6547106890255832E-2</v>
      </c>
      <c r="D1044" s="40">
        <f>'1.설계입력'!$C$6*COS(B1044)-'1.설계입력'!$C$7*COS(B1044+C1044)-'1.설계입력'!$C$8*COS('1.설계입력'!$C$15*B1044)</f>
        <v>-70.446255495994905</v>
      </c>
      <c r="E1044" s="40">
        <f>-'1.설계입력'!$C$6*SIN(B1044)+'1.설계입력'!$C$7*SIN(B1044+C1044)+'1.설계입력'!$C$8*SIN('1.설계입력'!$C$15*B1044)</f>
        <v>36.84194219195269</v>
      </c>
      <c r="F1044" s="40">
        <f>ATAN2(('1.설계입력'!$C$6+'1.설계입력'!$C$33)/('1.설계입력'!$C$8*'1.설계입력'!$C$15)-COS((1-'1.설계입력'!$C$15)*B1044),SIN((1-'1.설계입력'!$C$15)*B1044))</f>
        <v>-2.6547686663569176E-2</v>
      </c>
      <c r="G1044" s="40">
        <f>('1.설계입력'!$C$6+'1.설계입력'!$C$33)*COS(B1044)-('1.설계입력'!$C$7+'1.설계입력'!$C$34)*COS(B1044+F1044)-'1.설계입력'!$C$8*COS('1.설계입력'!$C$15*B1044)</f>
        <v>-70.436231912060634</v>
      </c>
      <c r="H1044" s="40">
        <f>-('1.설계입력'!$C$6+'1.설계입력'!$C$33)*SIN(B1044)+('1.설계입력'!$C$7+'1.설계입력'!$C$34)*SIN(B1044+F1044)+'1.설계입력'!$C$8*SIN('1.설계입력'!$C$15*B1044)</f>
        <v>36.836947225200028</v>
      </c>
      <c r="I1044" s="40">
        <f t="shared" si="49"/>
        <v>79.498450411829893</v>
      </c>
      <c r="J1044" s="40">
        <f t="shared" si="50"/>
        <v>79.487253360785843</v>
      </c>
      <c r="K1044" s="38" t="str">
        <f>IF(OR(A1044&gt;180,'1.설계입력'!$C$39&gt;=1),"",'1.설계입력'!$C$34*(1-SIN(B1044)/SQRT(1+'1.설계입력'!$C$39^2-2*'1.설계입력'!$C$39*COS(B1044)))-'1.설계입력'!$C$33*(1-'1.설계입력'!$C$39*COS(B1044)-SQRT(MAX(0,1-'1.설계입력'!$C$39^2))*SIN(B1044))/SQRT(1+'1.설계입력'!$C$39^2-2*'1.설계입력'!$C$39*COS(B1044)))</f>
        <v/>
      </c>
    </row>
    <row r="1045" spans="1:11" x14ac:dyDescent="0.3">
      <c r="A1045" s="40">
        <f>A1044+'1.설계입력'!$C$12</f>
        <v>207.79999999999674</v>
      </c>
      <c r="B1045" s="40">
        <f t="shared" si="48"/>
        <v>3.6267941856441599</v>
      </c>
      <c r="C1045" s="40">
        <f>ATAN2('1.설계입력'!$C$6/('1.설계입력'!$C$8*'1.설계입력'!$C$15)-COS((1-'1.설계입력'!$C$15)*B1045),SIN((1-'1.설계입력'!$C$15)*B1045))</f>
        <v>3.0970965697705421E-2</v>
      </c>
      <c r="D1045" s="40">
        <f>'1.설계입력'!$C$6*COS(B1045)-'1.설계입력'!$C$7*COS(B1045+C1045)-'1.설계입력'!$C$8*COS('1.설계입력'!$C$15*B1045)</f>
        <v>-70.328853599038496</v>
      </c>
      <c r="E1045" s="40">
        <f>-'1.설계입력'!$C$6*SIN(B1045)+'1.설계입력'!$C$7*SIN(B1045+C1045)+'1.설계입력'!$C$8*SIN('1.설계입력'!$C$15*B1045)</f>
        <v>37.064363698187833</v>
      </c>
      <c r="F1045" s="40">
        <f>ATAN2(('1.설계입력'!$C$6+'1.설계입력'!$C$33)/('1.설계입력'!$C$8*'1.설계입력'!$C$15)-COS((1-'1.설계입력'!$C$15)*B1045),SIN((1-'1.설계입력'!$C$15)*B1045))</f>
        <v>3.0971642174514601E-2</v>
      </c>
      <c r="G1045" s="40">
        <f>('1.설계입력'!$C$6+'1.설계입력'!$C$33)*COS(B1045)-('1.설계입력'!$C$7+'1.설계입력'!$C$34)*COS(B1045+F1045)-'1.설계입력'!$C$8*COS('1.설계입력'!$C$15*B1045)</f>
        <v>-70.319068047745901</v>
      </c>
      <c r="H1045" s="40">
        <f>-('1.설계입력'!$C$6+'1.설계입력'!$C$33)*SIN(B1045)+('1.설계입력'!$C$7+'1.설계입력'!$C$34)*SIN(B1045+F1045)+'1.설계입력'!$C$8*SIN('1.설계입력'!$C$15*B1045)</f>
        <v>37.058917746565861</v>
      </c>
      <c r="I1045" s="40">
        <f t="shared" si="49"/>
        <v>79.497891197858408</v>
      </c>
      <c r="J1045" s="40">
        <f t="shared" si="50"/>
        <v>79.48669521152739</v>
      </c>
      <c r="K1045" s="38" t="str">
        <f>IF(OR(A1045&gt;180,'1.설계입력'!$C$39&gt;=1),"",'1.설계입력'!$C$34*(1-SIN(B1045)/SQRT(1+'1.설계입력'!$C$39^2-2*'1.설계입력'!$C$39*COS(B1045)))-'1.설계입력'!$C$33*(1-'1.설계입력'!$C$39*COS(B1045)-SQRT(MAX(0,1-'1.설계입력'!$C$39^2))*SIN(B1045))/SQRT(1+'1.설계입력'!$C$39^2-2*'1.설계입력'!$C$39*COS(B1045)))</f>
        <v/>
      </c>
    </row>
    <row r="1046" spans="1:11" x14ac:dyDescent="0.3">
      <c r="A1046" s="40">
        <f>A1045+'1.설계입력'!$C$12</f>
        <v>207.99999999999673</v>
      </c>
      <c r="B1046" s="40">
        <f t="shared" si="48"/>
        <v>3.6302848441481483</v>
      </c>
      <c r="C1046" s="40">
        <f>ATAN2('1.설계입력'!$C$6/('1.설계입력'!$C$8*'1.설계입력'!$C$15)-COS((1-'1.설계입력'!$C$15)*B1046),SIN((1-'1.설계입력'!$C$15)*B1046))</f>
        <v>8.8437439400749843E-2</v>
      </c>
      <c r="D1046" s="40">
        <f>'1.설계입력'!$C$6*COS(B1046)-'1.설계입력'!$C$7*COS(B1046+C1046)-'1.설계입력'!$C$8*COS('1.설계입력'!$C$15*B1046)</f>
        <v>-70.198640345397365</v>
      </c>
      <c r="E1046" s="40">
        <f>-'1.설계입력'!$C$6*SIN(B1046)+'1.설계입력'!$C$7*SIN(B1046+C1046)+'1.설계입력'!$C$8*SIN('1.설계입력'!$C$15*B1046)</f>
        <v>37.278366662292221</v>
      </c>
      <c r="F1046" s="40">
        <f>ATAN2(('1.설계입력'!$C$6+'1.설계입력'!$C$33)/('1.설계입력'!$C$8*'1.설계입력'!$C$15)-COS((1-'1.설계입력'!$C$15)*B1046),SIN((1-'1.설계입력'!$C$15)*B1046))</f>
        <v>8.8439377967770308E-2</v>
      </c>
      <c r="G1046" s="40">
        <f>('1.설계입력'!$C$6+'1.설계입력'!$C$33)*COS(B1046)-('1.설계입력'!$C$7+'1.설계입력'!$C$34)*COS(B1046+F1046)-'1.설계입력'!$C$8*COS('1.설계입력'!$C$15*B1046)</f>
        <v>-70.189119386231937</v>
      </c>
      <c r="H1046" s="40">
        <f>-('1.설계입력'!$C$6+'1.설계입력'!$C$33)*SIN(B1046)+('1.설계입력'!$C$7+'1.설계입력'!$C$34)*SIN(B1046+F1046)+'1.설계입력'!$C$8*SIN('1.설계입력'!$C$15*B1046)</f>
        <v>37.272485261092115</v>
      </c>
      <c r="I1046" s="40">
        <f t="shared" si="49"/>
        <v>79.482864363023239</v>
      </c>
      <c r="J1046" s="40">
        <f t="shared" si="50"/>
        <v>79.471697086151678</v>
      </c>
      <c r="K1046" s="38" t="str">
        <f>IF(OR(A1046&gt;180,'1.설계입력'!$C$39&gt;=1),"",'1.설계입력'!$C$34*(1-SIN(B1046)/SQRT(1+'1.설계입력'!$C$39^2-2*'1.설계입력'!$C$39*COS(B1046)))-'1.설계입력'!$C$33*(1-'1.설계입력'!$C$39*COS(B1046)-SQRT(MAX(0,1-'1.설계입력'!$C$39^2))*SIN(B1046))/SQRT(1+'1.설계입력'!$C$39^2-2*'1.설계입력'!$C$39*COS(B1046)))</f>
        <v/>
      </c>
    </row>
    <row r="1047" spans="1:11" x14ac:dyDescent="0.3">
      <c r="A1047" s="40">
        <f>A1046+'1.설계입력'!$C$12</f>
        <v>208.19999999999672</v>
      </c>
      <c r="B1047" s="40">
        <f t="shared" si="48"/>
        <v>3.6337755026521368</v>
      </c>
      <c r="C1047" s="40">
        <f>ATAN2('1.설계입력'!$C$6/('1.설계입력'!$C$8*'1.설계입력'!$C$15)-COS((1-'1.설계입력'!$C$15)*B1047),SIN((1-'1.설계입력'!$C$15)*B1047))</f>
        <v>0.14575464309521144</v>
      </c>
      <c r="D1047" s="40">
        <f>'1.설계입력'!$C$6*COS(B1047)-'1.설계입력'!$C$7*COS(B1047+C1047)-'1.설계입력'!$C$8*COS('1.설계입력'!$C$15*B1047)</f>
        <v>-70.057275893833051</v>
      </c>
      <c r="E1047" s="40">
        <f>-'1.설계입력'!$C$6*SIN(B1047)+'1.설계입력'!$C$7*SIN(B1047+C1047)+'1.설계입력'!$C$8*SIN('1.설계입력'!$C$15*B1047)</f>
        <v>37.481720583358666</v>
      </c>
      <c r="F1047" s="40">
        <f>ATAN2(('1.설계입력'!$C$6+'1.설계입력'!$C$33)/('1.설계입력'!$C$8*'1.설계입력'!$C$15)-COS((1-'1.설계입력'!$C$15)*B1047),SIN((1-'1.설계입력'!$C$15)*B1047))</f>
        <v>0.14575786063048937</v>
      </c>
      <c r="G1047" s="40">
        <f>('1.설계입력'!$C$6+'1.설계입력'!$C$33)*COS(B1047)-('1.설계입력'!$C$7+'1.설계입력'!$C$34)*COS(B1047+F1047)-'1.설계입력'!$C$8*COS('1.설계입력'!$C$15*B1047)</f>
        <v>-70.048044594603908</v>
      </c>
      <c r="H1047" s="40">
        <f>-('1.설계입력'!$C$6+'1.설계입력'!$C$33)*SIN(B1047)+('1.설계입력'!$C$7+'1.설계입력'!$C$34)*SIN(B1047+F1047)+'1.설계입력'!$C$8*SIN('1.설계입력'!$C$15*B1047)</f>
        <v>37.475421443415009</v>
      </c>
      <c r="I1047" s="40">
        <f t="shared" si="49"/>
        <v>79.453768214941292</v>
      </c>
      <c r="J1047" s="40">
        <f t="shared" si="50"/>
        <v>79.442657079740144</v>
      </c>
      <c r="K1047" s="38" t="str">
        <f>IF(OR(A1047&gt;180,'1.설계입력'!$C$39&gt;=1),"",'1.설계입력'!$C$34*(1-SIN(B1047)/SQRT(1+'1.설계입력'!$C$39^2-2*'1.설계입력'!$C$39*COS(B1047)))-'1.설계입력'!$C$33*(1-'1.설계입력'!$C$39*COS(B1047)-SQRT(MAX(0,1-'1.설계입력'!$C$39^2))*SIN(B1047))/SQRT(1+'1.설계입력'!$C$39^2-2*'1.설계입력'!$C$39*COS(B1047)))</f>
        <v/>
      </c>
    </row>
    <row r="1048" spans="1:11" x14ac:dyDescent="0.3">
      <c r="A1048" s="40">
        <f>A1047+'1.설계입력'!$C$12</f>
        <v>208.39999999999671</v>
      </c>
      <c r="B1048" s="40">
        <f t="shared" si="48"/>
        <v>3.6372661611561252</v>
      </c>
      <c r="C1048" s="40">
        <f>ATAN2('1.설계입력'!$C$6/('1.설계입력'!$C$8*'1.설계입력'!$C$15)-COS((1-'1.설계입력'!$C$15)*B1048),SIN((1-'1.설계입력'!$C$15)*B1048))</f>
        <v>0.20281943596807167</v>
      </c>
      <c r="D1048" s="40">
        <f>'1.설계입력'!$C$6*COS(B1048)-'1.설계입력'!$C$7*COS(B1048+C1048)-'1.설계입력'!$C$8*COS('1.설계입력'!$C$15*B1048)</f>
        <v>-69.906723567130499</v>
      </c>
      <c r="E1048" s="40">
        <f>-'1.설계입력'!$C$6*SIN(B1048)+'1.설계입력'!$C$7*SIN(B1048+C1048)+'1.설계입력'!$C$8*SIN('1.설계입력'!$C$15*B1048)</f>
        <v>37.672484319665614</v>
      </c>
      <c r="F1048" s="40">
        <f>ATAN2(('1.설계입력'!$C$6+'1.설계입력'!$C$33)/('1.설계입력'!$C$8*'1.설계입력'!$C$15)-COS((1-'1.설계입력'!$C$15)*B1048),SIN((1-'1.설계입력'!$C$15)*B1048))</f>
        <v>0.20282396095536889</v>
      </c>
      <c r="G1048" s="40">
        <f>('1.설계입력'!$C$6+'1.설계입력'!$C$33)*COS(B1048)-('1.설계입력'!$C$7+'1.설계입력'!$C$34)*COS(B1048+F1048)-'1.설계입력'!$C$8*COS('1.설계입력'!$C$15*B1048)</f>
        <v>-69.897805240841606</v>
      </c>
      <c r="H1048" s="40">
        <f>-('1.설계입력'!$C$6+'1.설계입력'!$C$33)*SIN(B1048)+('1.설계입력'!$C$7+'1.설계입력'!$C$34)*SIN(B1048+F1048)+'1.설계입력'!$C$8*SIN('1.설계입력'!$C$15*B1048)</f>
        <v>37.665787174617876</v>
      </c>
      <c r="I1048" s="40">
        <f t="shared" si="49"/>
        <v>79.411372451977243</v>
      </c>
      <c r="J1048" s="40">
        <f t="shared" si="50"/>
        <v>79.400344463800863</v>
      </c>
      <c r="K1048" s="38" t="str">
        <f>IF(OR(A1048&gt;180,'1.설계입력'!$C$39&gt;=1),"",'1.설계입력'!$C$34*(1-SIN(B1048)/SQRT(1+'1.설계입력'!$C$39^2-2*'1.설계입력'!$C$39*COS(B1048)))-'1.설계입력'!$C$33*(1-'1.설계입력'!$C$39*COS(B1048)-SQRT(MAX(0,1-'1.설계입력'!$C$39^2))*SIN(B1048))/SQRT(1+'1.설계입력'!$C$39^2-2*'1.설계입력'!$C$39*COS(B1048)))</f>
        <v/>
      </c>
    </row>
    <row r="1049" spans="1:11" x14ac:dyDescent="0.3">
      <c r="A1049" s="40">
        <f>A1048+'1.설계입력'!$C$12</f>
        <v>208.5999999999967</v>
      </c>
      <c r="B1049" s="40">
        <f t="shared" si="48"/>
        <v>3.6407568196601137</v>
      </c>
      <c r="C1049" s="40">
        <f>ATAN2('1.설계입력'!$C$6/('1.설계입력'!$C$8*'1.설계입력'!$C$15)-COS((1-'1.설계입력'!$C$15)*B1049),SIN((1-'1.설계입력'!$C$15)*B1049))</f>
        <v>0.25951917623148846</v>
      </c>
      <c r="D1049" s="40">
        <f>'1.설계입력'!$C$6*COS(B1049)-'1.설계입력'!$C$7*COS(B1049+C1049)-'1.설계입력'!$C$8*COS('1.설계입력'!$C$15*B1049)</f>
        <v>-69.749190881604434</v>
      </c>
      <c r="E1049" s="40">
        <f>-'1.설계입력'!$C$6*SIN(B1049)+'1.설계입력'!$C$7*SIN(B1049+C1049)+'1.설계입력'!$C$8*SIN('1.설계입력'!$C$15*B1049)</f>
        <v>37.849057471292362</v>
      </c>
      <c r="F1049" s="40">
        <f>ATAN2(('1.설계입력'!$C$6+'1.설계입력'!$C$33)/('1.설계입력'!$C$8*'1.설계입력'!$C$15)-COS((1-'1.설계입력'!$C$15)*B1049),SIN((1-'1.설계입력'!$C$15)*B1049))</f>
        <v>0.25952504974026591</v>
      </c>
      <c r="G1049" s="40">
        <f>('1.설계입력'!$C$6+'1.설계입력'!$C$33)*COS(B1049)-('1.설계입력'!$C$7+'1.설계입력'!$C$34)*COS(B1049+F1049)-'1.설계입력'!$C$8*COS('1.설계입력'!$C$15*B1049)</f>
        <v>-69.740606816376939</v>
      </c>
      <c r="H1049" s="40">
        <f>-('1.설계입력'!$C$6+'1.설계입력'!$C$33)*SIN(B1049)+('1.설계입력'!$C$7+'1.설계입력'!$C$34)*SIN(B1049+F1049)+'1.설계입력'!$C$8*SIN('1.설계입력'!$C$15*B1049)</f>
        <v>37.841983912886768</v>
      </c>
      <c r="I1049" s="40">
        <f t="shared" si="49"/>
        <v>79.35679416473225</v>
      </c>
      <c r="J1049" s="40">
        <f t="shared" si="50"/>
        <v>79.345875668365153</v>
      </c>
      <c r="K1049" s="38" t="str">
        <f>IF(OR(A1049&gt;180,'1.설계입력'!$C$39&gt;=1),"",'1.설계입력'!$C$34*(1-SIN(B1049)/SQRT(1+'1.설계입력'!$C$39^2-2*'1.설계입력'!$C$39*COS(B1049)))-'1.설계입력'!$C$33*(1-'1.설계입력'!$C$39*COS(B1049)-SQRT(MAX(0,1-'1.설계입력'!$C$39^2))*SIN(B1049))/SQRT(1+'1.설계입력'!$C$39^2-2*'1.설계입력'!$C$39*COS(B1049)))</f>
        <v/>
      </c>
    </row>
    <row r="1050" spans="1:11" x14ac:dyDescent="0.3">
      <c r="A1050" s="40">
        <f>A1049+'1.설계입력'!$C$12</f>
        <v>208.79999999999669</v>
      </c>
      <c r="B1050" s="40">
        <f t="shared" si="48"/>
        <v>3.6442474781641021</v>
      </c>
      <c r="C1050" s="40">
        <f>ATAN2('1.설계입력'!$C$6/('1.설계입력'!$C$8*'1.설계입력'!$C$15)-COS((1-'1.설계입력'!$C$15)*B1050),SIN((1-'1.설계입력'!$C$15)*B1050))</f>
        <v>0.3157269222394396</v>
      </c>
      <c r="D1050" s="40">
        <f>'1.설계입력'!$C$6*COS(B1050)-'1.설계입력'!$C$7*COS(B1050+C1050)-'1.설계입력'!$C$8*COS('1.설계입력'!$C$15*B1050)</f>
        <v>-69.587059284929467</v>
      </c>
      <c r="E1050" s="40">
        <f>-'1.설계입력'!$C$6*SIN(B1050)+'1.설계입력'!$C$7*SIN(B1050+C1050)+'1.설계입력'!$C$8*SIN('1.설계입력'!$C$15*B1050)</f>
        <v>38.010222585878594</v>
      </c>
      <c r="F1050" s="40">
        <f>ATAN2(('1.설계입력'!$C$6+'1.설계입력'!$C$33)/('1.설계입력'!$C$8*'1.설계입력'!$C$15)-COS((1-'1.설계입력'!$C$15)*B1050),SIN((1-'1.설계입력'!$C$15)*B1050))</f>
        <v>0.31573419938552022</v>
      </c>
      <c r="G1050" s="40">
        <f>('1.설계입력'!$C$6+'1.설계입력'!$C$33)*COS(B1050)-('1.설계입력'!$C$7+'1.설계입력'!$C$34)*COS(B1050+F1050)-'1.설계입력'!$C$8*COS('1.설계입력'!$C$15*B1050)</f>
        <v>-69.578828459492428</v>
      </c>
      <c r="H1050" s="40">
        <f>-('1.설계입력'!$C$6+'1.설계입력'!$C$33)*SIN(B1050)+('1.설계입력'!$C$7+'1.설계입력'!$C$34)*SIN(B1050+F1050)+'1.설계입력'!$C$8*SIN('1.설계입력'!$C$15*B1050)</f>
        <v>38.002795885358609</v>
      </c>
      <c r="I1050" s="40">
        <f t="shared" si="49"/>
        <v>79.291461336970727</v>
      </c>
      <c r="J1050" s="40">
        <f t="shared" si="50"/>
        <v>79.280677752524937</v>
      </c>
      <c r="K1050" s="38" t="str">
        <f>IF(OR(A1050&gt;180,'1.설계입력'!$C$39&gt;=1),"",'1.설계입력'!$C$34*(1-SIN(B1050)/SQRT(1+'1.설계입력'!$C$39^2-2*'1.설계입력'!$C$39*COS(B1050)))-'1.설계입력'!$C$33*(1-'1.설계입력'!$C$39*COS(B1050)-SQRT(MAX(0,1-'1.설계입력'!$C$39^2))*SIN(B1050))/SQRT(1+'1.설계입력'!$C$39^2-2*'1.설계입력'!$C$39*COS(B1050)))</f>
        <v/>
      </c>
    </row>
    <row r="1051" spans="1:11" x14ac:dyDescent="0.3">
      <c r="A1051" s="40">
        <f>A1050+'1.설계입력'!$C$12</f>
        <v>208.99999999999667</v>
      </c>
      <c r="B1051" s="40">
        <f t="shared" si="48"/>
        <v>3.6477381366680905</v>
      </c>
      <c r="C1051" s="40">
        <f>ATAN2('1.설계입력'!$C$6/('1.설계입력'!$C$8*'1.설계입력'!$C$15)-COS((1-'1.설계입력'!$C$15)*B1051),SIN((1-'1.설계입력'!$C$15)*B1051))</f>
        <v>0.37129541728457988</v>
      </c>
      <c r="D1051" s="40">
        <f>'1.설계입력'!$C$6*COS(B1051)-'1.설계입력'!$C$7*COS(B1051+C1051)-'1.설계입력'!$C$8*COS('1.설계입력'!$C$15*B1051)</f>
        <v>-69.422802438802151</v>
      </c>
      <c r="E1051" s="40">
        <f>-'1.설계입력'!$C$6*SIN(B1051)+'1.설계입력'!$C$7*SIN(B1051+C1051)+'1.설계입력'!$C$8*SIN('1.설계입력'!$C$15*B1051)</f>
        <v>38.155177195164406</v>
      </c>
      <c r="F1051" s="40">
        <f>ATAN2(('1.설계입력'!$C$6+'1.설계입력'!$C$33)/('1.설계입력'!$C$8*'1.설계입력'!$C$15)-COS((1-'1.설계입력'!$C$15)*B1051),SIN((1-'1.설계입력'!$C$15)*B1051))</f>
        <v>0.37130416927727455</v>
      </c>
      <c r="G1051" s="40">
        <f>('1.설계입력'!$C$6+'1.설계입력'!$C$33)*COS(B1051)-('1.설계입력'!$C$7+'1.설계입력'!$C$34)*COS(B1051+F1051)-'1.설계입력'!$C$8*COS('1.설계입력'!$C$15*B1051)</f>
        <v>-69.414941213393519</v>
      </c>
      <c r="H1051" s="40">
        <f>-('1.설계입력'!$C$6+'1.설계입력'!$C$33)*SIN(B1051)+('1.설계입력'!$C$7+'1.설계입력'!$C$34)*SIN(B1051+F1051)+'1.설계입력'!$C$8*SIN('1.설계입력'!$C$15*B1051)</f>
        <v>38.147422108635041</v>
      </c>
      <c r="I1051" s="40">
        <f t="shared" si="49"/>
        <v>79.217062841608481</v>
      </c>
      <c r="J1051" s="40">
        <f t="shared" si="50"/>
        <v>79.20643835694959</v>
      </c>
      <c r="K1051" s="38" t="str">
        <f>IF(OR(A1051&gt;180,'1.설계입력'!$C$39&gt;=1),"",'1.설계입력'!$C$34*(1-SIN(B1051)/SQRT(1+'1.설계입력'!$C$39^2-2*'1.설계입력'!$C$39*COS(B1051)))-'1.설계입력'!$C$33*(1-'1.설계입력'!$C$39*COS(B1051)-SQRT(MAX(0,1-'1.설계입력'!$C$39^2))*SIN(B1051))/SQRT(1+'1.설계입력'!$C$39^2-2*'1.설계입력'!$C$39*COS(B1051)))</f>
        <v/>
      </c>
    </row>
    <row r="1052" spans="1:11" x14ac:dyDescent="0.3">
      <c r="A1052" s="40">
        <f>A1051+'1.설계입력'!$C$12</f>
        <v>209.19999999999666</v>
      </c>
      <c r="B1052" s="40">
        <f t="shared" si="48"/>
        <v>3.651228795172079</v>
      </c>
      <c r="C1052" s="40">
        <f>ATAN2('1.설계입력'!$C$6/('1.설계입력'!$C$8*'1.설계입력'!$C$15)-COS((1-'1.설계입력'!$C$15)*B1052),SIN((1-'1.설계입력'!$C$15)*B1052))</f>
        <v>0.42604922794691791</v>
      </c>
      <c r="D1052" s="40">
        <f>'1.설계입력'!$C$6*COS(B1052)-'1.설계입력'!$C$7*COS(B1052+C1052)-'1.설계입력'!$C$8*COS('1.설계입력'!$C$15*B1052)</f>
        <v>-69.258892224150785</v>
      </c>
      <c r="E1052" s="40">
        <f>-'1.설계입력'!$C$6*SIN(B1052)+'1.설계입력'!$C$7*SIN(B1052+C1052)+'1.설계입력'!$C$8*SIN('1.설계입력'!$C$15*B1052)</f>
        <v>38.283554793249579</v>
      </c>
      <c r="F1052" s="40">
        <f>ATAN2(('1.설계입력'!$C$6+'1.설계입력'!$C$33)/('1.설계입력'!$C$8*'1.설계입력'!$C$15)-COS((1-'1.설계입력'!$C$15)*B1052),SIN((1-'1.설계입력'!$C$15)*B1052))</f>
        <v>0.42605954487766362</v>
      </c>
      <c r="G1052" s="40">
        <f>('1.설계입력'!$C$6+'1.설계입력'!$C$33)*COS(B1052)-('1.설계입력'!$C$7+'1.설계입력'!$C$34)*COS(B1052+F1052)-'1.설계입력'!$C$8*COS('1.설계입력'!$C$15*B1052)</f>
        <v>-69.251413992471242</v>
      </c>
      <c r="H1052" s="40">
        <f>-('1.설계입력'!$C$6+'1.설계입력'!$C$33)*SIN(B1052)+('1.설계입력'!$C$7+'1.설계입력'!$C$34)*SIN(B1052+F1052)+'1.설계입력'!$C$8*SIN('1.설계입력'!$C$15*B1052)</f>
        <v>38.275497348548058</v>
      </c>
      <c r="I1052" s="40">
        <f t="shared" si="49"/>
        <v>79.135483316425621</v>
      </c>
      <c r="J1052" s="40">
        <f t="shared" si="50"/>
        <v>79.125040519644301</v>
      </c>
      <c r="K1052" s="38" t="str">
        <f>IF(OR(A1052&gt;180,'1.설계입력'!$C$39&gt;=1),"",'1.설계입력'!$C$34*(1-SIN(B1052)/SQRT(1+'1.설계입력'!$C$39^2-2*'1.설계입력'!$C$39*COS(B1052)))-'1.설계입력'!$C$33*(1-'1.설계입력'!$C$39*COS(B1052)-SQRT(MAX(0,1-'1.설계입력'!$C$39^2))*SIN(B1052))/SQRT(1+'1.설계입력'!$C$39^2-2*'1.설계입력'!$C$39*COS(B1052)))</f>
        <v/>
      </c>
    </row>
    <row r="1053" spans="1:11" x14ac:dyDescent="0.3">
      <c r="A1053" s="40">
        <f>A1052+'1.설계입력'!$C$12</f>
        <v>209.39999999999665</v>
      </c>
      <c r="B1053" s="40">
        <f t="shared" si="48"/>
        <v>3.6547194536760674</v>
      </c>
      <c r="C1053" s="40">
        <f>ATAN2('1.설계입력'!$C$6/('1.설계입력'!$C$8*'1.설계입력'!$C$15)-COS((1-'1.설계입력'!$C$15)*B1053),SIN((1-'1.설계입력'!$C$15)*B1053))</f>
        <v>0.47977410855038533</v>
      </c>
      <c r="D1053" s="40">
        <f>'1.설계입력'!$C$6*COS(B1053)-'1.설계입력'!$C$7*COS(B1053+C1053)-'1.설계입력'!$C$8*COS('1.설계입력'!$C$15*B1053)</f>
        <v>-69.097690535695932</v>
      </c>
      <c r="E1053" s="40">
        <f>-'1.설계입력'!$C$6*SIN(B1053)+'1.설계입력'!$C$7*SIN(B1053+C1053)+'1.설계입력'!$C$8*SIN('1.설계입력'!$C$15*B1053)</f>
        <v>38.395434008156478</v>
      </c>
      <c r="F1053" s="40">
        <f>ATAN2(('1.설계입력'!$C$6+'1.설계입력'!$C$33)/('1.설계입력'!$C$8*'1.설계입력'!$C$15)-COS((1-'1.설계입력'!$C$15)*B1053),SIN((1-'1.설계입력'!$C$15)*B1053))</f>
        <v>0.47978610314511222</v>
      </c>
      <c r="G1053" s="40">
        <f>('1.설계입력'!$C$6+'1.설계입력'!$C$33)*COS(B1053)-('1.설계입력'!$C$7+'1.설계입력'!$C$34)*COS(B1053+F1053)-'1.설계입력'!$C$8*COS('1.설계입력'!$C$15*B1053)</f>
        <v>-69.090605316993262</v>
      </c>
      <c r="H1053" s="40">
        <f>-('1.설계입력'!$C$6+'1.설계입력'!$C$33)*SIN(B1053)+('1.설계입력'!$C$7+'1.설계입력'!$C$34)*SIN(B1053+F1053)+'1.설계입력'!$C$8*SIN('1.설계입력'!$C$15*B1053)</f>
        <v>38.387101270229955</v>
      </c>
      <c r="I1053" s="40">
        <f t="shared" si="49"/>
        <v>79.048720356761635</v>
      </c>
      <c r="J1053" s="40">
        <f t="shared" si="50"/>
        <v>79.038479786743295</v>
      </c>
      <c r="K1053" s="38" t="str">
        <f>IF(OR(A1053&gt;180,'1.설계입력'!$C$39&gt;=1),"",'1.설계입력'!$C$34*(1-SIN(B1053)/SQRT(1+'1.설계입력'!$C$39^2-2*'1.설계입력'!$C$39*COS(B1053)))-'1.설계입력'!$C$33*(1-'1.설계입력'!$C$39*COS(B1053)-SQRT(MAX(0,1-'1.설계입력'!$C$39^2))*SIN(B1053))/SQRT(1+'1.설계입력'!$C$39^2-2*'1.설계입력'!$C$39*COS(B1053)))</f>
        <v/>
      </c>
    </row>
    <row r="1054" spans="1:11" x14ac:dyDescent="0.3">
      <c r="A1054" s="40">
        <f>A1053+'1.설계입력'!$C$12</f>
        <v>209.59999999999664</v>
      </c>
      <c r="B1054" s="40">
        <f t="shared" si="48"/>
        <v>3.6582101121800563</v>
      </c>
      <c r="C1054" s="40">
        <f>ATAN2('1.설계입력'!$C$6/('1.설계입력'!$C$8*'1.설계입력'!$C$15)-COS((1-'1.설계입력'!$C$15)*B1054),SIN((1-'1.설계입력'!$C$15)*B1054))</f>
        <v>0.53220217593534325</v>
      </c>
      <c r="D1054" s="40">
        <f>'1.설계입력'!$C$6*COS(B1054)-'1.설계입력'!$C$7*COS(B1054+C1054)-'1.설계입력'!$C$8*COS('1.설계입력'!$C$15*B1054)</f>
        <v>-68.941323066203779</v>
      </c>
      <c r="E1054" s="40">
        <f>-'1.설계입력'!$C$6*SIN(B1054)+'1.설계입력'!$C$7*SIN(B1054+C1054)+'1.설계입력'!$C$8*SIN('1.설계입력'!$C$15*B1054)</f>
        <v>38.491335426236475</v>
      </c>
      <c r="F1054" s="40">
        <f>ATAN2(('1.설계입력'!$C$6+'1.설계입력'!$C$33)/('1.설계입력'!$C$8*'1.설계입력'!$C$15)-COS((1-'1.설계입력'!$C$15)*B1054),SIN((1-'1.설계입력'!$C$15)*B1054))</f>
        <v>0.53221598858584751</v>
      </c>
      <c r="G1054" s="40">
        <f>('1.설계입력'!$C$6+'1.설계입력'!$C$33)*COS(B1054)-('1.설계입력'!$C$7+'1.설계입력'!$C$34)*COS(B1054+F1054)-'1.설계입력'!$C$8*COS('1.설계입력'!$C$15*B1054)</f>
        <v>-68.934637006191721</v>
      </c>
      <c r="H1054" s="40">
        <f>-('1.설계입력'!$C$6+'1.설계입력'!$C$33)*SIN(B1054)+('1.설계입력'!$C$7+'1.설계입력'!$C$34)*SIN(B1054+F1054)+'1.설계입력'!$C$8*SIN('1.설계입력'!$C$15*B1054)</f>
        <v>38.482755237370185</v>
      </c>
      <c r="I1054" s="40">
        <f t="shared" si="49"/>
        <v>78.958779936202973</v>
      </c>
      <c r="J1054" s="40">
        <f t="shared" si="50"/>
        <v>78.948759520557118</v>
      </c>
      <c r="K1054" s="38" t="str">
        <f>IF(OR(A1054&gt;180,'1.설계입력'!$C$39&gt;=1),"",'1.설계입력'!$C$34*(1-SIN(B1054)/SQRT(1+'1.설계입력'!$C$39^2-2*'1.설계입력'!$C$39*COS(B1054)))-'1.설계입력'!$C$33*(1-'1.설계입력'!$C$39*COS(B1054)-SQRT(MAX(0,1-'1.설계입력'!$C$39^2))*SIN(B1054))/SQRT(1+'1.설계입력'!$C$39^2-2*'1.설계입력'!$C$39*COS(B1054)))</f>
        <v/>
      </c>
    </row>
    <row r="1055" spans="1:11" x14ac:dyDescent="0.3">
      <c r="A1055" s="40">
        <f>A1054+'1.설계입력'!$C$12</f>
        <v>209.79999999999663</v>
      </c>
      <c r="B1055" s="40">
        <f t="shared" si="48"/>
        <v>3.6617007706840448</v>
      </c>
      <c r="C1055" s="40">
        <f>ATAN2('1.설계입력'!$C$6/('1.설계입력'!$C$8*'1.설계입력'!$C$15)-COS((1-'1.설계입력'!$C$15)*B1055),SIN((1-'1.설계입력'!$C$15)*B1055))</f>
        <v>0.5829906638392629</v>
      </c>
      <c r="D1055" s="40">
        <f>'1.설계입력'!$C$6*COS(B1055)-'1.설계입력'!$C$7*COS(B1055+C1055)-'1.설계입력'!$C$8*COS('1.설계입력'!$C$15*B1055)</f>
        <v>-68.791528119508257</v>
      </c>
      <c r="E1055" s="40">
        <f>-'1.설계입력'!$C$6*SIN(B1055)+'1.설계입력'!$C$7*SIN(B1055+C1055)+'1.설계입력'!$C$8*SIN('1.설계입력'!$C$15*B1055)</f>
        <v>38.572205890331404</v>
      </c>
      <c r="F1055" s="40">
        <f>ATAN2(('1.설계입력'!$C$6+'1.설계입력'!$C$33)/('1.설계입력'!$C$8*'1.설계입력'!$C$15)-COS((1-'1.설계입력'!$C$15)*B1055),SIN((1-'1.설계입력'!$C$15)*B1055))</f>
        <v>0.5830064693578445</v>
      </c>
      <c r="G1055" s="40">
        <f>('1.설계입력'!$C$6+'1.설계입력'!$C$33)*COS(B1055)-('1.설계입력'!$C$7+'1.설계입력'!$C$34)*COS(B1055+F1055)-'1.설계입력'!$C$8*COS('1.설계입력'!$C$15*B1055)</f>
        <v>-68.785242852113996</v>
      </c>
      <c r="H1055" s="40">
        <f>-('1.설계입력'!$C$6+'1.설계입력'!$C$33)*SIN(B1055)+('1.설계입력'!$C$7+'1.설계입력'!$C$34)*SIN(B1055+F1055)+'1.설계입력'!$C$8*SIN('1.설계입력'!$C$15*B1055)</f>
        <v>38.563406580969826</v>
      </c>
      <c r="I1055" s="40">
        <f t="shared" si="49"/>
        <v>78.867543440018537</v>
      </c>
      <c r="J1055" s="40">
        <f t="shared" si="50"/>
        <v>78.8577577753355</v>
      </c>
      <c r="K1055" s="38" t="str">
        <f>IF(OR(A1055&gt;180,'1.설계입력'!$C$39&gt;=1),"",'1.설계입력'!$C$34*(1-SIN(B1055)/SQRT(1+'1.설계입력'!$C$39^2-2*'1.설계입력'!$C$39*COS(B1055)))-'1.설계입력'!$C$33*(1-'1.설계입력'!$C$39*COS(B1055)-SQRT(MAX(0,1-'1.설계입력'!$C$39^2))*SIN(B1055))/SQRT(1+'1.설계입력'!$C$39^2-2*'1.설계입력'!$C$39*COS(B1055)))</f>
        <v/>
      </c>
    </row>
    <row r="1056" spans="1:11" x14ac:dyDescent="0.3">
      <c r="A1056" s="40">
        <f>A1055+'1.설계입력'!$C$12</f>
        <v>209.99999999999662</v>
      </c>
      <c r="B1056" s="40">
        <f t="shared" si="48"/>
        <v>3.6651914291880332</v>
      </c>
      <c r="C1056" s="40">
        <f>ATAN2('1.설계입력'!$C$6/('1.설계입력'!$C$8*'1.설계입력'!$C$15)-COS((1-'1.설계입력'!$C$15)*B1056),SIN((1-'1.설계입력'!$C$15)*B1056))</f>
        <v>0.63169063433816397</v>
      </c>
      <c r="D1056" s="40">
        <f>'1.설계입력'!$C$6*COS(B1056)-'1.설계입력'!$C$7*COS(B1056+C1056)-'1.설계입력'!$C$8*COS('1.설계입력'!$C$15*B1056)</f>
        <v>-68.649468044516212</v>
      </c>
      <c r="E1056" s="40">
        <f>-'1.설계입력'!$C$6*SIN(B1056)+'1.설계입력'!$C$7*SIN(B1056+C1056)+'1.설계입력'!$C$8*SIN('1.설계입력'!$C$15*B1056)</f>
        <v>38.639390829057426</v>
      </c>
      <c r="F1056" s="40">
        <f>ATAN2(('1.설계입력'!$C$6+'1.설계입력'!$C$33)/('1.설계입력'!$C$8*'1.설계입력'!$C$15)-COS((1-'1.설계입력'!$C$15)*B1056),SIN((1-'1.설계입력'!$C$15)*B1056))</f>
        <v>0.63170865105453644</v>
      </c>
      <c r="G1056" s="40">
        <f>('1.설계입력'!$C$6+'1.설계입력'!$C$33)*COS(B1056)-('1.설계입력'!$C$7+'1.설계입력'!$C$34)*COS(B1056+F1056)-'1.설계입력'!$C$8*COS('1.설계입력'!$C$15*B1056)</f>
        <v>-68.643579838863815</v>
      </c>
      <c r="H1056" s="40">
        <f>-('1.설계입력'!$C$6+'1.설계입력'!$C$33)*SIN(B1056)+('1.설계입력'!$C$7+'1.설계입력'!$C$34)*SIN(B1056+F1056)+'1.설계입력'!$C$8*SIN('1.설계입력'!$C$15*B1056)</f>
        <v>38.630400894948373</v>
      </c>
      <c r="I1056" s="40">
        <f t="shared" si="49"/>
        <v>78.7765954229789</v>
      </c>
      <c r="J1056" s="40">
        <f t="shared" si="50"/>
        <v>78.767054828772785</v>
      </c>
      <c r="K1056" s="38" t="str">
        <f>IF(OR(A1056&gt;180,'1.설계입력'!$C$39&gt;=1),"",'1.설계입력'!$C$34*(1-SIN(B1056)/SQRT(1+'1.설계입력'!$C$39^2-2*'1.설계입력'!$C$39*COS(B1056)))-'1.설계입력'!$C$33*(1-'1.설계입력'!$C$39*COS(B1056)-SQRT(MAX(0,1-'1.설계입력'!$C$39^2))*SIN(B1056))/SQRT(1+'1.설계입력'!$C$39^2-2*'1.설계입력'!$C$39*COS(B1056)))</f>
        <v/>
      </c>
    </row>
    <row r="1057" spans="1:11" x14ac:dyDescent="0.3">
      <c r="A1057" s="40">
        <f>A1056+'1.설계입력'!$C$12</f>
        <v>210.19999999999661</v>
      </c>
      <c r="B1057" s="40">
        <f t="shared" si="48"/>
        <v>3.6686820876920216</v>
      </c>
      <c r="C1057" s="40">
        <f>ATAN2('1.설계입력'!$C$6/('1.설계입력'!$C$8*'1.설계입력'!$C$15)-COS((1-'1.설계입력'!$C$15)*B1057),SIN((1-'1.설계입력'!$C$15)*B1057))</f>
        <v>0.67769957901975908</v>
      </c>
      <c r="D1057" s="40">
        <f>'1.설계입력'!$C$6*COS(B1057)-'1.설계입력'!$C$7*COS(B1057+C1057)-'1.설계입력'!$C$8*COS('1.설계입력'!$C$15*B1057)</f>
        <v>-68.515481271781297</v>
      </c>
      <c r="E1057" s="40">
        <f>-'1.설계입력'!$C$6*SIN(B1057)+'1.설계입력'!$C$7*SIN(B1057+C1057)+'1.설계입력'!$C$8*SIN('1.설계입력'!$C$15*B1057)</f>
        <v>38.694596844479676</v>
      </c>
      <c r="F1057" s="40">
        <f>ATAN2(('1.설계입력'!$C$6+'1.설계입력'!$C$33)/('1.설계입력'!$C$8*'1.설계입력'!$C$15)-COS((1-'1.설계입력'!$C$15)*B1057),SIN((1-'1.설계입력'!$C$15)*B1057))</f>
        <v>0.67772008105986992</v>
      </c>
      <c r="G1057" s="40">
        <f>('1.설계입력'!$C$6+'1.설계입력'!$C$33)*COS(B1057)-('1.설계입력'!$C$7+'1.설계입력'!$C$34)*COS(B1057+F1057)-'1.설계입력'!$C$8*COS('1.설계입력'!$C$15*B1057)</f>
        <v>-68.509979841951434</v>
      </c>
      <c r="H1057" s="40">
        <f>-('1.설계입력'!$C$6+'1.설계입력'!$C$33)*SIN(B1057)+('1.설계입력'!$C$7+'1.설계입력'!$C$34)*SIN(B1057+F1057)+'1.설계입력'!$C$8*SIN('1.설계입력'!$C$15*B1057)</f>
        <v>38.685444587899994</v>
      </c>
      <c r="I1057" s="40">
        <f t="shared" si="49"/>
        <v>78.68699383545308</v>
      </c>
      <c r="J1057" s="40">
        <f t="shared" si="50"/>
        <v>78.677703073412559</v>
      </c>
      <c r="K1057" s="38" t="str">
        <f>IF(OR(A1057&gt;180,'1.설계입력'!$C$39&gt;=1),"",'1.설계입력'!$C$34*(1-SIN(B1057)/SQRT(1+'1.설계입력'!$C$39^2-2*'1.설계입력'!$C$39*COS(B1057)))-'1.설계입력'!$C$33*(1-'1.설계입력'!$C$39*COS(B1057)-SQRT(MAX(0,1-'1.설계입력'!$C$39^2))*SIN(B1057))/SQRT(1+'1.설계입력'!$C$39^2-2*'1.설계입력'!$C$39*COS(B1057)))</f>
        <v/>
      </c>
    </row>
    <row r="1058" spans="1:11" x14ac:dyDescent="0.3">
      <c r="A1058" s="40">
        <f>A1057+'1.설계입력'!$C$12</f>
        <v>210.3999999999966</v>
      </c>
      <c r="B1058" s="40">
        <f t="shared" si="48"/>
        <v>3.6721727461960101</v>
      </c>
      <c r="C1058" s="40">
        <f>ATAN2('1.설계입력'!$C$6/('1.설계입력'!$C$8*'1.설계입력'!$C$15)-COS((1-'1.설계입력'!$C$15)*B1058),SIN((1-'1.설계입력'!$C$15)*B1058))</f>
        <v>0.72018741047187151</v>
      </c>
      <c r="D1058" s="40">
        <f>'1.설계입력'!$C$6*COS(B1058)-'1.설계입력'!$C$7*COS(B1058+C1058)-'1.설계입력'!$C$8*COS('1.설계입력'!$C$15*B1058)</f>
        <v>-68.38873549057881</v>
      </c>
      <c r="E1058" s="40">
        <f>-'1.설계입력'!$C$6*SIN(B1058)+'1.설계입력'!$C$7*SIN(B1058+C1058)+'1.설계입력'!$C$8*SIN('1.설계입력'!$C$15*B1058)</f>
        <v>38.739850810779636</v>
      </c>
      <c r="F1058" s="40">
        <f>ATAN2(('1.설계입력'!$C$6+'1.설계입력'!$C$33)/('1.설계입력'!$C$8*'1.설계입력'!$C$15)-COS((1-'1.설계입력'!$C$15)*B1058),SIN((1-'1.설계입력'!$C$15)*B1058))</f>
        <v>0.72021074428179666</v>
      </c>
      <c r="G1058" s="40">
        <f>('1.설계입력'!$C$6+'1.설계입력'!$C$33)*COS(B1058)-('1.설계입력'!$C$7+'1.설계입력'!$C$34)*COS(B1058+F1058)-'1.설계입력'!$C$8*COS('1.설계입력'!$C$15*B1058)</f>
        <v>-68.383602263464013</v>
      </c>
      <c r="H1058" s="40">
        <f>-('1.설계입력'!$C$6+'1.설계입력'!$C$33)*SIN(B1058)+('1.설계입력'!$C$7+'1.설계입력'!$C$34)*SIN(B1058+F1058)+'1.설계입력'!$C$8*SIN('1.설계입력'!$C$15*B1058)</f>
        <v>38.730563951547353</v>
      </c>
      <c r="I1058" s="40">
        <f t="shared" si="49"/>
        <v>78.598951537802449</v>
      </c>
      <c r="J1058" s="40">
        <f t="shared" si="50"/>
        <v>78.589908019621319</v>
      </c>
      <c r="K1058" s="38" t="str">
        <f>IF(OR(A1058&gt;180,'1.설계입력'!$C$39&gt;=1),"",'1.설계입력'!$C$34*(1-SIN(B1058)/SQRT(1+'1.설계입력'!$C$39^2-2*'1.설계입력'!$C$39*COS(B1058)))-'1.설계입력'!$C$33*(1-'1.설계입력'!$C$39*COS(B1058)-SQRT(MAX(0,1-'1.설계입력'!$C$39^2))*SIN(B1058))/SQRT(1+'1.설계입력'!$C$39^2-2*'1.설계입력'!$C$39*COS(B1058)))</f>
        <v/>
      </c>
    </row>
    <row r="1059" spans="1:11" x14ac:dyDescent="0.3">
      <c r="A1059" s="40">
        <f>A1058+'1.설계입력'!$C$12</f>
        <v>210.59999999999658</v>
      </c>
      <c r="B1059" s="40">
        <f t="shared" si="48"/>
        <v>3.6756634046999985</v>
      </c>
      <c r="C1059" s="40">
        <f>ATAN2('1.설계입력'!$C$6/('1.설계입력'!$C$8*'1.설계입력'!$C$15)-COS((1-'1.설계입력'!$C$15)*B1059),SIN((1-'1.설계입력'!$C$15)*B1059))</f>
        <v>0.75797703007892459</v>
      </c>
      <c r="D1059" s="40">
        <f>'1.설계입력'!$C$6*COS(B1059)-'1.설계입력'!$C$7*COS(B1059+C1059)-'1.설계입력'!$C$8*COS('1.설계입력'!$C$15*B1059)</f>
        <v>-68.266709861080955</v>
      </c>
      <c r="E1059" s="40">
        <f>-'1.설계입력'!$C$6*SIN(B1059)+'1.설계입력'!$C$7*SIN(B1059+C1059)+'1.설계입력'!$C$8*SIN('1.설계입력'!$C$15*B1059)</f>
        <v>38.77747184141348</v>
      </c>
      <c r="F1059" s="40">
        <f>ATAN2(('1.설계입력'!$C$6+'1.설계입력'!$C$33)/('1.설계입력'!$C$8*'1.설계입력'!$C$15)-COS((1-'1.설계입력'!$C$15)*B1059),SIN((1-'1.설계입력'!$C$15)*B1059))</f>
        <v>0.75800363628767331</v>
      </c>
      <c r="G1059" s="40">
        <f>('1.설계입력'!$C$6+'1.설계입력'!$C$33)*COS(B1059)-('1.설계입력'!$C$7+'1.설계입력'!$C$34)*COS(B1059+F1059)-'1.설계입력'!$C$8*COS('1.설계입력'!$C$15*B1059)</f>
        <v>-68.261915348277356</v>
      </c>
      <c r="H1059" s="40">
        <f>-('1.설계입력'!$C$6+'1.설계입력'!$C$33)*SIN(B1059)+('1.설계입력'!$C$7+'1.설계입력'!$C$34)*SIN(B1059+F1059)+'1.설계입력'!$C$8*SIN('1.설계입력'!$C$15*B1059)</f>
        <v>38.768077127697644</v>
      </c>
      <c r="I1059" s="40">
        <f t="shared" si="49"/>
        <v>78.51137495719091</v>
      </c>
      <c r="J1059" s="40">
        <f t="shared" si="50"/>
        <v>78.502566144008924</v>
      </c>
      <c r="K1059" s="38" t="str">
        <f>IF(OR(A1059&gt;180,'1.설계입력'!$C$39&gt;=1),"",'1.설계입력'!$C$34*(1-SIN(B1059)/SQRT(1+'1.설계입력'!$C$39^2-2*'1.설계입력'!$C$39*COS(B1059)))-'1.설계입력'!$C$33*(1-'1.설계입력'!$C$39*COS(B1059)-SQRT(MAX(0,1-'1.설계입력'!$C$39^2))*SIN(B1059))/SQRT(1+'1.설계입력'!$C$39^2-2*'1.설계입력'!$C$39*COS(B1059)))</f>
        <v/>
      </c>
    </row>
    <row r="1060" spans="1:11" x14ac:dyDescent="0.3">
      <c r="A1060" s="40">
        <f>A1059+'1.설계입력'!$C$12</f>
        <v>210.79999999999657</v>
      </c>
      <c r="B1060" s="40">
        <f t="shared" si="48"/>
        <v>3.679154063203987</v>
      </c>
      <c r="C1060" s="40">
        <f>ATAN2('1.설계입력'!$C$6/('1.설계입력'!$C$8*'1.설계입력'!$C$15)-COS((1-'1.설계입력'!$C$15)*B1060),SIN((1-'1.설계입력'!$C$15)*B1060))</f>
        <v>0.78934449702298271</v>
      </c>
      <c r="D1060" s="40">
        <f>'1.설계입력'!$C$6*COS(B1060)-'1.설계입력'!$C$7*COS(B1060+C1060)-'1.설계입력'!$C$8*COS('1.설계입력'!$C$15*B1060)</f>
        <v>-68.144371235527444</v>
      </c>
      <c r="E1060" s="40">
        <f>-'1.설계입력'!$C$6*SIN(B1060)+'1.설계입력'!$C$7*SIN(B1060+C1060)+'1.설계입력'!$C$8*SIN('1.설계입력'!$C$15*B1060)</f>
        <v>38.810098810263312</v>
      </c>
      <c r="F1060" s="40">
        <f>ATAN2(('1.설계입력'!$C$6+'1.설계입력'!$C$33)/('1.설계입력'!$C$8*'1.설계입력'!$C$15)-COS((1-'1.설계입력'!$C$15)*B1060),SIN((1-'1.설계입력'!$C$15)*B1060))</f>
        <v>0.78937493786870094</v>
      </c>
      <c r="G1060" s="40">
        <f>('1.설계입력'!$C$6+'1.설계입력'!$C$33)*COS(B1060)-('1.설계입력'!$C$7+'1.설계입력'!$C$34)*COS(B1060+F1060)-'1.설계입력'!$C$8*COS('1.설계입력'!$C$15*B1060)</f>
        <v>-68.13987087364977</v>
      </c>
      <c r="H1060" s="40">
        <f>-('1.설계입력'!$C$6+'1.설계입력'!$C$33)*SIN(B1060)+('1.설계입력'!$C$7+'1.설계입력'!$C$34)*SIN(B1060+F1060)+'1.설계입력'!$C$8*SIN('1.설계입력'!$C$15*B1060)</f>
        <v>38.800621728760575</v>
      </c>
      <c r="I1060" s="40">
        <f t="shared" si="49"/>
        <v>78.421164877523864</v>
      </c>
      <c r="J1060" s="40">
        <f t="shared" si="50"/>
        <v>78.412564358118217</v>
      </c>
      <c r="K1060" s="38" t="str">
        <f>IF(OR(A1060&gt;180,'1.설계입력'!$C$39&gt;=1),"",'1.설계입력'!$C$34*(1-SIN(B1060)/SQRT(1+'1.설계입력'!$C$39^2-2*'1.설계입력'!$C$39*COS(B1060)))-'1.설계입력'!$C$33*(1-'1.설계입력'!$C$39*COS(B1060)-SQRT(MAX(0,1-'1.설계입력'!$C$39^2))*SIN(B1060))/SQRT(1+'1.설계입력'!$C$39^2-2*'1.설계입력'!$C$39*COS(B1060)))</f>
        <v/>
      </c>
    </row>
    <row r="1061" spans="1:11" x14ac:dyDescent="0.3">
      <c r="A1061" s="40">
        <f>A1060+'1.설계입력'!$C$12</f>
        <v>210.99999999999656</v>
      </c>
      <c r="B1061" s="40">
        <f t="shared" si="48"/>
        <v>3.6826447217079754</v>
      </c>
      <c r="C1061" s="40">
        <f>ATAN2('1.설계입력'!$C$6/('1.설계입력'!$C$8*'1.설계입력'!$C$15)-COS((1-'1.설계입력'!$C$15)*B1061),SIN((1-'1.설계입력'!$C$15)*B1061))</f>
        <v>0.81167134380849049</v>
      </c>
      <c r="D1061" s="40">
        <f>'1.설계입력'!$C$6*COS(B1061)-'1.설계입력'!$C$7*COS(B1061+C1061)-'1.설계입력'!$C$8*COS('1.설계입력'!$C$15*B1061)</f>
        <v>-68.012785400137048</v>
      </c>
      <c r="E1061" s="40">
        <f>-'1.설계입력'!$C$6*SIN(B1061)+'1.설계입력'!$C$7*SIN(B1061+C1061)+'1.설계입력'!$C$8*SIN('1.설계입력'!$C$15*B1061)</f>
        <v>38.840887621377817</v>
      </c>
      <c r="F1061" s="40">
        <f>ATAN2(('1.설계입력'!$C$6+'1.설계입력'!$C$33)/('1.설계입력'!$C$8*'1.설계입력'!$C$15)-COS((1-'1.설계입력'!$C$15)*B1061),SIN((1-'1.설계입력'!$C$15)*B1061))</f>
        <v>0.81170633216376797</v>
      </c>
      <c r="G1061" s="40">
        <f>('1.설계입력'!$C$6+'1.설계입력'!$C$33)*COS(B1061)-('1.설계입력'!$C$7+'1.설계입력'!$C$34)*COS(B1061+F1061)-'1.설계입력'!$C$8*COS('1.설계입력'!$C$15*B1061)</f>
        <v>-68.008512674008529</v>
      </c>
      <c r="H1061" s="40">
        <f>-('1.설계입력'!$C$6+'1.설계입력'!$C$33)*SIN(B1061)+('1.설계입력'!$C$7+'1.설계입력'!$C$34)*SIN(B1061+F1061)+'1.설계입력'!$C$8*SIN('1.설계입력'!$C$15*B1061)</f>
        <v>38.831352504611388</v>
      </c>
      <c r="I1061" s="40">
        <f t="shared" si="49"/>
        <v>78.322113921303185</v>
      </c>
      <c r="J1061" s="40">
        <f t="shared" si="50"/>
        <v>78.313675264720956</v>
      </c>
      <c r="K1061" s="38" t="str">
        <f>IF(OR(A1061&gt;180,'1.설계입력'!$C$39&gt;=1),"",'1.설계입력'!$C$34*(1-SIN(B1061)/SQRT(1+'1.설계입력'!$C$39^2-2*'1.설계입력'!$C$39*COS(B1061)))-'1.설계입력'!$C$33*(1-'1.설계입력'!$C$39*COS(B1061)-SQRT(MAX(0,1-'1.설계입력'!$C$39^2))*SIN(B1061))/SQRT(1+'1.설계입력'!$C$39^2-2*'1.설계입력'!$C$39*COS(B1061)))</f>
        <v/>
      </c>
    </row>
    <row r="1062" spans="1:11" x14ac:dyDescent="0.3">
      <c r="A1062" s="40">
        <f>A1061+'1.설계입력'!$C$12</f>
        <v>211.19999999999655</v>
      </c>
      <c r="B1062" s="40">
        <f t="shared" si="48"/>
        <v>3.6861353802119639</v>
      </c>
      <c r="C1062" s="40">
        <f>ATAN2('1.설계입력'!$C$6/('1.설계입력'!$C$8*'1.설계입력'!$C$15)-COS((1-'1.설계입력'!$C$15)*B1062),SIN((1-'1.설계입력'!$C$15)*B1062))</f>
        <v>0.82081480079236668</v>
      </c>
      <c r="D1062" s="40">
        <f>'1.설계입력'!$C$6*COS(B1062)-'1.설계입력'!$C$7*COS(B1062+C1062)-'1.설계입력'!$C$8*COS('1.설계입력'!$C$15*B1062)</f>
        <v>-67.856660925478437</v>
      </c>
      <c r="E1062" s="40">
        <f>-'1.설계입력'!$C$6*SIN(B1062)+'1.설계입력'!$C$7*SIN(B1062+C1062)+'1.설계입력'!$C$8*SIN('1.설계입력'!$C$15*B1062)</f>
        <v>38.874196044334042</v>
      </c>
      <c r="F1062" s="40">
        <f>ATAN2(('1.설계입력'!$C$6+'1.설계입력'!$C$33)/('1.설계입력'!$C$8*'1.설계입력'!$C$15)-COS((1-'1.설계입력'!$C$15)*B1062),SIN((1-'1.설계입력'!$C$15)*B1062))</f>
        <v>0.82085521102009118</v>
      </c>
      <c r="G1062" s="40">
        <f>('1.설계입력'!$C$6+'1.설계입력'!$C$33)*COS(B1062)-('1.설계입력'!$C$7+'1.설계입력'!$C$34)*COS(B1062+F1062)-'1.설계입력'!$C$8*COS('1.설계입력'!$C$15*B1062)</f>
        <v>-67.852515485546448</v>
      </c>
      <c r="H1062" s="40">
        <f>-('1.설계입력'!$C$6+'1.설계입력'!$C$33)*SIN(B1062)+('1.설계입력'!$C$7+'1.설계입력'!$C$34)*SIN(B1062+F1062)+'1.설계입력'!$C$8*SIN('1.설계입력'!$C$15*B1062)</f>
        <v>38.864627453137714</v>
      </c>
      <c r="I1062" s="40">
        <f t="shared" si="49"/>
        <v>78.203130052758553</v>
      </c>
      <c r="J1062" s="40">
        <f t="shared" si="50"/>
        <v>78.194776838274223</v>
      </c>
      <c r="K1062" s="38" t="str">
        <f>IF(OR(A1062&gt;180,'1.설계입력'!$C$39&gt;=1),"",'1.설계입력'!$C$34*(1-SIN(B1062)/SQRT(1+'1.설계입력'!$C$39^2-2*'1.설계입력'!$C$39*COS(B1062)))-'1.설계입력'!$C$33*(1-'1.설계입력'!$C$39*COS(B1062)-SQRT(MAX(0,1-'1.설계입력'!$C$39^2))*SIN(B1062))/SQRT(1+'1.설계입력'!$C$39^2-2*'1.설계입력'!$C$39*COS(B1062)))</f>
        <v/>
      </c>
    </row>
    <row r="1063" spans="1:11" x14ac:dyDescent="0.3">
      <c r="A1063" s="40">
        <f>A1062+'1.설계입력'!$C$12</f>
        <v>211.39999999999654</v>
      </c>
      <c r="B1063" s="40">
        <f t="shared" si="48"/>
        <v>3.6896260387159523</v>
      </c>
      <c r="C1063" s="40">
        <f>ATAN2('1.설계입력'!$C$6/('1.설계입력'!$C$8*'1.설계입력'!$C$15)-COS((1-'1.설계입력'!$C$15)*B1063),SIN((1-'1.설계입력'!$C$15)*B1063))</f>
        <v>0.80992614898310056</v>
      </c>
      <c r="D1063" s="40">
        <f>'1.설계입력'!$C$6*COS(B1063)-'1.설계입력'!$C$7*COS(B1063+C1063)-'1.설계입력'!$C$8*COS('1.설계입력'!$C$15*B1063)</f>
        <v>-67.649885188024641</v>
      </c>
      <c r="E1063" s="40">
        <f>-'1.설계입력'!$C$6*SIN(B1063)+'1.설계입력'!$C$7*SIN(B1063+C1063)+'1.설계입력'!$C$8*SIN('1.설계입력'!$C$15*B1063)</f>
        <v>38.917682030737396</v>
      </c>
      <c r="F1063" s="40">
        <f>ATAN2(('1.설계입력'!$C$6+'1.설계입력'!$C$33)/('1.설계입력'!$C$8*'1.설계입력'!$C$15)-COS((1-'1.설계입력'!$C$15)*B1063),SIN((1-'1.설계입력'!$C$15)*B1063))</f>
        <v>0.80997293336482101</v>
      </c>
      <c r="G1063" s="40">
        <f>('1.설계입력'!$C$6+'1.설계입력'!$C$33)*COS(B1063)-('1.설계입력'!$C$7+'1.설계입력'!$C$34)*COS(B1063+F1063)-'1.설계입력'!$C$8*COS('1.설계입력'!$C$15*B1063)</f>
        <v>-67.645711475188179</v>
      </c>
      <c r="H1063" s="40">
        <f>-('1.설계입력'!$C$6+'1.설계입력'!$C$33)*SIN(B1063)+('1.설계입력'!$C$7+'1.설계입력'!$C$34)*SIN(B1063+F1063)+'1.설계입력'!$C$8*SIN('1.설계입력'!$C$15*B1063)</f>
        <v>38.908110066854505</v>
      </c>
      <c r="I1063" s="40">
        <f t="shared" si="49"/>
        <v>78.045454323736848</v>
      </c>
      <c r="J1063" s="40">
        <f t="shared" si="50"/>
        <v>78.037063693855572</v>
      </c>
      <c r="K1063" s="38" t="str">
        <f>IF(OR(A1063&gt;180,'1.설계입력'!$C$39&gt;=1),"",'1.설계입력'!$C$34*(1-SIN(B1063)/SQRT(1+'1.설계입력'!$C$39^2-2*'1.설계입력'!$C$39*COS(B1063)))-'1.설계입력'!$C$33*(1-'1.설계입력'!$C$39*COS(B1063)-SQRT(MAX(0,1-'1.설계입력'!$C$39^2))*SIN(B1063))/SQRT(1+'1.설계입력'!$C$39^2-2*'1.설계입력'!$C$39*COS(B1063)))</f>
        <v/>
      </c>
    </row>
    <row r="1064" spans="1:11" x14ac:dyDescent="0.3">
      <c r="A1064" s="40">
        <f>A1063+'1.설계입력'!$C$12</f>
        <v>211.59999999999653</v>
      </c>
      <c r="B1064" s="40">
        <f t="shared" si="48"/>
        <v>3.6931166972199407</v>
      </c>
      <c r="C1064" s="40">
        <f>ATAN2('1.설계입력'!$C$6/('1.설계입력'!$C$8*'1.설계입력'!$C$15)-COS((1-'1.설계입력'!$C$15)*B1064),SIN((1-'1.설계입력'!$C$15)*B1064))</f>
        <v>0.76721009095958681</v>
      </c>
      <c r="D1064" s="40">
        <f>'1.설계입력'!$C$6*COS(B1064)-'1.설계입력'!$C$7*COS(B1064+C1064)-'1.설계입력'!$C$8*COS('1.설계입력'!$C$15*B1064)</f>
        <v>-67.347656462652594</v>
      </c>
      <c r="E1064" s="40">
        <f>-'1.설계입력'!$C$6*SIN(B1064)+'1.설계입력'!$C$7*SIN(B1064+C1064)+'1.설계입력'!$C$8*SIN('1.설계입력'!$C$15*B1064)</f>
        <v>38.988608909567986</v>
      </c>
      <c r="F1064" s="40">
        <f>ATAN2(('1.설계입력'!$C$6+'1.설계입력'!$C$33)/('1.설계입력'!$C$8*'1.설계입력'!$C$15)-COS((1-'1.설계입력'!$C$15)*B1064),SIN((1-'1.설계입력'!$C$15)*B1064))</f>
        <v>0.76726382595581155</v>
      </c>
      <c r="G1064" s="40">
        <f>('1.설계입력'!$C$6+'1.설계입력'!$C$33)*COS(B1064)-('1.설계입력'!$C$7+'1.설계입력'!$C$34)*COS(B1064+F1064)-'1.설계입력'!$C$8*COS('1.설계입력'!$C$15*B1064)</f>
        <v>-67.343204527741776</v>
      </c>
      <c r="H1064" s="40">
        <f>-('1.설계입력'!$C$6+'1.설계입력'!$C$33)*SIN(B1064)+('1.설계입력'!$C$7+'1.설계입력'!$C$34)*SIN(B1064+F1064)+'1.설계입력'!$C$8*SIN('1.설계입력'!$C$15*B1064)</f>
        <v>38.97908680259696</v>
      </c>
      <c r="I1064" s="40">
        <f t="shared" si="49"/>
        <v>77.819139392020489</v>
      </c>
      <c r="J1064" s="40">
        <f t="shared" si="50"/>
        <v>77.810516024697137</v>
      </c>
      <c r="K1064" s="38" t="str">
        <f>IF(OR(A1064&gt;180,'1.설계입력'!$C$39&gt;=1),"",'1.설계입력'!$C$34*(1-SIN(B1064)/SQRT(1+'1.설계입력'!$C$39^2-2*'1.설계입력'!$C$39*COS(B1064)))-'1.설계입력'!$C$33*(1-'1.설계입력'!$C$39*COS(B1064)-SQRT(MAX(0,1-'1.설계입력'!$C$39^2))*SIN(B1064))/SQRT(1+'1.설계입력'!$C$39^2-2*'1.설계입력'!$C$39*COS(B1064)))</f>
        <v/>
      </c>
    </row>
    <row r="1065" spans="1:11" x14ac:dyDescent="0.3">
      <c r="A1065" s="40">
        <f>A1064+'1.설계입력'!$C$12</f>
        <v>211.79999999999652</v>
      </c>
      <c r="B1065" s="40">
        <f t="shared" si="48"/>
        <v>3.6966073557239292</v>
      </c>
      <c r="C1065" s="40">
        <f>ATAN2('1.설계입력'!$C$6/('1.설계입력'!$C$8*'1.설계입력'!$C$15)-COS((1-'1.설계입력'!$C$15)*B1065),SIN((1-'1.설계입력'!$C$15)*B1065))</f>
        <v>0.6720273116634119</v>
      </c>
      <c r="D1065" s="40">
        <f>'1.설계입력'!$C$6*COS(B1065)-'1.설계입력'!$C$7*COS(B1065+C1065)-'1.설계입력'!$C$8*COS('1.설계입력'!$C$15*B1065)</f>
        <v>-66.875882905043284</v>
      </c>
      <c r="E1065" s="40">
        <f>-'1.설계입력'!$C$6*SIN(B1065)+'1.설계입력'!$C$7*SIN(B1065+C1065)+'1.설계입력'!$C$8*SIN('1.설계입력'!$C$15*B1065)</f>
        <v>39.132523656290417</v>
      </c>
      <c r="F1065" s="40">
        <f>ATAN2(('1.설계입력'!$C$6+'1.설계입력'!$C$33)/('1.설계입력'!$C$8*'1.설계입력'!$C$15)-COS((1-'1.설계입력'!$C$15)*B1065),SIN((1-'1.설계입력'!$C$15)*B1065))</f>
        <v>0.67208643521654088</v>
      </c>
      <c r="G1065" s="40">
        <f>('1.설계입력'!$C$6+'1.설계입력'!$C$33)*COS(B1065)-('1.설계입력'!$C$7+'1.설계입력'!$C$34)*COS(B1065+F1065)-'1.설계입력'!$C$8*COS('1.설계입력'!$C$15*B1065)</f>
        <v>-66.870741453845866</v>
      </c>
      <c r="H1065" s="40">
        <f>-('1.설계입력'!$C$6+'1.설계입력'!$C$33)*SIN(B1065)+('1.설계입력'!$C$7+'1.설계입력'!$C$34)*SIN(B1065+F1065)+'1.설계입력'!$C$8*SIN('1.설계입력'!$C$15*B1065)</f>
        <v>39.123184116585286</v>
      </c>
      <c r="I1065" s="40">
        <f t="shared" si="49"/>
        <v>77.4837926410368</v>
      </c>
      <c r="J1065" s="40">
        <f t="shared" si="50"/>
        <v>77.474638418048329</v>
      </c>
      <c r="K1065" s="38" t="str">
        <f>IF(OR(A1065&gt;180,'1.설계입력'!$C$39&gt;=1),"",'1.설계입력'!$C$34*(1-SIN(B1065)/SQRT(1+'1.설계입력'!$C$39^2-2*'1.설계입력'!$C$39*COS(B1065)))-'1.설계입력'!$C$33*(1-'1.설계입력'!$C$39*COS(B1065)-SQRT(MAX(0,1-'1.설계입력'!$C$39^2))*SIN(B1065))/SQRT(1+'1.설계입력'!$C$39^2-2*'1.설계입력'!$C$39*COS(B1065)))</f>
        <v/>
      </c>
    </row>
    <row r="1066" spans="1:11" x14ac:dyDescent="0.3">
      <c r="A1066" s="40">
        <f>A1065+'1.설계입력'!$C$12</f>
        <v>211.9999999999965</v>
      </c>
      <c r="B1066" s="40">
        <f t="shared" si="48"/>
        <v>3.7000980142279176</v>
      </c>
      <c r="C1066" s="40">
        <f>ATAN2('1.설계입력'!$C$6/('1.설계입력'!$C$8*'1.설계입력'!$C$15)-COS((1-'1.설계입력'!$C$15)*B1066),SIN((1-'1.설계입력'!$C$15)*B1066))</f>
        <v>0.49136204073996653</v>
      </c>
      <c r="D1066" s="40">
        <f>'1.설계입력'!$C$6*COS(B1066)-'1.설계입력'!$C$7*COS(B1066+C1066)-'1.설계입력'!$C$8*COS('1.설계입력'!$C$15*B1066)</f>
        <v>-66.139660703083578</v>
      </c>
      <c r="E1066" s="40">
        <f>-'1.설계입력'!$C$6*SIN(B1066)+'1.설계입력'!$C$7*SIN(B1066+C1066)+'1.설계입력'!$C$8*SIN('1.설계입력'!$C$15*B1066)</f>
        <v>39.470920489200438</v>
      </c>
      <c r="F1066" s="40">
        <f>ATAN2(('1.설계입력'!$C$6+'1.설계입력'!$C$33)/('1.설계입력'!$C$8*'1.설계입력'!$C$15)-COS((1-'1.설계입력'!$C$15)*B1066),SIN((1-'1.설계입력'!$C$15)*B1066))</f>
        <v>0.49141736841543532</v>
      </c>
      <c r="G1066" s="40">
        <f>('1.설계입력'!$C$6+'1.설계입력'!$C$33)*COS(B1066)-('1.설계입력'!$C$7+'1.설계입력'!$C$34)*COS(B1066+F1066)-'1.설계입력'!$C$8*COS('1.설계입력'!$C$15*B1066)</f>
        <v>-66.133192844080654</v>
      </c>
      <c r="H1066" s="40">
        <f>-('1.설계입력'!$C$6+'1.설계입력'!$C$33)*SIN(B1066)+('1.설계입력'!$C$7+'1.설계입력'!$C$34)*SIN(B1066+F1066)+'1.설계입력'!$C$8*SIN('1.설계입력'!$C$15*B1066)</f>
        <v>39.462141784860478</v>
      </c>
      <c r="I1066" s="40">
        <f t="shared" si="49"/>
        <v>77.022128522807009</v>
      </c>
      <c r="J1066" s="40">
        <f t="shared" si="50"/>
        <v>77.012075871260549</v>
      </c>
      <c r="K1066" s="38" t="str">
        <f>IF(OR(A1066&gt;180,'1.설계입력'!$C$39&gt;=1),"",'1.설계입력'!$C$34*(1-SIN(B1066)/SQRT(1+'1.설계입력'!$C$39^2-2*'1.설계입력'!$C$39*COS(B1066)))-'1.설계입력'!$C$33*(1-'1.설계입력'!$C$39*COS(B1066)-SQRT(MAX(0,1-'1.설계입력'!$C$39^2))*SIN(B1066))/SQRT(1+'1.설계입력'!$C$39^2-2*'1.설계입력'!$C$39*COS(B1066)))</f>
        <v/>
      </c>
    </row>
    <row r="1067" spans="1:11" x14ac:dyDescent="0.3">
      <c r="A1067" s="40">
        <f>A1066+'1.설계입력'!$C$12</f>
        <v>212.19999999999649</v>
      </c>
      <c r="B1067" s="40">
        <f t="shared" si="48"/>
        <v>3.7035886727319061</v>
      </c>
      <c r="C1067" s="40">
        <f>ATAN2('1.설계입력'!$C$6/('1.설계입력'!$C$8*'1.설계입력'!$C$15)-COS((1-'1.설계입력'!$C$15)*B1067),SIN((1-'1.설계입력'!$C$15)*B1067))</f>
        <v>0.1957491002954152</v>
      </c>
      <c r="D1067" s="40">
        <f>'1.설계입력'!$C$6*COS(B1067)-'1.설계입력'!$C$7*COS(B1067+C1067)-'1.설계입력'!$C$8*COS('1.설계입력'!$C$15*B1067)</f>
        <v>-65.157867824006672</v>
      </c>
      <c r="E1067" s="40">
        <f>-'1.설계입력'!$C$6*SIN(B1067)+'1.설계입력'!$C$7*SIN(B1067+C1067)+'1.설계입력'!$C$8*SIN('1.설계입력'!$C$15*B1067)</f>
        <v>40.242506187784493</v>
      </c>
      <c r="F1067" s="40">
        <f>ATAN2(('1.설계입력'!$C$6+'1.설계입력'!$C$33)/('1.설계입력'!$C$8*'1.설계입력'!$C$15)-COS((1-'1.설계입력'!$C$15)*B1067),SIN((1-'1.설계입력'!$C$15)*B1067))</f>
        <v>0.19577579202064033</v>
      </c>
      <c r="G1067" s="40">
        <f>('1.설계입력'!$C$6+'1.설계입력'!$C$33)*COS(B1067)-('1.설계입력'!$C$7+'1.설계입력'!$C$34)*COS(B1067+F1067)-'1.설계입력'!$C$8*COS('1.설계입력'!$C$15*B1067)</f>
        <v>-65.149434414562364</v>
      </c>
      <c r="H1067" s="40">
        <f>-('1.설계입력'!$C$6+'1.설계입력'!$C$33)*SIN(B1067)+('1.설계입력'!$C$7+'1.설계입력'!$C$34)*SIN(B1067+F1067)+'1.설계입력'!$C$8*SIN('1.설계입력'!$C$15*B1067)</f>
        <v>40.23520955037035</v>
      </c>
      <c r="I1067" s="40">
        <f t="shared" si="49"/>
        <v>76.583333980994837</v>
      </c>
      <c r="J1067" s="40">
        <f t="shared" si="50"/>
        <v>76.57232458336091</v>
      </c>
      <c r="K1067" s="38" t="str">
        <f>IF(OR(A1067&gt;180,'1.설계입력'!$C$39&gt;=1),"",'1.설계입력'!$C$34*(1-SIN(B1067)/SQRT(1+'1.설계입력'!$C$39^2-2*'1.설계입력'!$C$39*COS(B1067)))-'1.설계입력'!$C$33*(1-'1.설계입력'!$C$39*COS(B1067)-SQRT(MAX(0,1-'1.설계입력'!$C$39^2))*SIN(B1067))/SQRT(1+'1.설계입력'!$C$39^2-2*'1.설계입력'!$C$39*COS(B1067)))</f>
        <v/>
      </c>
    </row>
    <row r="1068" spans="1:11" x14ac:dyDescent="0.3">
      <c r="A1068" s="40">
        <f>A1067+'1.설계입력'!$C$12</f>
        <v>212.39999999999648</v>
      </c>
      <c r="B1068" s="40">
        <f t="shared" si="48"/>
        <v>3.7070793312358945</v>
      </c>
      <c r="C1068" s="40">
        <f>ATAN2('1.설계입력'!$C$6/('1.설계입력'!$C$8*'1.설계입력'!$C$15)-COS((1-'1.설계입력'!$C$15)*B1068),SIN((1-'1.설계입력'!$C$15)*B1068))</f>
        <v>-0.16871107838281571</v>
      </c>
      <c r="D1068" s="40">
        <f>'1.설계입력'!$C$6*COS(B1068)-'1.설계입력'!$C$7*COS(B1068+C1068)-'1.설계입력'!$C$8*COS('1.설계입력'!$C$15*B1068)</f>
        <v>-64.332117021219346</v>
      </c>
      <c r="E1068" s="40">
        <f>-'1.설계입력'!$C$6*SIN(B1068)+'1.설계입력'!$C$7*SIN(B1068+C1068)+'1.설계입력'!$C$8*SIN('1.설계입력'!$C$15*B1068)</f>
        <v>41.51033349638012</v>
      </c>
      <c r="F1068" s="40">
        <f>ATAN2(('1.설계입력'!$C$6+'1.설계입력'!$C$33)/('1.설계입력'!$C$8*'1.설계입력'!$C$15)-COS((1-'1.설계입력'!$C$15)*B1068),SIN((1-'1.설계입력'!$C$15)*B1068))</f>
        <v>-0.16873428107114136</v>
      </c>
      <c r="G1068" s="40">
        <f>('1.설계입력'!$C$6+'1.설계입력'!$C$33)*COS(B1068)-('1.설계입력'!$C$7+'1.설계입력'!$C$34)*COS(B1068+F1068)-'1.설계입력'!$C$8*COS('1.설계입력'!$C$15*B1068)</f>
        <v>-64.32199294068829</v>
      </c>
      <c r="H1068" s="40">
        <f>-('1.설계입력'!$C$6+'1.설계입력'!$C$33)*SIN(B1068)+('1.설계입력'!$C$7+'1.설계입력'!$C$34)*SIN(B1068+F1068)+'1.설계입력'!$C$8*SIN('1.설계입력'!$C$15*B1068)</f>
        <v>41.505627991258372</v>
      </c>
      <c r="I1068" s="40">
        <f t="shared" si="49"/>
        <v>76.561929621794135</v>
      </c>
      <c r="J1068" s="40">
        <f t="shared" si="50"/>
        <v>76.550871522215118</v>
      </c>
      <c r="K1068" s="38" t="str">
        <f>IF(OR(A1068&gt;180,'1.설계입력'!$C$39&gt;=1),"",'1.설계입력'!$C$34*(1-SIN(B1068)/SQRT(1+'1.설계입력'!$C$39^2-2*'1.설계입력'!$C$39*COS(B1068)))-'1.설계입력'!$C$33*(1-'1.설계입력'!$C$39*COS(B1068)-SQRT(MAX(0,1-'1.설계입력'!$C$39^2))*SIN(B1068))/SQRT(1+'1.설계입력'!$C$39^2-2*'1.설계입력'!$C$39*COS(B1068)))</f>
        <v/>
      </c>
    </row>
    <row r="1069" spans="1:11" x14ac:dyDescent="0.3">
      <c r="A1069" s="40">
        <f>A1068+'1.설계입력'!$C$12</f>
        <v>212.59999999999647</v>
      </c>
      <c r="B1069" s="40">
        <f t="shared" si="48"/>
        <v>3.7105699897398829</v>
      </c>
      <c r="C1069" s="40">
        <f>ATAN2('1.설계입력'!$C$6/('1.설계입력'!$C$8*'1.설계입력'!$C$15)-COS((1-'1.설계입력'!$C$15)*B1069),SIN((1-'1.설계입력'!$C$15)*B1069))</f>
        <v>-0.47283814224238219</v>
      </c>
      <c r="D1069" s="40">
        <f>'1.설계입력'!$C$6*COS(B1069)-'1.설계입력'!$C$7*COS(B1069+C1069)-'1.설계입력'!$C$8*COS('1.설계입력'!$C$15*B1069)</f>
        <v>-64.020558109619984</v>
      </c>
      <c r="E1069" s="40">
        <f>-'1.설계입력'!$C$6*SIN(B1069)+'1.설계입력'!$C$7*SIN(B1069+C1069)+'1.설계입력'!$C$8*SIN('1.설계입력'!$C$15*B1069)</f>
        <v>42.753252158878965</v>
      </c>
      <c r="F1069" s="40">
        <f>ATAN2(('1.설계입력'!$C$6+'1.설계입력'!$C$33)/('1.설계입력'!$C$8*'1.설계입력'!$C$15)-COS((1-'1.설계입력'!$C$15)*B1069),SIN((1-'1.설계입력'!$C$15)*B1069))</f>
        <v>-0.47289236204244089</v>
      </c>
      <c r="G1069" s="40">
        <f>('1.설계입력'!$C$6+'1.설계입력'!$C$33)*COS(B1069)-('1.설계입력'!$C$7+'1.설계입력'!$C$34)*COS(B1069+F1069)-'1.설계입력'!$C$8*COS('1.설계입력'!$C$15*B1069)</f>
        <v>-64.00986305670169</v>
      </c>
      <c r="H1069" s="40">
        <f>-('1.설계입력'!$C$6+'1.설계입력'!$C$33)*SIN(B1069)+('1.설계입력'!$C$7+'1.설계입력'!$C$34)*SIN(B1069+F1069)+'1.설계입력'!$C$8*SIN('1.설계입력'!$C$15*B1069)</f>
        <v>42.751020756427252</v>
      </c>
      <c r="I1069" s="40">
        <f t="shared" si="49"/>
        <v>76.983585463577356</v>
      </c>
      <c r="J1069" s="40">
        <f t="shared" si="50"/>
        <v>76.973452204342351</v>
      </c>
      <c r="K1069" s="38" t="str">
        <f>IF(OR(A1069&gt;180,'1.설계입력'!$C$39&gt;=1),"",'1.설계입력'!$C$34*(1-SIN(B1069)/SQRT(1+'1.설계입력'!$C$39^2-2*'1.설계입력'!$C$39*COS(B1069)))-'1.설계입력'!$C$33*(1-'1.설계입력'!$C$39*COS(B1069)-SQRT(MAX(0,1-'1.설계입력'!$C$39^2))*SIN(B1069))/SQRT(1+'1.설계입력'!$C$39^2-2*'1.설계입력'!$C$39*COS(B1069)))</f>
        <v/>
      </c>
    </row>
    <row r="1070" spans="1:11" x14ac:dyDescent="0.3">
      <c r="A1070" s="40">
        <f>A1069+'1.설계입력'!$C$12</f>
        <v>212.79999999999646</v>
      </c>
      <c r="B1070" s="40">
        <f t="shared" si="48"/>
        <v>3.7140606482438714</v>
      </c>
      <c r="C1070" s="40">
        <f>ATAN2('1.설계입력'!$C$6/('1.설계입력'!$C$8*'1.설계입력'!$C$15)-COS((1-'1.설계입력'!$C$15)*B1070),SIN((1-'1.설계입력'!$C$15)*B1070))</f>
        <v>-0.66166056082375768</v>
      </c>
      <c r="D1070" s="40">
        <f>'1.설계입력'!$C$6*COS(B1070)-'1.설계입력'!$C$7*COS(B1070+C1070)-'1.설계입력'!$C$8*COS('1.설계입력'!$C$15*B1070)</f>
        <v>-64.018869356337518</v>
      </c>
      <c r="E1070" s="40">
        <f>-'1.설계입력'!$C$6*SIN(B1070)+'1.설계입력'!$C$7*SIN(B1070+C1070)+'1.설계입력'!$C$8*SIN('1.설계입력'!$C$15*B1070)</f>
        <v>43.594354529001507</v>
      </c>
      <c r="F1070" s="40">
        <f>ATAN2(('1.설계입력'!$C$6+'1.설계입력'!$C$33)/('1.설계입력'!$C$8*'1.설계입력'!$C$15)-COS((1-'1.설계입력'!$C$15)*B1070),SIN((1-'1.설계입력'!$C$15)*B1070))</f>
        <v>-0.66171987594950676</v>
      </c>
      <c r="G1070" s="40">
        <f>('1.설계입력'!$C$6+'1.설계입력'!$C$33)*COS(B1070)-('1.설계입력'!$C$7+'1.설계입력'!$C$34)*COS(B1070+F1070)-'1.설계입력'!$C$8*COS('1.설계입력'!$C$15*B1070)</f>
        <v>-64.008216981178933</v>
      </c>
      <c r="H1070" s="40">
        <f>-('1.설계입력'!$C$6+'1.설계입력'!$C$33)*SIN(B1070)+('1.설계입력'!$C$7+'1.설계입력'!$C$34)*SIN(B1070+F1070)+'1.설계입력'!$C$8*SIN('1.설계입력'!$C$15*B1070)</f>
        <v>43.593633531119607</v>
      </c>
      <c r="I1070" s="40">
        <f t="shared" si="49"/>
        <v>77.452458840659702</v>
      </c>
      <c r="J1070" s="40">
        <f t="shared" si="50"/>
        <v>77.443248418149651</v>
      </c>
      <c r="K1070" s="38" t="str">
        <f>IF(OR(A1070&gt;180,'1.설계입력'!$C$39&gt;=1),"",'1.설계입력'!$C$34*(1-SIN(B1070)/SQRT(1+'1.설계입력'!$C$39^2-2*'1.설계입력'!$C$39*COS(B1070)))-'1.설계입력'!$C$33*(1-'1.설계입력'!$C$39*COS(B1070)-SQRT(MAX(0,1-'1.설계입력'!$C$39^2))*SIN(B1070))/SQRT(1+'1.설계입력'!$C$39^2-2*'1.설계입력'!$C$39*COS(B1070)))</f>
        <v/>
      </c>
    </row>
    <row r="1071" spans="1:11" x14ac:dyDescent="0.3">
      <c r="A1071" s="40">
        <f>A1070+'1.설계입력'!$C$12</f>
        <v>212.99999999999645</v>
      </c>
      <c r="B1071" s="40">
        <f t="shared" si="48"/>
        <v>3.7175513067478598</v>
      </c>
      <c r="C1071" s="40">
        <f>ATAN2('1.설계입력'!$C$6/('1.설계입력'!$C$8*'1.설계입력'!$C$15)-COS((1-'1.설계입력'!$C$15)*B1071),SIN((1-'1.설계입력'!$C$15)*B1071))</f>
        <v>-0.76209293620406504</v>
      </c>
      <c r="D1071" s="40">
        <f>'1.설계입력'!$C$6*COS(B1071)-'1.설계입력'!$C$7*COS(B1071+C1071)-'1.설계입력'!$C$8*COS('1.설계입력'!$C$15*B1071)</f>
        <v>-64.090078687849228</v>
      </c>
      <c r="E1071" s="40">
        <f>-'1.설계입력'!$C$6*SIN(B1071)+'1.설계입력'!$C$7*SIN(B1071+C1071)+'1.설계입력'!$C$8*SIN('1.설계입력'!$C$15*B1071)</f>
        <v>44.101608137076113</v>
      </c>
      <c r="F1071" s="40">
        <f>ATAN2(('1.설계입력'!$C$6+'1.설계입력'!$C$33)/('1.설계입력'!$C$8*'1.설계입력'!$C$15)-COS((1-'1.설계입력'!$C$15)*B1071),SIN((1-'1.설계입력'!$C$15)*B1071))</f>
        <v>-0.76214719078850768</v>
      </c>
      <c r="G1071" s="40">
        <f>('1.설계입력'!$C$6+'1.설계입력'!$C$33)*COS(B1071)-('1.설계입력'!$C$7+'1.설계입력'!$C$34)*COS(B1071+F1071)-'1.설계입력'!$C$8*COS('1.설계입력'!$C$15*B1071)</f>
        <v>-64.079558969453757</v>
      </c>
      <c r="H1071" s="40">
        <f>-('1.설계입력'!$C$6+'1.설계입력'!$C$33)*SIN(B1071)+('1.설계입력'!$C$7+'1.설계입력'!$C$34)*SIN(B1071+F1071)+'1.설계입력'!$C$8*SIN('1.설계입력'!$C$15*B1071)</f>
        <v>44.101632453498112</v>
      </c>
      <c r="I1071" s="40">
        <f t="shared" si="49"/>
        <v>77.797750780410894</v>
      </c>
      <c r="J1071" s="40">
        <f t="shared" si="50"/>
        <v>77.789098611458016</v>
      </c>
      <c r="K1071" s="38" t="str">
        <f>IF(OR(A1071&gt;180,'1.설계입력'!$C$39&gt;=1),"",'1.설계입력'!$C$34*(1-SIN(B1071)/SQRT(1+'1.설계입력'!$C$39^2-2*'1.설계입력'!$C$39*COS(B1071)))-'1.설계입력'!$C$33*(1-'1.설계입력'!$C$39*COS(B1071)-SQRT(MAX(0,1-'1.설계입력'!$C$39^2))*SIN(B1071))/SQRT(1+'1.설계입력'!$C$39^2-2*'1.설계입력'!$C$39*COS(B1071)))</f>
        <v/>
      </c>
    </row>
    <row r="1072" spans="1:11" x14ac:dyDescent="0.3">
      <c r="A1072" s="40">
        <f>A1071+'1.설계입력'!$C$12</f>
        <v>213.19999999999644</v>
      </c>
      <c r="B1072" s="40">
        <f t="shared" si="48"/>
        <v>3.7210419652518483</v>
      </c>
      <c r="C1072" s="40">
        <f>ATAN2('1.설계입력'!$C$6/('1.설계입력'!$C$8*'1.설계입력'!$C$15)-COS((1-'1.설계입력'!$C$15)*B1072),SIN((1-'1.설계입력'!$C$15)*B1072))</f>
        <v>-0.80796681774053158</v>
      </c>
      <c r="D1072" s="40">
        <f>'1.설계입력'!$C$6*COS(B1072)-'1.설계입력'!$C$7*COS(B1072+C1072)-'1.설계입력'!$C$8*COS('1.설계입력'!$C$15*B1072)</f>
        <v>-64.156750612636785</v>
      </c>
      <c r="E1072" s="40">
        <f>-'1.설계입력'!$C$6*SIN(B1072)+'1.설계입력'!$C$7*SIN(B1072+C1072)+'1.설계입력'!$C$8*SIN('1.설계입력'!$C$15*B1072)</f>
        <v>44.415543820650562</v>
      </c>
      <c r="F1072" s="40">
        <f>ATAN2(('1.설계입력'!$C$6+'1.설계입력'!$C$33)/('1.설계입력'!$C$8*'1.설계입력'!$C$15)-COS((1-'1.설계입력'!$C$15)*B1072),SIN((1-'1.설계입력'!$C$15)*B1072))</f>
        <v>-0.80801412729649114</v>
      </c>
      <c r="G1072" s="40">
        <f>('1.설계입력'!$C$6+'1.설계입력'!$C$33)*COS(B1072)-('1.설계입력'!$C$7+'1.설계입력'!$C$34)*COS(B1072+F1072)-'1.설계입력'!$C$8*COS('1.설계입력'!$C$15*B1072)</f>
        <v>-64.146310176569102</v>
      </c>
      <c r="H1072" s="40">
        <f>-('1.설계입력'!$C$6+'1.설계입력'!$C$33)*SIN(B1072)+('1.설계입력'!$C$7+'1.설계입력'!$C$34)*SIN(B1072+F1072)+'1.설계입력'!$C$8*SIN('1.설계입력'!$C$15*B1072)</f>
        <v>44.415865989475506</v>
      </c>
      <c r="I1072" s="40">
        <f t="shared" si="49"/>
        <v>78.030950154769997</v>
      </c>
      <c r="J1072" s="40">
        <f t="shared" si="50"/>
        <v>78.022549694711088</v>
      </c>
      <c r="K1072" s="38" t="str">
        <f>IF(OR(A1072&gt;180,'1.설계입력'!$C$39&gt;=1),"",'1.설계입력'!$C$34*(1-SIN(B1072)/SQRT(1+'1.설계입력'!$C$39^2-2*'1.설계입력'!$C$39*COS(B1072)))-'1.설계입력'!$C$33*(1-'1.설계입력'!$C$39*COS(B1072)-SQRT(MAX(0,1-'1.설계입력'!$C$39^2))*SIN(B1072))/SQRT(1+'1.설계입력'!$C$39^2-2*'1.설계입력'!$C$39*COS(B1072)))</f>
        <v/>
      </c>
    </row>
    <row r="1073" spans="1:11" x14ac:dyDescent="0.3">
      <c r="A1073" s="40">
        <f>A1072+'1.설계입력'!$C$12</f>
        <v>213.39999999999642</v>
      </c>
      <c r="B1073" s="40">
        <f t="shared" si="48"/>
        <v>3.7245326237558367</v>
      </c>
      <c r="C1073" s="40">
        <f>ATAN2('1.설계입력'!$C$6/('1.설계입력'!$C$8*'1.설계입력'!$C$15)-COS((1-'1.설계입력'!$C$15)*B1073),SIN((1-'1.설계입력'!$C$15)*B1073))</f>
        <v>-0.82080081748154476</v>
      </c>
      <c r="D1073" s="40">
        <f>'1.설계입력'!$C$6*COS(B1073)-'1.설계입력'!$C$7*COS(B1073+C1073)-'1.설계입력'!$C$8*COS('1.설계입력'!$C$15*B1073)</f>
        <v>-64.207265007127987</v>
      </c>
      <c r="E1073" s="40">
        <f>-'1.설계입력'!$C$6*SIN(B1073)+'1.설계입력'!$C$7*SIN(B1073+C1073)+'1.설계입력'!$C$8*SIN('1.설계입력'!$C$15*B1073)</f>
        <v>44.626474073212378</v>
      </c>
      <c r="F1073" s="40">
        <f>ATAN2(('1.설계입력'!$C$6+'1.설계입력'!$C$33)/('1.설계입력'!$C$8*'1.설계입력'!$C$15)-COS((1-'1.설계입력'!$C$15)*B1073),SIN((1-'1.설계입력'!$C$15)*B1073))</f>
        <v>-0.82084168463711515</v>
      </c>
      <c r="G1073" s="40">
        <f>('1.설계입력'!$C$6+'1.설계입력'!$C$33)*COS(B1073)-('1.설계입력'!$C$7+'1.설계입력'!$C$34)*COS(B1073+F1073)-'1.설계입력'!$C$8*COS('1.설계입력'!$C$15*B1073)</f>
        <v>-64.196843638874881</v>
      </c>
      <c r="H1073" s="40">
        <f>-('1.설계입력'!$C$6+'1.설계입력'!$C$33)*SIN(B1073)+('1.설계입력'!$C$7+'1.설계입력'!$C$34)*SIN(B1073+F1073)+'1.설계입력'!$C$8*SIN('1.설계입력'!$C$15*B1073)</f>
        <v>44.626835326246912</v>
      </c>
      <c r="I1073" s="40">
        <f t="shared" si="49"/>
        <v>78.192679119612336</v>
      </c>
      <c r="J1073" s="40">
        <f t="shared" si="50"/>
        <v>78.184328125463281</v>
      </c>
      <c r="K1073" s="38" t="str">
        <f>IF(OR(A1073&gt;180,'1.설계입력'!$C$39&gt;=1),"",'1.설계입력'!$C$34*(1-SIN(B1073)/SQRT(1+'1.설계입력'!$C$39^2-2*'1.설계입력'!$C$39*COS(B1073)))-'1.설계입력'!$C$33*(1-'1.설계입력'!$C$39*COS(B1073)-SQRT(MAX(0,1-'1.설계입력'!$C$39^2))*SIN(B1073))/SQRT(1+'1.설계입력'!$C$39^2-2*'1.설계입력'!$C$39*COS(B1073)))</f>
        <v/>
      </c>
    </row>
    <row r="1074" spans="1:11" x14ac:dyDescent="0.3">
      <c r="A1074" s="40">
        <f>A1073+'1.설계입력'!$C$12</f>
        <v>213.59999999999641</v>
      </c>
      <c r="B1074" s="40">
        <f t="shared" si="48"/>
        <v>3.7280232822598252</v>
      </c>
      <c r="C1074" s="40">
        <f>ATAN2('1.설계입력'!$C$6/('1.설계입력'!$C$8*'1.설계입력'!$C$15)-COS((1-'1.설계입력'!$C$15)*B1074),SIN((1-'1.설계입력'!$C$15)*B1074))</f>
        <v>-0.81290940883336804</v>
      </c>
      <c r="D1074" s="40">
        <f>'1.설계입력'!$C$6*COS(B1074)-'1.설계입력'!$C$7*COS(B1074+C1074)-'1.설계입력'!$C$8*COS('1.설계입력'!$C$15*B1074)</f>
        <v>-64.244896578960294</v>
      </c>
      <c r="E1074" s="40">
        <f>-'1.설계입력'!$C$6*SIN(B1074)+'1.설계입력'!$C$7*SIN(B1074+C1074)+'1.설계입력'!$C$8*SIN('1.설계입력'!$C$15*B1074)</f>
        <v>44.784514690305159</v>
      </c>
      <c r="F1074" s="40">
        <f>ATAN2(('1.설계입력'!$C$6+'1.설계입력'!$C$33)/('1.설계입력'!$C$8*'1.설계입력'!$C$15)-COS((1-'1.설계입력'!$C$15)*B1074),SIN((1-'1.설계입력'!$C$15)*B1074))</f>
        <v>-0.81294478128572145</v>
      </c>
      <c r="G1074" s="40">
        <f>('1.설계입력'!$C$6+'1.설계입력'!$C$33)*COS(B1074)-('1.설계입력'!$C$7+'1.설계입력'!$C$34)*COS(B1074+F1074)-'1.설계입력'!$C$8*COS('1.설계입력'!$C$15*B1074)</f>
        <v>-64.234453209854379</v>
      </c>
      <c r="H1074" s="40">
        <f>-('1.설계입력'!$C$6+'1.설계입력'!$C$33)*SIN(B1074)+('1.설계입력'!$C$7+'1.설계입력'!$C$34)*SIN(B1074+F1074)+'1.설계입력'!$C$8*SIN('1.설계입력'!$C$15*B1074)</f>
        <v>44.78475616749332</v>
      </c>
      <c r="I1074" s="40">
        <f t="shared" si="49"/>
        <v>78.313852494226481</v>
      </c>
      <c r="J1074" s="40">
        <f t="shared" si="50"/>
        <v>78.305423593457448</v>
      </c>
      <c r="K1074" s="38" t="str">
        <f>IF(OR(A1074&gt;180,'1.설계입력'!$C$39&gt;=1),"",'1.설계입력'!$C$34*(1-SIN(B1074)/SQRT(1+'1.설계입력'!$C$39^2-2*'1.설계입력'!$C$39*COS(B1074)))-'1.설계입력'!$C$33*(1-'1.설계입력'!$C$39*COS(B1074)-SQRT(MAX(0,1-'1.설계입력'!$C$39^2))*SIN(B1074))/SQRT(1+'1.설계입력'!$C$39^2-2*'1.설계입력'!$C$39*COS(B1074)))</f>
        <v/>
      </c>
    </row>
    <row r="1075" spans="1:11" x14ac:dyDescent="0.3">
      <c r="A1075" s="40">
        <f>A1074+'1.설계입력'!$C$12</f>
        <v>213.7999999999964</v>
      </c>
      <c r="B1075" s="40">
        <f t="shared" si="48"/>
        <v>3.7315139407638136</v>
      </c>
      <c r="C1075" s="40">
        <f>ATAN2('1.설계입력'!$C$6/('1.설계입력'!$C$8*'1.설계입력'!$C$15)-COS((1-'1.설계입력'!$C$15)*B1075),SIN((1-'1.설계입력'!$C$15)*B1075))</f>
        <v>-0.79142425069197764</v>
      </c>
      <c r="D1075" s="40">
        <f>'1.설계입력'!$C$6*COS(B1075)-'1.설계입력'!$C$7*COS(B1075+C1075)-'1.설계입력'!$C$8*COS('1.설계입력'!$C$15*B1075)</f>
        <v>-64.274008212501073</v>
      </c>
      <c r="E1075" s="40">
        <f>-'1.설계입력'!$C$6*SIN(B1075)+'1.설계입력'!$C$7*SIN(B1075+C1075)+'1.설계입력'!$C$8*SIN('1.설계입력'!$C$15*B1075)</f>
        <v>44.91772267115271</v>
      </c>
      <c r="F1075" s="40">
        <f>ATAN2(('1.설계입력'!$C$6+'1.설계입력'!$C$33)/('1.설계입력'!$C$8*'1.설계입력'!$C$15)-COS((1-'1.설계입력'!$C$15)*B1075),SIN((1-'1.설계입력'!$C$15)*B1075))</f>
        <v>-0.79145501395010065</v>
      </c>
      <c r="G1075" s="40">
        <f>('1.설계입력'!$C$6+'1.설계입력'!$C$33)*COS(B1075)-('1.설계입력'!$C$7+'1.설계입력'!$C$34)*COS(B1075+F1075)-'1.설계입력'!$C$8*COS('1.설계입력'!$C$15*B1075)</f>
        <v>-64.263520728756092</v>
      </c>
      <c r="H1075" s="40">
        <f>-('1.설계입력'!$C$6+'1.설계입력'!$C$33)*SIN(B1075)+('1.설계입력'!$C$7+'1.설계입력'!$C$34)*SIN(B1075+F1075)+'1.설계입력'!$C$8*SIN('1.설계입력'!$C$15*B1075)</f>
        <v>44.917740112883543</v>
      </c>
      <c r="I1075" s="40">
        <f t="shared" si="49"/>
        <v>78.413965220891882</v>
      </c>
      <c r="J1075" s="40">
        <f t="shared" si="50"/>
        <v>78.405379109496124</v>
      </c>
      <c r="K1075" s="38" t="str">
        <f>IF(OR(A1075&gt;180,'1.설계입력'!$C$39&gt;=1),"",'1.설계입력'!$C$34*(1-SIN(B1075)/SQRT(1+'1.설계입력'!$C$39^2-2*'1.설계입력'!$C$39*COS(B1075)))-'1.설계입력'!$C$33*(1-'1.설계입력'!$C$39*COS(B1075)-SQRT(MAX(0,1-'1.설계입력'!$C$39^2))*SIN(B1075))/SQRT(1+'1.설계입력'!$C$39^2-2*'1.설계입력'!$C$39*COS(B1075)))</f>
        <v/>
      </c>
    </row>
    <row r="1076" spans="1:11" x14ac:dyDescent="0.3">
      <c r="A1076" s="40">
        <f>A1075+'1.설계입력'!$C$12</f>
        <v>213.99999999999639</v>
      </c>
      <c r="B1076" s="40">
        <f t="shared" si="48"/>
        <v>3.735004599267802</v>
      </c>
      <c r="C1076" s="40">
        <f>ATAN2('1.설계입력'!$C$6/('1.설계입력'!$C$8*'1.설계입력'!$C$15)-COS((1-'1.설계입력'!$C$15)*B1076),SIN((1-'1.설계입력'!$C$15)*B1076))</f>
        <v>-0.76064465464302056</v>
      </c>
      <c r="D1076" s="40">
        <f>'1.설계입력'!$C$6*COS(B1076)-'1.설계입력'!$C$7*COS(B1076+C1076)-'1.설계입력'!$C$8*COS('1.설계입력'!$C$15*B1076)</f>
        <v>-64.297356538582378</v>
      </c>
      <c r="E1076" s="40">
        <f>-'1.설계입력'!$C$6*SIN(B1076)+'1.설계입력'!$C$7*SIN(B1076+C1076)+'1.설계입력'!$C$8*SIN('1.설계입력'!$C$15*B1076)</f>
        <v>45.042423674550037</v>
      </c>
      <c r="F1076" s="40">
        <f>ATAN2(('1.설계입력'!$C$6+'1.설계입력'!$C$33)/('1.설계입력'!$C$8*'1.설계입력'!$C$15)-COS((1-'1.설계입력'!$C$15)*B1076),SIN((1-'1.설계입력'!$C$15)*B1076))</f>
        <v>-0.76067153411326438</v>
      </c>
      <c r="G1076" s="40">
        <f>('1.설계입력'!$C$6+'1.설계입력'!$C$33)*COS(B1076)-('1.설계입력'!$C$7+'1.설계입력'!$C$34)*COS(B1076+F1076)-'1.설계입력'!$C$8*COS('1.설계입력'!$C$15*B1076)</f>
        <v>-64.286817458318581</v>
      </c>
      <c r="H1076" s="40">
        <f>-('1.설계입력'!$C$6+'1.설계입력'!$C$33)*SIN(B1076)+('1.설계입력'!$C$7+'1.설계입력'!$C$34)*SIN(B1076+F1076)+'1.설계입력'!$C$8*SIN('1.설계입력'!$C$15*B1076)</f>
        <v>45.042144688781185</v>
      </c>
      <c r="I1076" s="40">
        <f t="shared" si="49"/>
        <v>78.504585778967382</v>
      </c>
      <c r="J1076" s="40">
        <f t="shared" si="50"/>
        <v>78.495794136273787</v>
      </c>
      <c r="K1076" s="38" t="str">
        <f>IF(OR(A1076&gt;180,'1.설계입력'!$C$39&gt;=1),"",'1.설계입력'!$C$34*(1-SIN(B1076)/SQRT(1+'1.설계입력'!$C$39^2-2*'1.설계입력'!$C$39*COS(B1076)))-'1.설계입력'!$C$33*(1-'1.설계입력'!$C$39*COS(B1076)-SQRT(MAX(0,1-'1.설계입력'!$C$39^2))*SIN(B1076))/SQRT(1+'1.설계입력'!$C$39^2-2*'1.설계입력'!$C$39*COS(B1076)))</f>
        <v/>
      </c>
    </row>
    <row r="1077" spans="1:11" x14ac:dyDescent="0.3">
      <c r="A1077" s="40">
        <f>A1076+'1.설계입력'!$C$12</f>
        <v>214.19999999999638</v>
      </c>
      <c r="B1077" s="40">
        <f t="shared" si="48"/>
        <v>3.7384952577717905</v>
      </c>
      <c r="C1077" s="40">
        <f>ATAN2('1.설계입력'!$C$6/('1.설계입력'!$C$8*'1.설계입력'!$C$15)-COS((1-'1.설계입력'!$C$15)*B1077),SIN((1-'1.설계입력'!$C$15)*B1077))</f>
        <v>-0.7232790731111558</v>
      </c>
      <c r="D1077" s="40">
        <f>'1.설계입력'!$C$6*COS(B1077)-'1.설계입력'!$C$7*COS(B1077+C1077)-'1.설계입력'!$C$8*COS('1.설계입력'!$C$15*B1077)</f>
        <v>-64.316032116295915</v>
      </c>
      <c r="E1077" s="40">
        <f>-'1.설계입력'!$C$6*SIN(B1077)+'1.설계입력'!$C$7*SIN(B1077+C1077)+'1.설계입력'!$C$8*SIN('1.설계입력'!$C$15*B1077)</f>
        <v>45.168413585850374</v>
      </c>
      <c r="F1077" s="40">
        <f>ATAN2(('1.설계입력'!$C$6+'1.설계입력'!$C$33)/('1.설계입력'!$C$8*'1.설계입력'!$C$15)-COS((1-'1.설계입력'!$C$15)*B1077),SIN((1-'1.설계입력'!$C$15)*B1077))</f>
        <v>-0.72330264163149194</v>
      </c>
      <c r="G1077" s="40">
        <f>('1.설계입력'!$C$6+'1.설계입력'!$C$33)*COS(B1077)-('1.설계입력'!$C$7+'1.설계입력'!$C$34)*COS(B1077+F1077)-'1.설계입력'!$C$8*COS('1.설계입력'!$C$15*B1077)</f>
        <v>-64.305444670576165</v>
      </c>
      <c r="H1077" s="40">
        <f>-('1.설계입력'!$C$6+'1.설계입력'!$C$33)*SIN(B1077)+('1.설계입력'!$C$7+'1.설계입력'!$C$34)*SIN(B1077+F1077)+'1.설계입력'!$C$8*SIN('1.설계입력'!$C$15*B1077)</f>
        <v>45.167785765665059</v>
      </c>
      <c r="I1077" s="40">
        <f t="shared" si="49"/>
        <v>78.592223362409328</v>
      </c>
      <c r="J1077" s="40">
        <f t="shared" si="50"/>
        <v>78.583198492130293</v>
      </c>
      <c r="K1077" s="38" t="str">
        <f>IF(OR(A1077&gt;180,'1.설계입력'!$C$39&gt;=1),"",'1.설계입력'!$C$34*(1-SIN(B1077)/SQRT(1+'1.설계입력'!$C$39^2-2*'1.설계입력'!$C$39*COS(B1077)))-'1.설계입력'!$C$33*(1-'1.설계입력'!$C$39*COS(B1077)-SQRT(MAX(0,1-'1.설계입력'!$C$39^2))*SIN(B1077))/SQRT(1+'1.설계입력'!$C$39^2-2*'1.설계입력'!$C$39*COS(B1077)))</f>
        <v/>
      </c>
    </row>
    <row r="1078" spans="1:11" x14ac:dyDescent="0.3">
      <c r="A1078" s="40">
        <f>A1077+'1.설계입력'!$C$12</f>
        <v>214.39999999999637</v>
      </c>
      <c r="B1078" s="40">
        <f t="shared" si="48"/>
        <v>3.7419859162757794</v>
      </c>
      <c r="C1078" s="40">
        <f>ATAN2('1.설계입력'!$C$6/('1.설계입력'!$C$8*'1.설계입력'!$C$15)-COS((1-'1.설계입력'!$C$15)*B1078),SIN((1-'1.설계입력'!$C$15)*B1078))</f>
        <v>-0.68110537562649798</v>
      </c>
      <c r="D1078" s="40">
        <f>'1.설계입력'!$C$6*COS(B1078)-'1.설계입력'!$C$7*COS(B1078+C1078)-'1.설계입력'!$C$8*COS('1.설계입력'!$C$15*B1078)</f>
        <v>-64.329885397890379</v>
      </c>
      <c r="E1078" s="40">
        <f>-'1.설계입력'!$C$6*SIN(B1078)+'1.설계입력'!$C$7*SIN(B1078+C1078)+'1.설계입력'!$C$8*SIN('1.설계입력'!$C$15*B1078)</f>
        <v>45.301601247553414</v>
      </c>
      <c r="F1078" s="40">
        <f>ATAN2(('1.설계입력'!$C$6+'1.설계입력'!$C$33)/('1.설계입력'!$C$8*'1.설계입력'!$C$15)-COS((1-'1.설계입력'!$C$15)*B1078),SIN((1-'1.설계입력'!$C$15)*B1078))</f>
        <v>-0.68112608214363268</v>
      </c>
      <c r="G1078" s="40">
        <f>('1.설계입력'!$C$6+'1.설계입력'!$C$33)*COS(B1078)-('1.설계입력'!$C$7+'1.설계입력'!$C$34)*COS(B1078+F1078)-'1.설계입력'!$C$8*COS('1.설계입력'!$C$15*B1078)</f>
        <v>-64.319260607419096</v>
      </c>
      <c r="H1078" s="40">
        <f>-('1.설계입력'!$C$6+'1.설계입력'!$C$33)*SIN(B1078)+('1.설계입력'!$C$7+'1.설계입력'!$C$34)*SIN(B1078+F1078)+'1.설계입력'!$C$8*SIN('1.설계입력'!$C$15*B1078)</f>
        <v>45.300585631905541</v>
      </c>
      <c r="I1078" s="40">
        <f t="shared" si="49"/>
        <v>78.680170506284767</v>
      </c>
      <c r="J1078" s="40">
        <f t="shared" si="50"/>
        <v>78.670898963204309</v>
      </c>
      <c r="K1078" s="38" t="str">
        <f>IF(OR(A1078&gt;180,'1.설계입력'!$C$39&gt;=1),"",'1.설계입력'!$C$34*(1-SIN(B1078)/SQRT(1+'1.설계입력'!$C$39^2-2*'1.설계입력'!$C$39*COS(B1078)))-'1.설계입력'!$C$33*(1-'1.설계입력'!$C$39*COS(B1078)-SQRT(MAX(0,1-'1.설계입력'!$C$39^2))*SIN(B1078))/SQRT(1+'1.설계입력'!$C$39^2-2*'1.설계입력'!$C$39*COS(B1078)))</f>
        <v/>
      </c>
    </row>
    <row r="1079" spans="1:11" x14ac:dyDescent="0.3">
      <c r="A1079" s="40">
        <f>A1078+'1.설계입력'!$C$12</f>
        <v>214.59999999999636</v>
      </c>
      <c r="B1079" s="40">
        <f t="shared" si="48"/>
        <v>3.7454765747797678</v>
      </c>
      <c r="C1079" s="40">
        <f>ATAN2('1.설계입력'!$C$6/('1.설계입력'!$C$8*'1.설계입력'!$C$15)-COS((1-'1.설계입력'!$C$15)*B1079),SIN((1-'1.설계입력'!$C$15)*B1079))</f>
        <v>-0.63533427384769492</v>
      </c>
      <c r="D1079" s="40">
        <f>'1.설계입력'!$C$6*COS(B1079)-'1.설계입력'!$C$7*COS(B1079+C1079)-'1.설계입력'!$C$8*COS('1.설계입력'!$C$15*B1079)</f>
        <v>-64.337949661338868</v>
      </c>
      <c r="E1079" s="40">
        <f>-'1.설계입력'!$C$6*SIN(B1079)+'1.설계입력'!$C$7*SIN(B1079+C1079)+'1.설계입력'!$C$8*SIN('1.설계입력'!$C$15*B1079)</f>
        <v>45.445411408291804</v>
      </c>
      <c r="F1079" s="40">
        <f>ATAN2(('1.설계입력'!$C$6+'1.설계입력'!$C$33)/('1.설계입력'!$C$8*'1.설계입력'!$C$15)-COS((1-'1.설계입력'!$C$15)*B1079),SIN((1-'1.설계입력'!$C$15)*B1079))</f>
        <v>-0.63535247120241245</v>
      </c>
      <c r="G1079" s="40">
        <f>('1.설계입력'!$C$6+'1.설계입력'!$C$33)*COS(B1079)-('1.설계입력'!$C$7+'1.설계입력'!$C$34)*COS(B1079+F1079)-'1.설계입력'!$C$8*COS('1.설계입력'!$C$15*B1079)</f>
        <v>-64.327304238394959</v>
      </c>
      <c r="H1079" s="40">
        <f>-('1.설계입력'!$C$6+'1.설계입력'!$C$33)*SIN(B1079)+('1.설계입력'!$C$7+'1.설계입력'!$C$34)*SIN(B1079+F1079)+'1.설계입력'!$C$8*SIN('1.설계입력'!$C$15*B1079)</f>
        <v>45.44397869927225</v>
      </c>
      <c r="I1079" s="40">
        <f t="shared" si="49"/>
        <v>78.769646341048613</v>
      </c>
      <c r="J1079" s="40">
        <f t="shared" si="50"/>
        <v>78.760124876735276</v>
      </c>
      <c r="K1079" s="38" t="str">
        <f>IF(OR(A1079&gt;180,'1.설계입력'!$C$39&gt;=1),"",'1.설계입력'!$C$34*(1-SIN(B1079)/SQRT(1+'1.설계입력'!$C$39^2-2*'1.설계입력'!$C$39*COS(B1079)))-'1.설계입력'!$C$33*(1-'1.설계입력'!$C$39*COS(B1079)-SQRT(MAX(0,1-'1.설계입력'!$C$39^2))*SIN(B1079))/SQRT(1+'1.설계입력'!$C$39^2-2*'1.설계입력'!$C$39*COS(B1079)))</f>
        <v/>
      </c>
    </row>
    <row r="1080" spans="1:11" x14ac:dyDescent="0.3">
      <c r="A1080" s="40">
        <f>A1079+'1.설계입력'!$C$12</f>
        <v>214.79999999999634</v>
      </c>
      <c r="B1080" s="40">
        <f t="shared" si="48"/>
        <v>3.7489672332837563</v>
      </c>
      <c r="C1080" s="40">
        <f>ATAN2('1.설계입력'!$C$6/('1.설계입력'!$C$8*'1.설계입력'!$C$15)-COS((1-'1.설계입력'!$C$15)*B1080),SIN((1-'1.설계입력'!$C$15)*B1080))</f>
        <v>-0.58681755379058997</v>
      </c>
      <c r="D1080" s="40">
        <f>'1.설계입력'!$C$6*COS(B1080)-'1.설계입력'!$C$7*COS(B1080+C1080)-'1.설계입력'!$C$8*COS('1.설계입력'!$C$15*B1080)</f>
        <v>-64.338776211366664</v>
      </c>
      <c r="E1080" s="40">
        <f>-'1.설계입력'!$C$6*SIN(B1080)+'1.설계입력'!$C$7*SIN(B1080+C1080)+'1.설계입력'!$C$8*SIN('1.설계입력'!$C$15*B1080)</f>
        <v>45.601572999645008</v>
      </c>
      <c r="F1080" s="40">
        <f>ATAN2(('1.설계입력'!$C$6+'1.설계입력'!$C$33)/('1.설계입력'!$C$8*'1.설계입력'!$C$15)-COS((1-'1.설계입력'!$C$15)*B1080),SIN((1-'1.설계입력'!$C$15)*B1080))</f>
        <v>-0.58683352102346853</v>
      </c>
      <c r="G1080" s="40">
        <f>('1.설계입력'!$C$6+'1.설계입력'!$C$33)*COS(B1080)-('1.설계입력'!$C$7+'1.설계입력'!$C$34)*COS(B1080+F1080)-'1.설계입력'!$C$8*COS('1.설계입력'!$C$15*B1080)</f>
        <v>-64.328131045242372</v>
      </c>
      <c r="H1080" s="40">
        <f>-('1.설계입력'!$C$6+'1.설계입력'!$C$33)*SIN(B1080)+('1.설계입력'!$C$7+'1.설계입력'!$C$34)*SIN(B1080+F1080)+'1.설계입력'!$C$8*SIN('1.설계입력'!$C$15*B1080)</f>
        <v>45.599701272157382</v>
      </c>
      <c r="I1080" s="40">
        <f t="shared" si="49"/>
        <v>78.860519808192194</v>
      </c>
      <c r="J1080" s="40">
        <f t="shared" si="50"/>
        <v>78.850752690661537</v>
      </c>
      <c r="K1080" s="38" t="str">
        <f>IF(OR(A1080&gt;180,'1.설계입력'!$C$39&gt;=1),"",'1.설계입력'!$C$34*(1-SIN(B1080)/SQRT(1+'1.설계입력'!$C$39^2-2*'1.설계입력'!$C$39*COS(B1080)))-'1.설계입력'!$C$33*(1-'1.설계입력'!$C$39*COS(B1080)-SQRT(MAX(0,1-'1.설계입력'!$C$39^2))*SIN(B1080))/SQRT(1+'1.설계입력'!$C$39^2-2*'1.설계입력'!$C$39*COS(B1080)))</f>
        <v/>
      </c>
    </row>
    <row r="1081" spans="1:11" x14ac:dyDescent="0.3">
      <c r="A1081" s="40">
        <f>A1080+'1.설계입력'!$C$12</f>
        <v>214.99999999999633</v>
      </c>
      <c r="B1081" s="40">
        <f t="shared" si="48"/>
        <v>3.7524578917877447</v>
      </c>
      <c r="C1081" s="40">
        <f>ATAN2('1.설계입력'!$C$6/('1.설계입력'!$C$8*'1.설계입력'!$C$15)-COS((1-'1.설계입력'!$C$15)*B1081),SIN((1-'1.설계입력'!$C$15)*B1081))</f>
        <v>-0.53617216719567673</v>
      </c>
      <c r="D1081" s="40">
        <f>'1.설계입력'!$C$6*COS(B1081)-'1.설계입력'!$C$7*COS(B1081+C1081)-'1.설계입력'!$C$8*COS('1.설계입력'!$C$15*B1081)</f>
        <v>-64.330687219410308</v>
      </c>
      <c r="E1081" s="40">
        <f>-'1.설계입력'!$C$6*SIN(B1081)+'1.설계입력'!$C$7*SIN(B1081+C1081)+'1.설계입력'!$C$8*SIN('1.설계입력'!$C$15*B1081)</f>
        <v>45.770591815914067</v>
      </c>
      <c r="F1081" s="40">
        <f>ATAN2(('1.설계입력'!$C$6+'1.설계입력'!$C$33)/('1.설계입력'!$C$8*'1.설계입력'!$C$15)-COS((1-'1.설계입력'!$C$15)*B1081),SIN((1-'1.설계입력'!$C$15)*B1081))</f>
        <v>-0.53618612644542274</v>
      </c>
      <c r="G1081" s="40">
        <f>('1.설계입력'!$C$6+'1.설계입력'!$C$33)*COS(B1081)-('1.설계입력'!$C$7+'1.설계입력'!$C$34)*COS(B1081+F1081)-'1.설계입력'!$C$8*COS('1.설계입력'!$C$15*B1081)</f>
        <v>-64.320066257933902</v>
      </c>
      <c r="H1081" s="40">
        <f>-('1.설계입력'!$C$6+'1.설계입력'!$C$33)*SIN(B1081)+('1.설계입력'!$C$7+'1.설계입력'!$C$34)*SIN(B1081+F1081)+'1.설계입력'!$C$8*SIN('1.설계입력'!$C$15*B1081)</f>
        <v>45.768265071593291</v>
      </c>
      <c r="I1081" s="40">
        <f t="shared" si="49"/>
        <v>78.951785244544155</v>
      </c>
      <c r="J1081" s="40">
        <f t="shared" si="50"/>
        <v>78.941782416465827</v>
      </c>
      <c r="K1081" s="38" t="str">
        <f>IF(OR(A1081&gt;180,'1.설계입력'!$C$39&gt;=1),"",'1.설계입력'!$C$34*(1-SIN(B1081)/SQRT(1+'1.설계입력'!$C$39^2-2*'1.설계입력'!$C$39*COS(B1081)))-'1.설계입력'!$C$33*(1-'1.설계입력'!$C$39*COS(B1081)-SQRT(MAX(0,1-'1.설계입력'!$C$39^2))*SIN(B1081))/SQRT(1+'1.설계입력'!$C$39^2-2*'1.설계입력'!$C$39*COS(B1081)))</f>
        <v/>
      </c>
    </row>
    <row r="1082" spans="1:11" x14ac:dyDescent="0.3">
      <c r="A1082" s="40">
        <f>A1081+'1.설계입력'!$C$12</f>
        <v>215.19999999999632</v>
      </c>
      <c r="B1082" s="40">
        <f t="shared" si="48"/>
        <v>3.7559485502917331</v>
      </c>
      <c r="C1082" s="40">
        <f>ATAN2('1.설계입력'!$C$6/('1.설계입력'!$C$8*'1.설계입력'!$C$15)-COS((1-'1.설계입력'!$C$15)*B1082),SIN((1-'1.설계입력'!$C$15)*B1082))</f>
        <v>-0.48385692243291833</v>
      </c>
      <c r="D1082" s="40">
        <f>'1.설계입력'!$C$6*COS(B1082)-'1.설계입력'!$C$7*COS(B1082+C1082)-'1.설계입력'!$C$8*COS('1.설계입력'!$C$15*B1082)</f>
        <v>-64.311965463001371</v>
      </c>
      <c r="E1082" s="40">
        <f>-'1.설계입력'!$C$6*SIN(B1082)+'1.설계입력'!$C$7*SIN(B1082+C1082)+'1.설계입력'!$C$8*SIN('1.설계입력'!$C$15*B1082)</f>
        <v>45.952055468236018</v>
      </c>
      <c r="F1082" s="40">
        <f>ATAN2(('1.설계입력'!$C$6+'1.설계입력'!$C$33)/('1.설계입력'!$C$8*'1.설계입력'!$C$15)-COS((1-'1.설계입력'!$C$15)*B1082),SIN((1-'1.설계입력'!$C$15)*B1082))</f>
        <v>-0.48386905150156029</v>
      </c>
      <c r="G1082" s="40">
        <f>('1.설계입력'!$C$6+'1.설계입력'!$C$33)*COS(B1082)-('1.설계입력'!$C$7+'1.설계입력'!$C$34)*COS(B1082+F1082)-'1.설계입력'!$C$8*COS('1.설계입력'!$C$15*B1082)</f>
        <v>-64.301394861557256</v>
      </c>
      <c r="H1082" s="40">
        <f>-('1.설계입력'!$C$6+'1.설계입력'!$C$33)*SIN(B1082)+('1.설계입력'!$C$7+'1.설계입력'!$C$34)*SIN(B1082+F1082)+'1.설계입력'!$C$8*SIN('1.설계입력'!$C$15*B1082)</f>
        <v>45.949262685237507</v>
      </c>
      <c r="I1082" s="40">
        <f t="shared" si="49"/>
        <v>79.04188954896081</v>
      </c>
      <c r="J1082" s="40">
        <f t="shared" si="50"/>
        <v>79.031665314979051</v>
      </c>
      <c r="K1082" s="38" t="str">
        <f>IF(OR(A1082&gt;180,'1.설계입력'!$C$39&gt;=1),"",'1.설계입력'!$C$34*(1-SIN(B1082)/SQRT(1+'1.설계입력'!$C$39^2-2*'1.설계입력'!$C$39*COS(B1082)))-'1.설계입력'!$C$33*(1-'1.설계입력'!$C$39*COS(B1082)-SQRT(MAX(0,1-'1.설계입력'!$C$39^2))*SIN(B1082))/SQRT(1+'1.설계입력'!$C$39^2-2*'1.설계입력'!$C$39*COS(B1082)))</f>
        <v/>
      </c>
    </row>
    <row r="1083" spans="1:11" x14ac:dyDescent="0.3">
      <c r="A1083" s="40">
        <f>A1082+'1.설계입력'!$C$12</f>
        <v>215.39999999999631</v>
      </c>
      <c r="B1083" s="40">
        <f t="shared" si="48"/>
        <v>3.7594392087957216</v>
      </c>
      <c r="C1083" s="40">
        <f>ATAN2('1.설계입력'!$C$6/('1.설계입력'!$C$8*'1.설계입력'!$C$15)-COS((1-'1.설계입력'!$C$15)*B1083),SIN((1-'1.설계입력'!$C$15)*B1083))</f>
        <v>-0.43022148196061488</v>
      </c>
      <c r="D1083" s="40">
        <f>'1.설계입력'!$C$6*COS(B1083)-'1.설계입력'!$C$7*COS(B1083+C1083)-'1.설계입력'!$C$8*COS('1.설계입력'!$C$15*B1083)</f>
        <v>-64.280997470800912</v>
      </c>
      <c r="E1083" s="40">
        <f>-'1.설계입력'!$C$6*SIN(B1083)+'1.설계입력'!$C$7*SIN(B1083+C1083)+'1.설계입력'!$C$8*SIN('1.설계입력'!$C$15*B1083)</f>
        <v>46.144846461759478</v>
      </c>
      <c r="F1083" s="40">
        <f>ATAN2(('1.설계입력'!$C$6+'1.설계입력'!$C$33)/('1.설계입력'!$C$8*'1.설계입력'!$C$15)-COS((1-'1.설계입력'!$C$15)*B1083),SIN((1-'1.설계입력'!$C$15)*B1083))</f>
        <v>-0.43023192362232188</v>
      </c>
      <c r="G1083" s="40">
        <f>('1.설계입력'!$C$6+'1.설계입력'!$C$33)*COS(B1083)-('1.설계입력'!$C$7+'1.설계입력'!$C$34)*COS(B1083+F1083)-'1.설계입력'!$C$8*COS('1.설계입력'!$C$15*B1083)</f>
        <v>-64.27050492357003</v>
      </c>
      <c r="H1083" s="40">
        <f>-('1.설계입력'!$C$6+'1.설계입력'!$C$33)*SIN(B1083)+('1.설계입력'!$C$7+'1.설계입력'!$C$34)*SIN(B1083+F1083)+'1.설계입력'!$C$8*SIN('1.설계입력'!$C$15*B1083)</f>
        <v>46.141580944871819</v>
      </c>
      <c r="I1083" s="40">
        <f t="shared" si="49"/>
        <v>79.128967457060057</v>
      </c>
      <c r="J1083" s="40">
        <f t="shared" si="50"/>
        <v>79.118539516492575</v>
      </c>
      <c r="K1083" s="38" t="str">
        <f>IF(OR(A1083&gt;180,'1.설계입력'!$C$39&gt;=1),"",'1.설계입력'!$C$34*(1-SIN(B1083)/SQRT(1+'1.설계입력'!$C$39^2-2*'1.설계입력'!$C$39*COS(B1083)))-'1.설계입력'!$C$33*(1-'1.설계입력'!$C$39*COS(B1083)-SQRT(MAX(0,1-'1.설계입력'!$C$39^2))*SIN(B1083))/SQRT(1+'1.설계입력'!$C$39^2-2*'1.설계입력'!$C$39*COS(B1083)))</f>
        <v/>
      </c>
    </row>
    <row r="1084" spans="1:11" x14ac:dyDescent="0.3">
      <c r="A1084" s="40">
        <f>A1083+'1.설계입력'!$C$12</f>
        <v>215.5999999999963</v>
      </c>
      <c r="B1084" s="40">
        <f t="shared" si="48"/>
        <v>3.76292986729971</v>
      </c>
      <c r="C1084" s="40">
        <f>ATAN2('1.설계입력'!$C$6/('1.설계입력'!$C$8*'1.설계입력'!$C$15)-COS((1-'1.설계입력'!$C$15)*B1084),SIN((1-'1.설계입력'!$C$15)*B1084))</f>
        <v>-0.37553863366619983</v>
      </c>
      <c r="D1084" s="40">
        <f>'1.설계입력'!$C$6*COS(B1084)-'1.설계입력'!$C$7*COS(B1084+C1084)-'1.설계입력'!$C$8*COS('1.설계입력'!$C$15*B1084)</f>
        <v>-64.236381689726144</v>
      </c>
      <c r="E1084" s="40">
        <f>-'1.설계입력'!$C$6*SIN(B1084)+'1.설계입력'!$C$7*SIN(B1084+C1084)+'1.설계입력'!$C$8*SIN('1.설계입력'!$C$15*B1084)</f>
        <v>46.347303600480664</v>
      </c>
      <c r="F1084" s="40">
        <f>ATAN2(('1.설계입력'!$C$6+'1.설계입력'!$C$33)/('1.설계입력'!$C$8*'1.설계입력'!$C$15)-COS((1-'1.설계입력'!$C$15)*B1084),SIN((1-'1.설계입력'!$C$15)*B1084))</f>
        <v>-0.37554750257755987</v>
      </c>
      <c r="G1084" s="40">
        <f>('1.설계입력'!$C$6+'1.설계입력'!$C$33)*COS(B1084)-('1.설계입력'!$C$7+'1.설계입력'!$C$34)*COS(B1084+F1084)-'1.설계입력'!$C$8*COS('1.설계입력'!$C$15*B1084)</f>
        <v>-64.225995886864197</v>
      </c>
      <c r="H1084" s="40">
        <f>-('1.설계입력'!$C$6+'1.설계입력'!$C$33)*SIN(B1084)+('1.설계입력'!$C$7+'1.설계입력'!$C$34)*SIN(B1084+F1084)+'1.설계입력'!$C$8*SIN('1.설계입력'!$C$15*B1084)</f>
        <v>46.34356251742031</v>
      </c>
      <c r="I1084" s="40">
        <f t="shared" si="49"/>
        <v>79.211017438379827</v>
      </c>
      <c r="J1084" s="40">
        <f t="shared" si="50"/>
        <v>79.200406150887517</v>
      </c>
      <c r="K1084" s="38" t="str">
        <f>IF(OR(A1084&gt;180,'1.설계입력'!$C$39&gt;=1),"",'1.설계입력'!$C$34*(1-SIN(B1084)/SQRT(1+'1.설계입력'!$C$39^2-2*'1.설계입력'!$C$39*COS(B1084)))-'1.설계입력'!$C$33*(1-'1.설계입력'!$C$39*COS(B1084)-SQRT(MAX(0,1-'1.설계입력'!$C$39^2))*SIN(B1084))/SQRT(1+'1.설계입력'!$C$39^2-2*'1.설계입력'!$C$39*COS(B1084)))</f>
        <v/>
      </c>
    </row>
    <row r="1085" spans="1:11" x14ac:dyDescent="0.3">
      <c r="A1085" s="40">
        <f>A1084+'1.설계입력'!$C$12</f>
        <v>215.79999999999629</v>
      </c>
      <c r="B1085" s="40">
        <f t="shared" si="48"/>
        <v>3.7664205258036985</v>
      </c>
      <c r="C1085" s="40">
        <f>ATAN2('1.설계입력'!$C$6/('1.설계입력'!$C$8*'1.설계입력'!$C$15)-COS((1-'1.설계입력'!$C$15)*B1085),SIN((1-'1.설계입력'!$C$15)*B1085))</f>
        <v>-0.32002615733537593</v>
      </c>
      <c r="D1085" s="40">
        <f>'1.설계입력'!$C$6*COS(B1085)-'1.설계입력'!$C$7*COS(B1085+C1085)-'1.설계입력'!$C$8*COS('1.설계입력'!$C$15*B1085)</f>
        <v>-64.177009350300239</v>
      </c>
      <c r="E1085" s="40">
        <f>-'1.설계입력'!$C$6*SIN(B1085)+'1.설계입력'!$C$7*SIN(B1085+C1085)+'1.설계입력'!$C$8*SIN('1.설계입력'!$C$15*B1085)</f>
        <v>46.55735355491008</v>
      </c>
      <c r="F1085" s="40">
        <f>ATAN2(('1.설계입력'!$C$6+'1.설계입력'!$C$33)/('1.설계입력'!$C$8*'1.설계입력'!$C$15)-COS((1-'1.설계입력'!$C$15)*B1085),SIN((1-'1.설계입력'!$C$15)*B1085))</f>
        <v>-0.32003354518163013</v>
      </c>
      <c r="G1085" s="40">
        <f>('1.설계입력'!$C$6+'1.설계입력'!$C$33)*COS(B1085)-('1.설계입력'!$C$7+'1.설계입력'!$C$34)*COS(B1085+F1085)-'1.설계입력'!$C$8*COS('1.설계입력'!$C$15*B1085)</f>
        <v>-64.166759523649503</v>
      </c>
      <c r="H1085" s="40">
        <f>-('1.설계입력'!$C$6+'1.설계입력'!$C$33)*SIN(B1085)+('1.설계입력'!$C$7+'1.설계입력'!$C$34)*SIN(B1085+F1085)+'1.설계입력'!$C$8*SIN('1.설계입력'!$C$15*B1085)</f>
        <v>46.553137589802525</v>
      </c>
      <c r="I1085" s="40">
        <f t="shared" si="49"/>
        <v>79.286037227152562</v>
      </c>
      <c r="J1085" s="40">
        <f t="shared" si="50"/>
        <v>79.275265040370243</v>
      </c>
      <c r="K1085" s="38" t="str">
        <f>IF(OR(A1085&gt;180,'1.설계입력'!$C$39&gt;=1),"",'1.설계입력'!$C$34*(1-SIN(B1085)/SQRT(1+'1.설계입력'!$C$39^2-2*'1.설계입력'!$C$39*COS(B1085)))-'1.설계입력'!$C$33*(1-'1.설계입력'!$C$39*COS(B1085)-SQRT(MAX(0,1-'1.설계입력'!$C$39^2))*SIN(B1085))/SQRT(1+'1.설계입력'!$C$39^2-2*'1.설계입력'!$C$39*COS(B1085)))</f>
        <v/>
      </c>
    </row>
    <row r="1086" spans="1:11" x14ac:dyDescent="0.3">
      <c r="A1086" s="40">
        <f>A1085+'1.설계입력'!$C$12</f>
        <v>215.99999999999628</v>
      </c>
      <c r="B1086" s="40">
        <f t="shared" si="48"/>
        <v>3.7699111843076869</v>
      </c>
      <c r="C1086" s="40">
        <f>ATAN2('1.설계입력'!$C$6/('1.설계입력'!$C$8*'1.설계입력'!$C$15)-COS((1-'1.설계입력'!$C$15)*B1086),SIN((1-'1.설계입력'!$C$15)*B1086))</f>
        <v>-0.26386205120415968</v>
      </c>
      <c r="D1086" s="40">
        <f>'1.설계입력'!$C$6*COS(B1086)-'1.설계입력'!$C$7*COS(B1086+C1086)-'1.설계입력'!$C$8*COS('1.설계입력'!$C$15*B1086)</f>
        <v>-64.102123009019351</v>
      </c>
      <c r="E1086" s="40">
        <f>-'1.설계입력'!$C$6*SIN(B1086)+'1.설계입력'!$C$7*SIN(B1086+C1086)+'1.설계입력'!$C$8*SIN('1.설계입력'!$C$15*B1086)</f>
        <v>46.772624582466563</v>
      </c>
      <c r="F1086" s="40">
        <f>ATAN2(('1.설계입력'!$C$6+'1.설계입력'!$C$33)/('1.설계입력'!$C$8*'1.설계입력'!$C$15)-COS((1-'1.설계입력'!$C$15)*B1086),SIN((1-'1.설계입력'!$C$15)*B1086))</f>
        <v>-0.26386803053736391</v>
      </c>
      <c r="G1086" s="40">
        <f>('1.설계입력'!$C$6+'1.설계입력'!$C$33)*COS(B1086)-('1.설계입력'!$C$7+'1.설계입력'!$C$34)*COS(B1086+F1086)-'1.설계입력'!$C$8*COS('1.설계입력'!$C$15*B1086)</f>
        <v>-64.092038541187009</v>
      </c>
      <c r="H1086" s="40">
        <f>-('1.설계입력'!$C$6+'1.설계입력'!$C$33)*SIN(B1086)+('1.설계입력'!$C$7+'1.설계입력'!$C$34)*SIN(B1086+F1086)+'1.설계입력'!$C$8*SIN('1.설계입력'!$C$15*B1086)</f>
        <v>46.767937663483544</v>
      </c>
      <c r="I1086" s="40">
        <f t="shared" si="49"/>
        <v>79.35213030912152</v>
      </c>
      <c r="J1086" s="40">
        <f t="shared" si="50"/>
        <v>79.341221301795471</v>
      </c>
      <c r="K1086" s="38" t="str">
        <f>IF(OR(A1086&gt;180,'1.설계입력'!$C$39&gt;=1),"",'1.설계입력'!$C$34*(1-SIN(B1086)/SQRT(1+'1.설계입력'!$C$39^2-2*'1.설계입력'!$C$39*COS(B1086)))-'1.설계입력'!$C$33*(1-'1.설계입력'!$C$39*COS(B1086)-SQRT(MAX(0,1-'1.설계입력'!$C$39^2))*SIN(B1086))/SQRT(1+'1.설계입력'!$C$39^2-2*'1.설계입력'!$C$39*COS(B1086)))</f>
        <v/>
      </c>
    </row>
    <row r="1087" spans="1:11" x14ac:dyDescent="0.3">
      <c r="A1087" s="40">
        <f>A1086+'1.설계입력'!$C$12</f>
        <v>216.19999999999627</v>
      </c>
      <c r="B1087" s="40">
        <f t="shared" si="48"/>
        <v>3.7734018428116753</v>
      </c>
      <c r="C1087" s="40">
        <f>ATAN2('1.설계입력'!$C$6/('1.설계입력'!$C$8*'1.설계입력'!$C$15)-COS((1-'1.설계입력'!$C$15)*B1087),SIN((1-'1.설계입력'!$C$15)*B1087))</f>
        <v>-0.20719543159062948</v>
      </c>
      <c r="D1087" s="40">
        <f>'1.설계입력'!$C$6*COS(B1087)-'1.설계입력'!$C$7*COS(B1087+C1087)-'1.설계입력'!$C$8*COS('1.설계입력'!$C$15*B1087)</f>
        <v>-64.011356015909101</v>
      </c>
      <c r="E1087" s="40">
        <f>-'1.설계입력'!$C$6*SIN(B1087)+'1.설계입력'!$C$7*SIN(B1087+C1087)+'1.설계입력'!$C$8*SIN('1.설계입력'!$C$15*B1087)</f>
        <v>46.990548919312687</v>
      </c>
      <c r="F1087" s="40">
        <f>ATAN2(('1.설계입력'!$C$6+'1.설계입력'!$C$33)/('1.설계입력'!$C$8*'1.설계입력'!$C$15)-COS((1-'1.설계입력'!$C$15)*B1087),SIN((1-'1.설계입력'!$C$15)*B1087))</f>
        <v>-0.20720005868353322</v>
      </c>
      <c r="G1087" s="40">
        <f>('1.설계입력'!$C$6+'1.설계입력'!$C$33)*COS(B1087)-('1.설계입력'!$C$7+'1.설계입력'!$C$34)*COS(B1087+F1087)-'1.설계입력'!$C$8*COS('1.설계입력'!$C$15*B1087)</f>
        <v>-64.001466095509187</v>
      </c>
      <c r="H1087" s="40">
        <f>-('1.설계입력'!$C$6+'1.설계입력'!$C$33)*SIN(B1087)+('1.설계입력'!$C$7+'1.설계입력'!$C$34)*SIN(B1087+F1087)+'1.설계입력'!$C$8*SIN('1.설계입력'!$C$15*B1087)</f>
        <v>46.98539799286084</v>
      </c>
      <c r="I1087" s="40">
        <f t="shared" si="49"/>
        <v>79.40759023376657</v>
      </c>
      <c r="J1087" s="40">
        <f t="shared" si="50"/>
        <v>79.396569742792693</v>
      </c>
      <c r="K1087" s="38" t="str">
        <f>IF(OR(A1087&gt;180,'1.설계입력'!$C$39&gt;=1),"",'1.설계입력'!$C$34*(1-SIN(B1087)/SQRT(1+'1.설계입력'!$C$39^2-2*'1.설계입력'!$C$39*COS(B1087)))-'1.설계입력'!$C$33*(1-'1.설계입력'!$C$39*COS(B1087)-SQRT(MAX(0,1-'1.설계입력'!$C$39^2))*SIN(B1087))/SQRT(1+'1.설계입력'!$C$39^2-2*'1.설계입력'!$C$39*COS(B1087)))</f>
        <v/>
      </c>
    </row>
    <row r="1088" spans="1:11" x14ac:dyDescent="0.3">
      <c r="A1088" s="40">
        <f>A1087+'1.설계입력'!$C$12</f>
        <v>216.39999999999625</v>
      </c>
      <c r="B1088" s="40">
        <f t="shared" si="48"/>
        <v>3.7768925013156638</v>
      </c>
      <c r="C1088" s="40">
        <f>ATAN2('1.설계입력'!$C$6/('1.설계입력'!$C$8*'1.설계입력'!$C$15)-COS((1-'1.설계입력'!$C$15)*B1088),SIN((1-'1.설계입력'!$C$15)*B1088))</f>
        <v>-0.15015457019207518</v>
      </c>
      <c r="D1088" s="40">
        <f>'1.설계입력'!$C$6*COS(B1088)-'1.설계입력'!$C$7*COS(B1088+C1088)-'1.설계입력'!$C$8*COS('1.설계입력'!$C$15*B1088)</f>
        <v>-63.904755086407533</v>
      </c>
      <c r="E1088" s="40">
        <f>-'1.설계입력'!$C$6*SIN(B1088)+'1.설계입력'!$C$7*SIN(B1088+C1088)+'1.설계입력'!$C$8*SIN('1.설계입력'!$C$15*B1088)</f>
        <v>47.208457223527958</v>
      </c>
      <c r="F1088" s="40">
        <f>ATAN2(('1.설계입력'!$C$6+'1.설계입력'!$C$33)/('1.설계입력'!$C$8*'1.설계입력'!$C$15)-COS((1-'1.설계입력'!$C$15)*B1088),SIN((1-'1.설계입력'!$C$15)*B1088))</f>
        <v>-0.15015788713605249</v>
      </c>
      <c r="G1088" s="40">
        <f>('1.설계입력'!$C$6+'1.설계입력'!$C$33)*COS(B1088)-('1.설계입력'!$C$7+'1.설계입력'!$C$34)*COS(B1088+F1088)-'1.설계입력'!$C$8*COS('1.설계입력'!$C$15*B1088)</f>
        <v>-63.89508839747046</v>
      </c>
      <c r="H1088" s="40">
        <f>-('1.설계입력'!$C$6+'1.설계입력'!$C$33)*SIN(B1088)+('1.설계입력'!$C$7+'1.설계입력'!$C$34)*SIN(B1088+F1088)+'1.설계입력'!$C$8*SIN('1.설계입력'!$C$15*B1088)</f>
        <v>47.202852056815786</v>
      </c>
      <c r="I1088" s="40">
        <f t="shared" si="49"/>
        <v>79.450966992727018</v>
      </c>
      <c r="J1088" s="40">
        <f t="shared" si="50"/>
        <v>79.439861301604765</v>
      </c>
      <c r="K1088" s="38" t="str">
        <f>IF(OR(A1088&gt;180,'1.설계입력'!$C$39&gt;=1),"",'1.설계입력'!$C$34*(1-SIN(B1088)/SQRT(1+'1.설계입력'!$C$39^2-2*'1.설계입력'!$C$39*COS(B1088)))-'1.설계입력'!$C$33*(1-'1.설계입력'!$C$39*COS(B1088)-SQRT(MAX(0,1-'1.설계입력'!$C$39^2))*SIN(B1088))/SQRT(1+'1.설계입력'!$C$39^2-2*'1.설계입력'!$C$39*COS(B1088)))</f>
        <v/>
      </c>
    </row>
    <row r="1089" spans="1:11" x14ac:dyDescent="0.3">
      <c r="A1089" s="40">
        <f>A1088+'1.설계입력'!$C$12</f>
        <v>216.59999999999624</v>
      </c>
      <c r="B1089" s="40">
        <f t="shared" si="48"/>
        <v>3.7803831598196522</v>
      </c>
      <c r="C1089" s="40">
        <f>ATAN2('1.설계입력'!$C$6/('1.설계입력'!$C$8*'1.설계입력'!$C$15)-COS((1-'1.설계입력'!$C$15)*B1089),SIN((1-'1.설계입력'!$C$15)*B1089))</f>
        <v>-9.285302601222549E-2</v>
      </c>
      <c r="D1089" s="40">
        <f>'1.설계입력'!$C$6*COS(B1089)-'1.설계입력'!$C$7*COS(B1089+C1089)-'1.설계입력'!$C$8*COS('1.설계입력'!$C$15*B1089)</f>
        <v>-63.782787518640347</v>
      </c>
      <c r="E1089" s="40">
        <f>-'1.설계입력'!$C$6*SIN(B1089)+'1.설계입력'!$C$7*SIN(B1089+C1089)+'1.설계입력'!$C$8*SIN('1.설계입력'!$C$15*B1089)</f>
        <v>47.423666601806538</v>
      </c>
      <c r="F1089" s="40">
        <f>ATAN2(('1.설계입력'!$C$6+'1.설계입력'!$C$33)/('1.설계입력'!$C$8*'1.설계입력'!$C$15)-COS((1-'1.설계입력'!$C$15)*B1089),SIN((1-'1.설계입력'!$C$15)*B1089))</f>
        <v>-9.2855062218753531E-2</v>
      </c>
      <c r="G1089" s="40">
        <f>('1.설계입력'!$C$6+'1.설계입력'!$C$33)*COS(B1089)-('1.설계입력'!$C$7+'1.설계입력'!$C$34)*COS(B1089+F1089)-'1.설계입력'!$C$8*COS('1.설계입력'!$C$15*B1089)</f>
        <v>-63.773371955600133</v>
      </c>
      <c r="H1089" s="40">
        <f>-('1.설계입력'!$C$6+'1.설계입력'!$C$33)*SIN(B1089)+('1.설계입력'!$C$7+'1.설계입력'!$C$34)*SIN(B1089+F1089)+'1.설계입력'!$C$8*SIN('1.설계입력'!$C$15*B1089)</f>
        <v>47.417619601523157</v>
      </c>
      <c r="I1089" s="40">
        <f t="shared" si="49"/>
        <v>79.481118120012155</v>
      </c>
      <c r="J1089" s="40">
        <f t="shared" si="50"/>
        <v>79.469954191896193</v>
      </c>
      <c r="K1089" s="38" t="str">
        <f>IF(OR(A1089&gt;180,'1.설계입력'!$C$39&gt;=1),"",'1.설계입력'!$C$34*(1-SIN(B1089)/SQRT(1+'1.설계입력'!$C$39^2-2*'1.설계입력'!$C$39*COS(B1089)))-'1.설계입력'!$C$33*(1-'1.설계입력'!$C$39*COS(B1089)-SQRT(MAX(0,1-'1.설계입력'!$C$39^2))*SIN(B1089))/SQRT(1+'1.설계입력'!$C$39^2-2*'1.설계입력'!$C$39*COS(B1089)))</f>
        <v/>
      </c>
    </row>
    <row r="1090" spans="1:11" x14ac:dyDescent="0.3">
      <c r="A1090" s="40">
        <f>A1089+'1.설계입력'!$C$12</f>
        <v>216.79999999999623</v>
      </c>
      <c r="B1090" s="40">
        <f t="shared" si="48"/>
        <v>3.7838738183236407</v>
      </c>
      <c r="C1090" s="40">
        <f>ATAN2('1.설계입력'!$C$6/('1.설계입력'!$C$8*'1.설계입력'!$C$15)-COS((1-'1.설계입력'!$C$15)*B1090),SIN((1-'1.설계입력'!$C$15)*B1090))</f>
        <v>-3.5394520095243118E-2</v>
      </c>
      <c r="D1090" s="40">
        <f>'1.설계입력'!$C$6*COS(B1090)-'1.설계입력'!$C$7*COS(B1090+C1090)-'1.설계입력'!$C$8*COS('1.설계입력'!$C$15*B1090)</f>
        <v>-63.646334231919795</v>
      </c>
      <c r="E1090" s="40">
        <f>-'1.설계입력'!$C$6*SIN(B1090)+'1.설계입력'!$C$7*SIN(B1090+C1090)+'1.설계입력'!$C$8*SIN('1.설계입력'!$C$15*B1090)</f>
        <v>47.633562645510004</v>
      </c>
      <c r="F1090" s="40">
        <f>ATAN2(('1.설계입력'!$C$6+'1.설계입력'!$C$33)/('1.설계입력'!$C$8*'1.설계입력'!$C$15)-COS((1-'1.설계입력'!$C$15)*B1090),SIN((1-'1.설계입력'!$C$15)*B1090))</f>
        <v>-3.5395293310010602E-2</v>
      </c>
      <c r="G1090" s="40">
        <f>('1.설계입력'!$C$6+'1.설계입력'!$C$33)*COS(B1090)-('1.설계입력'!$C$7+'1.설계입력'!$C$34)*COS(B1090+F1090)-'1.설계입력'!$C$8*COS('1.설계입력'!$C$15*B1090)</f>
        <v>-63.637196633783233</v>
      </c>
      <c r="H1090" s="40">
        <f>-('1.설계입력'!$C$6+'1.설계입력'!$C$33)*SIN(B1090)+('1.설계입력'!$C$7+'1.설계입력'!$C$34)*SIN(B1090+F1090)+'1.설계입력'!$C$8*SIN('1.설계입력'!$C$15*B1090)</f>
        <v>47.627088684118227</v>
      </c>
      <c r="I1090" s="40">
        <f t="shared" si="49"/>
        <v>79.497246187933911</v>
      </c>
      <c r="J1090" s="40">
        <f t="shared" si="50"/>
        <v>79.486051429994021</v>
      </c>
      <c r="K1090" s="38" t="str">
        <f>IF(OR(A1090&gt;180,'1.설계입력'!$C$39&gt;=1),"",'1.설계입력'!$C$34*(1-SIN(B1090)/SQRT(1+'1.설계입력'!$C$39^2-2*'1.설계입력'!$C$39*COS(B1090)))-'1.설계입력'!$C$33*(1-'1.설계입력'!$C$39*COS(B1090)-SQRT(MAX(0,1-'1.설계입력'!$C$39^2))*SIN(B1090))/SQRT(1+'1.설계입력'!$C$39^2-2*'1.설계입력'!$C$39*COS(B1090)))</f>
        <v/>
      </c>
    </row>
    <row r="1091" spans="1:11" x14ac:dyDescent="0.3">
      <c r="A1091" s="40">
        <f>A1090+'1.설계입력'!$C$12</f>
        <v>216.99999999999622</v>
      </c>
      <c r="B1091" s="40">
        <f t="shared" si="48"/>
        <v>3.7873644768276291</v>
      </c>
      <c r="C1091" s="40">
        <f>ATAN2('1.설계입력'!$C$6/('1.설계입력'!$C$8*'1.설계입력'!$C$15)-COS((1-'1.설계입력'!$C$15)*B1091),SIN((1-'1.설계입력'!$C$15)*B1091))</f>
        <v>2.2122987272326654E-2</v>
      </c>
      <c r="D1091" s="40">
        <f>'1.설계입력'!$C$6*COS(B1091)-'1.설계입력'!$C$7*COS(B1091+C1091)-'1.설계입력'!$C$8*COS('1.설계입력'!$C$15*B1091)</f>
        <v>-63.496669603723234</v>
      </c>
      <c r="E1091" s="40">
        <f>-'1.설계입력'!$C$6*SIN(B1091)+'1.설계입력'!$C$7*SIN(B1091+C1091)+'1.설계입력'!$C$8*SIN('1.설계입력'!$C$15*B1091)</f>
        <v>47.835675236698236</v>
      </c>
      <c r="F1091" s="40">
        <f>ATAN2(('1.설계입력'!$C$6+'1.설계입력'!$C$33)/('1.설계입력'!$C$8*'1.설계입력'!$C$15)-COS((1-'1.설계입력'!$C$15)*B1091),SIN((1-'1.설계입력'!$C$15)*B1091))</f>
        <v>2.2123470371670791E-2</v>
      </c>
      <c r="G1091" s="40">
        <f>('1.설계입력'!$C$6+'1.설계입력'!$C$33)*COS(B1091)-('1.설계입력'!$C$7+'1.설계입력'!$C$34)*COS(B1091+F1091)-'1.설계입력'!$C$8*COS('1.설계입력'!$C$15*B1091)</f>
        <v>-63.487835502374573</v>
      </c>
      <c r="H1091" s="40">
        <f>-('1.설계입력'!$C$6+'1.설계입력'!$C$33)*SIN(B1091)+('1.설계입력'!$C$7+'1.설계입력'!$C$34)*SIN(B1091+F1091)+'1.설계입력'!$C$8*SIN('1.설계입력'!$C$15*B1091)</f>
        <v>47.828791480272187</v>
      </c>
      <c r="I1091" s="40">
        <f t="shared" si="49"/>
        <v>79.498923741867443</v>
      </c>
      <c r="J1091" s="40">
        <f t="shared" si="50"/>
        <v>79.487725789834556</v>
      </c>
      <c r="K1091" s="38" t="str">
        <f>IF(OR(A1091&gt;180,'1.설계입력'!$C$39&gt;=1),"",'1.설계입력'!$C$34*(1-SIN(B1091)/SQRT(1+'1.설계입력'!$C$39^2-2*'1.설계입력'!$C$39*COS(B1091)))-'1.설계입력'!$C$33*(1-'1.설계입력'!$C$39*COS(B1091)-SQRT(MAX(0,1-'1.설계입력'!$C$39^2))*SIN(B1091))/SQRT(1+'1.설계입력'!$C$39^2-2*'1.설계입력'!$C$39*COS(B1091)))</f>
        <v/>
      </c>
    </row>
    <row r="1092" spans="1:11" x14ac:dyDescent="0.3">
      <c r="A1092" s="40">
        <f>A1091+'1.설계입력'!$C$12</f>
        <v>217.19999999999621</v>
      </c>
      <c r="B1092" s="40">
        <f t="shared" si="48"/>
        <v>3.7908551353316176</v>
      </c>
      <c r="C1092" s="40">
        <f>ATAN2('1.설계입력'!$C$6/('1.설계입력'!$C$8*'1.설계입력'!$C$15)-COS((1-'1.설계입력'!$C$15)*B1092),SIN((1-'1.설계입력'!$C$15)*B1092))</f>
        <v>7.9603669562742257E-2</v>
      </c>
      <c r="D1092" s="40">
        <f>'1.설계입력'!$C$6*COS(B1092)-'1.설계입력'!$C$7*COS(B1092+C1092)-'1.설계입력'!$C$8*COS('1.설계입력'!$C$15*B1092)</f>
        <v>-63.335428977745885</v>
      </c>
      <c r="E1092" s="40">
        <f>-'1.설계입력'!$C$6*SIN(B1092)+'1.설계입력'!$C$7*SIN(B1092+C1092)+'1.설계입력'!$C$8*SIN('1.설계입력'!$C$15*B1092)</f>
        <v>48.027747490952954</v>
      </c>
      <c r="F1092" s="40">
        <f>ATAN2(('1.설계입력'!$C$6+'1.설계입력'!$C$33)/('1.설계입력'!$C$8*'1.설계입력'!$C$15)-COS((1-'1.설계입력'!$C$15)*B1092),SIN((1-'1.설계입력'!$C$15)*B1092))</f>
        <v>7.9605413144430689E-2</v>
      </c>
      <c r="G1092" s="40">
        <f>('1.설계입력'!$C$6+'1.설계입력'!$C$33)*COS(B1092)-('1.설계입력'!$C$7+'1.설계입력'!$C$34)*COS(B1092+F1092)-'1.설계입력'!$C$8*COS('1.설계입력'!$C$15*B1092)</f>
        <v>-63.326922356057047</v>
      </c>
      <c r="H1092" s="40">
        <f>-('1.설계입력'!$C$6+'1.설계입력'!$C$33)*SIN(B1092)+('1.설계입력'!$C$7+'1.설계입력'!$C$34)*SIN(B1092+F1092)+'1.설계입력'!$C$8*SIN('1.설계입력'!$C$15*B1092)</f>
        <v>48.020473224045148</v>
      </c>
      <c r="I1092" s="40">
        <f t="shared" si="49"/>
        <v>79.486106288142153</v>
      </c>
      <c r="J1092" s="40">
        <f t="shared" si="50"/>
        <v>79.4749328011752</v>
      </c>
      <c r="K1092" s="38" t="str">
        <f>IF(OR(A1092&gt;180,'1.설계입력'!$C$39&gt;=1),"",'1.설계입력'!$C$34*(1-SIN(B1092)/SQRT(1+'1.설계입력'!$C$39^2-2*'1.설계입력'!$C$39*COS(B1092)))-'1.설계입력'!$C$33*(1-'1.설계입력'!$C$39*COS(B1092)-SQRT(MAX(0,1-'1.설계입력'!$C$39^2))*SIN(B1092))/SQRT(1+'1.설계입력'!$C$39^2-2*'1.설계입력'!$C$39*COS(B1092)))</f>
        <v/>
      </c>
    </row>
    <row r="1093" spans="1:11" x14ac:dyDescent="0.3">
      <c r="A1093" s="40">
        <f>A1092+'1.설계입력'!$C$12</f>
        <v>217.3999999999962</v>
      </c>
      <c r="B1093" s="40">
        <f t="shared" si="48"/>
        <v>3.794345793835606</v>
      </c>
      <c r="C1093" s="40">
        <f>ATAN2('1.설계입력'!$C$6/('1.설계입력'!$C$8*'1.설계입력'!$C$15)-COS((1-'1.설계입력'!$C$15)*B1093),SIN((1-'1.설계입력'!$C$15)*B1093))</f>
        <v>0.13695037051932857</v>
      </c>
      <c r="D1093" s="40">
        <f>'1.설계입력'!$C$6*COS(B1093)-'1.설계입력'!$C$7*COS(B1093+C1093)-'1.설계입력'!$C$8*COS('1.설계입력'!$C$15*B1093)</f>
        <v>-63.164564651871814</v>
      </c>
      <c r="E1093" s="40">
        <f>-'1.설계입력'!$C$6*SIN(B1093)+'1.설계입력'!$C$7*SIN(B1093+C1093)+'1.설계입력'!$C$8*SIN('1.설계입력'!$C$15*B1093)</f>
        <v>48.207796981577673</v>
      </c>
      <c r="F1093" s="40">
        <f>ATAN2(('1.설계입력'!$C$6+'1.설계입력'!$C$33)/('1.설계입력'!$C$8*'1.설계입력'!$C$15)-COS((1-'1.설계입력'!$C$15)*B1093),SIN((1-'1.설계입력'!$C$15)*B1093))</f>
        <v>0.1369533897359699</v>
      </c>
      <c r="G1093" s="40">
        <f>('1.설계입력'!$C$6+'1.설계입력'!$C$33)*COS(B1093)-('1.설계입력'!$C$7+'1.설계입력'!$C$34)*COS(B1093+F1093)-'1.설계입력'!$C$8*COS('1.설계입력'!$C$15*B1093)</f>
        <v>-63.156407707484966</v>
      </c>
      <c r="H1093" s="40">
        <f>-('1.설계입력'!$C$6+'1.설계입력'!$C$33)*SIN(B1093)+('1.설계입력'!$C$7+'1.설계입력'!$C$34)*SIN(B1093+F1093)+'1.설계입력'!$C$8*SIN('1.설계입력'!$C$15*B1093)</f>
        <v>48.200153425555257</v>
      </c>
      <c r="I1093" s="40">
        <f t="shared" si="49"/>
        <v>79.459133631556185</v>
      </c>
      <c r="J1093" s="40">
        <f t="shared" si="50"/>
        <v>79.448012088164504</v>
      </c>
      <c r="K1093" s="38" t="str">
        <f>IF(OR(A1093&gt;180,'1.설계입력'!$C$39&gt;=1),"",'1.설계입력'!$C$34*(1-SIN(B1093)/SQRT(1+'1.설계입력'!$C$39^2-2*'1.설계입력'!$C$39*COS(B1093)))-'1.설계입력'!$C$33*(1-'1.설계입력'!$C$39*COS(B1093)-SQRT(MAX(0,1-'1.설계입력'!$C$39^2))*SIN(B1093))/SQRT(1+'1.설계입력'!$C$39^2-2*'1.설계입력'!$C$39*COS(B1093)))</f>
        <v/>
      </c>
    </row>
    <row r="1094" spans="1:11" x14ac:dyDescent="0.3">
      <c r="A1094" s="40">
        <f>A1093+'1.설계입력'!$C$12</f>
        <v>217.59999999999619</v>
      </c>
      <c r="B1094" s="40">
        <f t="shared" ref="B1094:B1157" si="51">RADIANS(A1094)</f>
        <v>3.7978364523395944</v>
      </c>
      <c r="C1094" s="40">
        <f>ATAN2('1.설계입력'!$C$6/('1.설계입력'!$C$8*'1.설계입력'!$C$15)-COS((1-'1.설계입력'!$C$15)*B1094),SIN((1-'1.설계입력'!$C$15)*B1094))</f>
        <v>0.19406103897905036</v>
      </c>
      <c r="D1094" s="40">
        <f>'1.설계입력'!$C$6*COS(B1094)-'1.설계입력'!$C$7*COS(B1094+C1094)-'1.설계입력'!$C$8*COS('1.설계입력'!$C$15*B1094)</f>
        <v>-62.986291088871035</v>
      </c>
      <c r="E1094" s="40">
        <f>-'1.설계입력'!$C$6*SIN(B1094)+'1.설계입력'!$C$7*SIN(B1094+C1094)+'1.설계입력'!$C$8*SIN('1.설계입력'!$C$15*B1094)</f>
        <v>48.374168277371837</v>
      </c>
      <c r="F1094" s="40">
        <f>ATAN2(('1.설계입력'!$C$6+'1.설계입력'!$C$33)/('1.설계입력'!$C$8*'1.설계입력'!$C$15)-COS((1-'1.설계입력'!$C$15)*B1094),SIN((1-'1.설계입력'!$C$15)*B1094))</f>
        <v>0.19406536047607428</v>
      </c>
      <c r="G1094" s="40">
        <f>('1.설계입력'!$C$6+'1.설계입력'!$C$33)*COS(B1094)-('1.설계입력'!$C$7+'1.설계입력'!$C$34)*COS(B1094+F1094)-'1.설계입력'!$C$8*COS('1.설계입력'!$C$15*B1094)</f>
        <v>-62.978503999225005</v>
      </c>
      <c r="H1094" s="40">
        <f>-('1.설계입력'!$C$6+'1.설계입력'!$C$33)*SIN(B1094)+('1.설계입력'!$C$7+'1.설계입력'!$C$34)*SIN(B1094+F1094)+'1.설계입력'!$C$8*SIN('1.설계입력'!$C$15*B1094)</f>
        <v>48.36617839917654</v>
      </c>
      <c r="I1094" s="40">
        <f t="shared" ref="I1094:I1157" si="52">SQRT(D1094^2+E1094^2)</f>
        <v>79.418719592168458</v>
      </c>
      <c r="J1094" s="40">
        <f t="shared" ref="J1094:J1157" si="53">SQRT(G1094^2+H1094^2)</f>
        <v>79.407677077983905</v>
      </c>
      <c r="K1094" s="38" t="str">
        <f>IF(OR(A1094&gt;180,'1.설계입력'!$C$39&gt;=1),"",'1.설계입력'!$C$34*(1-SIN(B1094)/SQRT(1+'1.설계입력'!$C$39^2-2*'1.설계입력'!$C$39*COS(B1094)))-'1.설계입력'!$C$33*(1-'1.설계입력'!$C$39*COS(B1094)-SQRT(MAX(0,1-'1.설계입력'!$C$39^2))*SIN(B1094))/SQRT(1+'1.설계입력'!$C$39^2-2*'1.설계입력'!$C$39*COS(B1094)))</f>
        <v/>
      </c>
    </row>
    <row r="1095" spans="1:11" x14ac:dyDescent="0.3">
      <c r="A1095" s="40">
        <f>A1094+'1.설계입력'!$C$12</f>
        <v>217.79999999999617</v>
      </c>
      <c r="B1095" s="40">
        <f t="shared" si="51"/>
        <v>3.8013271108435829</v>
      </c>
      <c r="C1095" s="40">
        <f>ATAN2('1.설계입력'!$C$6/('1.설계입력'!$C$8*'1.설계입력'!$C$15)-COS((1-'1.설계입력'!$C$15)*B1095),SIN((1-'1.설계입력'!$C$15)*B1095))</f>
        <v>0.2508247834728724</v>
      </c>
      <c r="D1095" s="40">
        <f>'1.설계입력'!$C$6*COS(B1095)-'1.설계입력'!$C$7*COS(B1095+C1095)-'1.설계입력'!$C$8*COS('1.설계입력'!$C$15*B1095)</f>
        <v>-62.803019982807427</v>
      </c>
      <c r="E1095" s="40">
        <f>-'1.설계입력'!$C$6*SIN(B1095)+'1.설계입력'!$C$7*SIN(B1095+C1095)+'1.설계입력'!$C$8*SIN('1.설계입력'!$C$15*B1095)</f>
        <v>48.525575782652155</v>
      </c>
      <c r="F1095" s="40">
        <f>ATAN2(('1.설계입력'!$C$6+'1.설계입력'!$C$33)/('1.설계입력'!$C$8*'1.설계입력'!$C$15)-COS((1-'1.설계입력'!$C$15)*B1095),SIN((1-'1.설계입력'!$C$15)*B1095))</f>
        <v>0.25083044630145263</v>
      </c>
      <c r="G1095" s="40">
        <f>('1.설계입력'!$C$6+'1.설계입력'!$C$33)*COS(B1095)-('1.설계입력'!$C$7+'1.설계입력'!$C$34)*COS(B1095+F1095)-'1.설계입력'!$C$8*COS('1.설계입력'!$C$15*B1095)</f>
        <v>-62.795620666146888</v>
      </c>
      <c r="H1095" s="40">
        <f>-('1.설계입력'!$C$6+'1.설계입력'!$C$33)*SIN(B1095)+('1.설계입력'!$C$7+'1.설계입력'!$C$34)*SIN(B1095+F1095)+'1.설계입력'!$C$8*SIN('1.설계입력'!$C$15*B1095)</f>
        <v>48.517264091092905</v>
      </c>
      <c r="I1095" s="40">
        <f t="shared" si="52"/>
        <v>79.365929869175133</v>
      </c>
      <c r="J1095" s="40">
        <f t="shared" si="53"/>
        <v>79.354992846899478</v>
      </c>
      <c r="K1095" s="38" t="str">
        <f>IF(OR(A1095&gt;180,'1.설계입력'!$C$39&gt;=1),"",'1.설계입력'!$C$34*(1-SIN(B1095)/SQRT(1+'1.설계입력'!$C$39^2-2*'1.설계입력'!$C$39*COS(B1095)))-'1.설계입력'!$C$33*(1-'1.설계입력'!$C$39*COS(B1095)-SQRT(MAX(0,1-'1.설계입력'!$C$39^2))*SIN(B1095))/SQRT(1+'1.설계입력'!$C$39^2-2*'1.설계입력'!$C$39*COS(B1095)))</f>
        <v/>
      </c>
    </row>
    <row r="1096" spans="1:11" x14ac:dyDescent="0.3">
      <c r="A1096" s="40">
        <f>A1095+'1.설계입력'!$C$12</f>
        <v>217.99999999999616</v>
      </c>
      <c r="B1096" s="40">
        <f t="shared" si="51"/>
        <v>3.8048177693475713</v>
      </c>
      <c r="C1096" s="40">
        <f>ATAN2('1.설계입력'!$C$6/('1.설계입력'!$C$8*'1.설계입력'!$C$15)-COS((1-'1.설계입력'!$C$15)*B1096),SIN((1-'1.설계입력'!$C$15)*B1096))</f>
        <v>0.30711721724413388</v>
      </c>
      <c r="D1096" s="40">
        <f>'1.설계입력'!$C$6*COS(B1096)-'1.설계입력'!$C$7*COS(B1096+C1096)-'1.설계입력'!$C$8*COS('1.설계입력'!$C$15*B1096)</f>
        <v>-62.617285612502421</v>
      </c>
      <c r="E1096" s="40">
        <f>-'1.설계입력'!$C$6*SIN(B1096)+'1.설계입력'!$C$7*SIN(B1096+C1096)+'1.설계입력'!$C$8*SIN('1.설계입력'!$C$15*B1096)</f>
        <v>48.661135863476467</v>
      </c>
      <c r="F1096" s="40">
        <f>ATAN2(('1.설계입력'!$C$6+'1.설계입력'!$C$33)/('1.설계입력'!$C$8*'1.설계입력'!$C$15)-COS((1-'1.설계입력'!$C$15)*B1096),SIN((1-'1.설계입력'!$C$15)*B1096))</f>
        <v>0.30712427424206284</v>
      </c>
      <c r="G1096" s="40">
        <f>('1.설계입력'!$C$6+'1.설계입력'!$C$33)*COS(B1096)-('1.설계입력'!$C$7+'1.설계입력'!$C$34)*COS(B1096+F1096)-'1.설계입력'!$C$8*COS('1.설계입력'!$C$15*B1096)</f>
        <v>-62.610289478103205</v>
      </c>
      <c r="H1096" s="40">
        <f>-('1.설계입력'!$C$6+'1.설계입력'!$C$33)*SIN(B1096)+('1.설계입력'!$C$7+'1.설계입력'!$C$34)*SIN(B1096+F1096)+'1.설계입력'!$C$8*SIN('1.설계입력'!$C$15*B1096)</f>
        <v>48.652528189985553</v>
      </c>
      <c r="I1096" s="40">
        <f t="shared" si="52"/>
        <v>79.302147518219314</v>
      </c>
      <c r="J1096" s="40">
        <f t="shared" si="53"/>
        <v>79.291341568983555</v>
      </c>
      <c r="K1096" s="38" t="str">
        <f>IF(OR(A1096&gt;180,'1.설계입력'!$C$39&gt;=1),"",'1.설계입력'!$C$34*(1-SIN(B1096)/SQRT(1+'1.설계입력'!$C$39^2-2*'1.설계입력'!$C$39*COS(B1096)))-'1.설계입력'!$C$33*(1-'1.설계입력'!$C$39*COS(B1096)-SQRT(MAX(0,1-'1.설계입력'!$C$39^2))*SIN(B1096))/SQRT(1+'1.설계입력'!$C$39^2-2*'1.설계입력'!$C$39*COS(B1096)))</f>
        <v/>
      </c>
    </row>
    <row r="1097" spans="1:11" x14ac:dyDescent="0.3">
      <c r="A1097" s="40">
        <f>A1096+'1.설계입력'!$C$12</f>
        <v>218.19999999999615</v>
      </c>
      <c r="B1097" s="40">
        <f t="shared" si="51"/>
        <v>3.8083084278515598</v>
      </c>
      <c r="C1097" s="40">
        <f>ATAN2('1.설계입력'!$C$6/('1.설계입력'!$C$8*'1.설계입력'!$C$15)-COS((1-'1.설계입력'!$C$15)*B1097),SIN((1-'1.설계입력'!$C$15)*B1097))</f>
        <v>0.3627946655731078</v>
      </c>
      <c r="D1097" s="40">
        <f>'1.설계입력'!$C$6*COS(B1097)-'1.설계입력'!$C$7*COS(B1097+C1097)-'1.설계입력'!$C$8*COS('1.설계입력'!$C$15*B1097)</f>
        <v>-62.431660554664958</v>
      </c>
      <c r="E1097" s="40">
        <f>-'1.설계입력'!$C$6*SIN(B1097)+'1.설계입력'!$C$7*SIN(B1097+C1097)+'1.설계입력'!$C$8*SIN('1.설계입력'!$C$15*B1097)</f>
        <v>48.780387253180173</v>
      </c>
      <c r="F1097" s="40">
        <f>ATAN2(('1.설계입력'!$C$6+'1.설계입력'!$C$33)/('1.설계입력'!$C$8*'1.설계입력'!$C$15)-COS((1-'1.설계입력'!$C$15)*B1097),SIN((1-'1.설계입력'!$C$15)*B1097))</f>
        <v>0.36280318531301087</v>
      </c>
      <c r="G1097" s="40">
        <f>('1.설계입력'!$C$6+'1.설계입력'!$C$33)*COS(B1097)-('1.설계입력'!$C$7+'1.설계입력'!$C$34)*COS(B1097+F1097)-'1.설계입력'!$C$8*COS('1.설계입력'!$C$15*B1097)</f>
        <v>-62.425080233070972</v>
      </c>
      <c r="H1097" s="40">
        <f>-('1.설계입력'!$C$6+'1.설계입력'!$C$33)*SIN(B1097)+('1.설계입력'!$C$7+'1.설계입력'!$C$34)*SIN(B1097+F1097)+'1.설계입력'!$C$8*SIN('1.설계입력'!$C$15*B1097)</f>
        <v>48.771510513432737</v>
      </c>
      <c r="I1097" s="40">
        <f t="shared" si="52"/>
        <v>79.229025111906623</v>
      </c>
      <c r="J1097" s="40">
        <f t="shared" si="53"/>
        <v>79.218374635353555</v>
      </c>
      <c r="K1097" s="38" t="str">
        <f>IF(OR(A1097&gt;180,'1.설계입력'!$C$39&gt;=1),"",'1.설계입력'!$C$34*(1-SIN(B1097)/SQRT(1+'1.설계입력'!$C$39^2-2*'1.설계입력'!$C$39*COS(B1097)))-'1.설계입력'!$C$33*(1-'1.설계입력'!$C$39*COS(B1097)-SQRT(MAX(0,1-'1.설계입력'!$C$39^2))*SIN(B1097))/SQRT(1+'1.설계입력'!$C$39^2-2*'1.설계입력'!$C$39*COS(B1097)))</f>
        <v/>
      </c>
    </row>
    <row r="1098" spans="1:11" x14ac:dyDescent="0.3">
      <c r="A1098" s="40">
        <f>A1097+'1.설계입력'!$C$12</f>
        <v>218.39999999999614</v>
      </c>
      <c r="B1098" s="40">
        <f t="shared" si="51"/>
        <v>3.8117990863555482</v>
      </c>
      <c r="C1098" s="40">
        <f>ATAN2('1.설계입력'!$C$6/('1.설계입력'!$C$8*'1.설계입력'!$C$15)-COS((1-'1.설계입력'!$C$15)*B1098),SIN((1-'1.설계입력'!$C$15)*B1098))</f>
        <v>0.41768663938847733</v>
      </c>
      <c r="D1098" s="40">
        <f>'1.설계입력'!$C$6*COS(B1098)-'1.설계입력'!$C$7*COS(B1098+C1098)-'1.설계입력'!$C$8*COS('1.설계입력'!$C$15*B1098)</f>
        <v>-62.248661214190228</v>
      </c>
      <c r="E1098" s="40">
        <f>-'1.설계입력'!$C$6*SIN(B1098)+'1.설계입력'!$C$7*SIN(B1098+C1098)+'1.설계입력'!$C$8*SIN('1.설계입력'!$C$15*B1098)</f>
        <v>48.883298730107029</v>
      </c>
      <c r="F1098" s="40">
        <f>ATAN2(('1.설계입력'!$C$6+'1.설계입력'!$C$33)/('1.설계입력'!$C$8*'1.설계입력'!$C$15)-COS((1-'1.설계입력'!$C$15)*B1098),SIN((1-'1.설계입력'!$C$15)*B1098))</f>
        <v>0.41769670883984455</v>
      </c>
      <c r="G1098" s="40">
        <f>('1.설계입력'!$C$6+'1.설계입력'!$C$33)*COS(B1098)-('1.설계입력'!$C$7+'1.설계입력'!$C$34)*COS(B1098+F1098)-'1.설계입력'!$C$8*COS('1.설계입력'!$C$15*B1098)</f>
        <v>-62.242506254439256</v>
      </c>
      <c r="H1098" s="40">
        <f>-('1.설계입력'!$C$6+'1.설계입력'!$C$33)*SIN(B1098)+('1.설계입력'!$C$7+'1.설계입력'!$C$34)*SIN(B1098+F1098)+'1.설계입력'!$C$8*SIN('1.설계입력'!$C$15*B1098)</f>
        <v>48.874180661954888</v>
      </c>
      <c r="I1098" s="40">
        <f t="shared" si="52"/>
        <v>79.148422079634116</v>
      </c>
      <c r="J1098" s="40">
        <f t="shared" si="53"/>
        <v>79.137949936874875</v>
      </c>
      <c r="K1098" s="38" t="str">
        <f>IF(OR(A1098&gt;180,'1.설계입력'!$C$39&gt;=1),"",'1.설계입력'!$C$34*(1-SIN(B1098)/SQRT(1+'1.설계입력'!$C$39^2-2*'1.설계입력'!$C$39*COS(B1098)))-'1.설계입력'!$C$33*(1-'1.설계입력'!$C$39*COS(B1098)-SQRT(MAX(0,1-'1.설계입력'!$C$39^2))*SIN(B1098))/SQRT(1+'1.설계입력'!$C$39^2-2*'1.설계입력'!$C$39*COS(B1098)))</f>
        <v/>
      </c>
    </row>
    <row r="1099" spans="1:11" x14ac:dyDescent="0.3">
      <c r="A1099" s="40">
        <f>A1098+'1.설계입력'!$C$12</f>
        <v>218.59999999999613</v>
      </c>
      <c r="B1099" s="40">
        <f t="shared" si="51"/>
        <v>3.8152897448595366</v>
      </c>
      <c r="C1099" s="40">
        <f>ATAN2('1.설계입력'!$C$6/('1.설계입력'!$C$8*'1.설계입력'!$C$15)-COS((1-'1.설계입력'!$C$15)*B1099),SIN((1-'1.설계입력'!$C$15)*B1099))</f>
        <v>0.47158570349855367</v>
      </c>
      <c r="D1099" s="40">
        <f>'1.설계입력'!$C$6*COS(B1099)-'1.설계입력'!$C$7*COS(B1099+C1099)-'1.설계입력'!$C$8*COS('1.설계입력'!$C$15*B1099)</f>
        <v>-62.070641595262678</v>
      </c>
      <c r="E1099" s="40">
        <f>-'1.설계입력'!$C$6*SIN(B1099)+'1.설계입력'!$C$7*SIN(B1099+C1099)+'1.설계입력'!$C$8*SIN('1.설계입력'!$C$15*B1099)</f>
        <v>48.970263027942977</v>
      </c>
      <c r="F1099" s="40">
        <f>ATAN2(('1.설계입력'!$C$6+'1.설계입력'!$C$33)/('1.설계입력'!$C$8*'1.설계입력'!$C$15)-COS((1-'1.설계입력'!$C$15)*B1099),SIN((1-'1.설계입력'!$C$15)*B1099))</f>
        <v>0.47159743161401074</v>
      </c>
      <c r="G1099" s="40">
        <f>('1.설계입력'!$C$6+'1.설계입력'!$C$33)*COS(B1099)-('1.설계입력'!$C$7+'1.설계입력'!$C$34)*COS(B1099+F1099)-'1.설계입력'!$C$8*COS('1.설계입력'!$C$15*B1099)</f>
        <v>-62.06491811011248</v>
      </c>
      <c r="H1099" s="40">
        <f>-('1.설계입력'!$C$6+'1.설계입력'!$C$33)*SIN(B1099)+('1.설계입력'!$C$7+'1.설계입력'!$C$34)*SIN(B1099+F1099)+'1.설계입력'!$C$8*SIN('1.설계입력'!$C$15*B1099)</f>
        <v>48.96093189963144</v>
      </c>
      <c r="I1099" s="40">
        <f t="shared" si="52"/>
        <v>79.062324839796318</v>
      </c>
      <c r="J1099" s="40">
        <f t="shared" si="53"/>
        <v>79.052051918310852</v>
      </c>
      <c r="K1099" s="38" t="str">
        <f>IF(OR(A1099&gt;180,'1.설계입력'!$C$39&gt;=1),"",'1.설계입력'!$C$34*(1-SIN(B1099)/SQRT(1+'1.설계입력'!$C$39^2-2*'1.설계입력'!$C$39*COS(B1099)))-'1.설계입력'!$C$33*(1-'1.설계입력'!$C$39*COS(B1099)-SQRT(MAX(0,1-'1.설계입력'!$C$39^2))*SIN(B1099))/SQRT(1+'1.설계입력'!$C$39^2-2*'1.설계입력'!$C$39*COS(B1099)))</f>
        <v/>
      </c>
    </row>
    <row r="1100" spans="1:11" x14ac:dyDescent="0.3">
      <c r="A1100" s="40">
        <f>A1099+'1.설계입력'!$C$12</f>
        <v>218.79999999999612</v>
      </c>
      <c r="B1100" s="40">
        <f t="shared" si="51"/>
        <v>3.8187804033635251</v>
      </c>
      <c r="C1100" s="40">
        <f>ATAN2('1.설계입력'!$C$6/('1.설계입력'!$C$8*'1.설계입력'!$C$15)-COS((1-'1.설계입력'!$C$15)*B1100),SIN((1-'1.설계입력'!$C$15)*B1100))</f>
        <v>0.52423341567795645</v>
      </c>
      <c r="D1100" s="40">
        <f>'1.설계입력'!$C$6*COS(B1100)-'1.설계입력'!$C$7*COS(B1100+C1100)-'1.설계입력'!$C$8*COS('1.설계입력'!$C$15*B1100)</f>
        <v>-61.89967200528428</v>
      </c>
      <c r="E1100" s="40">
        <f>-'1.설계입력'!$C$6*SIN(B1100)+'1.설계입력'!$C$7*SIN(B1100+C1100)+'1.설계입력'!$C$8*SIN('1.설계입력'!$C$15*B1100)</f>
        <v>49.042075854169362</v>
      </c>
      <c r="F1100" s="40">
        <f>ATAN2(('1.설계입력'!$C$6+'1.설계입력'!$C$33)/('1.설계입력'!$C$8*'1.설계입력'!$C$15)-COS((1-'1.설계입력'!$C$15)*B1100),SIN((1-'1.설계입력'!$C$15)*B1100))</f>
        <v>0.5242469382026661</v>
      </c>
      <c r="G1100" s="40">
        <f>('1.설계입력'!$C$6+'1.설계입력'!$C$33)*COS(B1100)-('1.설계입력'!$C$7+'1.설계입력'!$C$34)*COS(B1100+F1100)-'1.설계입력'!$C$8*COS('1.설계입력'!$C$15*B1100)</f>
        <v>-61.894382236021592</v>
      </c>
      <c r="H1100" s="40">
        <f>-('1.설계입력'!$C$6+'1.설계입력'!$C$33)*SIN(B1100)+('1.설계입력'!$C$7+'1.설계입력'!$C$34)*SIN(B1100+F1100)+'1.설계입력'!$C$8*SIN('1.설계입력'!$C$15*B1100)</f>
        <v>49.032560134620219</v>
      </c>
      <c r="I1100" s="40">
        <f t="shared" si="52"/>
        <v>78.972745921918374</v>
      </c>
      <c r="J1100" s="40">
        <f t="shared" si="53"/>
        <v>78.962690593304202</v>
      </c>
      <c r="K1100" s="38" t="str">
        <f>IF(OR(A1100&gt;180,'1.설계입력'!$C$39&gt;=1),"",'1.설계입력'!$C$34*(1-SIN(B1100)/SQRT(1+'1.설계입력'!$C$39^2-2*'1.설계입력'!$C$39*COS(B1100)))-'1.설계입력'!$C$33*(1-'1.설계입력'!$C$39*COS(B1100)-SQRT(MAX(0,1-'1.설계입력'!$C$39^2))*SIN(B1100))/SQRT(1+'1.설계입력'!$C$39^2-2*'1.설계입력'!$C$39*COS(B1100)))</f>
        <v/>
      </c>
    </row>
    <row r="1101" spans="1:11" x14ac:dyDescent="0.3">
      <c r="A1101" s="40">
        <f>A1100+'1.설계입력'!$C$12</f>
        <v>218.99999999999611</v>
      </c>
      <c r="B1101" s="40">
        <f t="shared" si="51"/>
        <v>3.8222710618675135</v>
      </c>
      <c r="C1101" s="40">
        <f>ATAN2('1.설계입력'!$C$6/('1.설계입력'!$C$8*'1.설계입력'!$C$15)-COS((1-'1.설계입력'!$C$15)*B1101),SIN((1-'1.설계입력'!$C$15)*B1101))</f>
        <v>0.57530026069308526</v>
      </c>
      <c r="D1101" s="40">
        <f>'1.설계입력'!$C$6*COS(B1101)-'1.설계입력'!$C$7*COS(B1101+C1101)-'1.설계입력'!$C$8*COS('1.설계입력'!$C$15*B1101)</f>
        <v>-61.7373964562887</v>
      </c>
      <c r="E1101" s="40">
        <f>-'1.설계입력'!$C$6*SIN(B1101)+'1.설계입력'!$C$7*SIN(B1101+C1101)+'1.설계입력'!$C$8*SIN('1.설계입력'!$C$15*B1101)</f>
        <v>49.099898748893501</v>
      </c>
      <c r="F1101" s="40">
        <f>ATAN2(('1.설계입력'!$C$6+'1.설계입력'!$C$33)/('1.설계입력'!$C$8*'1.설계입력'!$C$15)-COS((1-'1.설계입력'!$C$15)*B1101),SIN((1-'1.설계입력'!$C$15)*B1101))</f>
        <v>0.57531574661892837</v>
      </c>
      <c r="G1101" s="40">
        <f>('1.설계입력'!$C$6+'1.설계입력'!$C$33)*COS(B1101)-('1.설계입력'!$C$7+'1.설계입력'!$C$34)*COS(B1101+F1101)-'1.설계입력'!$C$8*COS('1.설계입력'!$C$15*B1101)</f>
        <v>-61.73253821349946</v>
      </c>
      <c r="H1101" s="40">
        <f>-('1.설계입력'!$C$6+'1.설계입력'!$C$33)*SIN(B1101)+('1.설계입력'!$C$7+'1.설계입력'!$C$34)*SIN(B1101+F1101)+'1.설계입력'!$C$8*SIN('1.설계입력'!$C$15*B1101)</f>
        <v>49.090226728726456</v>
      </c>
      <c r="I1101" s="40">
        <f t="shared" si="52"/>
        <v>78.881595941972179</v>
      </c>
      <c r="J1101" s="40">
        <f t="shared" si="53"/>
        <v>78.871773370192074</v>
      </c>
      <c r="K1101" s="38" t="str">
        <f>IF(OR(A1101&gt;180,'1.설계입력'!$C$39&gt;=1),"",'1.설계입력'!$C$34*(1-SIN(B1101)/SQRT(1+'1.설계입력'!$C$39^2-2*'1.설계입력'!$C$39*COS(B1101)))-'1.설계입력'!$C$33*(1-'1.설계입력'!$C$39*COS(B1101)-SQRT(MAX(0,1-'1.설계입력'!$C$39^2))*SIN(B1101))/SQRT(1+'1.설계입력'!$C$39^2-2*'1.설계입력'!$C$39*COS(B1101)))</f>
        <v/>
      </c>
    </row>
    <row r="1102" spans="1:11" x14ac:dyDescent="0.3">
      <c r="A1102" s="40">
        <f>A1101+'1.설계입력'!$C$12</f>
        <v>219.19999999999609</v>
      </c>
      <c r="B1102" s="40">
        <f t="shared" si="51"/>
        <v>3.8257617203715024</v>
      </c>
      <c r="C1102" s="40">
        <f>ATAN2('1.설계입력'!$C$6/('1.설계입력'!$C$8*'1.설계입력'!$C$15)-COS((1-'1.설계입력'!$C$15)*B1102),SIN((1-'1.설계입력'!$C$15)*B1102))</f>
        <v>0.62435622374625643</v>
      </c>
      <c r="D1102" s="40">
        <f>'1.설계입력'!$C$6*COS(B1102)-'1.설계입력'!$C$7*COS(B1102+C1102)-'1.설계입력'!$C$8*COS('1.설계입력'!$C$15*B1102)</f>
        <v>-61.584857485824408</v>
      </c>
      <c r="E1102" s="40">
        <f>-'1.설계입력'!$C$6*SIN(B1102)+'1.설계입력'!$C$7*SIN(B1102+C1102)+'1.설계입력'!$C$8*SIN('1.설계입력'!$C$15*B1102)</f>
        <v>49.14520435992069</v>
      </c>
      <c r="F1102" s="40">
        <f>ATAN2(('1.설계입력'!$C$6+'1.설계입력'!$C$33)/('1.설계입력'!$C$8*'1.설계입력'!$C$15)-COS((1-'1.설계입력'!$C$15)*B1102),SIN((1-'1.설계입력'!$C$15)*B1102))</f>
        <v>0.62437388399969107</v>
      </c>
      <c r="G1102" s="40">
        <f>('1.설계입력'!$C$6+'1.설계입력'!$C$33)*COS(B1102)-('1.설계입력'!$C$7+'1.설계입력'!$C$34)*COS(B1102+F1102)-'1.설계입력'!$C$8*COS('1.설계입력'!$C$15*B1102)</f>
        <v>-61.580423397367269</v>
      </c>
      <c r="H1102" s="40">
        <f>-('1.설계입력'!$C$6+'1.설계입력'!$C$33)*SIN(B1102)+('1.설계입력'!$C$7+'1.설계입력'!$C$34)*SIN(B1102+F1102)+'1.설계입력'!$C$8*SIN('1.설계입력'!$C$15*B1102)</f>
        <v>49.135403707634488</v>
      </c>
      <c r="I1102" s="40">
        <f t="shared" si="52"/>
        <v>78.790518358033864</v>
      </c>
      <c r="J1102" s="40">
        <f t="shared" si="53"/>
        <v>78.780939593985806</v>
      </c>
      <c r="K1102" s="38" t="str">
        <f>IF(OR(A1102&gt;180,'1.설계입력'!$C$39&gt;=1),"",'1.설계입력'!$C$34*(1-SIN(B1102)/SQRT(1+'1.설계입력'!$C$39^2-2*'1.설계입력'!$C$39*COS(B1102)))-'1.설계입력'!$C$33*(1-'1.설계입력'!$C$39*COS(B1102)-SQRT(MAX(0,1-'1.설계입력'!$C$39^2))*SIN(B1102))/SQRT(1+'1.설계입력'!$C$39^2-2*'1.설계입력'!$C$39*COS(B1102)))</f>
        <v/>
      </c>
    </row>
    <row r="1103" spans="1:11" x14ac:dyDescent="0.3">
      <c r="A1103" s="40">
        <f>A1102+'1.설계입력'!$C$12</f>
        <v>219.39999999999608</v>
      </c>
      <c r="B1103" s="40">
        <f t="shared" si="51"/>
        <v>3.8292523788754909</v>
      </c>
      <c r="C1103" s="40">
        <f>ATAN2('1.설계입력'!$C$6/('1.설계입력'!$C$8*'1.설계입력'!$C$15)-COS((1-'1.설계입력'!$C$15)*B1103),SIN((1-'1.설계입력'!$C$15)*B1103))</f>
        <v>0.67082641042259972</v>
      </c>
      <c r="D1103" s="40">
        <f>'1.설계입력'!$C$6*COS(B1103)-'1.설계입력'!$C$7*COS(B1103+C1103)-'1.설계입력'!$C$8*COS('1.설계입력'!$C$15*B1103)</f>
        <v>-61.442268206822249</v>
      </c>
      <c r="E1103" s="40">
        <f>-'1.설계입력'!$C$6*SIN(B1103)+'1.설계입력'!$C$7*SIN(B1103+C1103)+'1.설계입력'!$C$8*SIN('1.설계입력'!$C$15*B1103)</f>
        <v>49.179702745936964</v>
      </c>
      <c r="F1103" s="40">
        <f>ATAN2(('1.설계입력'!$C$6+'1.설계입력'!$C$33)/('1.설계입력'!$C$8*'1.설계입력'!$C$15)-COS((1-'1.설계입력'!$C$15)*B1103),SIN((1-'1.설계입력'!$C$15)*B1103))</f>
        <v>0.67084650958971459</v>
      </c>
      <c r="G1103" s="40">
        <f>('1.설계입력'!$C$6+'1.설계입력'!$C$33)*COS(B1103)-('1.설계입력'!$C$7+'1.설계입력'!$C$34)*COS(B1103+F1103)-'1.설계입력'!$C$8*COS('1.설계입력'!$C$15*B1103)</f>
        <v>-61.438244661445673</v>
      </c>
      <c r="H1103" s="40">
        <f>-('1.설계입력'!$C$6+'1.설계입력'!$C$33)*SIN(B1103)+('1.설계입력'!$C$7+'1.설계입력'!$C$34)*SIN(B1103+F1103)+'1.설계입력'!$C$8*SIN('1.설계입력'!$C$15*B1103)</f>
        <v>49.169799978286882</v>
      </c>
      <c r="I1103" s="40">
        <f t="shared" si="52"/>
        <v>78.700670166001771</v>
      </c>
      <c r="J1103" s="40">
        <f t="shared" si="53"/>
        <v>78.69134092760396</v>
      </c>
      <c r="K1103" s="38" t="str">
        <f>IF(OR(A1103&gt;180,'1.설계입력'!$C$39&gt;=1),"",'1.설계입력'!$C$34*(1-SIN(B1103)/SQRT(1+'1.설계입력'!$C$39^2-2*'1.설계입력'!$C$39*COS(B1103)))-'1.설계입력'!$C$33*(1-'1.설계입력'!$C$39*COS(B1103)-SQRT(MAX(0,1-'1.설계입력'!$C$39^2))*SIN(B1103))/SQRT(1+'1.설계입력'!$C$39^2-2*'1.설계입력'!$C$39*COS(B1103)))</f>
        <v/>
      </c>
    </row>
    <row r="1104" spans="1:11" x14ac:dyDescent="0.3">
      <c r="A1104" s="40">
        <f>A1103+'1.설계입력'!$C$12</f>
        <v>219.59999999999607</v>
      </c>
      <c r="B1104" s="40">
        <f t="shared" si="51"/>
        <v>3.8327430373794793</v>
      </c>
      <c r="C1104" s="40">
        <f>ATAN2('1.설계입력'!$C$6/('1.설계입력'!$C$8*'1.설계입력'!$C$15)-COS((1-'1.설계입력'!$C$15)*B1104),SIN((1-'1.설계입력'!$C$15)*B1104))</f>
        <v>0.71392208455543194</v>
      </c>
      <c r="D1104" s="40">
        <f>'1.설계입력'!$C$6*COS(B1104)-'1.설계입력'!$C$7*COS(B1104+C1104)-'1.설계입력'!$C$8*COS('1.설계입력'!$C$15*B1104)</f>
        <v>-61.308695155426584</v>
      </c>
      <c r="E1104" s="40">
        <f>-'1.설계입력'!$C$6*SIN(B1104)+'1.설계입력'!$C$7*SIN(B1104+C1104)+'1.설계입력'!$C$8*SIN('1.설계입력'!$C$15*B1104)</f>
        <v>49.205248231863379</v>
      </c>
      <c r="F1104" s="40">
        <f>ATAN2(('1.설계입력'!$C$6+'1.설계입력'!$C$33)/('1.설계입력'!$C$8*'1.설계입력'!$C$15)-COS((1-'1.설계입력'!$C$15)*B1104),SIN((1-'1.설계입력'!$C$15)*B1104))</f>
        <v>0.7139449566774887</v>
      </c>
      <c r="G1104" s="40">
        <f>('1.설계입력'!$C$6+'1.설계입력'!$C$33)*COS(B1104)-('1.설계입력'!$C$7+'1.설계입력'!$C$34)*COS(B1104+F1104)-'1.설계입력'!$C$8*COS('1.설계입력'!$C$15*B1104)</f>
        <v>-61.305060755142939</v>
      </c>
      <c r="H1104" s="40">
        <f>-('1.설계입력'!$C$6+'1.설계입력'!$C$33)*SIN(B1104)+('1.설계입력'!$C$7+'1.설계입력'!$C$34)*SIN(B1104+F1104)+'1.설계입력'!$C$8*SIN('1.설계입력'!$C$15*B1104)</f>
        <v>49.195268071915969</v>
      </c>
      <c r="I1104" s="40">
        <f t="shared" si="52"/>
        <v>78.612419853483217</v>
      </c>
      <c r="J1104" s="40">
        <f t="shared" si="53"/>
        <v>78.603338827682393</v>
      </c>
      <c r="K1104" s="38" t="str">
        <f>IF(OR(A1104&gt;180,'1.설계입력'!$C$39&gt;=1),"",'1.설계입력'!$C$34*(1-SIN(B1104)/SQRT(1+'1.설계입력'!$C$39^2-2*'1.설계입력'!$C$39*COS(B1104)))-'1.설계입력'!$C$33*(1-'1.설계입력'!$C$39*COS(B1104)-SQRT(MAX(0,1-'1.설계입력'!$C$39^2))*SIN(B1104))/SQRT(1+'1.설계입력'!$C$39^2-2*'1.설계입력'!$C$39*COS(B1104)))</f>
        <v/>
      </c>
    </row>
    <row r="1105" spans="1:11" x14ac:dyDescent="0.3">
      <c r="A1105" s="40">
        <f>A1104+'1.설계입력'!$C$12</f>
        <v>219.79999999999606</v>
      </c>
      <c r="B1105" s="40">
        <f t="shared" si="51"/>
        <v>3.8362336958834677</v>
      </c>
      <c r="C1105" s="40">
        <f>ATAN2('1.설계입력'!$C$6/('1.설계입력'!$C$8*'1.설계입력'!$C$15)-COS((1-'1.설계입력'!$C$15)*B1105),SIN((1-'1.설계입력'!$C$15)*B1105))</f>
        <v>0.75252996523689086</v>
      </c>
      <c r="D1105" s="40">
        <f>'1.설계입력'!$C$6*COS(B1105)-'1.설계입력'!$C$7*COS(B1105+C1105)-'1.설계입력'!$C$8*COS('1.설계입력'!$C$15*B1105)</f>
        <v>-61.181584901410638</v>
      </c>
      <c r="E1105" s="40">
        <f>-'1.설계입력'!$C$6*SIN(B1105)+'1.설계입력'!$C$7*SIN(B1105+C1105)+'1.설계입력'!$C$8*SIN('1.설계입력'!$C$15*B1105)</f>
        <v>49.223730231431063</v>
      </c>
      <c r="F1105" s="40">
        <f>ATAN2(('1.설계입력'!$C$6+'1.설계입력'!$C$33)/('1.설계입력'!$C$8*'1.설계입력'!$C$15)-COS((1-'1.설계입력'!$C$15)*B1105),SIN((1-'1.설계입력'!$C$15)*B1105))</f>
        <v>0.75255603479595001</v>
      </c>
      <c r="G1105" s="40">
        <f>('1.설계입력'!$C$6+'1.설계입력'!$C$33)*COS(B1105)-('1.설계입력'!$C$7+'1.설계입력'!$C$34)*COS(B1105+F1105)-'1.설계입력'!$C$8*COS('1.설계입력'!$C$15*B1105)</f>
        <v>-61.178308098250234</v>
      </c>
      <c r="H1105" s="40">
        <f>-('1.설계입력'!$C$6+'1.설계입력'!$C$33)*SIN(B1105)+('1.설계입력'!$C$7+'1.설계입력'!$C$34)*SIN(B1105+F1105)+'1.설계입력'!$C$8*SIN('1.설계입력'!$C$15*B1105)</f>
        <v>49.213694826304533</v>
      </c>
      <c r="I1105" s="40">
        <f t="shared" si="52"/>
        <v>78.524912919055311</v>
      </c>
      <c r="J1105" s="40">
        <f t="shared" si="53"/>
        <v>78.516069312090906</v>
      </c>
      <c r="K1105" s="38" t="str">
        <f>IF(OR(A1105&gt;180,'1.설계입력'!$C$39&gt;=1),"",'1.설계입력'!$C$34*(1-SIN(B1105)/SQRT(1+'1.설계입력'!$C$39^2-2*'1.설계입력'!$C$39*COS(B1105)))-'1.설계입력'!$C$33*(1-'1.설계입력'!$C$39*COS(B1105)-SQRT(MAX(0,1-'1.설계입력'!$C$39^2))*SIN(B1105))/SQRT(1+'1.설계입력'!$C$39^2-2*'1.설계입력'!$C$39*COS(B1105)))</f>
        <v/>
      </c>
    </row>
    <row r="1106" spans="1:11" x14ac:dyDescent="0.3">
      <c r="A1106" s="40">
        <f>A1105+'1.설계입력'!$C$12</f>
        <v>219.99999999999605</v>
      </c>
      <c r="B1106" s="40">
        <f t="shared" si="51"/>
        <v>3.8397243543874562</v>
      </c>
      <c r="C1106" s="40">
        <f>ATAN2('1.설계입력'!$C$6/('1.설계입력'!$C$8*'1.설계입력'!$C$15)-COS((1-'1.설계입력'!$C$15)*B1106),SIN((1-'1.설계입력'!$C$15)*B1106))</f>
        <v>0.78502806713806861</v>
      </c>
      <c r="D1106" s="40">
        <f>'1.설계입력'!$C$6*COS(B1106)-'1.설계입력'!$C$7*COS(B1106+C1106)-'1.설계입력'!$C$8*COS('1.설계입력'!$C$15*B1106)</f>
        <v>-61.056007705775293</v>
      </c>
      <c r="E1106" s="40">
        <f>-'1.설계입력'!$C$6*SIN(B1106)+'1.설계입력'!$C$7*SIN(B1106+C1106)+'1.설계입력'!$C$8*SIN('1.설계입력'!$C$15*B1106)</f>
        <v>49.236964713871934</v>
      </c>
      <c r="F1106" s="40">
        <f>ATAN2(('1.설계입력'!$C$6+'1.설계입력'!$C$33)/('1.설계입력'!$C$8*'1.설계입력'!$C$15)-COS((1-'1.설계입력'!$C$15)*B1106),SIN((1-'1.설계입력'!$C$15)*B1106))</f>
        <v>0.78505787571138441</v>
      </c>
      <c r="G1106" s="40">
        <f>('1.설계입력'!$C$6+'1.설계입력'!$C$33)*COS(B1106)-('1.설계입력'!$C$7+'1.설계입력'!$C$34)*COS(B1106+F1106)-'1.설계입력'!$C$8*COS('1.설계입력'!$C$15*B1106)</f>
        <v>-61.053043037556847</v>
      </c>
      <c r="H1106" s="40">
        <f>-('1.설계입력'!$C$6+'1.설계입력'!$C$33)*SIN(B1106)+('1.설계입력'!$C$7+'1.설계입력'!$C$34)*SIN(B1106+F1106)+'1.설계입력'!$C$8*SIN('1.설계입력'!$C$15*B1106)</f>
        <v>49.226892701781921</v>
      </c>
      <c r="I1106" s="40">
        <f t="shared" si="52"/>
        <v>78.435417836604671</v>
      </c>
      <c r="J1106" s="40">
        <f t="shared" si="53"/>
        <v>78.42678770177011</v>
      </c>
      <c r="K1106" s="38" t="str">
        <f>IF(OR(A1106&gt;180,'1.설계입력'!$C$39&gt;=1),"",'1.설계입력'!$C$34*(1-SIN(B1106)/SQRT(1+'1.설계입력'!$C$39^2-2*'1.설계입력'!$C$39*COS(B1106)))-'1.설계입력'!$C$33*(1-'1.설계입력'!$C$39*COS(B1106)-SQRT(MAX(0,1-'1.설계입력'!$C$39^2))*SIN(B1106))/SQRT(1+'1.설계입력'!$C$39^2-2*'1.설계입력'!$C$39*COS(B1106)))</f>
        <v/>
      </c>
    </row>
    <row r="1107" spans="1:11" x14ac:dyDescent="0.3">
      <c r="A1107" s="40">
        <f>A1106+'1.설계입력'!$C$12</f>
        <v>220.19999999999604</v>
      </c>
      <c r="B1107" s="40">
        <f t="shared" si="51"/>
        <v>3.8432150128914446</v>
      </c>
      <c r="C1107" s="40">
        <f>ATAN2('1.설계입력'!$C$6/('1.설계입력'!$C$8*'1.설계입력'!$C$15)-COS((1-'1.설계입력'!$C$15)*B1107),SIN((1-'1.설계입력'!$C$15)*B1107))</f>
        <v>0.80896725152928062</v>
      </c>
      <c r="D1107" s="40">
        <f>'1.설계입력'!$C$6*COS(B1107)-'1.설계입력'!$C$7*COS(B1107+C1107)-'1.설계입력'!$C$8*COS('1.설계입력'!$C$15*B1107)</f>
        <v>-60.923371550209907</v>
      </c>
      <c r="E1107" s="40">
        <f>-'1.설계입력'!$C$6*SIN(B1107)+'1.설계입력'!$C$7*SIN(B1107+C1107)+'1.설계입력'!$C$8*SIN('1.설계입력'!$C$15*B1107)</f>
        <v>49.246645437227954</v>
      </c>
      <c r="F1107" s="40">
        <f>ATAN2(('1.설계입력'!$C$6+'1.설계입력'!$C$33)/('1.설계입력'!$C$8*'1.설계입력'!$C$15)-COS((1-'1.설계입력'!$C$15)*B1107),SIN((1-'1.설계입력'!$C$15)*B1107))</f>
        <v>0.80900148721928955</v>
      </c>
      <c r="G1107" s="40">
        <f>('1.설계입력'!$C$6+'1.설계입력'!$C$33)*COS(B1107)-('1.설계입력'!$C$7+'1.설계입력'!$C$34)*COS(B1107+F1107)-'1.설계입력'!$C$8*COS('1.설계입력'!$C$15*B1107)</f>
        <v>-60.920653374277308</v>
      </c>
      <c r="H1107" s="40">
        <f>-('1.설계입력'!$C$6+'1.설계입력'!$C$33)*SIN(B1107)+('1.설계입력'!$C$7+'1.설계입력'!$C$34)*SIN(B1107+F1107)+'1.설계입력'!$C$8*SIN('1.설계입력'!$C$15*B1107)</f>
        <v>49.236550940364161</v>
      </c>
      <c r="I1107" s="40">
        <f t="shared" si="52"/>
        <v>78.338300261525788</v>
      </c>
      <c r="J1107" s="40">
        <f t="shared" si="53"/>
        <v>78.329840776372833</v>
      </c>
      <c r="K1107" s="38" t="str">
        <f>IF(OR(A1107&gt;180,'1.설계입력'!$C$39&gt;=1),"",'1.설계입력'!$C$34*(1-SIN(B1107)/SQRT(1+'1.설계입력'!$C$39^2-2*'1.설계입력'!$C$39*COS(B1107)))-'1.설계입력'!$C$33*(1-'1.설계입력'!$C$39*COS(B1107)-SQRT(MAX(0,1-'1.설계입력'!$C$39^2))*SIN(B1107))/SQRT(1+'1.설계입력'!$C$39^2-2*'1.설계입력'!$C$39*COS(B1107)))</f>
        <v/>
      </c>
    </row>
    <row r="1108" spans="1:11" x14ac:dyDescent="0.3">
      <c r="A1108" s="40">
        <f>A1107+'1.설계입력'!$C$12</f>
        <v>220.39999999999603</v>
      </c>
      <c r="B1108" s="40">
        <f t="shared" si="51"/>
        <v>3.8467056713954331</v>
      </c>
      <c r="C1108" s="40">
        <f>ATAN2('1.설계입력'!$C$6/('1.설계입력'!$C$8*'1.설계입력'!$C$15)-COS((1-'1.설계입력'!$C$15)*B1108),SIN((1-'1.설계입력'!$C$15)*B1108))</f>
        <v>0.82049791612024014</v>
      </c>
      <c r="D1108" s="40">
        <f>'1.설계입력'!$C$6*COS(B1108)-'1.설계입력'!$C$7*COS(B1108+C1108)-'1.설계입력'!$C$8*COS('1.설계입력'!$C$15*B1108)</f>
        <v>-60.769115068810912</v>
      </c>
      <c r="E1108" s="40">
        <f>-'1.설계입력'!$C$6*SIN(B1108)+'1.설계입력'!$C$7*SIN(B1108+C1108)+'1.설계입력'!$C$8*SIN('1.설계입력'!$C$15*B1108)</f>
        <v>49.254549342527589</v>
      </c>
      <c r="F1108" s="40">
        <f>ATAN2(('1.설계입력'!$C$6+'1.설계입력'!$C$33)/('1.설계입력'!$C$8*'1.설계입력'!$C$15)-COS((1-'1.설계입력'!$C$15)*B1108),SIN((1-'1.설계입력'!$C$15)*B1108))</f>
        <v>0.82053742990937162</v>
      </c>
      <c r="G1108" s="40">
        <f>('1.설계입력'!$C$6+'1.설계입력'!$C$33)*COS(B1108)-('1.설계입력'!$C$7+'1.설계입력'!$C$34)*COS(B1108+F1108)-'1.설계입력'!$C$8*COS('1.설계입력'!$C$15*B1108)</f>
        <v>-60.766546636616184</v>
      </c>
      <c r="H1108" s="40">
        <f>-('1.설계입력'!$C$6+'1.설계입력'!$C$33)*SIN(B1108)+('1.설계입력'!$C$7+'1.설계입력'!$C$34)*SIN(B1108+F1108)+'1.설계입력'!$C$8*SIN('1.설계입력'!$C$15*B1108)</f>
        <v>49.244441287706664</v>
      </c>
      <c r="I1108" s="40">
        <f t="shared" si="52"/>
        <v>78.223372320438003</v>
      </c>
      <c r="J1108" s="40">
        <f t="shared" si="53"/>
        <v>78.215012547965742</v>
      </c>
      <c r="K1108" s="38" t="str">
        <f>IF(OR(A1108&gt;180,'1.설계입력'!$C$39&gt;=1),"",'1.설계입력'!$C$34*(1-SIN(B1108)/SQRT(1+'1.설계입력'!$C$39^2-2*'1.설계입력'!$C$39*COS(B1108)))-'1.설계입력'!$C$33*(1-'1.설계입력'!$C$39*COS(B1108)-SQRT(MAX(0,1-'1.설계입력'!$C$39^2))*SIN(B1108))/SQRT(1+'1.설계입력'!$C$39^2-2*'1.설계입력'!$C$39*COS(B1108)))</f>
        <v/>
      </c>
    </row>
    <row r="1109" spans="1:11" x14ac:dyDescent="0.3">
      <c r="A1109" s="40">
        <f>A1108+'1.설계입력'!$C$12</f>
        <v>220.59999999999602</v>
      </c>
      <c r="B1109" s="40">
        <f t="shared" si="51"/>
        <v>3.8501963298994215</v>
      </c>
      <c r="C1109" s="40">
        <f>ATAN2('1.설계입력'!$C$6/('1.설계입력'!$C$8*'1.설계입력'!$C$15)-COS((1-'1.설계입력'!$C$15)*B1109),SIN((1-'1.설계입력'!$C$15)*B1109))</f>
        <v>0.81329921113333725</v>
      </c>
      <c r="D1109" s="40">
        <f>'1.설계입력'!$C$6*COS(B1109)-'1.설계입력'!$C$7*COS(B1109+C1109)-'1.설계입력'!$C$8*COS('1.설계입력'!$C$15*B1109)</f>
        <v>-60.568405281427253</v>
      </c>
      <c r="E1109" s="40">
        <f>-'1.설계입력'!$C$6*SIN(B1109)+'1.설계입력'!$C$7*SIN(B1109+C1109)+'1.설계입력'!$C$8*SIN('1.설계입력'!$C$15*B1109)</f>
        <v>49.263631289613095</v>
      </c>
      <c r="F1109" s="40">
        <f>ATAN2(('1.설계입력'!$C$6+'1.설계입력'!$C$33)/('1.설계입력'!$C$8*'1.설계입력'!$C$15)-COS((1-'1.설계입력'!$C$15)*B1109),SIN((1-'1.설계입력'!$C$15)*B1109))</f>
        <v>0.81334495783147565</v>
      </c>
      <c r="G1109" s="40">
        <f>('1.설계입력'!$C$6+'1.설계입력'!$C$33)*COS(B1109)-('1.설계입력'!$C$7+'1.설계입력'!$C$34)*COS(B1109+F1109)-'1.설계입력'!$C$8*COS('1.설계입력'!$C$15*B1109)</f>
        <v>-60.565838799714342</v>
      </c>
      <c r="H1109" s="40">
        <f>-('1.설계입력'!$C$6+'1.설계입력'!$C$33)*SIN(B1109)+('1.설계입력'!$C$7+'1.설계입력'!$C$34)*SIN(B1109+F1109)+'1.설계입력'!$C$8*SIN('1.설계입력'!$C$15*B1109)</f>
        <v>49.253514612202473</v>
      </c>
      <c r="I1109" s="40">
        <f t="shared" si="52"/>
        <v>78.07328023193449</v>
      </c>
      <c r="J1109" s="40">
        <f t="shared" si="53"/>
        <v>78.064905887136163</v>
      </c>
      <c r="K1109" s="38" t="str">
        <f>IF(OR(A1109&gt;180,'1.설계입력'!$C$39&gt;=1),"",'1.설계입력'!$C$34*(1-SIN(B1109)/SQRT(1+'1.설계입력'!$C$39^2-2*'1.설계입력'!$C$39*COS(B1109)))-'1.설계입력'!$C$33*(1-'1.설계입력'!$C$39*COS(B1109)-SQRT(MAX(0,1-'1.설계입력'!$C$39^2))*SIN(B1109))/SQRT(1+'1.설계입력'!$C$39^2-2*'1.설계입력'!$C$39*COS(B1109)))</f>
        <v/>
      </c>
    </row>
    <row r="1110" spans="1:11" x14ac:dyDescent="0.3">
      <c r="A1110" s="40">
        <f>A1109+'1.설계입력'!$C$12</f>
        <v>220.799999999996</v>
      </c>
      <c r="B1110" s="40">
        <f t="shared" si="51"/>
        <v>3.85368698840341</v>
      </c>
      <c r="C1110" s="40">
        <f>ATAN2('1.설계입력'!$C$6/('1.설계입력'!$C$8*'1.설계입력'!$C$15)-COS((1-'1.설계입력'!$C$15)*B1110),SIN((1-'1.설계입력'!$C$15)*B1110))</f>
        <v>0.77654519894827834</v>
      </c>
      <c r="D1110" s="40">
        <f>'1.설계입력'!$C$6*COS(B1110)-'1.설계입력'!$C$7*COS(B1110+C1110)-'1.설계입력'!$C$8*COS('1.설계입력'!$C$15*B1110)</f>
        <v>-60.278115556721986</v>
      </c>
      <c r="E1110" s="40">
        <f>-'1.설계입력'!$C$6*SIN(B1110)+'1.설계입력'!$C$7*SIN(B1110+C1110)+'1.설계입력'!$C$8*SIN('1.설계입력'!$C$15*B1110)</f>
        <v>49.282113876790959</v>
      </c>
      <c r="F1110" s="40">
        <f>ATAN2(('1.설계입력'!$C$6+'1.설계입력'!$C$33)/('1.설계입력'!$C$8*'1.설계입력'!$C$15)-COS((1-'1.설계입력'!$C$15)*B1110),SIN((1-'1.설계입력'!$C$15)*B1110))</f>
        <v>0.77659787589921336</v>
      </c>
      <c r="G1110" s="40">
        <f>('1.설계입력'!$C$6+'1.설계입력'!$C$33)*COS(B1110)-('1.설계입력'!$C$7+'1.설계입력'!$C$34)*COS(B1110+F1110)-'1.설계입력'!$C$8*COS('1.설계입력'!$C$15*B1110)</f>
        <v>-60.275314573190784</v>
      </c>
      <c r="H1110" s="40">
        <f>-('1.설계입력'!$C$6+'1.설계입력'!$C$33)*SIN(B1110)+('1.설계입력'!$C$7+'1.설계입력'!$C$34)*SIN(B1110+F1110)+'1.설계입력'!$C$8*SIN('1.설계입력'!$C$15*B1110)</f>
        <v>49.271998272904305</v>
      </c>
      <c r="I1110" s="40">
        <f t="shared" si="52"/>
        <v>77.859989489047067</v>
      </c>
      <c r="J1110" s="40">
        <f t="shared" si="53"/>
        <v>77.851418488696723</v>
      </c>
      <c r="K1110" s="38" t="str">
        <f>IF(OR(A1110&gt;180,'1.설계입력'!$C$39&gt;=1),"",'1.설계입력'!$C$34*(1-SIN(B1110)/SQRT(1+'1.설계입력'!$C$39^2-2*'1.설계입력'!$C$39*COS(B1110)))-'1.설계입력'!$C$33*(1-'1.설계입력'!$C$39*COS(B1110)-SQRT(MAX(0,1-'1.설계입력'!$C$39^2))*SIN(B1110))/SQRT(1+'1.설계입력'!$C$39^2-2*'1.설계입력'!$C$39*COS(B1110)))</f>
        <v/>
      </c>
    </row>
    <row r="1111" spans="1:11" x14ac:dyDescent="0.3">
      <c r="A1111" s="40">
        <f>A1110+'1.설계입력'!$C$12</f>
        <v>220.99999999999599</v>
      </c>
      <c r="B1111" s="40">
        <f t="shared" si="51"/>
        <v>3.8571776469073984</v>
      </c>
      <c r="C1111" s="40">
        <f>ATAN2('1.설계입력'!$C$6/('1.설계입력'!$C$8*'1.설계입력'!$C$15)-COS((1-'1.설계입력'!$C$15)*B1111),SIN((1-'1.설계입력'!$C$15)*B1111))</f>
        <v>0.69127080375699745</v>
      </c>
      <c r="D1111" s="40">
        <f>'1.설계입력'!$C$6*COS(B1111)-'1.설계입력'!$C$7*COS(B1111+C1111)-'1.설계입력'!$C$8*COS('1.설계입력'!$C$15*B1111)</f>
        <v>-59.823818014809149</v>
      </c>
      <c r="E1111" s="40">
        <f>-'1.설계입력'!$C$6*SIN(B1111)+'1.설계입력'!$C$7*SIN(B1111+C1111)+'1.설계입력'!$C$8*SIN('1.설계입력'!$C$15*B1111)</f>
        <v>49.337442873589488</v>
      </c>
      <c r="F1111" s="40">
        <f>ATAN2(('1.설계입력'!$C$6+'1.설계입력'!$C$33)/('1.설계입력'!$C$8*'1.설계입력'!$C$15)-COS((1-'1.설계입력'!$C$15)*B1111),SIN((1-'1.설계입력'!$C$15)*B1111))</f>
        <v>0.69132940343950355</v>
      </c>
      <c r="G1111" s="40">
        <f>('1.설계입력'!$C$6+'1.설계입력'!$C$33)*COS(B1111)-('1.설계입력'!$C$7+'1.설계입력'!$C$34)*COS(B1111+F1111)-'1.설계입력'!$C$8*COS('1.설계입력'!$C$15*B1111)</f>
        <v>-59.820388162416407</v>
      </c>
      <c r="H1111" s="40">
        <f>-('1.설계입력'!$C$6+'1.설계입력'!$C$33)*SIN(B1111)+('1.설계입력'!$C$7+'1.설계입력'!$C$34)*SIN(B1111+F1111)+'1.설계입력'!$C$8*SIN('1.설계입력'!$C$15*B1111)</f>
        <v>49.327379370611538</v>
      </c>
      <c r="I1111" s="40">
        <f t="shared" si="52"/>
        <v>77.544003450774383</v>
      </c>
      <c r="J1111" s="40">
        <f t="shared" si="53"/>
        <v>77.534954668680896</v>
      </c>
      <c r="K1111" s="38" t="str">
        <f>IF(OR(A1111&gt;180,'1.설계입력'!$C$39&gt;=1),"",'1.설계입력'!$C$34*(1-SIN(B1111)/SQRT(1+'1.설계입력'!$C$39^2-2*'1.설계입력'!$C$39*COS(B1111)))-'1.설계입력'!$C$33*(1-'1.설계입력'!$C$39*COS(B1111)-SQRT(MAX(0,1-'1.설계입력'!$C$39^2))*SIN(B1111))/SQRT(1+'1.설계입력'!$C$39^2-2*'1.설계입력'!$C$39*COS(B1111)))</f>
        <v/>
      </c>
    </row>
    <row r="1112" spans="1:11" x14ac:dyDescent="0.3">
      <c r="A1112" s="40">
        <f>A1111+'1.설계입력'!$C$12</f>
        <v>221.19999999999598</v>
      </c>
      <c r="B1112" s="40">
        <f t="shared" si="51"/>
        <v>3.8606683054113868</v>
      </c>
      <c r="C1112" s="40">
        <f>ATAN2('1.설계입력'!$C$6/('1.설계입력'!$C$8*'1.설계입력'!$C$15)-COS((1-'1.설계입력'!$C$15)*B1112),SIN((1-'1.설계입력'!$C$15)*B1112))</f>
        <v>0.52626875195089984</v>
      </c>
      <c r="D1112" s="40">
        <f>'1.설계입력'!$C$6*COS(B1112)-'1.설계입력'!$C$7*COS(B1112+C1112)-'1.설계입력'!$C$8*COS('1.설계입력'!$C$15*B1112)</f>
        <v>-59.09465306649895</v>
      </c>
      <c r="E1112" s="40">
        <f>-'1.설계입력'!$C$6*SIN(B1112)+'1.설계입력'!$C$7*SIN(B1112+C1112)+'1.설계입력'!$C$8*SIN('1.설계입력'!$C$15*B1112)</f>
        <v>49.518303078925584</v>
      </c>
      <c r="F1112" s="40">
        <f>ATAN2(('1.설계입력'!$C$6+'1.설계입력'!$C$33)/('1.설계입력'!$C$8*'1.설계입력'!$C$15)-COS((1-'1.설계입력'!$C$15)*B1112),SIN((1-'1.설계입력'!$C$15)*B1112))</f>
        <v>0.52632584653802605</v>
      </c>
      <c r="G1112" s="40">
        <f>('1.설계입력'!$C$6+'1.설계입력'!$C$33)*COS(B1112)-('1.설계입력'!$C$7+'1.설계입력'!$C$34)*COS(B1112+F1112)-'1.설계입력'!$C$8*COS('1.설계입력'!$C$15*B1112)</f>
        <v>-59.089947540640537</v>
      </c>
      <c r="H1112" s="40">
        <f>-('1.설계입력'!$C$6+'1.설계입력'!$C$33)*SIN(B1112)+('1.설계입력'!$C$7+'1.설계입력'!$C$34)*SIN(B1112+F1112)+'1.설계입력'!$C$8*SIN('1.설계입력'!$C$15*B1112)</f>
        <v>49.508513177663417</v>
      </c>
      <c r="I1112" s="40">
        <f t="shared" si="52"/>
        <v>77.098899868066894</v>
      </c>
      <c r="J1112" s="40">
        <f t="shared" si="53"/>
        <v>77.089005554738634</v>
      </c>
      <c r="K1112" s="38" t="str">
        <f>IF(OR(A1112&gt;180,'1.설계입력'!$C$39&gt;=1),"",'1.설계입력'!$C$34*(1-SIN(B1112)/SQRT(1+'1.설계입력'!$C$39^2-2*'1.설계입력'!$C$39*COS(B1112)))-'1.설계입력'!$C$33*(1-'1.설계입력'!$C$39*COS(B1112)-SQRT(MAX(0,1-'1.설계입력'!$C$39^2))*SIN(B1112))/SQRT(1+'1.설계입력'!$C$39^2-2*'1.설계입력'!$C$39*COS(B1112)))</f>
        <v/>
      </c>
    </row>
    <row r="1113" spans="1:11" x14ac:dyDescent="0.3">
      <c r="A1113" s="40">
        <f>A1112+'1.설계입력'!$C$12</f>
        <v>221.39999999999597</v>
      </c>
      <c r="B1113" s="40">
        <f t="shared" si="51"/>
        <v>3.8641589639153753</v>
      </c>
      <c r="C1113" s="40">
        <f>ATAN2('1.설계입력'!$C$6/('1.설계입력'!$C$8*'1.설계입력'!$C$15)-COS((1-'1.설계입력'!$C$15)*B1113),SIN((1-'1.설계입력'!$C$15)*B1113))</f>
        <v>0.24835429786184726</v>
      </c>
      <c r="D1113" s="40">
        <f>'1.설계입력'!$C$6*COS(B1113)-'1.설계입력'!$C$7*COS(B1113+C1113)-'1.설계입력'!$C$8*COS('1.설계입력'!$C$15*B1113)</f>
        <v>-58.037422637436286</v>
      </c>
      <c r="E1113" s="40">
        <f>-'1.설계입력'!$C$6*SIN(B1113)+'1.설계입력'!$C$7*SIN(B1113+C1113)+'1.설계입력'!$C$8*SIN('1.설계입력'!$C$15*B1113)</f>
        <v>50.044271945746395</v>
      </c>
      <c r="F1113" s="40">
        <f>ATAN2(('1.설계입력'!$C$6+'1.설계입력'!$C$33)/('1.설계입력'!$C$8*'1.설계입력'!$C$15)-COS((1-'1.설계입력'!$C$15)*B1113),SIN((1-'1.설계입력'!$C$15)*B1113))</f>
        <v>0.24838747470991032</v>
      </c>
      <c r="G1113" s="40">
        <f>('1.설계입력'!$C$6+'1.설계입력'!$C$33)*COS(B1113)-('1.설계입력'!$C$7+'1.설계입력'!$C$34)*COS(B1113+F1113)-'1.설계입력'!$C$8*COS('1.설계입력'!$C$15*B1113)</f>
        <v>-58.030634280477145</v>
      </c>
      <c r="H1113" s="40">
        <f>-('1.설계입력'!$C$6+'1.설계입력'!$C$33)*SIN(B1113)+('1.설계입력'!$C$7+'1.설계입력'!$C$34)*SIN(B1113+F1113)+'1.설계입력'!$C$8*SIN('1.설계입력'!$C$15*B1113)</f>
        <v>50.035461023614111</v>
      </c>
      <c r="I1113" s="40">
        <f t="shared" si="52"/>
        <v>76.634010602187729</v>
      </c>
      <c r="J1113" s="40">
        <f t="shared" si="53"/>
        <v>76.623115799607731</v>
      </c>
      <c r="K1113" s="38" t="str">
        <f>IF(OR(A1113&gt;180,'1.설계입력'!$C$39&gt;=1),"",'1.설계입력'!$C$34*(1-SIN(B1113)/SQRT(1+'1.설계입력'!$C$39^2-2*'1.설계입력'!$C$39*COS(B1113)))-'1.설계입력'!$C$33*(1-'1.설계입력'!$C$39*COS(B1113)-SQRT(MAX(0,1-'1.설계입력'!$C$39^2))*SIN(B1113))/SQRT(1+'1.설계입력'!$C$39^2-2*'1.설계입력'!$C$39*COS(B1113)))</f>
        <v/>
      </c>
    </row>
    <row r="1114" spans="1:11" x14ac:dyDescent="0.3">
      <c r="A1114" s="40">
        <f>A1113+'1.설계입력'!$C$12</f>
        <v>221.59999999999596</v>
      </c>
      <c r="B1114" s="40">
        <f t="shared" si="51"/>
        <v>3.8676496224193637</v>
      </c>
      <c r="C1114" s="40">
        <f>ATAN2('1.설계입력'!$C$6/('1.설계입력'!$C$8*'1.설계입력'!$C$15)-COS((1-'1.설계입력'!$C$15)*B1114),SIN((1-'1.설계입력'!$C$15)*B1114))</f>
        <v>-0.11344458337478579</v>
      </c>
      <c r="D1114" s="40">
        <f>'1.설계입력'!$C$6*COS(B1114)-'1.설계입력'!$C$7*COS(B1114+C1114)-'1.설계입력'!$C$8*COS('1.설계입력'!$C$15*B1114)</f>
        <v>-56.967839032127017</v>
      </c>
      <c r="E1114" s="40">
        <f>-'1.설계입력'!$C$6*SIN(B1114)+'1.설계입력'!$C$7*SIN(B1114+C1114)+'1.설계입력'!$C$8*SIN('1.설계입력'!$C$15*B1114)</f>
        <v>51.099934924024353</v>
      </c>
      <c r="F1114" s="40">
        <f>ATAN2(('1.설계입력'!$C$6+'1.설계입력'!$C$33)/('1.설계입력'!$C$8*'1.설계입력'!$C$15)-COS((1-'1.설계입력'!$C$15)*B1114),SIN((1-'1.설계입력'!$C$15)*B1114))</f>
        <v>-0.11346039632007728</v>
      </c>
      <c r="G1114" s="40">
        <f>('1.설계입력'!$C$6+'1.설계입력'!$C$33)*COS(B1114)-('1.설계입력'!$C$7+'1.설계입력'!$C$34)*COS(B1114+F1114)-'1.설계입력'!$C$8*COS('1.설계입력'!$C$15*B1114)</f>
        <v>-56.958857410362654</v>
      </c>
      <c r="H1114" s="40">
        <f>-('1.설계입력'!$C$6+'1.설계입력'!$C$33)*SIN(B1114)+('1.설계입력'!$C$7+'1.설계입력'!$C$34)*SIN(B1114+F1114)+'1.설계입력'!$C$8*SIN('1.설계입력'!$C$15*B1114)</f>
        <v>51.093271052617013</v>
      </c>
      <c r="I1114" s="40">
        <f t="shared" si="52"/>
        <v>76.528021229023409</v>
      </c>
      <c r="J1114" s="40">
        <f t="shared" si="53"/>
        <v>76.516885615857475</v>
      </c>
      <c r="K1114" s="38" t="str">
        <f>IF(OR(A1114&gt;180,'1.설계입력'!$C$39&gt;=1),"",'1.설계입력'!$C$34*(1-SIN(B1114)/SQRT(1+'1.설계입력'!$C$39^2-2*'1.설계입력'!$C$39*COS(B1114)))-'1.설계입력'!$C$33*(1-'1.설계입력'!$C$39*COS(B1114)-SQRT(MAX(0,1-'1.설계입력'!$C$39^2))*SIN(B1114))/SQRT(1+'1.설계입력'!$C$39^2-2*'1.설계입력'!$C$39*COS(B1114)))</f>
        <v/>
      </c>
    </row>
    <row r="1115" spans="1:11" x14ac:dyDescent="0.3">
      <c r="A1115" s="40">
        <f>A1114+'1.설계입력'!$C$12</f>
        <v>221.79999999999595</v>
      </c>
      <c r="B1115" s="40">
        <f t="shared" si="51"/>
        <v>3.8711402809233522</v>
      </c>
      <c r="C1115" s="40">
        <f>ATAN2('1.설계입력'!$C$6/('1.설계입력'!$C$8*'1.설계입력'!$C$15)-COS((1-'1.설계입력'!$C$15)*B1115),SIN((1-'1.설계입력'!$C$15)*B1115))</f>
        <v>-0.43361336162217534</v>
      </c>
      <c r="D1115" s="40">
        <f>'1.설계입력'!$C$6*COS(B1115)-'1.설계입력'!$C$7*COS(B1115+C1115)-'1.설계입력'!$C$8*COS('1.설계입력'!$C$15*B1115)</f>
        <v>-56.379419374950231</v>
      </c>
      <c r="E1115" s="40">
        <f>-'1.설계입력'!$C$6*SIN(B1115)+'1.설계입력'!$C$7*SIN(B1115+C1115)+'1.설계입력'!$C$8*SIN('1.설계입력'!$C$15*B1115)</f>
        <v>52.307111907878244</v>
      </c>
      <c r="F1115" s="40">
        <f>ATAN2(('1.설계입력'!$C$6+'1.설계입력'!$C$33)/('1.설계입력'!$C$8*'1.설계입력'!$C$15)-COS((1-'1.설계입력'!$C$15)*B1115),SIN((1-'1.설계입력'!$C$15)*B1115))</f>
        <v>-0.43366487161781864</v>
      </c>
      <c r="G1115" s="40">
        <f>('1.설계입력'!$C$6+'1.설계입력'!$C$33)*COS(B1115)-('1.설계입력'!$C$7+'1.설계입력'!$C$34)*COS(B1115+F1115)-'1.설계입력'!$C$8*COS('1.설계입력'!$C$15*B1115)</f>
        <v>-56.369300300788908</v>
      </c>
      <c r="H1115" s="40">
        <f>-('1.설계입력'!$C$6+'1.설계입력'!$C$33)*SIN(B1115)+('1.설계입력'!$C$7+'1.설계입력'!$C$34)*SIN(B1115+F1115)+'1.설계입력'!$C$8*SIN('1.설계입력'!$C$15*B1115)</f>
        <v>52.30288090890209</v>
      </c>
      <c r="I1115" s="40">
        <f t="shared" si="52"/>
        <v>76.906910516544684</v>
      </c>
      <c r="J1115" s="40">
        <f t="shared" si="53"/>
        <v>76.896614800466452</v>
      </c>
      <c r="K1115" s="38" t="str">
        <f>IF(OR(A1115&gt;180,'1.설계입력'!$C$39&gt;=1),"",'1.설계입력'!$C$34*(1-SIN(B1115)/SQRT(1+'1.설계입력'!$C$39^2-2*'1.설계입력'!$C$39*COS(B1115)))-'1.설계입력'!$C$33*(1-'1.설계입력'!$C$39*COS(B1115)-SQRT(MAX(0,1-'1.설계입력'!$C$39^2))*SIN(B1115))/SQRT(1+'1.설계입력'!$C$39^2-2*'1.설계입력'!$C$39*COS(B1115)))</f>
        <v/>
      </c>
    </row>
    <row r="1116" spans="1:11" x14ac:dyDescent="0.3">
      <c r="A1116" s="40">
        <f>A1115+'1.설계입력'!$C$12</f>
        <v>221.99999999999594</v>
      </c>
      <c r="B1116" s="40">
        <f t="shared" si="51"/>
        <v>3.8746309394273406</v>
      </c>
      <c r="C1116" s="40">
        <f>ATAN2('1.설계입력'!$C$6/('1.설계입력'!$C$8*'1.설계입력'!$C$15)-COS((1-'1.설계입력'!$C$15)*B1116),SIN((1-'1.설계입력'!$C$15)*B1116))</f>
        <v>-0.63934492164182355</v>
      </c>
      <c r="D1116" s="40">
        <f>'1.설계입력'!$C$6*COS(B1116)-'1.설계입력'!$C$7*COS(B1116+C1116)-'1.설계입력'!$C$8*COS('1.설계입력'!$C$15*B1116)</f>
        <v>-56.205419742372278</v>
      </c>
      <c r="E1116" s="40">
        <f>-'1.설계입력'!$C$6*SIN(B1116)+'1.설계입력'!$C$7*SIN(B1116+C1116)+'1.설계입력'!$C$8*SIN('1.설계입력'!$C$15*B1116)</f>
        <v>53.19544623980071</v>
      </c>
      <c r="F1116" s="40">
        <f>ATAN2(('1.설계입력'!$C$6+'1.설계입력'!$C$33)/('1.설계입력'!$C$8*'1.설계입력'!$C$15)-COS((1-'1.설계입력'!$C$15)*B1116),SIN((1-'1.설계입력'!$C$15)*B1116))</f>
        <v>-0.63940445098291543</v>
      </c>
      <c r="G1116" s="40">
        <f>('1.설계입력'!$C$6+'1.설계입력'!$C$33)*COS(B1116)-('1.설계입력'!$C$7+'1.설계입력'!$C$34)*COS(B1116+F1116)-'1.설계입력'!$C$8*COS('1.설계입력'!$C$15*B1116)</f>
        <v>-56.195029204690023</v>
      </c>
      <c r="H1116" s="40">
        <f>-('1.설계입력'!$C$6+'1.설계입력'!$C$33)*SIN(B1116)+('1.설계입력'!$C$7+'1.설계입력'!$C$34)*SIN(B1116+F1116)+'1.설계입력'!$C$8*SIN('1.설계입력'!$C$15*B1116)</f>
        <v>53.1928516822502</v>
      </c>
      <c r="I1116" s="40">
        <f t="shared" si="52"/>
        <v>77.387367890811348</v>
      </c>
      <c r="J1116" s="40">
        <f t="shared" si="53"/>
        <v>77.378038081912052</v>
      </c>
      <c r="K1116" s="38" t="str">
        <f>IF(OR(A1116&gt;180,'1.설계입력'!$C$39&gt;=1),"",'1.설계입력'!$C$34*(1-SIN(B1116)/SQRT(1+'1.설계입력'!$C$39^2-2*'1.설계입력'!$C$39*COS(B1116)))-'1.설계입력'!$C$33*(1-'1.설계입력'!$C$39*COS(B1116)-SQRT(MAX(0,1-'1.설계입력'!$C$39^2))*SIN(B1116))/SQRT(1+'1.설계입력'!$C$39^2-2*'1.설계입력'!$C$39*COS(B1116)))</f>
        <v/>
      </c>
    </row>
    <row r="1117" spans="1:11" x14ac:dyDescent="0.3">
      <c r="A1117" s="40">
        <f>A1116+'1.설계입력'!$C$12</f>
        <v>222.19999999999592</v>
      </c>
      <c r="B1117" s="40">
        <f t="shared" si="51"/>
        <v>3.878121597931329</v>
      </c>
      <c r="C1117" s="40">
        <f>ATAN2('1.설계입력'!$C$6/('1.설계입력'!$C$8*'1.설계입력'!$C$15)-COS((1-'1.설계입력'!$C$15)*B1117),SIN((1-'1.설계입력'!$C$15)*B1117))</f>
        <v>-0.75089819220168275</v>
      </c>
      <c r="D1117" s="40">
        <f>'1.설계입력'!$C$6*COS(B1117)-'1.설계입력'!$C$7*COS(B1117+C1117)-'1.설계입력'!$C$8*COS('1.설계입력'!$C$15*B1117)</f>
        <v>-56.18447994885242</v>
      </c>
      <c r="E1117" s="40">
        <f>-'1.설계입력'!$C$6*SIN(B1117)+'1.설계입력'!$C$7*SIN(B1117+C1117)+'1.설계입력'!$C$8*SIN('1.설계입력'!$C$15*B1117)</f>
        <v>53.747787556163608</v>
      </c>
      <c r="F1117" s="40">
        <f>ATAN2(('1.설계입력'!$C$6+'1.설계입력'!$C$33)/('1.설계입력'!$C$8*'1.설계입력'!$C$15)-COS((1-'1.설계입력'!$C$15)*B1117),SIN((1-'1.설계입력'!$C$15)*B1117))</f>
        <v>-0.75095345864110885</v>
      </c>
      <c r="G1117" s="40">
        <f>('1.설계입력'!$C$6+'1.설계입력'!$C$33)*COS(B1117)-('1.설계입력'!$C$7+'1.설계입력'!$C$34)*COS(B1117+F1117)-'1.설계입력'!$C$8*COS('1.설계입력'!$C$15*B1117)</f>
        <v>-56.17408747980658</v>
      </c>
      <c r="H1117" s="40">
        <f>-('1.설계입력'!$C$6+'1.설계입력'!$C$33)*SIN(B1117)+('1.설계입력'!$C$7+'1.설계입력'!$C$34)*SIN(B1117+F1117)+'1.설계입력'!$C$8*SIN('1.설계입력'!$C$15*B1117)</f>
        <v>53.746043099698781</v>
      </c>
      <c r="I1117" s="40">
        <f t="shared" si="52"/>
        <v>77.752944987990617</v>
      </c>
      <c r="J1117" s="40">
        <f t="shared" si="53"/>
        <v>77.744229709115018</v>
      </c>
      <c r="K1117" s="38" t="str">
        <f>IF(OR(A1117&gt;180,'1.설계입력'!$C$39&gt;=1),"",'1.설계입력'!$C$34*(1-SIN(B1117)/SQRT(1+'1.설계입력'!$C$39^2-2*'1.설계입력'!$C$39*COS(B1117)))-'1.설계입력'!$C$33*(1-'1.설계입력'!$C$39*COS(B1117)-SQRT(MAX(0,1-'1.설계입력'!$C$39^2))*SIN(B1117))/SQRT(1+'1.설계입력'!$C$39^2-2*'1.설계입력'!$C$39*COS(B1117)))</f>
        <v/>
      </c>
    </row>
    <row r="1118" spans="1:11" x14ac:dyDescent="0.3">
      <c r="A1118" s="40">
        <f>A1117+'1.설계입력'!$C$12</f>
        <v>222.39999999999591</v>
      </c>
      <c r="B1118" s="40">
        <f t="shared" si="51"/>
        <v>3.8816122564353175</v>
      </c>
      <c r="C1118" s="40">
        <f>ATAN2('1.설계입력'!$C$6/('1.설계입력'!$C$8*'1.설계입력'!$C$15)-COS((1-'1.설계입력'!$C$15)*B1118),SIN((1-'1.설계입력'!$C$15)*B1118))</f>
        <v>-0.8034676298012069</v>
      </c>
      <c r="D1118" s="40">
        <f>'1.설계입력'!$C$6*COS(B1118)-'1.설계입력'!$C$7*COS(B1118+C1118)-'1.설계입력'!$C$8*COS('1.설계입력'!$C$15*B1118)</f>
        <v>-56.198503691555125</v>
      </c>
      <c r="E1118" s="40">
        <f>-'1.설계입력'!$C$6*SIN(B1118)+'1.설계입력'!$C$7*SIN(B1118+C1118)+'1.설계입력'!$C$8*SIN('1.설계입력'!$C$15*B1118)</f>
        <v>54.090974054752166</v>
      </c>
      <c r="F1118" s="40">
        <f>ATAN2(('1.설계입력'!$C$6+'1.설계입력'!$C$33)/('1.설계입력'!$C$8*'1.설계입력'!$C$15)-COS((1-'1.설계입력'!$C$15)*B1118),SIN((1-'1.설계입력'!$C$15)*B1118))</f>
        <v>-0.80351600055787509</v>
      </c>
      <c r="G1118" s="40">
        <f>('1.설계입력'!$C$6+'1.설계입력'!$C$33)*COS(B1118)-('1.설계입력'!$C$7+'1.설계입력'!$C$34)*COS(B1118+F1118)-'1.설계입력'!$C$8*COS('1.설계입력'!$C$15*B1118)</f>
        <v>-56.188143075824875</v>
      </c>
      <c r="H1118" s="40">
        <f>-('1.설계입력'!$C$6+'1.설계입력'!$C$33)*SIN(B1118)+('1.설계입력'!$C$7+'1.설계입력'!$C$34)*SIN(B1118+F1118)+'1.설계입력'!$C$8*SIN('1.설계입력'!$C$15*B1118)</f>
        <v>54.089590786048831</v>
      </c>
      <c r="I1118" s="40">
        <f t="shared" si="52"/>
        <v>78.000674941705526</v>
      </c>
      <c r="J1118" s="40">
        <f t="shared" si="53"/>
        <v>77.992251241463634</v>
      </c>
      <c r="K1118" s="38" t="str">
        <f>IF(OR(A1118&gt;180,'1.설계입력'!$C$39&gt;=1),"",'1.설계입력'!$C$34*(1-SIN(B1118)/SQRT(1+'1.설계입력'!$C$39^2-2*'1.설계입력'!$C$39*COS(B1118)))-'1.설계입력'!$C$33*(1-'1.설계입력'!$C$39*COS(B1118)-SQRT(MAX(0,1-'1.설계입력'!$C$39^2))*SIN(B1118))/SQRT(1+'1.설계입력'!$C$39^2-2*'1.설계입력'!$C$39*COS(B1118)))</f>
        <v/>
      </c>
    </row>
    <row r="1119" spans="1:11" x14ac:dyDescent="0.3">
      <c r="A1119" s="40">
        <f>A1118+'1.설계입력'!$C$12</f>
        <v>222.5999999999959</v>
      </c>
      <c r="B1119" s="40">
        <f t="shared" si="51"/>
        <v>3.8851029149393059</v>
      </c>
      <c r="C1119" s="40">
        <f>ATAN2('1.설계입력'!$C$6/('1.설계입력'!$C$8*'1.설계입력'!$C$15)-COS((1-'1.설계입력'!$C$15)*B1119),SIN((1-'1.설계입력'!$C$15)*B1119))</f>
        <v>-0.82040803908469617</v>
      </c>
      <c r="D1119" s="40">
        <f>'1.설계입력'!$C$6*COS(B1119)-'1.설계입력'!$C$7*COS(B1119+C1119)-'1.설계입력'!$C$8*COS('1.설계입력'!$C$15*B1119)</f>
        <v>-56.214989158716051</v>
      </c>
      <c r="E1119" s="40">
        <f>-'1.설계입력'!$C$6*SIN(B1119)+'1.설계입력'!$C$7*SIN(B1119+C1119)+'1.설계입력'!$C$8*SIN('1.설계입력'!$C$15*B1119)</f>
        <v>54.319334726688624</v>
      </c>
      <c r="F1119" s="40">
        <f>ATAN2(('1.설계입력'!$C$6+'1.설계입력'!$C$33)/('1.설계입력'!$C$8*'1.설계입력'!$C$15)-COS((1-'1.설계입력'!$C$15)*B1119),SIN((1-'1.설계입력'!$C$15)*B1119))</f>
        <v>-0.82044983748239064</v>
      </c>
      <c r="G1119" s="40">
        <f>('1.설계입력'!$C$6+'1.설계입력'!$C$33)*COS(B1119)-('1.설계입력'!$C$7+'1.설계입력'!$C$34)*COS(B1119+F1119)-'1.설계입력'!$C$8*COS('1.설계입력'!$C$15*B1119)</f>
        <v>-56.204644068332023</v>
      </c>
      <c r="H1119" s="40">
        <f>-('1.설계입력'!$C$6+'1.설계입력'!$C$33)*SIN(B1119)+('1.설계입력'!$C$7+'1.설계입력'!$C$34)*SIN(B1119+F1119)+'1.설계입력'!$C$8*SIN('1.설계입력'!$C$15*B1119)</f>
        <v>54.318025706297057</v>
      </c>
      <c r="I1119" s="40">
        <f t="shared" si="52"/>
        <v>78.171063260420112</v>
      </c>
      <c r="J1119" s="40">
        <f t="shared" si="53"/>
        <v>78.16271445822386</v>
      </c>
      <c r="K1119" s="38" t="str">
        <f>IF(OR(A1119&gt;180,'1.설계입력'!$C$39&gt;=1),"",'1.설계입력'!$C$34*(1-SIN(B1119)/SQRT(1+'1.설계입력'!$C$39^2-2*'1.설계입력'!$C$39*COS(B1119)))-'1.설계입력'!$C$33*(1-'1.설계입력'!$C$39*COS(B1119)-SQRT(MAX(0,1-'1.설계입력'!$C$39^2))*SIN(B1119))/SQRT(1+'1.설계입력'!$C$39^2-2*'1.설계입력'!$C$39*COS(B1119)))</f>
        <v/>
      </c>
    </row>
    <row r="1120" spans="1:11" x14ac:dyDescent="0.3">
      <c r="A1120" s="40">
        <f>A1119+'1.설계입력'!$C$12</f>
        <v>222.79999999999589</v>
      </c>
      <c r="B1120" s="40">
        <f t="shared" si="51"/>
        <v>3.8885935734432944</v>
      </c>
      <c r="C1120" s="40">
        <f>ATAN2('1.설계입력'!$C$6/('1.설계입력'!$C$8*'1.설계입력'!$C$15)-COS((1-'1.설계입력'!$C$15)*B1120),SIN((1-'1.설계입력'!$C$15)*B1120))</f>
        <v>-0.81514572447486533</v>
      </c>
      <c r="D1120" s="40">
        <f>'1.설계입력'!$C$6*COS(B1120)-'1.설계입력'!$C$7*COS(B1120+C1120)-'1.설계입력'!$C$8*COS('1.설계입력'!$C$15*B1120)</f>
        <v>-56.22748196962543</v>
      </c>
      <c r="E1120" s="40">
        <f>-'1.설계입력'!$C$6*SIN(B1120)+'1.설계입력'!$C$7*SIN(B1120+C1120)+'1.설계입력'!$C$8*SIN('1.설계입력'!$C$15*B1120)</f>
        <v>54.487469013033753</v>
      </c>
      <c r="F1120" s="40">
        <f>ATAN2(('1.설계입력'!$C$6+'1.설계입력'!$C$33)/('1.설계입력'!$C$8*'1.설계입력'!$C$15)-COS((1-'1.설계입력'!$C$15)*B1120),SIN((1-'1.설계입력'!$C$15)*B1120))</f>
        <v>-0.81518188100755462</v>
      </c>
      <c r="G1120" s="40">
        <f>('1.설계입력'!$C$6+'1.설계입력'!$C$33)*COS(B1120)-('1.설계입력'!$C$7+'1.설계입력'!$C$34)*COS(B1120+F1120)-'1.설계입력'!$C$8*COS('1.설계입력'!$C$15*B1120)</f>
        <v>-56.217136077261301</v>
      </c>
      <c r="H1120" s="40">
        <f>-('1.설계입력'!$C$6+'1.설계입력'!$C$33)*SIN(B1120)+('1.설계입력'!$C$7+'1.설계입력'!$C$34)*SIN(B1120+F1120)+'1.설계입력'!$C$8*SIN('1.설계입력'!$C$15*B1120)</f>
        <v>54.486058873275603</v>
      </c>
      <c r="I1120" s="40">
        <f t="shared" si="52"/>
        <v>78.296960401351896</v>
      </c>
      <c r="J1120" s="40">
        <f t="shared" si="53"/>
        <v>78.288549611494076</v>
      </c>
      <c r="K1120" s="38" t="str">
        <f>IF(OR(A1120&gt;180,'1.설계입력'!$C$39&gt;=1),"",'1.설계입력'!$C$34*(1-SIN(B1120)/SQRT(1+'1.설계입력'!$C$39^2-2*'1.설계입력'!$C$39*COS(B1120)))-'1.설계입력'!$C$33*(1-'1.설계입력'!$C$39*COS(B1120)-SQRT(MAX(0,1-'1.설계입력'!$C$39^2))*SIN(B1120))/SQRT(1+'1.설계입력'!$C$39^2-2*'1.설계입력'!$C$39*COS(B1120)))</f>
        <v/>
      </c>
    </row>
    <row r="1121" spans="1:11" x14ac:dyDescent="0.3">
      <c r="A1121" s="40">
        <f>A1120+'1.설계입력'!$C$12</f>
        <v>222.99999999999588</v>
      </c>
      <c r="B1121" s="40">
        <f t="shared" si="51"/>
        <v>3.8920842319472828</v>
      </c>
      <c r="C1121" s="40">
        <f>ATAN2('1.설계입력'!$C$6/('1.설계입력'!$C$8*'1.설계입력'!$C$15)-COS((1-'1.설계입력'!$C$15)*B1121),SIN((1-'1.설계입력'!$C$15)*B1121))</f>
        <v>-0.79541947802461987</v>
      </c>
      <c r="D1121" s="40">
        <f>'1.설계입력'!$C$6*COS(B1121)-'1.설계입력'!$C$7*COS(B1121+C1121)-'1.설계입력'!$C$8*COS('1.설계입력'!$C$15*B1121)</f>
        <v>-56.235512152586892</v>
      </c>
      <c r="E1121" s="40">
        <f>-'1.설계입력'!$C$6*SIN(B1121)+'1.설계입력'!$C$7*SIN(B1121+C1121)+'1.설계입력'!$C$8*SIN('1.설계입력'!$C$15*B1121)</f>
        <v>54.626305041910264</v>
      </c>
      <c r="F1121" s="40">
        <f>ATAN2(('1.설계입력'!$C$6+'1.설계입력'!$C$33)/('1.설계입력'!$C$8*'1.설계입력'!$C$15)-COS((1-'1.설계입력'!$C$15)*B1121),SIN((1-'1.설계입력'!$C$15)*B1121))</f>
        <v>-0.79545089903679833</v>
      </c>
      <c r="G1121" s="40">
        <f>('1.설계입력'!$C$6+'1.설계입력'!$C$33)*COS(B1121)-('1.설계입력'!$C$7+'1.설계입력'!$C$34)*COS(B1121+F1121)-'1.설계입력'!$C$8*COS('1.설계입력'!$C$15*B1121)</f>
        <v>-56.225158787955515</v>
      </c>
      <c r="H1121" s="40">
        <f>-('1.설계입력'!$C$6+'1.설계입력'!$C$33)*SIN(B1121)+('1.설계입력'!$C$7+'1.설계입력'!$C$34)*SIN(B1121+F1121)+'1.설계입력'!$C$8*SIN('1.설계입력'!$C$15*B1121)</f>
        <v>54.624680451952237</v>
      </c>
      <c r="I1121" s="40">
        <f t="shared" si="52"/>
        <v>78.399400696660805</v>
      </c>
      <c r="J1121" s="40">
        <f t="shared" si="53"/>
        <v>78.390842546873444</v>
      </c>
      <c r="K1121" s="38" t="str">
        <f>IF(OR(A1121&gt;180,'1.설계입력'!$C$39&gt;=1),"",'1.설계입력'!$C$34*(1-SIN(B1121)/SQRT(1+'1.설계입력'!$C$39^2-2*'1.설계입력'!$C$39*COS(B1121)))-'1.설계입력'!$C$33*(1-'1.설계입력'!$C$39*COS(B1121)-SQRT(MAX(0,1-'1.설계입력'!$C$39^2))*SIN(B1121))/SQRT(1+'1.설계입력'!$C$39^2-2*'1.설계입력'!$C$39*COS(B1121)))</f>
        <v/>
      </c>
    </row>
    <row r="1122" spans="1:11" x14ac:dyDescent="0.3">
      <c r="A1122" s="40">
        <f>A1121+'1.설계입력'!$C$12</f>
        <v>223.19999999999587</v>
      </c>
      <c r="B1122" s="40">
        <f t="shared" si="51"/>
        <v>3.8955748904512713</v>
      </c>
      <c r="C1122" s="40">
        <f>ATAN2('1.설계입력'!$C$6/('1.설계입력'!$C$8*'1.설계입력'!$C$15)-COS((1-'1.설계입력'!$C$15)*B1122),SIN((1-'1.설계입력'!$C$15)*B1122))</f>
        <v>-0.76586332367020205</v>
      </c>
      <c r="D1122" s="40">
        <f>'1.설계입력'!$C$6*COS(B1122)-'1.설계입력'!$C$7*COS(B1122+C1122)-'1.설계입력'!$C$8*COS('1.설계입력'!$C$15*B1122)</f>
        <v>-56.23923525724458</v>
      </c>
      <c r="E1122" s="40">
        <f>-'1.설계입력'!$C$6*SIN(B1122)+'1.설계입력'!$C$7*SIN(B1122+C1122)+'1.설계입력'!$C$8*SIN('1.설계입력'!$C$15*B1122)</f>
        <v>54.7538011408556</v>
      </c>
      <c r="F1122" s="40">
        <f>ATAN2(('1.설계입력'!$C$6+'1.설계입력'!$C$33)/('1.설계입력'!$C$8*'1.설계입력'!$C$15)-COS((1-'1.설계입력'!$C$15)*B1122),SIN((1-'1.설계입력'!$C$15)*B1122))</f>
        <v>-0.76589075985061583</v>
      </c>
      <c r="G1122" s="40">
        <f>('1.설계입력'!$C$6+'1.설계입력'!$C$33)*COS(B1122)-('1.설계입력'!$C$7+'1.설계입력'!$C$34)*COS(B1122+F1122)-'1.설계입력'!$C$8*COS('1.설계입력'!$C$15*B1122)</f>
        <v>-56.228877334196383</v>
      </c>
      <c r="H1122" s="40">
        <f>-('1.설계입력'!$C$6+'1.설계입력'!$C$33)*SIN(B1122)+('1.설계입력'!$C$7+'1.설계입력'!$C$34)*SIN(B1122+F1122)+'1.설계입력'!$C$8*SIN('1.설계입력'!$C$15*B1122)</f>
        <v>54.751885238541647</v>
      </c>
      <c r="I1122" s="40">
        <f t="shared" si="52"/>
        <v>78.490956942134815</v>
      </c>
      <c r="J1122" s="40">
        <f t="shared" si="53"/>
        <v>78.482199150116443</v>
      </c>
      <c r="K1122" s="38" t="str">
        <f>IF(OR(A1122&gt;180,'1.설계입력'!$C$39&gt;=1),"",'1.설계입력'!$C$34*(1-SIN(B1122)/SQRT(1+'1.설계입력'!$C$39^2-2*'1.설계입력'!$C$39*COS(B1122)))-'1.설계입력'!$C$33*(1-'1.설계입력'!$C$39*COS(B1122)-SQRT(MAX(0,1-'1.설계입력'!$C$39^2))*SIN(B1122))/SQRT(1+'1.설계입력'!$C$39^2-2*'1.설계입력'!$C$39*COS(B1122)))</f>
        <v/>
      </c>
    </row>
    <row r="1123" spans="1:11" x14ac:dyDescent="0.3">
      <c r="A1123" s="40">
        <f>A1122+'1.설계입력'!$C$12</f>
        <v>223.39999999999586</v>
      </c>
      <c r="B1123" s="40">
        <f t="shared" si="51"/>
        <v>3.8990655489552597</v>
      </c>
      <c r="C1123" s="40">
        <f>ATAN2('1.설계입력'!$C$6/('1.설계입력'!$C$8*'1.설계입력'!$C$15)-COS((1-'1.설계입력'!$C$15)*B1123),SIN((1-'1.설계입력'!$C$15)*B1123))</f>
        <v>-0.72937719305412319</v>
      </c>
      <c r="D1123" s="40">
        <f>'1.설계입력'!$C$6*COS(B1123)-'1.설계입력'!$C$7*COS(B1123+C1123)-'1.설계입력'!$C$8*COS('1.설계입력'!$C$15*B1123)</f>
        <v>-56.238258372932833</v>
      </c>
      <c r="E1123" s="40">
        <f>-'1.설계입력'!$C$6*SIN(B1123)+'1.설계입력'!$C$7*SIN(B1123+C1123)+'1.설계입력'!$C$8*SIN('1.설계입력'!$C$15*B1123)</f>
        <v>54.880616791920154</v>
      </c>
      <c r="F1123" s="40">
        <f>ATAN2(('1.설계입력'!$C$6+'1.설계입력'!$C$33)/('1.설계입력'!$C$8*'1.설계입력'!$C$15)-COS((1-'1.설계입력'!$C$15)*B1123),SIN((1-'1.설계입력'!$C$15)*B1123))</f>
        <v>-0.72940123897329812</v>
      </c>
      <c r="G1123" s="40">
        <f>('1.설계입력'!$C$6+'1.설계입력'!$C$33)*COS(B1123)-('1.설계입력'!$C$7+'1.설계입력'!$C$34)*COS(B1123+F1123)-'1.설계입력'!$C$8*COS('1.설계입력'!$C$15*B1123)</f>
        <v>-56.227906481879231</v>
      </c>
      <c r="H1123" s="40">
        <f>-('1.설계입력'!$C$6+'1.설계입력'!$C$33)*SIN(B1123)+('1.설계입력'!$C$7+'1.설계입력'!$C$34)*SIN(B1123+F1123)+'1.설계입력'!$C$8*SIN('1.설계입력'!$C$15*B1123)</f>
        <v>54.878355615831509</v>
      </c>
      <c r="I1123" s="40">
        <f t="shared" si="52"/>
        <v>78.578774515019887</v>
      </c>
      <c r="J1123" s="40">
        <f t="shared" si="53"/>
        <v>78.569786702221748</v>
      </c>
      <c r="K1123" s="38" t="str">
        <f>IF(OR(A1123&gt;180,'1.설계입력'!$C$39&gt;=1),"",'1.설계입력'!$C$34*(1-SIN(B1123)/SQRT(1+'1.설계입력'!$C$39^2-2*'1.설계입력'!$C$39*COS(B1123)))-'1.설계입력'!$C$33*(1-'1.설계입력'!$C$39*COS(B1123)-SQRT(MAX(0,1-'1.설계입력'!$C$39^2))*SIN(B1123))/SQRT(1+'1.설계입력'!$C$39^2-2*'1.설계입력'!$C$39*COS(B1123)))</f>
        <v/>
      </c>
    </row>
    <row r="1124" spans="1:11" x14ac:dyDescent="0.3">
      <c r="A1124" s="40">
        <f>A1123+'1.설계입력'!$C$12</f>
        <v>223.59999999999584</v>
      </c>
      <c r="B1124" s="40">
        <f t="shared" si="51"/>
        <v>3.9025562074592481</v>
      </c>
      <c r="C1124" s="40">
        <f>ATAN2('1.설계입력'!$C$6/('1.설계입력'!$C$8*'1.설계입력'!$C$15)-COS((1-'1.설계입력'!$C$15)*B1124),SIN((1-'1.설계입력'!$C$15)*B1124))</f>
        <v>-0.6878531639879587</v>
      </c>
      <c r="D1124" s="40">
        <f>'1.설계입력'!$C$6*COS(B1124)-'1.설계입력'!$C$7*COS(B1124+C1124)-'1.설계입력'!$C$8*COS('1.설계입력'!$C$15*B1124)</f>
        <v>-56.231567490410306</v>
      </c>
      <c r="E1124" s="40">
        <f>-'1.설계입력'!$C$6*SIN(B1124)+'1.설계입력'!$C$7*SIN(B1124+C1124)+'1.설계입력'!$C$8*SIN('1.설계입력'!$C$15*B1124)</f>
        <v>55.013065121324075</v>
      </c>
      <c r="F1124" s="40">
        <f>ATAN2(('1.설계입력'!$C$6+'1.설계입력'!$C$33)/('1.설계입력'!$C$8*'1.설계입력'!$C$15)-COS((1-'1.설계입력'!$C$15)*B1124),SIN((1-'1.설계입력'!$C$15)*B1124))</f>
        <v>-0.68787428572827947</v>
      </c>
      <c r="G1124" s="40">
        <f>('1.설계입력'!$C$6+'1.설계입력'!$C$33)*COS(B1124)-('1.설계입력'!$C$7+'1.설계입력'!$C$34)*COS(B1124+F1124)-'1.설계입력'!$C$8*COS('1.설계입력'!$C$15*B1124)</f>
        <v>-56.221238012793137</v>
      </c>
      <c r="H1124" s="40">
        <f>-('1.설계입력'!$C$6+'1.설계입력'!$C$33)*SIN(B1124)+('1.설계입력'!$C$7+'1.설계입력'!$C$34)*SIN(B1124+F1124)+'1.설계입력'!$C$8*SIN('1.설계입력'!$C$15*B1124)</f>
        <v>55.010420065957867</v>
      </c>
      <c r="I1124" s="40">
        <f t="shared" si="52"/>
        <v>78.666552717604276</v>
      </c>
      <c r="J1124" s="40">
        <f t="shared" si="53"/>
        <v>78.657319554662408</v>
      </c>
      <c r="K1124" s="38" t="str">
        <f>IF(OR(A1124&gt;180,'1.설계입력'!$C$39&gt;=1),"",'1.설계입력'!$C$34*(1-SIN(B1124)/SQRT(1+'1.설계입력'!$C$39^2-2*'1.설계입력'!$C$39*COS(B1124)))-'1.설계입력'!$C$33*(1-'1.설계입력'!$C$39*COS(B1124)-SQRT(MAX(0,1-'1.설계입력'!$C$39^2))*SIN(B1124))/SQRT(1+'1.설계입력'!$C$39^2-2*'1.설계입력'!$C$39*COS(B1124)))</f>
        <v/>
      </c>
    </row>
    <row r="1125" spans="1:11" x14ac:dyDescent="0.3">
      <c r="A1125" s="40">
        <f>A1124+'1.설계입력'!$C$12</f>
        <v>223.79999999999583</v>
      </c>
      <c r="B1125" s="40">
        <f t="shared" si="51"/>
        <v>3.906046865963237</v>
      </c>
      <c r="C1125" s="40">
        <f>ATAN2('1.설계입력'!$C$6/('1.설계입력'!$C$8*'1.설계입력'!$C$15)-COS((1-'1.설계입력'!$C$15)*B1125),SIN((1-'1.설계입력'!$C$15)*B1125))</f>
        <v>-0.64257282306086794</v>
      </c>
      <c r="D1125" s="40">
        <f>'1.설계입력'!$C$6*COS(B1125)-'1.설계입력'!$C$7*COS(B1125+C1125)-'1.설계입력'!$C$8*COS('1.설계입력'!$C$15*B1125)</f>
        <v>-56.217707999067393</v>
      </c>
      <c r="E1125" s="40">
        <f>-'1.설계입력'!$C$6*SIN(B1125)+'1.설계입력'!$C$7*SIN(B1125+C1125)+'1.설계입력'!$C$8*SIN('1.설계입력'!$C$15*B1125)</f>
        <v>55.154703603646915</v>
      </c>
      <c r="F1125" s="40">
        <f>ATAN2(('1.설계입력'!$C$6+'1.설계입력'!$C$33)/('1.설계입력'!$C$8*'1.설계입력'!$C$15)-COS((1-'1.설계입력'!$C$15)*B1125),SIN((1-'1.설계입력'!$C$15)*B1125))</f>
        <v>-0.64259138665052395</v>
      </c>
      <c r="G1125" s="40">
        <f>('1.설계입력'!$C$6+'1.설계입력'!$C$33)*COS(B1125)-('1.설계입력'!$C$7+'1.설계입력'!$C$34)*COS(B1125+F1125)-'1.설계입력'!$C$8*COS('1.설계입력'!$C$15*B1125)</f>
        <v>-56.207421585535897</v>
      </c>
      <c r="H1125" s="40">
        <f>-('1.설계입력'!$C$6+'1.설계입력'!$C$33)*SIN(B1125)+('1.설계입력'!$C$7+'1.설계입력'!$C$34)*SIN(B1125+F1125)+'1.설계입력'!$C$8*SIN('1.설계입력'!$C$15*B1125)</f>
        <v>55.151647015839174</v>
      </c>
      <c r="I1125" s="40">
        <f t="shared" si="52"/>
        <v>78.755774532884558</v>
      </c>
      <c r="J1125" s="40">
        <f t="shared" si="53"/>
        <v>78.746291403810815</v>
      </c>
      <c r="K1125" s="38" t="str">
        <f>IF(OR(A1125&gt;180,'1.설계입력'!$C$39&gt;=1),"",'1.설계입력'!$C$34*(1-SIN(B1125)/SQRT(1+'1.설계입력'!$C$39^2-2*'1.설계입력'!$C$39*COS(B1125)))-'1.설계입력'!$C$33*(1-'1.설계입력'!$C$39*COS(B1125)-SQRT(MAX(0,1-'1.설계입력'!$C$39^2))*SIN(B1125))/SQRT(1+'1.설계입력'!$C$39^2-2*'1.설계입력'!$C$39*COS(B1125)))</f>
        <v/>
      </c>
    </row>
    <row r="1126" spans="1:11" x14ac:dyDescent="0.3">
      <c r="A1126" s="40">
        <f>A1125+'1.설계입력'!$C$12</f>
        <v>223.99999999999582</v>
      </c>
      <c r="B1126" s="40">
        <f t="shared" si="51"/>
        <v>3.9095375244672255</v>
      </c>
      <c r="C1126" s="40">
        <f>ATAN2('1.설계입력'!$C$6/('1.설계입력'!$C$8*'1.설계입력'!$C$15)-COS((1-'1.설계입력'!$C$15)*B1126),SIN((1-'1.설계입력'!$C$15)*B1126))</f>
        <v>-0.59443353331898119</v>
      </c>
      <c r="D1126" s="40">
        <f>'1.설계입력'!$C$6*COS(B1126)-'1.설계입력'!$C$7*COS(B1126+C1126)-'1.설계입력'!$C$8*COS('1.설계입력'!$C$15*B1126)</f>
        <v>-56.194991748766981</v>
      </c>
      <c r="E1126" s="40">
        <f>-'1.설계입력'!$C$6*SIN(B1126)+'1.설계입력'!$C$7*SIN(B1126+C1126)+'1.설계입력'!$C$8*SIN('1.설계입력'!$C$15*B1126)</f>
        <v>55.307236883902306</v>
      </c>
      <c r="F1126" s="40">
        <f>ATAN2(('1.설계입력'!$C$6+'1.설계입력'!$C$33)/('1.설계입력'!$C$8*'1.설계입력'!$C$15)-COS((1-'1.설계입력'!$C$15)*B1126),SIN((1-'1.설계입력'!$C$15)*B1126))</f>
        <v>-0.59444982792831491</v>
      </c>
      <c r="G1126" s="40">
        <f>('1.설계입력'!$C$6+'1.설계입력'!$C$33)*COS(B1126)-('1.설계입력'!$C$7+'1.설계입력'!$C$34)*COS(B1126+F1126)-'1.설계입력'!$C$8*COS('1.설계입력'!$C$15*B1126)</f>
        <v>-56.18477214503563</v>
      </c>
      <c r="H1126" s="40">
        <f>-('1.설계입력'!$C$6+'1.설계입력'!$C$33)*SIN(B1126)+('1.설계입력'!$C$7+'1.설계입력'!$C$34)*SIN(B1126+F1126)+'1.설계입력'!$C$8*SIN('1.설계입력'!$C$15*B1126)</f>
        <v>55.303749372449246</v>
      </c>
      <c r="I1126" s="40">
        <f t="shared" si="52"/>
        <v>78.84648089405178</v>
      </c>
      <c r="J1126" s="40">
        <f t="shared" si="53"/>
        <v>78.836751046959392</v>
      </c>
      <c r="K1126" s="38" t="str">
        <f>IF(OR(A1126&gt;180,'1.설계입력'!$C$39&gt;=1),"",'1.설계입력'!$C$34*(1-SIN(B1126)/SQRT(1+'1.설계입력'!$C$39^2-2*'1.설계입력'!$C$39*COS(B1126)))-'1.설계입력'!$C$33*(1-'1.설계입력'!$C$39*COS(B1126)-SQRT(MAX(0,1-'1.설계입력'!$C$39^2))*SIN(B1126))/SQRT(1+'1.설계입력'!$C$39^2-2*'1.설계입력'!$C$39*COS(B1126)))</f>
        <v/>
      </c>
    </row>
    <row r="1127" spans="1:11" x14ac:dyDescent="0.3">
      <c r="A1127" s="40">
        <f>A1126+'1.설계입력'!$C$12</f>
        <v>224.19999999999581</v>
      </c>
      <c r="B1127" s="40">
        <f t="shared" si="51"/>
        <v>3.9130281829712139</v>
      </c>
      <c r="C1127" s="40">
        <f>ATAN2('1.설계입력'!$C$6/('1.설계입력'!$C$8*'1.설계입력'!$C$15)-COS((1-'1.설계입력'!$C$15)*B1127),SIN((1-'1.설계입력'!$C$15)*B1127))</f>
        <v>-0.54408248315169583</v>
      </c>
      <c r="D1127" s="40">
        <f>'1.설계입력'!$C$6*COS(B1127)-'1.설계입력'!$C$7*COS(B1127+C1127)-'1.설계입력'!$C$8*COS('1.설계입력'!$C$15*B1127)</f>
        <v>-56.161676254226286</v>
      </c>
      <c r="E1127" s="40">
        <f>-'1.설계입력'!$C$6*SIN(B1127)+'1.설계입력'!$C$7*SIN(B1127+C1127)+'1.설계입력'!$C$8*SIN('1.설계입력'!$C$15*B1127)</f>
        <v>55.471061625863904</v>
      </c>
      <c r="F1127" s="40">
        <f>ATAN2(('1.설계입력'!$C$6+'1.설계입력'!$C$33)/('1.설계입력'!$C$8*'1.설계입력'!$C$15)-COS((1-'1.설계입력'!$C$15)*B1127),SIN((1-'1.설계입력'!$C$15)*B1127))</f>
        <v>-0.54409673876056175</v>
      </c>
      <c r="G1127" s="40">
        <f>('1.설계입력'!$C$6+'1.설계입력'!$C$33)*COS(B1127)-('1.설계입력'!$C$7+'1.설계입력'!$C$34)*COS(B1127+F1127)-'1.설계입력'!$C$8*COS('1.설계입력'!$C$15*B1127)</f>
        <v>-56.15154939480756</v>
      </c>
      <c r="H1127" s="40">
        <f>-('1.설계입력'!$C$6+'1.설계입력'!$C$33)*SIN(B1127)+('1.설계입력'!$C$7+'1.설계입력'!$C$34)*SIN(B1127+F1127)+'1.설계입력'!$C$8*SIN('1.설계입력'!$C$15*B1127)</f>
        <v>55.467130345908899</v>
      </c>
      <c r="I1127" s="40">
        <f t="shared" si="52"/>
        <v>78.937776492531867</v>
      </c>
      <c r="J1127" s="40">
        <f t="shared" si="53"/>
        <v>78.927809093167923</v>
      </c>
      <c r="K1127" s="38" t="str">
        <f>IF(OR(A1127&gt;180,'1.설계입력'!$C$39&gt;=1),"",'1.설계입력'!$C$34*(1-SIN(B1127)/SQRT(1+'1.설계입력'!$C$39^2-2*'1.설계입력'!$C$39*COS(B1127)))-'1.설계입력'!$C$33*(1-'1.설계입력'!$C$39*COS(B1127)-SQRT(MAX(0,1-'1.설계입력'!$C$39^2))*SIN(B1127))/SQRT(1+'1.설계입력'!$C$39^2-2*'1.설계입력'!$C$39*COS(B1127)))</f>
        <v/>
      </c>
    </row>
    <row r="1128" spans="1:11" x14ac:dyDescent="0.3">
      <c r="A1128" s="40">
        <f>A1127+'1.설계입력'!$C$12</f>
        <v>224.3999999999958</v>
      </c>
      <c r="B1128" s="40">
        <f t="shared" si="51"/>
        <v>3.9165188414752024</v>
      </c>
      <c r="C1128" s="40">
        <f>ATAN2('1.설계입력'!$C$6/('1.설계입력'!$C$8*'1.설계입력'!$C$15)-COS((1-'1.설계입력'!$C$15)*B1128),SIN((1-'1.설계입력'!$C$15)*B1128))</f>
        <v>-0.491999085814804</v>
      </c>
      <c r="D1128" s="40">
        <f>'1.설계입력'!$C$6*COS(B1128)-'1.설계입력'!$C$7*COS(B1128+C1128)-'1.설계입력'!$C$8*COS('1.설계입력'!$C$15*B1128)</f>
        <v>-56.116108311750146</v>
      </c>
      <c r="E1128" s="40">
        <f>-'1.설계입력'!$C$6*SIN(B1128)+'1.설계입력'!$C$7*SIN(B1128+C1128)+'1.설계입력'!$C$8*SIN('1.설계입력'!$C$15*B1128)</f>
        <v>55.645618685418455</v>
      </c>
      <c r="F1128" s="40">
        <f>ATAN2(('1.설계입력'!$C$6+'1.설계입력'!$C$33)/('1.설계입력'!$C$8*'1.설계입력'!$C$15)-COS((1-'1.설계입력'!$C$15)*B1128),SIN((1-'1.설계입력'!$C$15)*B1128))</f>
        <v>-0.49201148636994929</v>
      </c>
      <c r="G1128" s="40">
        <f>('1.설계입력'!$C$6+'1.설계입력'!$C$33)*COS(B1128)-('1.설계입력'!$C$7+'1.설계입력'!$C$34)*COS(B1128+F1128)-'1.설계입력'!$C$8*COS('1.설계입력'!$C$15*B1128)</f>
        <v>-56.106101607917743</v>
      </c>
      <c r="H1128" s="40">
        <f>-('1.설계입력'!$C$6+'1.설계입력'!$C$33)*SIN(B1128)+('1.설계입력'!$C$7+'1.설계입력'!$C$34)*SIN(B1128+F1128)+'1.설계입력'!$C$8*SIN('1.설계입력'!$C$15*B1128)</f>
        <v>55.641236198454443</v>
      </c>
      <c r="I1128" s="40">
        <f t="shared" si="52"/>
        <v>79.028175298048396</v>
      </c>
      <c r="J1128" s="40">
        <f t="shared" si="53"/>
        <v>79.017984050026143</v>
      </c>
      <c r="K1128" s="38" t="str">
        <f>IF(OR(A1128&gt;180,'1.설계입력'!$C$39&gt;=1),"",'1.설계입력'!$C$34*(1-SIN(B1128)/SQRT(1+'1.설계입력'!$C$39^2-2*'1.설계입력'!$C$39*COS(B1128)))-'1.설계입력'!$C$33*(1-'1.설계입력'!$C$39*COS(B1128)-SQRT(MAX(0,1-'1.설계입력'!$C$39^2))*SIN(B1128))/SQRT(1+'1.설계입력'!$C$39^2-2*'1.설계입력'!$C$39*COS(B1128)))</f>
        <v/>
      </c>
    </row>
    <row r="1129" spans="1:11" x14ac:dyDescent="0.3">
      <c r="A1129" s="40">
        <f>A1128+'1.설계입력'!$C$12</f>
        <v>224.59999999999579</v>
      </c>
      <c r="B1129" s="40">
        <f t="shared" si="51"/>
        <v>3.9200094999791908</v>
      </c>
      <c r="C1129" s="40">
        <f>ATAN2('1.설계입력'!$C$6/('1.설계입력'!$C$8*'1.설계입력'!$C$15)-COS((1-'1.설계입력'!$C$15)*B1129),SIN((1-'1.설계입력'!$C$15)*B1129))</f>
        <v>-0.43854736601399424</v>
      </c>
      <c r="D1129" s="40">
        <f>'1.설계입력'!$C$6*COS(B1129)-'1.설계입력'!$C$7*COS(B1129+C1129)-'1.설계입력'!$C$8*COS('1.설계입력'!$C$15*B1129)</f>
        <v>-56.056835578739367</v>
      </c>
      <c r="E1129" s="40">
        <f>-'1.설계입력'!$C$6*SIN(B1129)+'1.설계입력'!$C$7*SIN(B1129+C1129)+'1.설계입력'!$C$8*SIN('1.설계입력'!$C$15*B1129)</f>
        <v>55.829638146606918</v>
      </c>
      <c r="F1129" s="40">
        <f>ATAN2(('1.설계입력'!$C$6+'1.설계입력'!$C$33)/('1.설계입력'!$C$8*'1.설계입력'!$C$15)-COS((1-'1.설계입력'!$C$15)*B1129),SIN((1-'1.설계입력'!$C$15)*B1129))</f>
        <v>-0.43855805917701374</v>
      </c>
      <c r="G1129" s="40">
        <f>('1.설계입력'!$C$6+'1.설계입력'!$C$33)*COS(B1129)-('1.설계입력'!$C$7+'1.설계입력'!$C$34)*COS(B1129+F1129)-'1.설계입력'!$C$8*COS('1.설계입력'!$C$15*B1129)</f>
        <v>-56.046977345183201</v>
      </c>
      <c r="H1129" s="40">
        <f>-('1.설계입력'!$C$6+'1.설계입력'!$C$33)*SIN(B1129)+('1.설계입력'!$C$7+'1.설계입력'!$C$34)*SIN(B1129+F1129)+'1.설계입력'!$C$8*SIN('1.설계입력'!$C$15*B1129)</f>
        <v>55.824801631123179</v>
      </c>
      <c r="I1129" s="40">
        <f t="shared" si="52"/>
        <v>79.115847405452755</v>
      </c>
      <c r="J1129" s="40">
        <f t="shared" si="53"/>
        <v>79.105449538484592</v>
      </c>
      <c r="K1129" s="38" t="str">
        <f>IF(OR(A1129&gt;180,'1.설계입력'!$C$39&gt;=1),"",'1.설계입력'!$C$34*(1-SIN(B1129)/SQRT(1+'1.설계입력'!$C$39^2-2*'1.설계입력'!$C$39*COS(B1129)))-'1.설계입력'!$C$33*(1-'1.설계입력'!$C$39*COS(B1129)-SQRT(MAX(0,1-'1.설계입력'!$C$39^2))*SIN(B1129))/SQRT(1+'1.설계입력'!$C$39^2-2*'1.설계입력'!$C$39*COS(B1129)))</f>
        <v/>
      </c>
    </row>
    <row r="1130" spans="1:11" x14ac:dyDescent="0.3">
      <c r="A1130" s="40">
        <f>A1129+'1.설계입력'!$C$12</f>
        <v>224.79999999999578</v>
      </c>
      <c r="B1130" s="40">
        <f t="shared" si="51"/>
        <v>3.9235001584831792</v>
      </c>
      <c r="C1130" s="40">
        <f>ATAN2('1.설계입력'!$C$6/('1.설계입력'!$C$8*'1.설계입력'!$C$15)-COS((1-'1.설계입력'!$C$15)*B1130),SIN((1-'1.설계입력'!$C$15)*B1130))</f>
        <v>-0.38401030765318067</v>
      </c>
      <c r="D1130" s="40">
        <f>'1.설계입력'!$C$6*COS(B1130)-'1.설계입력'!$C$7*COS(B1130+C1130)-'1.설계입력'!$C$8*COS('1.설계입력'!$C$15*B1130)</f>
        <v>-55.982691191107534</v>
      </c>
      <c r="E1130" s="40">
        <f>-'1.설계입력'!$C$6*SIN(B1130)+'1.설계입력'!$C$7*SIN(B1130+C1130)+'1.설계입력'!$C$8*SIN('1.설계입력'!$C$15*B1130)</f>
        <v>56.021322872865262</v>
      </c>
      <c r="F1130" s="40">
        <f>ATAN2(('1.설계입력'!$C$6+'1.설계입력'!$C$33)/('1.설계입력'!$C$8*'1.설계입력'!$C$15)-COS((1-'1.설계입력'!$C$15)*B1130),SIN((1-'1.설계입력'!$C$15)*B1130))</f>
        <v>-0.3840194120333601</v>
      </c>
      <c r="G1130" s="40">
        <f>('1.설계입력'!$C$6+'1.설계입력'!$C$33)*COS(B1130)-('1.설계입력'!$C$7+'1.설계입력'!$C$34)*COS(B1130+F1130)-'1.설계입력'!$C$8*COS('1.설계입력'!$C$15*B1130)</f>
        <v>-55.973010171918304</v>
      </c>
      <c r="H1130" s="40">
        <f>-('1.설계입력'!$C$6+'1.설계입력'!$C$33)*SIN(B1130)+('1.설계입력'!$C$7+'1.설계입력'!$C$34)*SIN(B1130+F1130)+'1.설계입력'!$C$8*SIN('1.설계입력'!$C$15*B1130)</f>
        <v>56.016033553915214</v>
      </c>
      <c r="I1130" s="40">
        <f t="shared" si="52"/>
        <v>79.198802575700128</v>
      </c>
      <c r="J1130" s="40">
        <f t="shared" si="53"/>
        <v>79.188218080842205</v>
      </c>
      <c r="K1130" s="38" t="str">
        <f>IF(OR(A1130&gt;180,'1.설계입력'!$C$39&gt;=1),"",'1.설계입력'!$C$34*(1-SIN(B1130)/SQRT(1+'1.설계입력'!$C$39^2-2*'1.설계입력'!$C$39*COS(B1130)))-'1.설계입력'!$C$33*(1-'1.설계입력'!$C$39*COS(B1130)-SQRT(MAX(0,1-'1.설계입력'!$C$39^2))*SIN(B1130))/SQRT(1+'1.설계입력'!$C$39^2-2*'1.설계입력'!$C$39*COS(B1130)))</f>
        <v/>
      </c>
    </row>
    <row r="1131" spans="1:11" x14ac:dyDescent="0.3">
      <c r="A1131" s="40">
        <f>A1130+'1.설계입력'!$C$12</f>
        <v>224.99999999999577</v>
      </c>
      <c r="B1131" s="40">
        <f t="shared" si="51"/>
        <v>3.9269908169871677</v>
      </c>
      <c r="C1131" s="40">
        <f>ATAN2('1.설계입력'!$C$6/('1.설계입력'!$C$8*'1.설계입력'!$C$15)-COS((1-'1.설계입력'!$C$15)*B1131),SIN((1-'1.설계입력'!$C$15)*B1131))</f>
        <v>-0.32861302815471594</v>
      </c>
      <c r="D1131" s="40">
        <f>'1.설계입력'!$C$6*COS(B1131)-'1.설계입력'!$C$7*COS(B1131+C1131)-'1.설계입력'!$C$8*COS('1.설계입력'!$C$15*B1131)</f>
        <v>-55.892855666566462</v>
      </c>
      <c r="E1131" s="40">
        <f>-'1.설계입력'!$C$6*SIN(B1131)+'1.설계입력'!$C$7*SIN(B1131+C1131)+'1.설계입력'!$C$8*SIN('1.설계입력'!$C$15*B1131)</f>
        <v>56.218495536672613</v>
      </c>
      <c r="F1131" s="40">
        <f>ATAN2(('1.설계입력'!$C$6+'1.설계입력'!$C$33)/('1.설계입력'!$C$8*'1.설계입력'!$C$15)-COS((1-'1.설계입력'!$C$15)*B1131),SIN((1-'1.설계입력'!$C$15)*B1131))</f>
        <v>-0.32862063869308272</v>
      </c>
      <c r="G1131" s="40">
        <f>('1.설계입력'!$C$6+'1.설계입력'!$C$33)*COS(B1131)-('1.설계입력'!$C$7+'1.설계입력'!$C$34)*COS(B1131+F1131)-'1.설계입력'!$C$8*COS('1.설계입력'!$C$15*B1131)</f>
        <v>-55.883380633195721</v>
      </c>
      <c r="H1131" s="40">
        <f>-('1.설계입력'!$C$6+'1.설계입력'!$C$33)*SIN(B1131)+('1.설계입력'!$C$7+'1.설계입력'!$C$34)*SIN(B1131+F1131)+'1.설계입력'!$C$8*SIN('1.설계입력'!$C$15*B1131)</f>
        <v>56.212758254547715</v>
      </c>
      <c r="I1131" s="40">
        <f t="shared" si="52"/>
        <v>79.275031094099916</v>
      </c>
      <c r="J1131" s="40">
        <f t="shared" si="53"/>
        <v>79.264282129966062</v>
      </c>
      <c r="K1131" s="38" t="str">
        <f>IF(OR(A1131&gt;180,'1.설계입력'!$C$39&gt;=1),"",'1.설계입력'!$C$34*(1-SIN(B1131)/SQRT(1+'1.설계입력'!$C$39^2-2*'1.설계입력'!$C$39*COS(B1131)))-'1.설계입력'!$C$33*(1-'1.설계입력'!$C$39*COS(B1131)-SQRT(MAX(0,1-'1.설계입력'!$C$39^2))*SIN(B1131))/SQRT(1+'1.설계입력'!$C$39^2-2*'1.설계입력'!$C$39*COS(B1131)))</f>
        <v/>
      </c>
    </row>
    <row r="1132" spans="1:11" x14ac:dyDescent="0.3">
      <c r="A1132" s="40">
        <f>A1131+'1.설계입력'!$C$12</f>
        <v>225.19999999999575</v>
      </c>
      <c r="B1132" s="40">
        <f t="shared" si="51"/>
        <v>3.9304814754911561</v>
      </c>
      <c r="C1132" s="40">
        <f>ATAN2('1.설계입력'!$C$6/('1.설계입력'!$C$8*'1.설계입력'!$C$15)-COS((1-'1.설계입력'!$C$15)*B1132),SIN((1-'1.설계입력'!$C$15)*B1132))</f>
        <v>-0.27253884836986592</v>
      </c>
      <c r="D1132" s="40">
        <f>'1.설계입력'!$C$6*COS(B1132)-'1.설계입력'!$C$7*COS(B1132+C1132)-'1.설계입력'!$C$8*COS('1.설계입력'!$C$15*B1132)</f>
        <v>-55.786899238262208</v>
      </c>
      <c r="E1132" s="40">
        <f>-'1.설계입력'!$C$6*SIN(B1132)+'1.설계입력'!$C$7*SIN(B1132+C1132)+'1.설계입력'!$C$8*SIN('1.설계입력'!$C$15*B1132)</f>
        <v>56.418722959368942</v>
      </c>
      <c r="F1132" s="40">
        <f>ATAN2(('1.설계입력'!$C$6+'1.설계입력'!$C$33)/('1.설계입력'!$C$8*'1.설계입력'!$C$15)-COS((1-'1.설계입력'!$C$15)*B1132),SIN((1-'1.설계입력'!$C$15)*B1132))</f>
        <v>-0.27254504035468757</v>
      </c>
      <c r="G1132" s="40">
        <f>('1.설계입력'!$C$6+'1.설계입력'!$C$33)*COS(B1132)-('1.설계입력'!$C$7+'1.설계입력'!$C$34)*COS(B1132+F1132)-'1.설계입력'!$C$8*COS('1.설계입력'!$C$15*B1132)</f>
        <v>-55.777658640489051</v>
      </c>
      <c r="H1132" s="40">
        <f>-('1.설계입력'!$C$6+'1.설계입력'!$C$33)*SIN(B1132)+('1.설계입력'!$C$7+'1.설계입력'!$C$34)*SIN(B1132+F1132)+'1.설계입력'!$C$8*SIN('1.설계입력'!$C$15*B1132)</f>
        <v>56.412545827505753</v>
      </c>
      <c r="I1132" s="40">
        <f t="shared" si="52"/>
        <v>79.342614193042849</v>
      </c>
      <c r="J1132" s="40">
        <f t="shared" si="53"/>
        <v>79.33172461351991</v>
      </c>
      <c r="K1132" s="38" t="str">
        <f>IF(OR(A1132&gt;180,'1.설계입력'!$C$39&gt;=1),"",'1.설계입력'!$C$34*(1-SIN(B1132)/SQRT(1+'1.설계입력'!$C$39^2-2*'1.설계입력'!$C$39*COS(B1132)))-'1.설계입력'!$C$33*(1-'1.설계입력'!$C$39*COS(B1132)-SQRT(MAX(0,1-'1.설계입력'!$C$39^2))*SIN(B1132))/SQRT(1+'1.설계입력'!$C$39^2-2*'1.설계입력'!$C$39*COS(B1132)))</f>
        <v/>
      </c>
    </row>
    <row r="1133" spans="1:11" x14ac:dyDescent="0.3">
      <c r="A1133" s="40">
        <f>A1132+'1.설계입력'!$C$12</f>
        <v>225.39999999999574</v>
      </c>
      <c r="B1133" s="40">
        <f t="shared" si="51"/>
        <v>3.9339721339951446</v>
      </c>
      <c r="C1133" s="40">
        <f>ATAN2('1.설계입력'!$C$6/('1.설계입력'!$C$8*'1.설계입력'!$C$15)-COS((1-'1.설계입력'!$C$15)*B1133),SIN((1-'1.설계입력'!$C$15)*B1133))</f>
        <v>-0.21594074619962914</v>
      </c>
      <c r="D1133" s="40">
        <f>'1.설계입력'!$C$6*COS(B1133)-'1.설계입력'!$C$7*COS(B1133+C1133)-'1.설계입력'!$C$8*COS('1.설계입력'!$C$15*B1133)</f>
        <v>-55.664806887798363</v>
      </c>
      <c r="E1133" s="40">
        <f>-'1.설계입력'!$C$6*SIN(B1133)+'1.설계입력'!$C$7*SIN(B1133+C1133)+'1.설계입력'!$C$8*SIN('1.설계입력'!$C$15*B1133)</f>
        <v>56.619425396655444</v>
      </c>
      <c r="F1133" s="40">
        <f>ATAN2(('1.설계입력'!$C$6+'1.설계입력'!$C$33)/('1.설계입력'!$C$8*'1.설계입력'!$C$15)-COS((1-'1.설계입력'!$C$15)*B1133),SIN((1-'1.설계입력'!$C$15)*B1133))</f>
        <v>-0.21594557825482188</v>
      </c>
      <c r="G1133" s="40">
        <f>('1.설계입력'!$C$6+'1.설계입력'!$C$33)*COS(B1133)-('1.설계입력'!$C$7+'1.설계입력'!$C$34)*COS(B1133+F1133)-'1.설계입력'!$C$8*COS('1.설계입력'!$C$15*B1133)</f>
        <v>-55.655828544452675</v>
      </c>
      <c r="H1133" s="40">
        <f>-('1.설계입력'!$C$6+'1.설계입력'!$C$33)*SIN(B1133)+('1.설계입력'!$C$7+'1.설계입력'!$C$34)*SIN(B1133+F1133)+'1.설계입력'!$C$8*SIN('1.설계입력'!$C$15*B1133)</f>
        <v>56.612819516730809</v>
      </c>
      <c r="I1133" s="40">
        <f t="shared" si="52"/>
        <v>79.39981144878945</v>
      </c>
      <c r="J1133" s="40">
        <f t="shared" si="53"/>
        <v>79.388806418811015</v>
      </c>
      <c r="K1133" s="38" t="str">
        <f>IF(OR(A1133&gt;180,'1.설계입력'!$C$39&gt;=1),"",'1.설계입력'!$C$34*(1-SIN(B1133)/SQRT(1+'1.설계입력'!$C$39^2-2*'1.설계입력'!$C$39*COS(B1133)))-'1.설계입력'!$C$33*(1-'1.설계입력'!$C$39*COS(B1133)-SQRT(MAX(0,1-'1.설계입력'!$C$39^2))*SIN(B1133))/SQRT(1+'1.설계입력'!$C$39^2-2*'1.설계입력'!$C$39*COS(B1133)))</f>
        <v/>
      </c>
    </row>
    <row r="1134" spans="1:11" x14ac:dyDescent="0.3">
      <c r="A1134" s="40">
        <f>A1133+'1.설계입력'!$C$12</f>
        <v>225.59999999999573</v>
      </c>
      <c r="B1134" s="40">
        <f t="shared" si="51"/>
        <v>3.937462792499133</v>
      </c>
      <c r="C1134" s="40">
        <f>ATAN2('1.설계입력'!$C$6/('1.설계입력'!$C$8*'1.설계입력'!$C$15)-COS((1-'1.설계입력'!$C$15)*B1134),SIN((1-'1.설계입력'!$C$15)*B1134))</f>
        <v>-0.15894976206810074</v>
      </c>
      <c r="D1134" s="40">
        <f>'1.설계입력'!$C$6*COS(B1134)-'1.설계입력'!$C$7*COS(B1134+C1134)-'1.설계입력'!$C$8*COS('1.설계입력'!$C$15*B1134)</f>
        <v>-55.52698775527783</v>
      </c>
      <c r="E1134" s="40">
        <f>-'1.설계입력'!$C$6*SIN(B1134)+'1.설계입력'!$C$7*SIN(B1134+C1134)+'1.설계입력'!$C$8*SIN('1.설계입력'!$C$15*B1134)</f>
        <v>56.817974851801971</v>
      </c>
      <c r="F1134" s="40">
        <f>ATAN2(('1.설계입력'!$C$6+'1.설계입력'!$C$33)/('1.설계입력'!$C$8*'1.설계입력'!$C$15)-COS((1-'1.설계입력'!$C$15)*B1134),SIN((1-'1.설계입력'!$C$15)*B1134))</f>
        <v>-0.15895327835560433</v>
      </c>
      <c r="G1134" s="40">
        <f>('1.설계입력'!$C$6+'1.설계입력'!$C$33)*COS(B1134)-('1.설계입력'!$C$7+'1.설계입력'!$C$34)*COS(B1134+F1134)-'1.설계입력'!$C$8*COS('1.설계입력'!$C$15*B1134)</f>
        <v>-55.518298575327279</v>
      </c>
      <c r="H1134" s="40">
        <f>-('1.설계입력'!$C$6+'1.설계입력'!$C$33)*SIN(B1134)+('1.설계입력'!$C$7+'1.설계입력'!$C$34)*SIN(B1134+F1134)+'1.설계입력'!$C$8*SIN('1.설계입력'!$C$15*B1134)</f>
        <v>56.810954064887248</v>
      </c>
      <c r="I1134" s="40">
        <f t="shared" si="52"/>
        <v>79.445129715010069</v>
      </c>
      <c r="J1134" s="40">
        <f t="shared" si="53"/>
        <v>79.434035390768827</v>
      </c>
      <c r="K1134" s="38" t="str">
        <f>IF(OR(A1134&gt;180,'1.설계입력'!$C$39&gt;=1),"",'1.설계입력'!$C$34*(1-SIN(B1134)/SQRT(1+'1.설계입력'!$C$39^2-2*'1.설계입력'!$C$39*COS(B1134)))-'1.설계입력'!$C$33*(1-'1.설계입력'!$C$39*COS(B1134)-SQRT(MAX(0,1-'1.설계입력'!$C$39^2))*SIN(B1134))/SQRT(1+'1.설계입력'!$C$39^2-2*'1.설계입력'!$C$39*COS(B1134)))</f>
        <v/>
      </c>
    </row>
    <row r="1135" spans="1:11" x14ac:dyDescent="0.3">
      <c r="A1135" s="40">
        <f>A1134+'1.설계입력'!$C$12</f>
        <v>225.79999999999572</v>
      </c>
      <c r="B1135" s="40">
        <f t="shared" si="51"/>
        <v>3.9409534510031214</v>
      </c>
      <c r="C1135" s="40">
        <f>ATAN2('1.설계입력'!$C$6/('1.설계입력'!$C$8*'1.설계입력'!$C$15)-COS((1-'1.설계입력'!$C$15)*B1135),SIN((1-'1.설계입력'!$C$15)*B1135))</f>
        <v>-0.10168137574221416</v>
      </c>
      <c r="D1135" s="40">
        <f>'1.설계입력'!$C$6*COS(B1135)-'1.설계입력'!$C$7*COS(B1135+C1135)-'1.설계입력'!$C$8*COS('1.설계입력'!$C$15*B1135)</f>
        <v>-55.374270241603185</v>
      </c>
      <c r="E1135" s="40">
        <f>-'1.설계입력'!$C$6*SIN(B1135)+'1.설계입력'!$C$7*SIN(B1135+C1135)+'1.설계입력'!$C$8*SIN('1.설계입력'!$C$15*B1135)</f>
        <v>57.0117844115073</v>
      </c>
      <c r="F1135" s="40">
        <f>ATAN2(('1.설계입력'!$C$6+'1.설계입력'!$C$33)/('1.설계입력'!$C$8*'1.설계입력'!$C$15)-COS((1-'1.설계입력'!$C$15)*B1135),SIN((1-'1.설계입력'!$C$15)*B1135))</f>
        <v>-0.10168360754703845</v>
      </c>
      <c r="G1135" s="40">
        <f>('1.설계입력'!$C$6+'1.설계입력'!$C$33)*COS(B1135)-('1.설계입력'!$C$7+'1.설계입력'!$C$34)*COS(B1135+F1135)-'1.설계입력'!$C$8*COS('1.설계입력'!$C$15*B1135)</f>
        <v>-55.365895968783946</v>
      </c>
      <c r="H1135" s="40">
        <f>-('1.설계입력'!$C$6+'1.설계입력'!$C$33)*SIN(B1135)+('1.설계입력'!$C$7+'1.설계입력'!$C$34)*SIN(B1135+F1135)+'1.설계입력'!$C$8*SIN('1.설계입력'!$C$15*B1135)</f>
        <v>57.004365070992705</v>
      </c>
      <c r="I1135" s="40">
        <f t="shared" si="52"/>
        <v>79.477376444962545</v>
      </c>
      <c r="J1135" s="40">
        <f t="shared" si="53"/>
        <v>79.466219701035357</v>
      </c>
      <c r="K1135" s="38" t="str">
        <f>IF(OR(A1135&gt;180,'1.설계입력'!$C$39&gt;=1),"",'1.설계입력'!$C$34*(1-SIN(B1135)/SQRT(1+'1.설계입력'!$C$39^2-2*'1.설계입력'!$C$39*COS(B1135)))-'1.설계입력'!$C$33*(1-'1.설계입력'!$C$39*COS(B1135)-SQRT(MAX(0,1-'1.설계입력'!$C$39^2))*SIN(B1135))/SQRT(1+'1.설계입력'!$C$39^2-2*'1.설계입력'!$C$39*COS(B1135)))</f>
        <v/>
      </c>
    </row>
    <row r="1136" spans="1:11" x14ac:dyDescent="0.3">
      <c r="A1136" s="40">
        <f>A1135+'1.설계입력'!$C$12</f>
        <v>225.99999999999571</v>
      </c>
      <c r="B1136" s="40">
        <f t="shared" si="51"/>
        <v>3.9444441095071099</v>
      </c>
      <c r="C1136" s="40">
        <f>ATAN2('1.설계입력'!$C$6/('1.설계입력'!$C$8*'1.설계입력'!$C$15)-COS((1-'1.설계입력'!$C$15)*B1136),SIN((1-'1.설계입력'!$C$15)*B1136))</f>
        <v>-4.424054088429337E-2</v>
      </c>
      <c r="D1136" s="40">
        <f>'1.설계입력'!$C$6*COS(B1136)-'1.설계입력'!$C$7*COS(B1136+C1136)-'1.설계입력'!$C$8*COS('1.설계입력'!$C$15*B1136)</f>
        <v>-55.20788391612404</v>
      </c>
      <c r="E1136" s="40">
        <f>-'1.설계입력'!$C$6*SIN(B1136)+'1.설계입력'!$C$7*SIN(B1136+C1136)+'1.설계입력'!$C$8*SIN('1.설계입력'!$C$15*B1136)</f>
        <v>57.198389354404299</v>
      </c>
      <c r="F1136" s="40">
        <f>ATAN2(('1.설계입력'!$C$6+'1.설계입력'!$C$33)/('1.설계입력'!$C$8*'1.설계입력'!$C$15)-COS((1-'1.설계입력'!$C$15)*B1136),SIN((1-'1.설계입력'!$C$15)*B1136))</f>
        <v>-4.4241507698141801E-2</v>
      </c>
      <c r="G1136" s="40">
        <f>('1.설계입력'!$C$6+'1.설계입력'!$C$33)*COS(B1136)-('1.설계입력'!$C$7+'1.설계입력'!$C$34)*COS(B1136+F1136)-'1.설계입력'!$C$8*COS('1.설계입력'!$C$15*B1136)</f>
        <v>-55.199848891970412</v>
      </c>
      <c r="H1136" s="40">
        <f>-('1.설계입력'!$C$6+'1.설계입력'!$C$33)*SIN(B1136)+('1.설계입력'!$C$7+'1.설계입력'!$C$34)*SIN(B1136+F1136)+'1.설계입력'!$C$8*SIN('1.설계입력'!$C$15*B1136)</f>
        <v>57.190590110764497</v>
      </c>
      <c r="I1136" s="40">
        <f t="shared" si="52"/>
        <v>79.495699199606122</v>
      </c>
      <c r="J1136" s="40">
        <f t="shared" si="53"/>
        <v>79.484507389263229</v>
      </c>
      <c r="K1136" s="38" t="str">
        <f>IF(OR(A1136&gt;180,'1.설계입력'!$C$39&gt;=1),"",'1.설계입력'!$C$34*(1-SIN(B1136)/SQRT(1+'1.설계입력'!$C$39^2-2*'1.설계입력'!$C$39*COS(B1136)))-'1.설계입력'!$C$33*(1-'1.설계입력'!$C$39*COS(B1136)-SQRT(MAX(0,1-'1.설계입력'!$C$39^2))*SIN(B1136))/SQRT(1+'1.설계입력'!$C$39^2-2*'1.설계입력'!$C$39*COS(B1136)))</f>
        <v/>
      </c>
    </row>
    <row r="1137" spans="1:11" x14ac:dyDescent="0.3">
      <c r="A1137" s="40">
        <f>A1136+'1.설계입력'!$C$12</f>
        <v>226.1999999999957</v>
      </c>
      <c r="B1137" s="40">
        <f t="shared" si="51"/>
        <v>3.9479347680110983</v>
      </c>
      <c r="C1137" s="40">
        <f>ATAN2('1.설계입력'!$C$6/('1.설계입력'!$C$8*'1.설계입력'!$C$15)-COS((1-'1.설계입력'!$C$15)*B1137),SIN((1-'1.설계입력'!$C$15)*B1137))</f>
        <v>1.3274139782723047E-2</v>
      </c>
      <c r="D1137" s="40">
        <f>'1.설계입력'!$C$6*COS(B1137)-'1.설계입력'!$C$7*COS(B1137+C1137)-'1.설계입력'!$C$8*COS('1.설계입력'!$C$15*B1137)</f>
        <v>-55.029429242171865</v>
      </c>
      <c r="E1137" s="40">
        <f>-'1.설계입력'!$C$6*SIN(B1137)+'1.설계입력'!$C$7*SIN(B1137+C1137)+'1.설계입력'!$C$8*SIN('1.설계입력'!$C$15*B1137)</f>
        <v>57.375520036760392</v>
      </c>
      <c r="F1137" s="40">
        <f>ATAN2(('1.설계입력'!$C$6+'1.설계입력'!$C$33)/('1.설계입력'!$C$8*'1.설계입력'!$C$15)-COS((1-'1.설계입력'!$C$15)*B1137),SIN((1-'1.설계입력'!$C$15)*B1137))</f>
        <v>1.3274429602994171E-2</v>
      </c>
      <c r="G1137" s="40">
        <f>('1.설계입력'!$C$6+'1.설계입력'!$C$33)*COS(B1137)-('1.설계입력'!$C$7+'1.설계입력'!$C$34)*COS(B1137+F1137)-'1.설계입력'!$C$8*COS('1.설계입력'!$C$15*B1137)</f>
        <v>-55.021756183326119</v>
      </c>
      <c r="H1137" s="40">
        <f>-('1.설계입력'!$C$6+'1.설계입력'!$C$33)*SIN(B1137)+('1.설계입력'!$C$7+'1.설계입력'!$C$34)*SIN(B1137+F1137)+'1.설계입력'!$C$8*SIN('1.설계입력'!$C$15*B1137)</f>
        <v>57.367361627031194</v>
      </c>
      <c r="I1137" s="40">
        <f t="shared" si="52"/>
        <v>79.499612465771762</v>
      </c>
      <c r="J1137" s="40">
        <f t="shared" si="53"/>
        <v>79.488413203082359</v>
      </c>
      <c r="K1137" s="38" t="str">
        <f>IF(OR(A1137&gt;180,'1.설계입력'!$C$39&gt;=1),"",'1.설계입력'!$C$34*(1-SIN(B1137)/SQRT(1+'1.설계입력'!$C$39^2-2*'1.설계입력'!$C$39*COS(B1137)))-'1.설계입력'!$C$33*(1-'1.설계입력'!$C$39*COS(B1137)-SQRT(MAX(0,1-'1.설계입력'!$C$39^2))*SIN(B1137))/SQRT(1+'1.설계입력'!$C$39^2-2*'1.설계입력'!$C$39*COS(B1137)))</f>
        <v/>
      </c>
    </row>
    <row r="1138" spans="1:11" x14ac:dyDescent="0.3">
      <c r="A1138" s="40">
        <f>A1137+'1.설계입력'!$C$12</f>
        <v>226.39999999999569</v>
      </c>
      <c r="B1138" s="40">
        <f t="shared" si="51"/>
        <v>3.9514254265150868</v>
      </c>
      <c r="C1138" s="40">
        <f>ATAN2('1.설계입력'!$C$6/('1.설계입력'!$C$8*'1.설계입력'!$C$15)-COS((1-'1.설계입력'!$C$15)*B1138),SIN((1-'1.설계입력'!$C$15)*B1138))</f>
        <v>7.0766737899999307E-2</v>
      </c>
      <c r="D1138" s="40">
        <f>'1.설계입력'!$C$6*COS(B1138)-'1.설계입력'!$C$7*COS(B1138+C1138)-'1.설계입력'!$C$8*COS('1.설계입력'!$C$15*B1138)</f>
        <v>-54.84083608784082</v>
      </c>
      <c r="E1138" s="40">
        <f>-'1.설계입력'!$C$6*SIN(B1138)+'1.설계입력'!$C$7*SIN(B1138+C1138)+'1.설계입력'!$C$8*SIN('1.설계입력'!$C$15*B1138)</f>
        <v>57.541166119188055</v>
      </c>
      <c r="F1138" s="40">
        <f>ATAN2(('1.설계입력'!$C$6+'1.설계입력'!$C$33)/('1.설계입력'!$C$8*'1.설계입력'!$C$15)-COS((1-'1.설계입력'!$C$15)*B1138),SIN((1-'1.설계입력'!$C$15)*B1138))</f>
        <v>7.0768286854026891E-2</v>
      </c>
      <c r="G1138" s="40">
        <f>('1.설계입력'!$C$6+'1.설계입력'!$C$33)*COS(B1138)-('1.설계입력'!$C$7+'1.설계입력'!$C$34)*COS(B1138+F1138)-'1.설계입력'!$C$8*COS('1.설계입력'!$C$15*B1138)</f>
        <v>-54.833545874051623</v>
      </c>
      <c r="H1138" s="40">
        <f>-('1.설계입력'!$C$6+'1.설계입력'!$C$33)*SIN(B1138)+('1.설계입력'!$C$7+'1.설계입력'!$C$34)*SIN(B1138+F1138)+'1.설계입력'!$C$8*SIN('1.설계입력'!$C$15*B1138)</f>
        <v>57.532671155798383</v>
      </c>
      <c r="I1138" s="40">
        <f t="shared" si="52"/>
        <v>79.489012455618166</v>
      </c>
      <c r="J1138" s="40">
        <f t="shared" si="53"/>
        <v>79.477833409340988</v>
      </c>
      <c r="K1138" s="38" t="str">
        <f>IF(OR(A1138&gt;180,'1.설계입력'!$C$39&gt;=1),"",'1.설계입력'!$C$34*(1-SIN(B1138)/SQRT(1+'1.설계입력'!$C$39^2-2*'1.설계입력'!$C$39*COS(B1138)))-'1.설계입력'!$C$33*(1-'1.설계입력'!$C$39*COS(B1138)-SQRT(MAX(0,1-'1.설계입력'!$C$39^2))*SIN(B1138))/SQRT(1+'1.설계입력'!$C$39^2-2*'1.설계입력'!$C$39*COS(B1138)))</f>
        <v/>
      </c>
    </row>
    <row r="1139" spans="1:11" x14ac:dyDescent="0.3">
      <c r="A1139" s="40">
        <f>A1138+'1.설계입력'!$C$12</f>
        <v>226.59999999999567</v>
      </c>
      <c r="B1139" s="40">
        <f t="shared" si="51"/>
        <v>3.9549160850190752</v>
      </c>
      <c r="C1139" s="40">
        <f>ATAN2('1.설계입력'!$C$6/('1.설계입력'!$C$8*'1.설계입력'!$C$15)-COS((1-'1.설계입력'!$C$15)*B1139),SIN((1-'1.설계입력'!$C$15)*B1139))</f>
        <v>0.12814052822205457</v>
      </c>
      <c r="D1139" s="40">
        <f>'1.설계입력'!$C$6*COS(B1139)-'1.설계입력'!$C$7*COS(B1139+C1139)-'1.설계입력'!$C$8*COS('1.설계입력'!$C$15*B1139)</f>
        <v>-54.644311962282572</v>
      </c>
      <c r="E1139" s="40">
        <f>-'1.설계입력'!$C$6*SIN(B1139)+'1.설계입력'!$C$7*SIN(B1139+C1139)+'1.설계입력'!$C$8*SIN('1.설계입력'!$C$15*B1139)</f>
        <v>57.693631446670437</v>
      </c>
      <c r="F1139" s="40">
        <f>ATAN2(('1.설계입력'!$C$6+'1.설계입력'!$C$33)/('1.설계입력'!$C$8*'1.설계입력'!$C$15)-COS((1-'1.설계입력'!$C$15)*B1139),SIN((1-'1.설계입력'!$C$15)*B1139))</f>
        <v>0.1281433497489782</v>
      </c>
      <c r="G1139" s="40">
        <f>('1.설계입력'!$C$6+'1.설계입력'!$C$33)*COS(B1139)-('1.설계입력'!$C$7+'1.설계입력'!$C$34)*COS(B1139+F1139)-'1.설계입력'!$C$8*COS('1.설계입력'!$C$15*B1139)</f>
        <v>-54.637423431603203</v>
      </c>
      <c r="H1139" s="40">
        <f>-('1.설계입력'!$C$6+'1.설계입력'!$C$33)*SIN(B1139)+('1.설계입력'!$C$7+'1.설계입력'!$C$34)*SIN(B1139+F1139)+'1.설계입력'!$C$8*SIN('1.설계입력'!$C$15*B1139)</f>
        <v>57.684824201339048</v>
      </c>
      <c r="I1139" s="40">
        <f t="shared" si="52"/>
        <v>79.464180228172609</v>
      </c>
      <c r="J1139" s="40">
        <f t="shared" si="53"/>
        <v>79.45304891811071</v>
      </c>
      <c r="K1139" s="38" t="str">
        <f>IF(OR(A1139&gt;180,'1.설계입력'!$C$39&gt;=1),"",'1.설계입력'!$C$34*(1-SIN(B1139)/SQRT(1+'1.설계입력'!$C$39^2-2*'1.설계입력'!$C$39*COS(B1139)))-'1.설계입력'!$C$33*(1-'1.설계입력'!$C$39*COS(B1139)-SQRT(MAX(0,1-'1.설계입력'!$C$39^2))*SIN(B1139))/SQRT(1+'1.설계입력'!$C$39^2-2*'1.설계입력'!$C$39*COS(B1139)))</f>
        <v/>
      </c>
    </row>
    <row r="1140" spans="1:11" x14ac:dyDescent="0.3">
      <c r="A1140" s="40">
        <f>A1139+'1.설계입력'!$C$12</f>
        <v>226.79999999999566</v>
      </c>
      <c r="B1140" s="40">
        <f t="shared" si="51"/>
        <v>3.9584067435230637</v>
      </c>
      <c r="C1140" s="40">
        <f>ATAN2('1.설계입력'!$C$6/('1.설계입력'!$C$8*'1.설계입력'!$C$15)-COS((1-'1.설계입력'!$C$15)*B1140),SIN((1-'1.설계입력'!$C$15)*B1140))</f>
        <v>0.18529445647603504</v>
      </c>
      <c r="D1140" s="40">
        <f>'1.설계입력'!$C$6*COS(B1140)-'1.설계입력'!$C$7*COS(B1140+C1140)-'1.설계입력'!$C$8*COS('1.설계입력'!$C$15*B1140)</f>
        <v>-54.442280875818163</v>
      </c>
      <c r="E1140" s="40">
        <f>-'1.설계입력'!$C$6*SIN(B1140)+'1.설계입력'!$C$7*SIN(B1140+C1140)+'1.설계입력'!$C$8*SIN('1.설계입력'!$C$15*B1140)</f>
        <v>57.83157875949334</v>
      </c>
      <c r="F1140" s="40">
        <f>ATAN2(('1.설계입력'!$C$6+'1.설계입력'!$C$33)/('1.설계입력'!$C$8*'1.설계입력'!$C$15)-COS((1-'1.설계입력'!$C$15)*B1140),SIN((1-'1.설계입력'!$C$15)*B1140))</f>
        <v>0.18529857540443956</v>
      </c>
      <c r="G1140" s="40">
        <f>('1.설계입력'!$C$6+'1.설계입력'!$C$33)*COS(B1140)-('1.설계입력'!$C$7+'1.설계입력'!$C$34)*COS(B1140+F1140)-'1.설계입력'!$C$8*COS('1.설계입력'!$C$15*B1140)</f>
        <v>-54.435810623208077</v>
      </c>
      <c r="H1140" s="40">
        <f>-('1.설계입력'!$C$6+'1.설계입력'!$C$33)*SIN(B1140)+('1.설계입력'!$C$7+'1.설계입력'!$C$34)*SIN(B1140+F1140)+'1.설계입력'!$C$8*SIN('1.설계입력'!$C$15*B1140)</f>
        <v>57.822484938432602</v>
      </c>
      <c r="I1140" s="40">
        <f t="shared" si="52"/>
        <v>79.425773202260729</v>
      </c>
      <c r="J1140" s="40">
        <f t="shared" si="53"/>
        <v>79.414716788899014</v>
      </c>
      <c r="K1140" s="38" t="str">
        <f>IF(OR(A1140&gt;180,'1.설계입력'!$C$39&gt;=1),"",'1.설계입력'!$C$34*(1-SIN(B1140)/SQRT(1+'1.설계입력'!$C$39^2-2*'1.설계입력'!$C$39*COS(B1140)))-'1.설계입력'!$C$33*(1-'1.설계입력'!$C$39*COS(B1140)-SQRT(MAX(0,1-'1.설계입력'!$C$39^2))*SIN(B1140))/SQRT(1+'1.설계입력'!$C$39^2-2*'1.설계입력'!$C$39*COS(B1140)))</f>
        <v/>
      </c>
    </row>
    <row r="1141" spans="1:11" x14ac:dyDescent="0.3">
      <c r="A1141" s="40">
        <f>A1140+'1.설계입력'!$C$12</f>
        <v>226.99999999999565</v>
      </c>
      <c r="B1141" s="40">
        <f t="shared" si="51"/>
        <v>3.9618974020270521</v>
      </c>
      <c r="C1141" s="40">
        <f>ATAN2('1.설계입력'!$C$6/('1.설계입력'!$C$8*'1.설계입력'!$C$15)-COS((1-'1.설계입력'!$C$15)*B1141),SIN((1-'1.설계입력'!$C$15)*B1141))</f>
        <v>0.24211927214206222</v>
      </c>
      <c r="D1141" s="40">
        <f>'1.설계입력'!$C$6*COS(B1141)-'1.설계입력'!$C$7*COS(B1141+C1141)-'1.설계입력'!$C$8*COS('1.설계입력'!$C$15*B1141)</f>
        <v>-54.237313631575951</v>
      </c>
      <c r="E1141" s="40">
        <f>-'1.설계입력'!$C$6*SIN(B1141)+'1.설계입력'!$C$7*SIN(B1141+C1141)+'1.설계입력'!$C$8*SIN('1.설계입력'!$C$15*B1141)</f>
        <v>57.954063345298898</v>
      </c>
      <c r="F1141" s="40">
        <f>ATAN2(('1.설계입력'!$C$6+'1.설계입력'!$C$33)/('1.설계입력'!$C$8*'1.설계입력'!$C$15)-COS((1-'1.설계입력'!$C$15)*B1141),SIN((1-'1.설계입력'!$C$15)*B1141))</f>
        <v>0.24212472553732906</v>
      </c>
      <c r="G1141" s="40">
        <f>('1.설계입력'!$C$6+'1.설계입력'!$C$33)*COS(B1141)-('1.설계입력'!$C$7+'1.설계입력'!$C$34)*COS(B1141+F1141)-'1.설계입력'!$C$8*COS('1.설계입력'!$C$15*B1141)</f>
        <v>-54.231275806341984</v>
      </c>
      <c r="H1141" s="40">
        <f>-('1.설계입력'!$C$6+'1.설계입력'!$C$33)*SIN(B1141)+('1.설계입력'!$C$7+'1.설계입력'!$C$34)*SIN(B1141+F1141)+'1.설계입력'!$C$8*SIN('1.설계입력'!$C$15*B1141)</f>
        <v>57.944709852052974</v>
      </c>
      <c r="I1141" s="40">
        <f t="shared" si="52"/>
        <v>79.374804870316694</v>
      </c>
      <c r="J1141" s="40">
        <f t="shared" si="53"/>
        <v>79.363849928176606</v>
      </c>
      <c r="K1141" s="38" t="str">
        <f>IF(OR(A1141&gt;180,'1.설계입력'!$C$39&gt;=1),"",'1.설계입력'!$C$34*(1-SIN(B1141)/SQRT(1+'1.설계입력'!$C$39^2-2*'1.설계입력'!$C$39*COS(B1141)))-'1.설계입력'!$C$33*(1-'1.설계입력'!$C$39*COS(B1141)-SQRT(MAX(0,1-'1.설계입력'!$C$39^2))*SIN(B1141))/SQRT(1+'1.설계입력'!$C$39^2-2*'1.설계입력'!$C$39*COS(B1141)))</f>
        <v/>
      </c>
    </row>
    <row r="1142" spans="1:11" x14ac:dyDescent="0.3">
      <c r="A1142" s="40">
        <f>A1141+'1.설계입력'!$C$12</f>
        <v>227.19999999999564</v>
      </c>
      <c r="B1142" s="40">
        <f t="shared" si="51"/>
        <v>3.9653880605310405</v>
      </c>
      <c r="C1142" s="40">
        <f>ATAN2('1.설계입력'!$C$6/('1.설계입력'!$C$8*'1.설계입력'!$C$15)-COS((1-'1.설계입력'!$C$15)*B1142),SIN((1-'1.설계입력'!$C$15)*B1142))</f>
        <v>0.29849300736950513</v>
      </c>
      <c r="D1142" s="40">
        <f>'1.설계입력'!$C$6*COS(B1142)-'1.설계입력'!$C$7*COS(B1142+C1142)-'1.설계입력'!$C$8*COS('1.설계입력'!$C$15*B1142)</f>
        <v>-54.032050176337727</v>
      </c>
      <c r="E1142" s="40">
        <f>-'1.설계입력'!$C$6*SIN(B1142)+'1.설계입력'!$C$7*SIN(B1142+C1142)+'1.설계입력'!$C$8*SIN('1.설계입력'!$C$15*B1142)</f>
        <v>58.060554704114878</v>
      </c>
      <c r="F1142" s="40">
        <f>ATAN2(('1.설계입력'!$C$6+'1.설계입력'!$C$33)/('1.설계입력'!$C$8*'1.설계입력'!$C$15)-COS((1-'1.설계입력'!$C$15)*B1142),SIN((1-'1.설계입력'!$C$15)*B1142))</f>
        <v>0.29849984583722955</v>
      </c>
      <c r="G1142" s="40">
        <f>('1.설계입력'!$C$6+'1.설계입력'!$C$33)*COS(B1142)-('1.설계입력'!$C$7+'1.설계입력'!$C$34)*COS(B1142+F1142)-'1.설계입력'!$C$8*COS('1.설계입력'!$C$15*B1142)</f>
        <v>-54.02645627250066</v>
      </c>
      <c r="H1142" s="40">
        <f>-('1.설계입력'!$C$6+'1.설계입력'!$C$33)*SIN(B1142)+('1.설계입력'!$C$7+'1.설계입력'!$C$34)*SIN(B1142+F1142)+'1.설계입력'!$C$8*SIN('1.설계입력'!$C$15*B1142)</f>
        <v>58.050969386011801</v>
      </c>
      <c r="I1142" s="40">
        <f t="shared" si="52"/>
        <v>79.312612230387387</v>
      </c>
      <c r="J1142" s="40">
        <f t="shared" si="53"/>
        <v>79.301784494550347</v>
      </c>
      <c r="K1142" s="38" t="str">
        <f>IF(OR(A1142&gt;180,'1.설계입력'!$C$39&gt;=1),"",'1.설계입력'!$C$34*(1-SIN(B1142)/SQRT(1+'1.설계입력'!$C$39^2-2*'1.설계입력'!$C$39*COS(B1142)))-'1.설계입력'!$C$33*(1-'1.설계입력'!$C$39*COS(B1142)-SQRT(MAX(0,1-'1.설계입력'!$C$39^2))*SIN(B1142))/SQRT(1+'1.설계입력'!$C$39^2-2*'1.설계입력'!$C$39*COS(B1142)))</f>
        <v/>
      </c>
    </row>
    <row r="1143" spans="1:11" x14ac:dyDescent="0.3">
      <c r="A1143" s="40">
        <f>A1142+'1.설계입력'!$C$12</f>
        <v>227.39999999999563</v>
      </c>
      <c r="B1143" s="40">
        <f t="shared" si="51"/>
        <v>3.968878719035029</v>
      </c>
      <c r="C1143" s="40">
        <f>ATAN2('1.설계입력'!$C$6/('1.설계입력'!$C$8*'1.설계입력'!$C$15)-COS((1-'1.설계입력'!$C$15)*B1143),SIN((1-'1.설계입력'!$C$15)*B1143))</f>
        <v>0.3542753929225026</v>
      </c>
      <c r="D1143" s="40">
        <f>'1.설계입력'!$C$6*COS(B1143)-'1.설계입력'!$C$7*COS(B1143+C1143)-'1.설계입력'!$C$8*COS('1.설계입력'!$C$15*B1143)</f>
        <v>-53.829114311956445</v>
      </c>
      <c r="E1143" s="40">
        <f>-'1.설계입력'!$C$6*SIN(B1143)+'1.설계입력'!$C$7*SIN(B1143+C1143)+'1.설계입력'!$C$8*SIN('1.설계입력'!$C$15*B1143)</f>
        <v>58.150945253843147</v>
      </c>
      <c r="F1143" s="40">
        <f>ATAN2(('1.설계입력'!$C$6+'1.설계입력'!$C$33)/('1.설계입력'!$C$8*'1.설계입력'!$C$15)-COS((1-'1.설계입력'!$C$15)*B1143),SIN((1-'1.설계입력'!$C$15)*B1143))</f>
        <v>0.35428368246123226</v>
      </c>
      <c r="G1143" s="40">
        <f>('1.설계입력'!$C$6+'1.설계입력'!$C$33)*COS(B1143)-('1.설계입력'!$C$7+'1.설계입력'!$C$34)*COS(B1143+F1143)-'1.설계입력'!$C$8*COS('1.설계입력'!$C$15*B1143)</f>
        <v>-53.823972943462955</v>
      </c>
      <c r="H1143" s="40">
        <f>-('1.설계입력'!$C$6+'1.설계입력'!$C$33)*SIN(B1143)+('1.설계입력'!$C$7+'1.설계입력'!$C$34)*SIN(B1143+F1143)+'1.설계입력'!$C$8*SIN('1.설계입력'!$C$15*B1143)</f>
        <v>58.141156627208382</v>
      </c>
      <c r="I1143" s="40">
        <f t="shared" si="52"/>
        <v>79.240810076154176</v>
      </c>
      <c r="J1143" s="40">
        <f t="shared" si="53"/>
        <v>79.230134149629009</v>
      </c>
      <c r="K1143" s="38" t="str">
        <f>IF(OR(A1143&gt;180,'1.설계입력'!$C$39&gt;=1),"",'1.설계입력'!$C$34*(1-SIN(B1143)/SQRT(1+'1.설계입력'!$C$39^2-2*'1.설계입력'!$C$39*COS(B1143)))-'1.설계입력'!$C$33*(1-'1.설계입력'!$C$39*COS(B1143)-SQRT(MAX(0,1-'1.설계입력'!$C$39^2))*SIN(B1143))/SQRT(1+'1.설계입력'!$C$39^2-2*'1.설계입력'!$C$39*COS(B1143)))</f>
        <v/>
      </c>
    </row>
    <row r="1144" spans="1:11" x14ac:dyDescent="0.3">
      <c r="A1144" s="40">
        <f>A1143+'1.설계입력'!$C$12</f>
        <v>227.59999999999562</v>
      </c>
      <c r="B1144" s="40">
        <f t="shared" si="51"/>
        <v>3.9723693775390174</v>
      </c>
      <c r="C1144" s="40">
        <f>ATAN2('1.설계입력'!$C$6/('1.설계입력'!$C$8*'1.설계입력'!$C$15)-COS((1-'1.설계입력'!$C$15)*B1144),SIN((1-'1.설계입력'!$C$15)*B1144))</f>
        <v>0.40930064674974276</v>
      </c>
      <c r="D1144" s="40">
        <f>'1.설계입력'!$C$6*COS(B1144)-'1.설계입력'!$C$7*COS(B1144+C1144)-'1.설계입력'!$C$8*COS('1.설계입력'!$C$15*B1144)</f>
        <v>-53.631020508484575</v>
      </c>
      <c r="E1144" s="40">
        <f>-'1.설계입력'!$C$6*SIN(B1144)+'1.설계입력'!$C$7*SIN(B1144+C1144)+'1.설계입력'!$C$8*SIN('1.설계입력'!$C$15*B1144)</f>
        <v>58.225545015396442</v>
      </c>
      <c r="F1144" s="40">
        <f>ATAN2(('1.설계입력'!$C$6+'1.설계입력'!$C$33)/('1.설계입력'!$C$8*'1.설계입력'!$C$15)-COS((1-'1.설계입력'!$C$15)*B1144),SIN((1-'1.설계입력'!$C$15)*B1144))</f>
        <v>0.40931047129133619</v>
      </c>
      <c r="G1144" s="40">
        <f>('1.설계입력'!$C$6+'1.설계입력'!$C$33)*COS(B1144)-('1.설계입력'!$C$7+'1.설계입력'!$C$34)*COS(B1144+F1144)-'1.설계입력'!$C$8*COS('1.설계입력'!$C$15*B1144)</f>
        <v>-53.626337157805892</v>
      </c>
      <c r="H1144" s="40">
        <f>-('1.설계입력'!$C$6+'1.설계입력'!$C$33)*SIN(B1144)+('1.설계입력'!$C$7+'1.설계입력'!$C$34)*SIN(B1144+F1144)+'1.설계입력'!$C$8*SIN('1.설계입력'!$C$15*B1144)</f>
        <v>58.215581963236367</v>
      </c>
      <c r="I1144" s="40">
        <f t="shared" si="52"/>
        <v>79.161230745368343</v>
      </c>
      <c r="J1144" s="40">
        <f t="shared" si="53"/>
        <v>79.150729752043119</v>
      </c>
      <c r="K1144" s="38" t="str">
        <f>IF(OR(A1144&gt;180,'1.설계입력'!$C$39&gt;=1),"",'1.설계입력'!$C$34*(1-SIN(B1144)/SQRT(1+'1.설계입력'!$C$39^2-2*'1.설계입력'!$C$39*COS(B1144)))-'1.설계입력'!$C$33*(1-'1.설계입력'!$C$39*COS(B1144)-SQRT(MAX(0,1-'1.설계입력'!$C$39^2))*SIN(B1144))/SQRT(1+'1.설계입력'!$C$39^2-2*'1.설계입력'!$C$39*COS(B1144)))</f>
        <v/>
      </c>
    </row>
    <row r="1145" spans="1:11" x14ac:dyDescent="0.3">
      <c r="A1145" s="40">
        <f>A1144+'1.설계입력'!$C$12</f>
        <v>227.79999999999561</v>
      </c>
      <c r="B1145" s="40">
        <f t="shared" si="51"/>
        <v>3.9758600360430059</v>
      </c>
      <c r="C1145" s="40">
        <f>ATAN2('1.설계입력'!$C$6/('1.설계입력'!$C$8*'1.설계입력'!$C$15)-COS((1-'1.설계입력'!$C$15)*B1145),SIN((1-'1.설계입력'!$C$15)*B1145))</f>
        <v>0.46336781521181358</v>
      </c>
      <c r="D1145" s="40">
        <f>'1.설계입력'!$C$6*COS(B1145)-'1.설계입력'!$C$7*COS(B1145+C1145)-'1.설계입력'!$C$8*COS('1.설계입력'!$C$15*B1145)</f>
        <v>-53.440071621640762</v>
      </c>
      <c r="E1145" s="40">
        <f>-'1.설계입력'!$C$6*SIN(B1145)+'1.설계입력'!$C$7*SIN(B1145+C1145)+'1.설계입력'!$C$8*SIN('1.설계입력'!$C$15*B1145)</f>
        <v>58.285061037740896</v>
      </c>
      <c r="F1145" s="40">
        <f>ATAN2(('1.설계입력'!$C$6+'1.설계입력'!$C$33)/('1.설계입력'!$C$8*'1.설계입력'!$C$15)-COS((1-'1.설계입력'!$C$15)*B1145),SIN((1-'1.설계입력'!$C$15)*B1145))</f>
        <v>0.46337928004862333</v>
      </c>
      <c r="G1145" s="40">
        <f>('1.설계입력'!$C$6+'1.설계입력'!$C$33)*COS(B1145)-('1.설계입력'!$C$7+'1.설계입력'!$C$34)*COS(B1145+F1145)-'1.설계입력'!$C$8*COS('1.설계입력'!$C$15*B1145)</f>
        <v>-53.435848345027239</v>
      </c>
      <c r="H1145" s="40">
        <f>-('1.설계입력'!$C$6+'1.설계입력'!$C$33)*SIN(B1145)+('1.설계입력'!$C$7+'1.설계입력'!$C$34)*SIN(B1145+F1145)+'1.설계입력'!$C$8*SIN('1.설계입력'!$C$15*B1145)</f>
        <v>58.274952471339461</v>
      </c>
      <c r="I1145" s="40">
        <f t="shared" si="52"/>
        <v>79.075847103267094</v>
      </c>
      <c r="J1145" s="40">
        <f t="shared" si="53"/>
        <v>79.065542266461591</v>
      </c>
      <c r="K1145" s="38" t="str">
        <f>IF(OR(A1145&gt;180,'1.설계입력'!$C$39&gt;=1),"",'1.설계입력'!$C$34*(1-SIN(B1145)/SQRT(1+'1.설계입력'!$C$39^2-2*'1.설계입력'!$C$39*COS(B1145)))-'1.설계입력'!$C$33*(1-'1.설계입력'!$C$39*COS(B1145)-SQRT(MAX(0,1-'1.설계입력'!$C$39^2))*SIN(B1145))/SQRT(1+'1.설계입력'!$C$39^2-2*'1.설계입력'!$C$39*COS(B1145)))</f>
        <v/>
      </c>
    </row>
    <row r="1146" spans="1:11" x14ac:dyDescent="0.3">
      <c r="A1146" s="40">
        <f>A1145+'1.설계입력'!$C$12</f>
        <v>227.99999999999559</v>
      </c>
      <c r="B1146" s="40">
        <f t="shared" si="51"/>
        <v>3.9793506945469943</v>
      </c>
      <c r="C1146" s="40">
        <f>ATAN2('1.설계입력'!$C$6/('1.설계입력'!$C$8*'1.설계입력'!$C$15)-COS((1-'1.설계입력'!$C$15)*B1146),SIN((1-'1.설계입력'!$C$15)*B1146))</f>
        <v>0.51622742831578861</v>
      </c>
      <c r="D1146" s="40">
        <f>'1.설계입력'!$C$6*COS(B1146)-'1.설계입력'!$C$7*COS(B1146+C1146)-'1.설계입력'!$C$8*COS('1.설계입력'!$C$15*B1146)</f>
        <v>-53.258244751110396</v>
      </c>
      <c r="E1146" s="40">
        <f>-'1.설계입력'!$C$6*SIN(B1146)+'1.설계입력'!$C$7*SIN(B1146+C1146)+'1.설계입력'!$C$8*SIN('1.설계입력'!$C$15*B1146)</f>
        <v>58.33055999174023</v>
      </c>
      <c r="F1146" s="40">
        <f>ATAN2(('1.설계입력'!$C$6+'1.설계입력'!$C$33)/('1.설계입력'!$C$8*'1.설계입력'!$C$15)-COS((1-'1.설계입력'!$C$15)*B1146),SIN((1-'1.설계입력'!$C$15)*B1146))</f>
        <v>0.51624066469798513</v>
      </c>
      <c r="G1146" s="40">
        <f>('1.설계입력'!$C$6+'1.설계입력'!$C$33)*COS(B1146)-('1.설계입력'!$C$7+'1.설계입력'!$C$34)*COS(B1146+F1146)-'1.설계입력'!$C$8*COS('1.설계입력'!$C$15*B1146)</f>
        <v>-53.254479815437875</v>
      </c>
      <c r="H1146" s="40">
        <f>-('1.설계입력'!$C$6+'1.설계입력'!$C$33)*SIN(B1146)+('1.설계입력'!$C$7+'1.설계입력'!$C$34)*SIN(B1146+F1146)+'1.설계입력'!$C$8*SIN('1.설계입력'!$C$15*B1146)</f>
        <v>58.320334464166059</v>
      </c>
      <c r="I1146" s="40">
        <f t="shared" si="52"/>
        <v>78.986675223857745</v>
      </c>
      <c r="J1146" s="40">
        <f t="shared" si="53"/>
        <v>78.976585342904485</v>
      </c>
      <c r="K1146" s="38" t="str">
        <f>IF(OR(A1146&gt;180,'1.설계입력'!$C$39&gt;=1),"",'1.설계입력'!$C$34*(1-SIN(B1146)/SQRT(1+'1.설계입력'!$C$39^2-2*'1.설계입력'!$C$39*COS(B1146)))-'1.설계입력'!$C$33*(1-'1.설계입력'!$C$39*COS(B1146)-SQRT(MAX(0,1-'1.설계입력'!$C$39^2))*SIN(B1146))/SQRT(1+'1.설계입력'!$C$39^2-2*'1.설계입력'!$C$39*COS(B1146)))</f>
        <v/>
      </c>
    </row>
    <row r="1147" spans="1:11" x14ac:dyDescent="0.3">
      <c r="A1147" s="40">
        <f>A1146+'1.설계입력'!$C$12</f>
        <v>228.19999999999558</v>
      </c>
      <c r="B1147" s="40">
        <f t="shared" si="51"/>
        <v>3.9828413530509827</v>
      </c>
      <c r="C1147" s="40">
        <f>ATAN2('1.설계입력'!$C$6/('1.설계입력'!$C$8*'1.설계입력'!$C$15)-COS((1-'1.설계입력'!$C$15)*B1147),SIN((1-'1.설계입력'!$C$15)*B1147))</f>
        <v>0.56756253571338999</v>
      </c>
      <c r="D1147" s="40">
        <f>'1.설계입력'!$C$6*COS(B1147)-'1.설계입력'!$C$7*COS(B1147+C1147)-'1.설계입력'!$C$8*COS('1.설계입력'!$C$15*B1147)</f>
        <v>-53.087059835350694</v>
      </c>
      <c r="E1147" s="40">
        <f>-'1.설계입력'!$C$6*SIN(B1147)+'1.설계입력'!$C$7*SIN(B1147+C1147)+'1.설계입력'!$C$8*SIN('1.설계입력'!$C$15*B1147)</f>
        <v>58.363411795528606</v>
      </c>
      <c r="F1147" s="40">
        <f>ATAN2(('1.설계입력'!$C$6+'1.설계입력'!$C$33)/('1.설계입력'!$C$8*'1.설계입력'!$C$15)-COS((1-'1.설계입력'!$C$15)*B1147),SIN((1-'1.설계입력'!$C$15)*B1147))</f>
        <v>0.56757770701652499</v>
      </c>
      <c r="G1147" s="40">
        <f>('1.설계입력'!$C$6+'1.설계입력'!$C$33)*COS(B1147)-('1.설계입력'!$C$7+'1.설계입력'!$C$34)*COS(B1147+F1147)-'1.설계입력'!$C$8*COS('1.설계입력'!$C$15*B1147)</f>
        <v>-53.083747248046215</v>
      </c>
      <c r="H1147" s="40">
        <f>-('1.설계입력'!$C$6+'1.설계입력'!$C$33)*SIN(B1147)+('1.설계입력'!$C$7+'1.설계입력'!$C$34)*SIN(B1147+F1147)+'1.설계입력'!$C$8*SIN('1.설계입력'!$C$15*B1147)</f>
        <v>58.353097049873199</v>
      </c>
      <c r="I1147" s="40">
        <f t="shared" si="52"/>
        <v>78.895651073912504</v>
      </c>
      <c r="J1147" s="40">
        <f t="shared" si="53"/>
        <v>78.885791858904312</v>
      </c>
      <c r="K1147" s="38" t="str">
        <f>IF(OR(A1147&gt;180,'1.설계입력'!$C$39&gt;=1),"",'1.설계입력'!$C$34*(1-SIN(B1147)/SQRT(1+'1.설계입력'!$C$39^2-2*'1.설계입력'!$C$39*COS(B1147)))-'1.설계입력'!$C$33*(1-'1.설계입력'!$C$39*COS(B1147)-SQRT(MAX(0,1-'1.설계입력'!$C$39^2))*SIN(B1147))/SQRT(1+'1.설계입력'!$C$39^2-2*'1.설계입력'!$C$39*COS(B1147)))</f>
        <v/>
      </c>
    </row>
    <row r="1148" spans="1:11" x14ac:dyDescent="0.3">
      <c r="A1148" s="40">
        <f>A1147+'1.설계입력'!$C$12</f>
        <v>228.39999999999557</v>
      </c>
      <c r="B1148" s="40">
        <f t="shared" si="51"/>
        <v>3.9863320115549712</v>
      </c>
      <c r="C1148" s="40">
        <f>ATAN2('1.설계입력'!$C$6/('1.설계입력'!$C$8*'1.설계입력'!$C$15)-COS((1-'1.설계입력'!$C$15)*B1148),SIN((1-'1.설계입력'!$C$15)*B1148))</f>
        <v>0.61696101303494999</v>
      </c>
      <c r="D1148" s="40">
        <f>'1.설계입력'!$C$6*COS(B1148)-'1.설계입력'!$C$7*COS(B1148+C1148)-'1.설계입력'!$C$8*COS('1.설계입력'!$C$15*B1148)</f>
        <v>-52.927421033590676</v>
      </c>
      <c r="E1148" s="40">
        <f>-'1.설계입력'!$C$6*SIN(B1148)+'1.설계입력'!$C$7*SIN(B1148+C1148)+'1.설계입력'!$C$8*SIN('1.설계입력'!$C$15*B1148)</f>
        <v>58.385211231760017</v>
      </c>
      <c r="F1148" s="40">
        <f>ATAN2(('1.설계입력'!$C$6+'1.설계입력'!$C$33)/('1.설계입력'!$C$8*'1.설계입력'!$C$15)-COS((1-'1.설계입력'!$C$15)*B1148),SIN((1-'1.설계입력'!$C$15)*B1148))</f>
        <v>0.61697832305772959</v>
      </c>
      <c r="G1148" s="40">
        <f>('1.설계입력'!$C$6+'1.설계입력'!$C$33)*COS(B1148)-('1.설계입력'!$C$7+'1.설계입력'!$C$34)*COS(B1148+F1148)-'1.설계입력'!$C$8*COS('1.설계입력'!$C$15*B1148)</f>
        <v>-52.92454990485443</v>
      </c>
      <c r="H1148" s="40">
        <f>-('1.설계입력'!$C$6+'1.설계입력'!$C$33)*SIN(B1148)+('1.설계입력'!$C$7+'1.설계입력'!$C$34)*SIN(B1148+F1148)+'1.설계입력'!$C$8*SIN('1.설계입력'!$C$15*B1148)</f>
        <v>58.374833659188326</v>
      </c>
      <c r="I1148" s="40">
        <f t="shared" si="52"/>
        <v>78.804471877198779</v>
      </c>
      <c r="J1148" s="40">
        <f t="shared" si="53"/>
        <v>78.794855081847402</v>
      </c>
      <c r="K1148" s="38" t="str">
        <f>IF(OR(A1148&gt;180,'1.설계입력'!$C$39&gt;=1),"",'1.설계입력'!$C$34*(1-SIN(B1148)/SQRT(1+'1.설계입력'!$C$39^2-2*'1.설계입력'!$C$39*COS(B1148)))-'1.설계입력'!$C$33*(1-'1.설계입력'!$C$39*COS(B1148)-SQRT(MAX(0,1-'1.설계입력'!$C$39^2))*SIN(B1148))/SQRT(1+'1.설계입력'!$C$39^2-2*'1.설계입력'!$C$39*COS(B1148)))</f>
        <v/>
      </c>
    </row>
    <row r="1149" spans="1:11" x14ac:dyDescent="0.3">
      <c r="A1149" s="40">
        <f>A1148+'1.설계입력'!$C$12</f>
        <v>228.59999999999556</v>
      </c>
      <c r="B1149" s="40">
        <f t="shared" si="51"/>
        <v>3.9898226700589601</v>
      </c>
      <c r="C1149" s="40">
        <f>ATAN2('1.설계입력'!$C$6/('1.설계입력'!$C$8*'1.설계입력'!$C$15)-COS((1-'1.설계입력'!$C$15)*B1149),SIN((1-'1.설계입력'!$C$15)*B1149))</f>
        <v>0.66387397901938494</v>
      </c>
      <c r="D1149" s="40">
        <f>'1.설계입력'!$C$6*COS(B1149)-'1.설계입력'!$C$7*COS(B1149+C1149)-'1.설계입력'!$C$8*COS('1.설계입력'!$C$15*B1149)</f>
        <v>-52.779412905039486</v>
      </c>
      <c r="E1149" s="40">
        <f>-'1.설계입력'!$C$6*SIN(B1149)+'1.설계입력'!$C$7*SIN(B1149+C1149)+'1.설계입력'!$C$8*SIN('1.설계입력'!$C$15*B1149)</f>
        <v>58.397673190108634</v>
      </c>
      <c r="F1149" s="40">
        <f>ATAN2(('1.설계입력'!$C$6+'1.설계입력'!$C$33)/('1.설계입력'!$C$8*'1.설계입력'!$C$15)-COS((1-'1.설계입력'!$C$15)*B1149),SIN((1-'1.설계입력'!$C$15)*B1149))</f>
        <v>0.66389368317960129</v>
      </c>
      <c r="G1149" s="40">
        <f>('1.설계입력'!$C$6+'1.설계입력'!$C$33)*COS(B1149)-('1.설계입력'!$C$7+'1.설계입력'!$C$34)*COS(B1149+F1149)-'1.설계입력'!$C$8*COS('1.설계입력'!$C$15*B1149)</f>
        <v>-52.776966543574062</v>
      </c>
      <c r="H1149" s="40">
        <f>-('1.설계입력'!$C$6+'1.설계입력'!$C$33)*SIN(B1149)+('1.설계입력'!$C$7+'1.설계입력'!$C$34)*SIN(B1149+F1149)+'1.설계입력'!$C$8*SIN('1.설계입력'!$C$15*B1149)</f>
        <v>58.387257161324413</v>
      </c>
      <c r="I1149" s="40">
        <f t="shared" si="52"/>
        <v>78.714386617818363</v>
      </c>
      <c r="J1149" s="40">
        <f t="shared" si="53"/>
        <v>78.705018876588582</v>
      </c>
      <c r="K1149" s="38" t="str">
        <f>IF(OR(A1149&gt;180,'1.설계입력'!$C$39&gt;=1),"",'1.설계입력'!$C$34*(1-SIN(B1149)/SQRT(1+'1.설계입력'!$C$39^2-2*'1.설계입력'!$C$39*COS(B1149)))-'1.설계입력'!$C$33*(1-'1.설계입력'!$C$39*COS(B1149)-SQRT(MAX(0,1-'1.설계입력'!$C$39^2))*SIN(B1149))/SQRT(1+'1.설계입력'!$C$39^2-2*'1.설계입력'!$C$39*COS(B1149)))</f>
        <v/>
      </c>
    </row>
    <row r="1150" spans="1:11" x14ac:dyDescent="0.3">
      <c r="A1150" s="40">
        <f>A1149+'1.설계입력'!$C$12</f>
        <v>228.79999999999555</v>
      </c>
      <c r="B1150" s="40">
        <f t="shared" si="51"/>
        <v>3.9933133285629485</v>
      </c>
      <c r="C1150" s="40">
        <f>ATAN2('1.설계입력'!$C$6/('1.설계입력'!$C$8*'1.설계입력'!$C$15)-COS((1-'1.설계입력'!$C$15)*B1150),SIN((1-'1.설계입력'!$C$15)*B1150))</f>
        <v>0.70755148623619546</v>
      </c>
      <c r="D1150" s="40">
        <f>'1.설계입력'!$C$6*COS(B1150)-'1.설계입력'!$C$7*COS(B1150+C1150)-'1.설계입력'!$C$8*COS('1.설계입력'!$C$15*B1150)</f>
        <v>-52.642018698423314</v>
      </c>
      <c r="E1150" s="40">
        <f>-'1.설계입력'!$C$6*SIN(B1150)+'1.설계입력'!$C$7*SIN(B1150+C1150)+'1.설계입력'!$C$8*SIN('1.설계입력'!$C$15*B1150)</f>
        <v>58.402495483473452</v>
      </c>
      <c r="F1150" s="40">
        <f>ATAN2(('1.설계입력'!$C$6+'1.설계입력'!$C$33)/('1.설계입력'!$C$8*'1.설계입력'!$C$15)-COS((1-'1.설계입력'!$C$15)*B1150),SIN((1-'1.설계입력'!$C$15)*B1150))</f>
        <v>0.70757390666552988</v>
      </c>
      <c r="G1150" s="40">
        <f>('1.설계입력'!$C$6+'1.설계입력'!$C$33)*COS(B1150)-('1.설계입력'!$C$7+'1.설계입력'!$C$34)*COS(B1150+F1150)-'1.설계입력'!$C$8*COS('1.설계입력'!$C$15*B1150)</f>
        <v>-52.639973274789114</v>
      </c>
      <c r="H1150" s="40">
        <f>-('1.설계입력'!$C$6+'1.설계입력'!$C$33)*SIN(B1150)+('1.설계입력'!$C$7+'1.설계입력'!$C$34)*SIN(B1150+F1150)+'1.설계입력'!$C$8*SIN('1.설계입력'!$C$15*B1150)</f>
        <v>58.392062500546238</v>
      </c>
      <c r="I1150" s="40">
        <f t="shared" si="52"/>
        <v>78.6259092878568</v>
      </c>
      <c r="J1150" s="40">
        <f t="shared" si="53"/>
        <v>78.616790505834118</v>
      </c>
      <c r="K1150" s="38" t="str">
        <f>IF(OR(A1150&gt;180,'1.설계입력'!$C$39&gt;=1),"",'1.설계입력'!$C$34*(1-SIN(B1150)/SQRT(1+'1.설계입력'!$C$39^2-2*'1.설계입력'!$C$39*COS(B1150)))-'1.설계입력'!$C$33*(1-'1.설계입력'!$C$39*COS(B1150)-SQRT(MAX(0,1-'1.설계입력'!$C$39^2))*SIN(B1150))/SQRT(1+'1.설계입력'!$C$39^2-2*'1.설계입력'!$C$39*COS(B1150)))</f>
        <v/>
      </c>
    </row>
    <row r="1151" spans="1:11" x14ac:dyDescent="0.3">
      <c r="A1151" s="40">
        <f>A1150+'1.설계입력'!$C$12</f>
        <v>228.99999999999554</v>
      </c>
      <c r="B1151" s="40">
        <f t="shared" si="51"/>
        <v>3.996803987066937</v>
      </c>
      <c r="C1151" s="40">
        <f>ATAN2('1.설계입력'!$C$6/('1.설계입력'!$C$8*'1.설계입력'!$C$15)-COS((1-'1.설계입력'!$C$15)*B1151),SIN((1-'1.설계입력'!$C$15)*B1151))</f>
        <v>0.7469398226577828</v>
      </c>
      <c r="D1151" s="40">
        <f>'1.설계입력'!$C$6*COS(B1151)-'1.설계입력'!$C$7*COS(B1151+C1151)-'1.설계입력'!$C$8*COS('1.설계입력'!$C$15*B1151)</f>
        <v>-52.512700213934934</v>
      </c>
      <c r="E1151" s="40">
        <f>-'1.설계입력'!$C$6*SIN(B1151)+'1.설계입력'!$C$7*SIN(B1151+C1151)+'1.설계입력'!$C$8*SIN('1.설계입력'!$C$15*B1151)</f>
        <v>58.401181882817923</v>
      </c>
      <c r="F1151" s="40">
        <f>ATAN2(('1.설계입력'!$C$6+'1.설계입력'!$C$33)/('1.설계입력'!$C$8*'1.설계입력'!$C$15)-COS((1-'1.설계입력'!$C$15)*B1151),SIN((1-'1.설계입력'!$C$15)*B1151))</f>
        <v>0.74696536832587224</v>
      </c>
      <c r="G1151" s="40">
        <f>('1.설계입력'!$C$6+'1.설계입력'!$C$33)*COS(B1151)-('1.설계입력'!$C$7+'1.설계입력'!$C$34)*COS(B1151+F1151)-'1.설계입력'!$C$8*COS('1.설계입력'!$C$15*B1151)</f>
        <v>-52.511022702674516</v>
      </c>
      <c r="H1151" s="40">
        <f>-('1.설계입력'!$C$6+'1.설계입력'!$C$33)*SIN(B1151)+('1.설계입력'!$C$7+'1.설계입력'!$C$34)*SIN(B1151+F1151)+'1.설계입력'!$C$8*SIN('1.설계입력'!$C$15*B1151)</f>
        <v>58.390749475639929</v>
      </c>
      <c r="I1151" s="40">
        <f t="shared" si="52"/>
        <v>78.538409259855669</v>
      </c>
      <c r="J1151" s="40">
        <f t="shared" si="53"/>
        <v>78.529530302986927</v>
      </c>
      <c r="K1151" s="38" t="str">
        <f>IF(OR(A1151&gt;180,'1.설계입력'!$C$39&gt;=1),"",'1.설계입력'!$C$34*(1-SIN(B1151)/SQRT(1+'1.설계입력'!$C$39^2-2*'1.설계입력'!$C$39*COS(B1151)))-'1.설계입력'!$C$33*(1-'1.설계입력'!$C$39*COS(B1151)-SQRT(MAX(0,1-'1.설계입력'!$C$39^2))*SIN(B1151))/SQRT(1+'1.설계입력'!$C$39^2-2*'1.설계입력'!$C$39*COS(B1151)))</f>
        <v/>
      </c>
    </row>
    <row r="1152" spans="1:11" x14ac:dyDescent="0.3">
      <c r="A1152" s="40">
        <f>A1151+'1.설계입력'!$C$12</f>
        <v>229.19999999999553</v>
      </c>
      <c r="B1152" s="40">
        <f t="shared" si="51"/>
        <v>4.000294645570925</v>
      </c>
      <c r="C1152" s="40">
        <f>ATAN2('1.설계입력'!$C$6/('1.설계입력'!$C$8*'1.설계입력'!$C$15)-COS((1-'1.설계입력'!$C$15)*B1152),SIN((1-'1.설계입력'!$C$15)*B1152))</f>
        <v>0.78051163836304083</v>
      </c>
      <c r="D1152" s="40">
        <f>'1.설계입력'!$C$6*COS(B1152)-'1.설계입력'!$C$7*COS(B1152+C1152)-'1.설계입력'!$C$8*COS('1.설계입력'!$C$15*B1152)</f>
        <v>-52.386723885966873</v>
      </c>
      <c r="E1152" s="40">
        <f>-'1.설계입력'!$C$6*SIN(B1152)+'1.설계입력'!$C$7*SIN(B1152+C1152)+'1.설계입력'!$C$8*SIN('1.설계입력'!$C$15*B1152)</f>
        <v>58.394820303243804</v>
      </c>
      <c r="F1152" s="40">
        <f>ATAN2(('1.설계입력'!$C$6+'1.설계입력'!$C$33)/('1.설계입력'!$C$8*'1.설계입력'!$C$15)-COS((1-'1.설계입력'!$C$15)*B1152),SIN((1-'1.설계입력'!$C$15)*B1152))</f>
        <v>0.78054083090666992</v>
      </c>
      <c r="G1152" s="40">
        <f>('1.설계입력'!$C$6+'1.설계입력'!$C$33)*COS(B1152)-('1.설계입력'!$C$7+'1.설계입력'!$C$34)*COS(B1152+F1152)-'1.설계입력'!$C$8*COS('1.설계입력'!$C$15*B1152)</f>
        <v>-52.385368762782612</v>
      </c>
      <c r="H1152" s="40">
        <f>-('1.설계입력'!$C$6+'1.설계입력'!$C$33)*SIN(B1152)+('1.설계입력'!$C$7+'1.설계입력'!$C$34)*SIN(B1152+F1152)+'1.설계입력'!$C$8*SIN('1.설계입력'!$C$15*B1152)</f>
        <v>58.38440056967189</v>
      </c>
      <c r="I1152" s="40">
        <f t="shared" si="52"/>
        <v>78.449498900583592</v>
      </c>
      <c r="J1152" s="40">
        <f t="shared" si="53"/>
        <v>78.440838153940092</v>
      </c>
      <c r="K1152" s="38" t="str">
        <f>IF(OR(A1152&gt;180,'1.설계입력'!$C$39&gt;=1),"",'1.설계입력'!$C$34*(1-SIN(B1152)/SQRT(1+'1.설계입력'!$C$39^2-2*'1.설계입력'!$C$39*COS(B1152)))-'1.설계입력'!$C$33*(1-'1.설계입력'!$C$39*COS(B1152)-SQRT(MAX(0,1-'1.설계입력'!$C$39^2))*SIN(B1152))/SQRT(1+'1.설계입력'!$C$39^2-2*'1.설계입력'!$C$39*COS(B1152)))</f>
        <v/>
      </c>
    </row>
    <row r="1153" spans="1:11" x14ac:dyDescent="0.3">
      <c r="A1153" s="40">
        <f>A1152+'1.설계입력'!$C$12</f>
        <v>229.39999999999552</v>
      </c>
      <c r="B1153" s="40">
        <f t="shared" si="51"/>
        <v>4.0037853040749134</v>
      </c>
      <c r="C1153" s="40">
        <f>ATAN2('1.설계입력'!$C$6/('1.설계입력'!$C$8*'1.설계입력'!$C$15)-COS((1-'1.설계입력'!$C$15)*B1153),SIN((1-'1.설계입력'!$C$15)*B1153))</f>
        <v>0.80597399290869287</v>
      </c>
      <c r="D1153" s="40">
        <f>'1.설계입력'!$C$6*COS(B1153)-'1.설계입력'!$C$7*COS(B1153+C1153)-'1.설계입력'!$C$8*COS('1.설계입력'!$C$15*B1153)</f>
        <v>-52.256005854573267</v>
      </c>
      <c r="E1153" s="40">
        <f>-'1.설계입력'!$C$6*SIN(B1153)+'1.설계입력'!$C$7*SIN(B1153+C1153)+'1.설계입력'!$C$8*SIN('1.설계입력'!$C$15*B1153)</f>
        <v>58.383828892427509</v>
      </c>
      <c r="F1153" s="40">
        <f>ATAN2(('1.설계입력'!$C$6+'1.설계입력'!$C$33)/('1.설계입력'!$C$8*'1.설계입력'!$C$15)-COS((1-'1.설계입력'!$C$15)*B1153),SIN((1-'1.설계입력'!$C$15)*B1153))</f>
        <v>0.80600749614376654</v>
      </c>
      <c r="G1153" s="40">
        <f>('1.설계입력'!$C$6+'1.설계입력'!$C$33)*COS(B1153)-('1.설계입력'!$C$7+'1.설계입력'!$C$34)*COS(B1153+F1153)-'1.설계입력'!$C$8*COS('1.설계입력'!$C$15*B1153)</f>
        <v>-52.254909556408116</v>
      </c>
      <c r="H1153" s="40">
        <f>-('1.설계입력'!$C$6+'1.설계입력'!$C$33)*SIN(B1153)+('1.설계입력'!$C$7+'1.설계입력'!$C$34)*SIN(B1153+F1153)+'1.설계입력'!$C$8*SIN('1.설계입력'!$C$15*B1153)</f>
        <v>58.373426575903892</v>
      </c>
      <c r="I1153" s="40">
        <f t="shared" si="52"/>
        <v>78.354078541027135</v>
      </c>
      <c r="J1153" s="40">
        <f t="shared" si="53"/>
        <v>78.345596576711543</v>
      </c>
      <c r="K1153" s="38" t="str">
        <f>IF(OR(A1153&gt;180,'1.설계입력'!$C$39&gt;=1),"",'1.설계입력'!$C$34*(1-SIN(B1153)/SQRT(1+'1.설계입력'!$C$39^2-2*'1.설계입력'!$C$39*COS(B1153)))-'1.설계입력'!$C$33*(1-'1.설계입력'!$C$39*COS(B1153)-SQRT(MAX(0,1-'1.설계입력'!$C$39^2))*SIN(B1153))/SQRT(1+'1.설계입력'!$C$39^2-2*'1.설계입력'!$C$39*COS(B1153)))</f>
        <v/>
      </c>
    </row>
    <row r="1154" spans="1:11" x14ac:dyDescent="0.3">
      <c r="A1154" s="40">
        <f>A1153+'1.설계입력'!$C$12</f>
        <v>229.5999999999955</v>
      </c>
      <c r="B1154" s="40">
        <f t="shared" si="51"/>
        <v>4.0072759625789018</v>
      </c>
      <c r="C1154" s="40">
        <f>ATAN2('1.설계입력'!$C$6/('1.설계입력'!$C$8*'1.설계입력'!$C$15)-COS((1-'1.설계입력'!$C$15)*B1154),SIN((1-'1.설계입력'!$C$15)*B1154))</f>
        <v>0.8197459798871477</v>
      </c>
      <c r="D1154" s="40">
        <f>'1.설계입력'!$C$6*COS(B1154)-'1.설계입력'!$C$7*COS(B1154+C1154)-'1.설계입력'!$C$8*COS('1.설계입력'!$C$15*B1154)</f>
        <v>-52.107014080266282</v>
      </c>
      <c r="E1154" s="40">
        <f>-'1.설계입력'!$C$6*SIN(B1154)+'1.설계입력'!$C$7*SIN(B1154+C1154)+'1.설계입력'!$C$8*SIN('1.설계입력'!$C$15*B1154)</f>
        <v>58.367759172254949</v>
      </c>
      <c r="F1154" s="40">
        <f>ATAN2(('1.설계입력'!$C$6+'1.설계입력'!$C$33)/('1.설계입력'!$C$8*'1.설계입력'!$C$15)-COS((1-'1.설계입력'!$C$15)*B1154),SIN((1-'1.설계입력'!$C$15)*B1154))</f>
        <v>0.81978462037222222</v>
      </c>
      <c r="G1154" s="40">
        <f>('1.설계입력'!$C$6+'1.설계입력'!$C$33)*COS(B1154)-('1.설계입력'!$C$7+'1.설계입력'!$C$34)*COS(B1154+F1154)-'1.설계입력'!$C$8*COS('1.설계입력'!$C$15*B1154)</f>
        <v>-52.106085261432682</v>
      </c>
      <c r="H1154" s="40">
        <f>-('1.설계입력'!$C$6+'1.설계입력'!$C$33)*SIN(B1154)+('1.설계입력'!$C$7+'1.설계입력'!$C$34)*SIN(B1154+F1154)+'1.설계입력'!$C$8*SIN('1.설계입력'!$C$15*B1154)</f>
        <v>58.357369283034934</v>
      </c>
      <c r="I1154" s="40">
        <f t="shared" si="52"/>
        <v>78.242803037413097</v>
      </c>
      <c r="J1154" s="40">
        <f t="shared" si="53"/>
        <v>78.234434048622106</v>
      </c>
      <c r="K1154" s="38" t="str">
        <f>IF(OR(A1154&gt;180,'1.설계입력'!$C$39&gt;=1),"",'1.설계입력'!$C$34*(1-SIN(B1154)/SQRT(1+'1.설계입력'!$C$39^2-2*'1.설계입력'!$C$39*COS(B1154)))-'1.설계입력'!$C$33*(1-'1.설계입력'!$C$39*COS(B1154)-SQRT(MAX(0,1-'1.설계입력'!$C$39^2))*SIN(B1154))/SQRT(1+'1.설계입력'!$C$39^2-2*'1.설계입력'!$C$39*COS(B1154)))</f>
        <v/>
      </c>
    </row>
    <row r="1155" spans="1:11" x14ac:dyDescent="0.3">
      <c r="A1155" s="40">
        <f>A1154+'1.설계입력'!$C$12</f>
        <v>229.79999999999549</v>
      </c>
      <c r="B1155" s="40">
        <f t="shared" si="51"/>
        <v>4.0107666210828903</v>
      </c>
      <c r="C1155" s="40">
        <f>ATAN2('1.설계입력'!$C$6/('1.설계입력'!$C$8*'1.설계입력'!$C$15)-COS((1-'1.설계입력'!$C$15)*B1155),SIN((1-'1.설계입력'!$C$15)*B1155))</f>
        <v>0.81598793491538335</v>
      </c>
      <c r="D1155" s="40">
        <f>'1.설계입력'!$C$6*COS(B1155)-'1.설계입력'!$C$7*COS(B1155+C1155)-'1.설계입력'!$C$8*COS('1.설계입력'!$C$15*B1155)</f>
        <v>-51.916774718135159</v>
      </c>
      <c r="E1155" s="40">
        <f>-'1.설계입력'!$C$6*SIN(B1155)+'1.설계입력'!$C$7*SIN(B1155+C1155)+'1.설계입력'!$C$8*SIN('1.설계입력'!$C$15*B1155)</f>
        <v>58.345537281859094</v>
      </c>
      <c r="F1155" s="40">
        <f>ATAN2(('1.설계입력'!$C$6+'1.설계입력'!$C$33)/('1.설계입력'!$C$8*'1.설계입력'!$C$15)-COS((1-'1.설계입력'!$C$15)*B1155),SIN((1-'1.설계입력'!$C$15)*B1155))</f>
        <v>0.81603266269627006</v>
      </c>
      <c r="G1155" s="40">
        <f>('1.설계입력'!$C$6+'1.설계입력'!$C$33)*COS(B1155)-('1.설계입력'!$C$7+'1.설계입력'!$C$34)*COS(B1155+F1155)-'1.설계입력'!$C$8*COS('1.설계입력'!$C$15*B1155)</f>
        <v>-51.915876244234418</v>
      </c>
      <c r="H1155" s="40">
        <f>-('1.설계입력'!$C$6+'1.설계입력'!$C$33)*SIN(B1155)+('1.설계입력'!$C$7+'1.설계입력'!$C$34)*SIN(B1155+F1155)+'1.설계입력'!$C$8*SIN('1.설계입력'!$C$15*B1155)</f>
        <v>58.335142890398004</v>
      </c>
      <c r="I1155" s="40">
        <f t="shared" si="52"/>
        <v>78.099636477018294</v>
      </c>
      <c r="J1155" s="40">
        <f t="shared" si="53"/>
        <v>78.091274174838617</v>
      </c>
      <c r="K1155" s="38" t="str">
        <f>IF(OR(A1155&gt;180,'1.설계입력'!$C$39&gt;=1),"",'1.설계입력'!$C$34*(1-SIN(B1155)/SQRT(1+'1.설계입력'!$C$39^2-2*'1.설계입력'!$C$39*COS(B1155)))-'1.설계입력'!$C$33*(1-'1.설계입력'!$C$39*COS(B1155)-SQRT(MAX(0,1-'1.설계입력'!$C$39^2))*SIN(B1155))/SQRT(1+'1.설계입력'!$C$39^2-2*'1.설계입력'!$C$39*COS(B1155)))</f>
        <v/>
      </c>
    </row>
    <row r="1156" spans="1:11" x14ac:dyDescent="0.3">
      <c r="A1156" s="40">
        <f>A1155+'1.설계입력'!$C$12</f>
        <v>229.99999999999548</v>
      </c>
      <c r="B1156" s="40">
        <f t="shared" si="51"/>
        <v>4.0142572795868787</v>
      </c>
      <c r="C1156" s="40">
        <f>ATAN2('1.설계입력'!$C$6/('1.설계입력'!$C$8*'1.설계입력'!$C$15)-COS((1-'1.설계입력'!$C$15)*B1156),SIN((1-'1.설계입력'!$C$15)*B1156))</f>
        <v>0.78475731155863671</v>
      </c>
      <c r="D1156" s="40">
        <f>'1.설계입력'!$C$6*COS(B1156)-'1.설계입력'!$C$7*COS(B1156+C1156)-'1.설계입력'!$C$8*COS('1.설계입력'!$C$15*B1156)</f>
        <v>-51.645114309881308</v>
      </c>
      <c r="E1156" s="40">
        <f>-'1.설계입력'!$C$6*SIN(B1156)+'1.설계입력'!$C$7*SIN(B1156+C1156)+'1.설계입력'!$C$8*SIN('1.설계입력'!$C$15*B1156)</f>
        <v>58.317612731000779</v>
      </c>
      <c r="F1156" s="40">
        <f>ATAN2(('1.설계입력'!$C$6+'1.설계입력'!$C$33)/('1.설계입력'!$C$8*'1.설계입력'!$C$15)-COS((1-'1.설계입력'!$C$15)*B1156),SIN((1-'1.설계입력'!$C$15)*B1156))</f>
        <v>0.78480891467007741</v>
      </c>
      <c r="G1156" s="40">
        <f>('1.설계입력'!$C$6+'1.설계입력'!$C$33)*COS(B1156)-('1.설계입력'!$C$7+'1.설계입력'!$C$34)*COS(B1156+F1156)-'1.설계입력'!$C$8*COS('1.설계입력'!$C$15*B1156)</f>
        <v>-51.644028512942889</v>
      </c>
      <c r="H1156" s="40">
        <f>-('1.설계입력'!$C$6+'1.설계입력'!$C$33)*SIN(B1156)+('1.설계입력'!$C$7+'1.설계입력'!$C$34)*SIN(B1156+F1156)+'1.설계입력'!$C$8*SIN('1.설계입력'!$C$15*B1156)</f>
        <v>58.307186265142221</v>
      </c>
      <c r="I1156" s="40">
        <f t="shared" si="52"/>
        <v>77.898406830458939</v>
      </c>
      <c r="J1156" s="40">
        <f t="shared" si="53"/>
        <v>77.8898815713803</v>
      </c>
      <c r="K1156" s="38" t="str">
        <f>IF(OR(A1156&gt;180,'1.설계입력'!$C$39&gt;=1),"",'1.설계입력'!$C$34*(1-SIN(B1156)/SQRT(1+'1.설계입력'!$C$39^2-2*'1.설계입력'!$C$39*COS(B1156)))-'1.설계입력'!$C$33*(1-'1.설계입력'!$C$39*COS(B1156)-SQRT(MAX(0,1-'1.설계입력'!$C$39^2))*SIN(B1156))/SQRT(1+'1.설계입력'!$C$39^2-2*'1.설계입력'!$C$39*COS(B1156)))</f>
        <v/>
      </c>
    </row>
    <row r="1157" spans="1:11" x14ac:dyDescent="0.3">
      <c r="A1157" s="40">
        <f>A1156+'1.설계입력'!$C$12</f>
        <v>230.19999999999547</v>
      </c>
      <c r="B1157" s="40">
        <f t="shared" si="51"/>
        <v>4.0177479380908672</v>
      </c>
      <c r="C1157" s="40">
        <f>ATAN2('1.설계입력'!$C$6/('1.설계입력'!$C$8*'1.설계입력'!$C$15)-COS((1-'1.설계입력'!$C$15)*B1157),SIN((1-'1.설계입력'!$C$15)*B1157))</f>
        <v>0.7086466390988827</v>
      </c>
      <c r="D1157" s="40">
        <f>'1.설계입력'!$C$6*COS(B1157)-'1.설계입력'!$C$7*COS(B1157+C1157)-'1.설계입력'!$C$8*COS('1.설계입력'!$C$15*B1157)</f>
        <v>-51.220594524190787</v>
      </c>
      <c r="E1157" s="40">
        <f>-'1.설계입력'!$C$6*SIN(B1157)+'1.설계입력'!$C$7*SIN(B1157+C1157)+'1.설계입력'!$C$8*SIN('1.설계입력'!$C$15*B1157)</f>
        <v>58.295433897560983</v>
      </c>
      <c r="F1157" s="40">
        <f>ATAN2(('1.설계입력'!$C$6+'1.설계입력'!$C$33)/('1.설계입력'!$C$8*'1.설계입력'!$C$15)-COS((1-'1.설계입력'!$C$15)*B1157),SIN((1-'1.설계입력'!$C$15)*B1157))</f>
        <v>0.70870455998061999</v>
      </c>
      <c r="G1157" s="40">
        <f>('1.설계입력'!$C$6+'1.설계입력'!$C$33)*COS(B1157)-('1.설계입력'!$C$7+'1.설계입력'!$C$34)*COS(B1157+F1157)-'1.설계입력'!$C$8*COS('1.설계입력'!$C$15*B1157)</f>
        <v>-51.218955755570704</v>
      </c>
      <c r="H1157" s="40">
        <f>-('1.설계입력'!$C$6+'1.설계입력'!$C$33)*SIN(B1157)+('1.설계입력'!$C$7+'1.설계입력'!$C$34)*SIN(B1157+F1157)+'1.설계입력'!$C$8*SIN('1.설계입력'!$C$15*B1157)</f>
        <v>58.284956271112861</v>
      </c>
      <c r="I1157" s="40">
        <f t="shared" si="52"/>
        <v>77.600946622553934</v>
      </c>
      <c r="J1157" s="40">
        <f t="shared" si="53"/>
        <v>77.591994150277174</v>
      </c>
      <c r="K1157" s="38" t="str">
        <f>IF(OR(A1157&gt;180,'1.설계입력'!$C$39&gt;=1),"",'1.설계입력'!$C$34*(1-SIN(B1157)/SQRT(1+'1.설계입력'!$C$39^2-2*'1.설계입력'!$C$39*COS(B1157)))-'1.설계입력'!$C$33*(1-'1.설계입력'!$C$39*COS(B1157)-SQRT(MAX(0,1-'1.설계입력'!$C$39^2))*SIN(B1157))/SQRT(1+'1.설계입력'!$C$39^2-2*'1.설계입력'!$C$39*COS(B1157)))</f>
        <v/>
      </c>
    </row>
    <row r="1158" spans="1:11" x14ac:dyDescent="0.3">
      <c r="A1158" s="40">
        <f>A1157+'1.설계입력'!$C$12</f>
        <v>230.39999999999546</v>
      </c>
      <c r="B1158" s="40">
        <f t="shared" ref="B1158:B1221" si="54">RADIANS(A1158)</f>
        <v>4.0212385965948556</v>
      </c>
      <c r="C1158" s="40">
        <f>ATAN2('1.설계입력'!$C$6/('1.설계입력'!$C$8*'1.설계입력'!$C$15)-COS((1-'1.설계입력'!$C$15)*B1158),SIN((1-'1.설계입력'!$C$15)*B1158))</f>
        <v>0.55839642317938454</v>
      </c>
      <c r="D1158" s="40">
        <f>'1.설계입력'!$C$6*COS(B1158)-'1.설계입력'!$C$7*COS(B1158+C1158)-'1.설계입력'!$C$8*COS('1.설계입력'!$C$15*B1158)</f>
        <v>-50.525784187935159</v>
      </c>
      <c r="E1158" s="40">
        <f>-'1.설계입력'!$C$6*SIN(B1158)+'1.설계입력'!$C$7*SIN(B1158+C1158)+'1.설계입력'!$C$8*SIN('1.설계입력'!$C$15*B1158)</f>
        <v>58.335603522395978</v>
      </c>
      <c r="F1158" s="40">
        <f>ATAN2(('1.설계입력'!$C$6+'1.설계입력'!$C$33)/('1.설계입력'!$C$8*'1.설계입력'!$C$15)-COS((1-'1.설계입력'!$C$15)*B1158),SIN((1-'1.설계입력'!$C$15)*B1158))</f>
        <v>0.55845474899673986</v>
      </c>
      <c r="G1158" s="40">
        <f>('1.설계입력'!$C$6+'1.설계입력'!$C$33)*COS(B1158)-('1.설계입력'!$C$7+'1.설계입력'!$C$34)*COS(B1158+F1158)-'1.설계입력'!$C$8*COS('1.설계입력'!$C$15*B1158)</f>
        <v>-50.522967741818121</v>
      </c>
      <c r="H1158" s="40">
        <f>-('1.설계입력'!$C$6+'1.설계입력'!$C$33)*SIN(B1158)+('1.설계입력'!$C$7+'1.설계입력'!$C$34)*SIN(B1158+F1158)+'1.설계입력'!$C$8*SIN('1.설계입력'!$C$15*B1158)</f>
        <v>58.325155265400376</v>
      </c>
      <c r="I1158" s="40">
        <f t="shared" ref="I1158:I1221" si="55">SQRT(D1158^2+E1158^2)</f>
        <v>77.174461489070183</v>
      </c>
      <c r="J1158" s="40">
        <f t="shared" ref="J1158:J1221" si="56">SQRT(G1158^2+H1158^2)</f>
        <v>77.164719957852867</v>
      </c>
      <c r="K1158" s="38" t="str">
        <f>IF(OR(A1158&gt;180,'1.설계입력'!$C$39&gt;=1),"",'1.설계입력'!$C$34*(1-SIN(B1158)/SQRT(1+'1.설계입력'!$C$39^2-2*'1.설계입력'!$C$39*COS(B1158)))-'1.설계입력'!$C$33*(1-'1.설계입력'!$C$39*COS(B1158)-SQRT(MAX(0,1-'1.설계입력'!$C$39^2))*SIN(B1158))/SQRT(1+'1.설계입력'!$C$39^2-2*'1.설계입력'!$C$39*COS(B1158)))</f>
        <v/>
      </c>
    </row>
    <row r="1159" spans="1:11" x14ac:dyDescent="0.3">
      <c r="A1159" s="40">
        <f>A1158+'1.설계입력'!$C$12</f>
        <v>230.59999999999545</v>
      </c>
      <c r="B1159" s="40">
        <f t="shared" si="54"/>
        <v>4.024729255098844</v>
      </c>
      <c r="C1159" s="40">
        <f>ATAN2('1.설계입력'!$C$6/('1.설계입력'!$C$8*'1.설계입력'!$C$15)-COS((1-'1.설계입력'!$C$15)*B1159),SIN((1-'1.설계입력'!$C$15)*B1159))</f>
        <v>0.29868854834389552</v>
      </c>
      <c r="D1159" s="40">
        <f>'1.설계입력'!$C$6*COS(B1159)-'1.설계입력'!$C$7*COS(B1159+C1159)-'1.설계입력'!$C$8*COS('1.설계입력'!$C$15*B1159)</f>
        <v>-49.451945796826337</v>
      </c>
      <c r="E1159" s="40">
        <f>-'1.설계입력'!$C$6*SIN(B1159)+'1.설계입력'!$C$7*SIN(B1159+C1159)+'1.설계입력'!$C$8*SIN('1.설계입력'!$C$15*B1159)</f>
        <v>58.62096660349836</v>
      </c>
      <c r="F1159" s="40">
        <f>ATAN2(('1.설계입력'!$C$6+'1.설계입력'!$C$33)/('1.설계입력'!$C$8*'1.설계입력'!$C$15)-COS((1-'1.설계입력'!$C$15)*B1159),SIN((1-'1.설계입력'!$C$15)*B1159))</f>
        <v>0.29872747869054667</v>
      </c>
      <c r="G1159" s="40">
        <f>('1.설계입력'!$C$6+'1.설계입력'!$C$33)*COS(B1159)-('1.설계입력'!$C$7+'1.설계입력'!$C$34)*COS(B1159+F1159)-'1.설계입력'!$C$8*COS('1.설계입력'!$C$15*B1159)</f>
        <v>-49.447050697287153</v>
      </c>
      <c r="H1159" s="40">
        <f>-('1.설계입력'!$C$6+'1.설계입력'!$C$33)*SIN(B1159)+('1.설계입력'!$C$7+'1.설계입력'!$C$34)*SIN(B1159+F1159)+'1.설계입력'!$C$8*SIN('1.설계입력'!$C$15*B1159)</f>
        <v>58.611017029680738</v>
      </c>
      <c r="I1159" s="40">
        <f t="shared" si="55"/>
        <v>76.693628605124175</v>
      </c>
      <c r="J1159" s="40">
        <f t="shared" si="56"/>
        <v>76.682867316719523</v>
      </c>
      <c r="K1159" s="38" t="str">
        <f>IF(OR(A1159&gt;180,'1.설계입력'!$C$39&gt;=1),"",'1.설계입력'!$C$34*(1-SIN(B1159)/SQRT(1+'1.설계입력'!$C$39^2-2*'1.설계입력'!$C$39*COS(B1159)))-'1.설계입력'!$C$33*(1-'1.설계입력'!$C$39*COS(B1159)-SQRT(MAX(0,1-'1.설계입력'!$C$39^2))*SIN(B1159))/SQRT(1+'1.설계입력'!$C$39^2-2*'1.설계입력'!$C$39*COS(B1159)))</f>
        <v/>
      </c>
    </row>
    <row r="1160" spans="1:11" x14ac:dyDescent="0.3">
      <c r="A1160" s="40">
        <f>A1159+'1.설계입력'!$C$12</f>
        <v>230.79999999999544</v>
      </c>
      <c r="B1160" s="40">
        <f t="shared" si="54"/>
        <v>4.0282199136028325</v>
      </c>
      <c r="C1160" s="40">
        <f>ATAN2('1.설계입력'!$C$6/('1.설계입력'!$C$8*'1.설계입력'!$C$15)-COS((1-'1.설계입력'!$C$15)*B1160),SIN((1-'1.설계입력'!$C$15)*B1160))</f>
        <v>-5.7019672646351202E-2</v>
      </c>
      <c r="D1160" s="40">
        <f>'1.설계입력'!$C$6*COS(B1160)-'1.설계입력'!$C$7*COS(B1160+C1160)-'1.설계입력'!$C$8*COS('1.설계입력'!$C$15*B1160)</f>
        <v>-48.202249478750176</v>
      </c>
      <c r="E1160" s="40">
        <f>-'1.설계입력'!$C$6*SIN(B1160)+'1.설계입력'!$C$7*SIN(B1160+C1160)+'1.설계입력'!$C$8*SIN('1.설계입력'!$C$15*B1160)</f>
        <v>59.412766005225748</v>
      </c>
      <c r="F1160" s="40">
        <f>ATAN2(('1.설계입력'!$C$6+'1.설계입력'!$C$33)/('1.설계입력'!$C$8*'1.설계입력'!$C$15)-COS((1-'1.설계입력'!$C$15)*B1160),SIN((1-'1.설계입력'!$C$15)*B1160))</f>
        <v>-5.7027686165307324E-2</v>
      </c>
      <c r="G1160" s="40">
        <f>('1.설계입력'!$C$6+'1.설계입력'!$C$33)*COS(B1160)-('1.설계입력'!$C$7+'1.설계입력'!$C$34)*COS(B1160+F1160)-'1.설계입력'!$C$8*COS('1.설계입력'!$C$15*B1160)</f>
        <v>-48.194797656118077</v>
      </c>
      <c r="H1160" s="40">
        <f>-('1.설계입력'!$C$6+'1.설계입력'!$C$33)*SIN(B1160)+('1.설계입력'!$C$7+'1.설계입력'!$C$34)*SIN(B1160+F1160)+'1.설계입력'!$C$8*SIN('1.설계입력'!$C$15*B1160)</f>
        <v>59.404410264504811</v>
      </c>
      <c r="I1160" s="40">
        <f t="shared" si="55"/>
        <v>76.507082150630865</v>
      </c>
      <c r="J1160" s="40">
        <f t="shared" si="56"/>
        <v>76.495898452059308</v>
      </c>
      <c r="K1160" s="38" t="str">
        <f>IF(OR(A1160&gt;180,'1.설계입력'!$C$39&gt;=1),"",'1.설계입력'!$C$34*(1-SIN(B1160)/SQRT(1+'1.설계입력'!$C$39^2-2*'1.설계입력'!$C$39*COS(B1160)))-'1.설계입력'!$C$33*(1-'1.설계입력'!$C$39*COS(B1160)-SQRT(MAX(0,1-'1.설계입력'!$C$39^2))*SIN(B1160))/SQRT(1+'1.설계입력'!$C$39^2-2*'1.설계입력'!$C$39*COS(B1160)))</f>
        <v/>
      </c>
    </row>
    <row r="1161" spans="1:11" x14ac:dyDescent="0.3">
      <c r="A1161" s="40">
        <f>A1160+'1.설계입력'!$C$12</f>
        <v>230.99999999999542</v>
      </c>
      <c r="B1161" s="40">
        <f t="shared" si="54"/>
        <v>4.0317105721068218</v>
      </c>
      <c r="C1161" s="40">
        <f>ATAN2('1.설계입력'!$C$6/('1.설계입력'!$C$8*'1.설계입력'!$C$15)-COS((1-'1.설계입력'!$C$15)*B1161),SIN((1-'1.설계입력'!$C$15)*B1161))</f>
        <v>-0.39147436994943446</v>
      </c>
      <c r="D1161" s="40">
        <f>'1.설계입력'!$C$6*COS(B1161)-'1.설계입력'!$C$7*COS(B1161+C1161)-'1.설계입력'!$C$8*COS('1.설계입력'!$C$15*B1161)</f>
        <v>-47.341343778923509</v>
      </c>
      <c r="E1161" s="40">
        <f>-'1.설계입력'!$C$6*SIN(B1161)+'1.설계입력'!$C$7*SIN(B1161+C1161)+'1.설계입력'!$C$8*SIN('1.설계입력'!$C$15*B1161)</f>
        <v>60.51399193465658</v>
      </c>
      <c r="F1161" s="40">
        <f>ATAN2(('1.설계입력'!$C$6+'1.설계입력'!$C$33)/('1.설계입력'!$C$8*'1.설계입력'!$C$15)-COS((1-'1.설계입력'!$C$15)*B1161),SIN((1-'1.설계입력'!$C$15)*B1161))</f>
        <v>-0.39152245779129596</v>
      </c>
      <c r="G1161" s="40">
        <f>('1.설계입력'!$C$6+'1.설계입력'!$C$33)*COS(B1161)-('1.설계입력'!$C$7+'1.설계입력'!$C$34)*COS(B1161+F1161)-'1.설계입력'!$C$8*COS('1.설계입력'!$C$15*B1161)</f>
        <v>-47.332187034623331</v>
      </c>
      <c r="H1161" s="40">
        <f>-('1.설계입력'!$C$6+'1.설계입력'!$C$33)*SIN(B1161)+('1.설계입력'!$C$7+'1.설계입력'!$C$34)*SIN(B1161+F1161)+'1.설계입력'!$C$8*SIN('1.설계입력'!$C$15*B1161)</f>
        <v>60.507878354545454</v>
      </c>
      <c r="I1161" s="40">
        <f t="shared" si="55"/>
        <v>76.831933794887021</v>
      </c>
      <c r="J1161" s="40">
        <f t="shared" si="56"/>
        <v>76.821476635437278</v>
      </c>
      <c r="K1161" s="38" t="str">
        <f>IF(OR(A1161&gt;180,'1.설계입력'!$C$39&gt;=1),"",'1.설계입력'!$C$34*(1-SIN(B1161)/SQRT(1+'1.설계입력'!$C$39^2-2*'1.설계입력'!$C$39*COS(B1161)))-'1.설계입력'!$C$33*(1-'1.설계입력'!$C$39*COS(B1161)-SQRT(MAX(0,1-'1.설계입력'!$C$39^2))*SIN(B1161))/SQRT(1+'1.설계입력'!$C$39^2-2*'1.설계입력'!$C$39*COS(B1161)))</f>
        <v/>
      </c>
    </row>
    <row r="1162" spans="1:11" x14ac:dyDescent="0.3">
      <c r="A1162" s="40">
        <f>A1161+'1.설계입력'!$C$12</f>
        <v>231.19999999999541</v>
      </c>
      <c r="B1162" s="40">
        <f t="shared" si="54"/>
        <v>4.0352012306108103</v>
      </c>
      <c r="C1162" s="40">
        <f>ATAN2('1.설계입력'!$C$6/('1.설계입력'!$C$8*'1.설계입력'!$C$15)-COS((1-'1.설계입력'!$C$15)*B1162),SIN((1-'1.설계입력'!$C$15)*B1162))</f>
        <v>-0.6147947713362294</v>
      </c>
      <c r="D1162" s="40">
        <f>'1.설계입력'!$C$6*COS(B1162)-'1.설계입력'!$C$7*COS(B1162+C1162)-'1.설계입력'!$C$8*COS('1.설계입력'!$C$15*B1162)</f>
        <v>-46.974072347348901</v>
      </c>
      <c r="E1162" s="40">
        <f>-'1.설계입력'!$C$6*SIN(B1162)+'1.설계입력'!$C$7*SIN(B1162+C1162)+'1.설계입력'!$C$8*SIN('1.설계입력'!$C$15*B1162)</f>
        <v>61.414075518888879</v>
      </c>
      <c r="F1162" s="40">
        <f>ATAN2(('1.설계입력'!$C$6+'1.설계입력'!$C$33)/('1.설계입력'!$C$8*'1.설계입력'!$C$15)-COS((1-'1.설계입력'!$C$15)*B1162),SIN((1-'1.설계입력'!$C$15)*B1162))</f>
        <v>-0.61485424684660528</v>
      </c>
      <c r="G1162" s="40">
        <f>('1.설계입력'!$C$6+'1.설계입력'!$C$33)*COS(B1162)-('1.설계입력'!$C$7+'1.설계입력'!$C$34)*COS(B1162+F1162)-'1.설계입력'!$C$8*COS('1.설계입력'!$C$15*B1162)</f>
        <v>-46.964277076598449</v>
      </c>
      <c r="H1162" s="40">
        <f>-('1.설계입력'!$C$6+'1.설계입력'!$C$33)*SIN(B1162)+('1.설계입력'!$C$7+'1.설계입력'!$C$34)*SIN(B1162+F1162)+'1.설계입력'!$C$8*SIN('1.설계입력'!$C$15*B1162)</f>
        <v>61.409659505980137</v>
      </c>
      <c r="I1162" s="40">
        <f t="shared" si="55"/>
        <v>77.319157682515879</v>
      </c>
      <c r="J1162" s="40">
        <f t="shared" si="56"/>
        <v>77.309699274851184</v>
      </c>
      <c r="K1162" s="38" t="str">
        <f>IF(OR(A1162&gt;180,'1.설계입력'!$C$39&gt;=1),"",'1.설계입력'!$C$34*(1-SIN(B1162)/SQRT(1+'1.설계입력'!$C$39^2-2*'1.설계입력'!$C$39*COS(B1162)))-'1.설계입력'!$C$33*(1-'1.설계입력'!$C$39*COS(B1162)-SQRT(MAX(0,1-'1.설계입력'!$C$39^2))*SIN(B1162))/SQRT(1+'1.설계입력'!$C$39^2-2*'1.설계입력'!$C$39*COS(B1162)))</f>
        <v/>
      </c>
    </row>
    <row r="1163" spans="1:11" x14ac:dyDescent="0.3">
      <c r="A1163" s="40">
        <f>A1162+'1.설계입력'!$C$12</f>
        <v>231.3999999999954</v>
      </c>
      <c r="B1163" s="40">
        <f t="shared" si="54"/>
        <v>4.0386918891147987</v>
      </c>
      <c r="C1163" s="40">
        <f>ATAN2('1.설계입력'!$C$6/('1.설계입력'!$C$8*'1.설계입력'!$C$15)-COS((1-'1.설계입력'!$C$15)*B1163),SIN((1-'1.설계입력'!$C$15)*B1163))</f>
        <v>-0.73833527495541129</v>
      </c>
      <c r="D1163" s="40">
        <f>'1.설계입력'!$C$6*COS(B1163)-'1.설계입력'!$C$7*COS(B1163+C1163)-'1.설계입력'!$C$8*COS('1.설계입력'!$C$15*B1163)</f>
        <v>-46.845550275685682</v>
      </c>
      <c r="E1163" s="40">
        <f>-'1.설계입력'!$C$6*SIN(B1163)+'1.설계입력'!$C$7*SIN(B1163+C1163)+'1.설계입력'!$C$8*SIN('1.설계입력'!$C$15*B1163)</f>
        <v>61.996843815433046</v>
      </c>
      <c r="F1163" s="40">
        <f>ATAN2(('1.설계입력'!$C$6+'1.설계입력'!$C$33)/('1.설계입력'!$C$8*'1.설계입력'!$C$15)-COS((1-'1.설계입력'!$C$15)*B1163),SIN((1-'1.설계입력'!$C$15)*B1163))</f>
        <v>-0.7383915033142987</v>
      </c>
      <c r="G1163" s="40">
        <f>('1.설계입력'!$C$6+'1.설계입력'!$C$33)*COS(B1163)-('1.설계입력'!$C$7+'1.설계입력'!$C$34)*COS(B1163+F1163)-'1.설계입력'!$C$8*COS('1.설계입력'!$C$15*B1163)</f>
        <v>-46.835582494892364</v>
      </c>
      <c r="H1163" s="40">
        <f>-('1.설계입력'!$C$6+'1.설계입력'!$C$33)*SIN(B1163)+('1.설계입력'!$C$7+'1.설계입력'!$C$34)*SIN(B1163+F1163)+'1.설계입력'!$C$8*SIN('1.설계입력'!$C$15*B1163)</f>
        <v>61.993363045042649</v>
      </c>
      <c r="I1163" s="40">
        <f t="shared" si="55"/>
        <v>77.705303703846326</v>
      </c>
      <c r="J1163" s="40">
        <f t="shared" si="56"/>
        <v>77.696517613534823</v>
      </c>
      <c r="K1163" s="38" t="str">
        <f>IF(OR(A1163&gt;180,'1.설계입력'!$C$39&gt;=1),"",'1.설계입력'!$C$34*(1-SIN(B1163)/SQRT(1+'1.설계입력'!$C$39^2-2*'1.설계입력'!$C$39*COS(B1163)))-'1.설계입력'!$C$33*(1-'1.설계입력'!$C$39*COS(B1163)-SQRT(MAX(0,1-'1.설계입력'!$C$39^2))*SIN(B1163))/SQRT(1+'1.설계입력'!$C$39^2-2*'1.설계입력'!$C$39*COS(B1163)))</f>
        <v/>
      </c>
    </row>
    <row r="1164" spans="1:11" x14ac:dyDescent="0.3">
      <c r="A1164" s="40">
        <f>A1163+'1.설계입력'!$C$12</f>
        <v>231.59999999999539</v>
      </c>
      <c r="B1164" s="40">
        <f t="shared" si="54"/>
        <v>4.0421825476187871</v>
      </c>
      <c r="C1164" s="40">
        <f>ATAN2('1.설계입력'!$C$6/('1.설계입력'!$C$8*'1.설계입력'!$C$15)-COS((1-'1.설계입력'!$C$15)*B1164),SIN((1-'1.설계입력'!$C$15)*B1164))</f>
        <v>-0.79814411185763978</v>
      </c>
      <c r="D1164" s="40">
        <f>'1.설계입력'!$C$6*COS(B1164)-'1.설계입력'!$C$7*COS(B1164+C1164)-'1.설계입력'!$C$8*COS('1.설계입력'!$C$15*B1164)</f>
        <v>-46.798297212922911</v>
      </c>
      <c r="E1164" s="40">
        <f>-'1.설계입력'!$C$6*SIN(B1164)+'1.설계입력'!$C$7*SIN(B1164+C1164)+'1.설계입력'!$C$8*SIN('1.설계입력'!$C$15*B1164)</f>
        <v>62.362013941365454</v>
      </c>
      <c r="F1164" s="40">
        <f>ATAN2(('1.설계입력'!$C$6+'1.설계입력'!$C$33)/('1.설계입력'!$C$8*'1.설계입력'!$C$15)-COS((1-'1.설계입력'!$C$15)*B1164),SIN((1-'1.설계입력'!$C$15)*B1164))</f>
        <v>-0.79819355522213908</v>
      </c>
      <c r="G1164" s="40">
        <f>('1.설계입력'!$C$6+'1.설계입력'!$C$33)*COS(B1164)-('1.설계입력'!$C$7+'1.설계입력'!$C$34)*COS(B1164+F1164)-'1.설계입력'!$C$8*COS('1.설계입력'!$C$15*B1164)</f>
        <v>-46.788293861234017</v>
      </c>
      <c r="H1164" s="40">
        <f>-('1.설계입력'!$C$6+'1.설계입력'!$C$33)*SIN(B1164)+('1.설계입력'!$C$7+'1.설계입력'!$C$34)*SIN(B1164+F1164)+'1.설계입력'!$C$8*SIN('1.설계입력'!$C$15*B1164)</f>
        <v>62.358953266975135</v>
      </c>
      <c r="I1164" s="40">
        <f t="shared" si="55"/>
        <v>77.968592425746195</v>
      </c>
      <c r="J1164" s="40">
        <f t="shared" si="56"/>
        <v>77.96014042443727</v>
      </c>
      <c r="K1164" s="38" t="str">
        <f>IF(OR(A1164&gt;180,'1.설계입력'!$C$39&gt;=1),"",'1.설계입력'!$C$34*(1-SIN(B1164)/SQRT(1+'1.설계입력'!$C$39^2-2*'1.설계입력'!$C$39*COS(B1164)))-'1.설계입력'!$C$33*(1-'1.설계입력'!$C$39*COS(B1164)-SQRT(MAX(0,1-'1.설계입력'!$C$39^2))*SIN(B1164))/SQRT(1+'1.설계입력'!$C$39^2-2*'1.설계입력'!$C$39*COS(B1164)))</f>
        <v/>
      </c>
    </row>
    <row r="1165" spans="1:11" x14ac:dyDescent="0.3">
      <c r="A1165" s="40">
        <f>A1164+'1.설계입력'!$C$12</f>
        <v>231.79999999999538</v>
      </c>
      <c r="B1165" s="40">
        <f t="shared" si="54"/>
        <v>4.0456732061227756</v>
      </c>
      <c r="C1165" s="40">
        <f>ATAN2('1.설계입력'!$C$6/('1.설계입력'!$C$8*'1.설계입력'!$C$15)-COS((1-'1.설계입력'!$C$15)*B1165),SIN((1-'1.설계입력'!$C$15)*B1165))</f>
        <v>-0.81950020104098431</v>
      </c>
      <c r="D1165" s="40">
        <f>'1.설계입력'!$C$6*COS(B1165)-'1.설계입력'!$C$7*COS(B1165+C1165)-'1.설계입력'!$C$8*COS('1.설계입력'!$C$15*B1165)</f>
        <v>-46.776136808563017</v>
      </c>
      <c r="E1165" s="40">
        <f>-'1.설계입력'!$C$6*SIN(B1165)+'1.설계입력'!$C$7*SIN(B1165+C1165)+'1.설계입력'!$C$8*SIN('1.설계입력'!$C$15*B1165)</f>
        <v>62.603260832254279</v>
      </c>
      <c r="F1165" s="40">
        <f>ATAN2(('1.설계입력'!$C$6+'1.설계입력'!$C$33)/('1.설계입력'!$C$8*'1.설계입력'!$C$15)-COS((1-'1.설계입력'!$C$15)*B1165),SIN((1-'1.설계입력'!$C$15)*B1165))</f>
        <v>-0.81954295366228835</v>
      </c>
      <c r="G1165" s="40">
        <f>('1.설계입력'!$C$6+'1.설계입력'!$C$33)*COS(B1165)-('1.설계입력'!$C$7+'1.설계입력'!$C$34)*COS(B1165+F1165)-'1.설계입력'!$C$8*COS('1.설계입력'!$C$15*B1165)</f>
        <v>-46.766134225811875</v>
      </c>
      <c r="H1165" s="40">
        <f>-('1.설계입력'!$C$6+'1.설계입력'!$C$33)*SIN(B1165)+('1.설계입력'!$C$7+'1.설계입력'!$C$34)*SIN(B1165+F1165)+'1.설계입력'!$C$8*SIN('1.설계입력'!$C$15*B1165)</f>
        <v>62.600311136123068</v>
      </c>
      <c r="I1165" s="40">
        <f t="shared" si="55"/>
        <v>78.148418036225564</v>
      </c>
      <c r="J1165" s="40">
        <f t="shared" si="56"/>
        <v>78.140068241370685</v>
      </c>
      <c r="K1165" s="38" t="str">
        <f>IF(OR(A1165&gt;180,'1.설계입력'!$C$39&gt;=1),"",'1.설계입력'!$C$34*(1-SIN(B1165)/SQRT(1+'1.설계입력'!$C$39^2-2*'1.설계입력'!$C$39*COS(B1165)))-'1.설계입력'!$C$33*(1-'1.설계입력'!$C$39*COS(B1165)-SQRT(MAX(0,1-'1.설계입력'!$C$39^2))*SIN(B1165))/SQRT(1+'1.설계입력'!$C$39^2-2*'1.설계입력'!$C$39*COS(B1165)))</f>
        <v/>
      </c>
    </row>
    <row r="1166" spans="1:11" x14ac:dyDescent="0.3">
      <c r="A1166" s="40">
        <f>A1165+'1.설계입력'!$C$12</f>
        <v>231.99999999999537</v>
      </c>
      <c r="B1166" s="40">
        <f t="shared" si="54"/>
        <v>4.049163864626764</v>
      </c>
      <c r="C1166" s="40">
        <f>ATAN2('1.설계입력'!$C$6/('1.설계입력'!$C$8*'1.설계입력'!$C$15)-COS((1-'1.설계입력'!$C$15)*B1166),SIN((1-'1.설계입력'!$C$15)*B1166))</f>
        <v>-0.81704537838747349</v>
      </c>
      <c r="D1166" s="40">
        <f>'1.설계입력'!$C$6*COS(B1166)-'1.설계입력'!$C$7*COS(B1166+C1166)-'1.설계입력'!$C$8*COS('1.설계입력'!$C$15*B1166)</f>
        <v>-46.761091906212556</v>
      </c>
      <c r="E1166" s="40">
        <f>-'1.설계입력'!$C$6*SIN(B1166)+'1.설계입력'!$C$7*SIN(B1166+C1166)+'1.설계입력'!$C$8*SIN('1.설계입력'!$C$15*B1166)</f>
        <v>62.778061201377803</v>
      </c>
      <c r="F1166" s="40">
        <f>ATAN2(('1.설계입력'!$C$6+'1.설계입력'!$C$33)/('1.설계입력'!$C$8*'1.설계입력'!$C$15)-COS((1-'1.설계입력'!$C$15)*B1166),SIN((1-'1.설계입력'!$C$15)*B1166))</f>
        <v>-0.81708234063210672</v>
      </c>
      <c r="G1166" s="40">
        <f>('1.설계입력'!$C$6+'1.설계입력'!$C$33)*COS(B1166)-('1.설계입력'!$C$7+'1.설계입력'!$C$34)*COS(B1166+F1166)-'1.설계입력'!$C$8*COS('1.설계입력'!$C$15*B1166)</f>
        <v>-46.751103132213451</v>
      </c>
      <c r="H1166" s="40">
        <f>-('1.설계입력'!$C$6+'1.설계입력'!$C$33)*SIN(B1166)+('1.설계입력'!$C$7+'1.설계입력'!$C$34)*SIN(B1166+F1166)+'1.설계입력'!$C$8*SIN('1.설계입력'!$C$15*B1166)</f>
        <v>62.775033651889935</v>
      </c>
      <c r="I1166" s="40">
        <f t="shared" si="55"/>
        <v>78.279529153318208</v>
      </c>
      <c r="J1166" s="40">
        <f t="shared" si="56"/>
        <v>78.271134488231183</v>
      </c>
      <c r="K1166" s="38" t="str">
        <f>IF(OR(A1166&gt;180,'1.설계입력'!$C$39&gt;=1),"",'1.설계입력'!$C$34*(1-SIN(B1166)/SQRT(1+'1.설계입력'!$C$39^2-2*'1.설계입력'!$C$39*COS(B1166)))-'1.설계입력'!$C$33*(1-'1.설계입력'!$C$39*COS(B1166)-SQRT(MAX(0,1-'1.설계입력'!$C$39^2))*SIN(B1166))/SQRT(1+'1.설계입력'!$C$39^2-2*'1.설계입력'!$C$39*COS(B1166)))</f>
        <v/>
      </c>
    </row>
    <row r="1167" spans="1:11" x14ac:dyDescent="0.3">
      <c r="A1167" s="40">
        <f>A1166+'1.설계입력'!$C$12</f>
        <v>232.19999999999536</v>
      </c>
      <c r="B1167" s="40">
        <f t="shared" si="54"/>
        <v>4.0526545231307525</v>
      </c>
      <c r="C1167" s="40">
        <f>ATAN2('1.설계입력'!$C$6/('1.설계입력'!$C$8*'1.설계입력'!$C$15)-COS((1-'1.설계입력'!$C$15)*B1167),SIN((1-'1.설계입력'!$C$15)*B1167))</f>
        <v>-0.79918523100340344</v>
      </c>
      <c r="D1167" s="40">
        <f>'1.설계입력'!$C$6*COS(B1167)-'1.설계입력'!$C$7*COS(B1167+C1167)-'1.설계입력'!$C$8*COS('1.설계입력'!$C$15*B1167)</f>
        <v>-46.746910556528242</v>
      </c>
      <c r="E1167" s="40">
        <f>-'1.설계입력'!$C$6*SIN(B1167)+'1.설계입력'!$C$7*SIN(B1167+C1167)+'1.설계입력'!$C$8*SIN('1.설계입력'!$C$15*B1167)</f>
        <v>62.919552629344899</v>
      </c>
      <c r="F1167" s="40">
        <f>ATAN2(('1.설계입력'!$C$6+'1.설계입력'!$C$33)/('1.설계입력'!$C$8*'1.설계입력'!$C$15)-COS((1-'1.설계입력'!$C$15)*B1167),SIN((1-'1.설계입력'!$C$15)*B1167))</f>
        <v>-0.79921732751800711</v>
      </c>
      <c r="G1167" s="40">
        <f>('1.설계입력'!$C$6+'1.설계입력'!$C$33)*COS(B1167)-('1.설계입력'!$C$7+'1.설계입력'!$C$34)*COS(B1167+F1167)-'1.설계입력'!$C$8*COS('1.설계입력'!$C$15*B1167)</f>
        <v>-46.736946822729358</v>
      </c>
      <c r="H1167" s="40">
        <f>-('1.설계입력'!$C$6+'1.설계입력'!$C$33)*SIN(B1167)+('1.설계입력'!$C$7+'1.설계입력'!$C$34)*SIN(B1167+F1167)+'1.설계입력'!$C$8*SIN('1.설계입력'!$C$15*B1167)</f>
        <v>62.91632667926276</v>
      </c>
      <c r="I1167" s="40">
        <f t="shared" si="55"/>
        <v>78.384588725443692</v>
      </c>
      <c r="J1167" s="40">
        <f t="shared" si="56"/>
        <v>78.376057320602328</v>
      </c>
      <c r="K1167" s="38" t="str">
        <f>IF(OR(A1167&gt;180,'1.설계입력'!$C$39&gt;=1),"",'1.설계입력'!$C$34*(1-SIN(B1167)/SQRT(1+'1.설계입력'!$C$39^2-2*'1.설계입력'!$C$39*COS(B1167)))-'1.설계입력'!$C$33*(1-'1.설계입력'!$C$39*COS(B1167)-SQRT(MAX(0,1-'1.설계입력'!$C$39^2))*SIN(B1167))/SQRT(1+'1.설계입력'!$C$39^2-2*'1.설계입력'!$C$39*COS(B1167)))</f>
        <v/>
      </c>
    </row>
    <row r="1168" spans="1:11" x14ac:dyDescent="0.3">
      <c r="A1168" s="40">
        <f>A1167+'1.설계입력'!$C$12</f>
        <v>232.39999999999534</v>
      </c>
      <c r="B1168" s="40">
        <f t="shared" si="54"/>
        <v>4.0561451816347409</v>
      </c>
      <c r="C1168" s="40">
        <f>ATAN2('1.설계입력'!$C$6/('1.설계입력'!$C$8*'1.설계입력'!$C$15)-COS((1-'1.설계입력'!$C$15)*B1168),SIN((1-'1.설계입력'!$C$15)*B1168))</f>
        <v>-0.77091983254238194</v>
      </c>
      <c r="D1168" s="40">
        <f>'1.설계입력'!$C$6*COS(B1168)-'1.설계입력'!$C$7*COS(B1168+C1168)-'1.설계입력'!$C$8*COS('1.설계입력'!$C$15*B1168)</f>
        <v>-46.730649976053876</v>
      </c>
      <c r="E1168" s="40">
        <f>-'1.설계입력'!$C$6*SIN(B1168)+'1.설계입력'!$C$7*SIN(B1168+C1168)+'1.설계입력'!$C$8*SIN('1.설계입력'!$C$15*B1168)</f>
        <v>63.047002328907034</v>
      </c>
      <c r="F1168" s="40">
        <f>ATAN2(('1.설계입력'!$C$6+'1.설계입력'!$C$33)/('1.설계입력'!$C$8*'1.설계입력'!$C$15)-COS((1-'1.설계입력'!$C$15)*B1168),SIN((1-'1.설계입력'!$C$15)*B1168))</f>
        <v>-0.77094783944715684</v>
      </c>
      <c r="G1168" s="40">
        <f>('1.설계입력'!$C$6+'1.설계입력'!$C$33)*COS(B1168)-('1.설계입력'!$C$7+'1.설계입력'!$C$34)*COS(B1168+F1168)-'1.설계입력'!$C$8*COS('1.설계입력'!$C$15*B1168)</f>
        <v>-46.720725868947497</v>
      </c>
      <c r="H1168" s="40">
        <f>-('1.설계입력'!$C$6+'1.설계입력'!$C$33)*SIN(B1168)+('1.설계입력'!$C$7+'1.설계입력'!$C$34)*SIN(B1168+F1168)+'1.설계입력'!$C$8*SIN('1.설계입력'!$C$15*B1168)</f>
        <v>63.043497901129918</v>
      </c>
      <c r="I1168" s="40">
        <f t="shared" si="55"/>
        <v>78.477246064357232</v>
      </c>
      <c r="J1168" s="40">
        <f t="shared" si="56"/>
        <v>78.468521416751017</v>
      </c>
      <c r="K1168" s="38" t="str">
        <f>IF(OR(A1168&gt;180,'1.설계입력'!$C$39&gt;=1),"",'1.설계입력'!$C$34*(1-SIN(B1168)/SQRT(1+'1.설계입력'!$C$39^2-2*'1.설계입력'!$C$39*COS(B1168)))-'1.설계입력'!$C$33*(1-'1.설계입력'!$C$39*COS(B1168)-SQRT(MAX(0,1-'1.설계입력'!$C$39^2))*SIN(B1168))/SQRT(1+'1.설계입력'!$C$39^2-2*'1.설계입력'!$C$39*COS(B1168)))</f>
        <v/>
      </c>
    </row>
    <row r="1169" spans="1:11" x14ac:dyDescent="0.3">
      <c r="A1169" s="40">
        <f>A1168+'1.설계입력'!$C$12</f>
        <v>232.59999999999533</v>
      </c>
      <c r="B1169" s="40">
        <f t="shared" si="54"/>
        <v>4.0596358401387294</v>
      </c>
      <c r="C1169" s="40">
        <f>ATAN2('1.설계입력'!$C$6/('1.설계입력'!$C$8*'1.설계입력'!$C$15)-COS((1-'1.설계입력'!$C$15)*B1169),SIN((1-'1.설계입력'!$C$15)*B1169))</f>
        <v>-0.73535720769519874</v>
      </c>
      <c r="D1169" s="40">
        <f>'1.설계입력'!$C$6*COS(B1169)-'1.설계입력'!$C$7*COS(B1169+C1169)-'1.설계입력'!$C$8*COS('1.설계입력'!$C$15*B1169)</f>
        <v>-46.710171113482708</v>
      </c>
      <c r="E1169" s="40">
        <f>-'1.설계입력'!$C$6*SIN(B1169)+'1.설계입력'!$C$7*SIN(B1169+C1169)+'1.설계입력'!$C$8*SIN('1.설계입력'!$C$15*B1169)</f>
        <v>63.171756493864578</v>
      </c>
      <c r="F1169" s="40">
        <f>ATAN2(('1.설계입력'!$C$6+'1.설계입력'!$C$33)/('1.설계입력'!$C$8*'1.설계입력'!$C$15)-COS((1-'1.설계입력'!$C$15)*B1169),SIN((1-'1.설계입력'!$C$15)*B1169))</f>
        <v>-0.73538174198893502</v>
      </c>
      <c r="G1169" s="40">
        <f>('1.설계입력'!$C$6+'1.설계입력'!$C$33)*COS(B1169)-('1.설계입력'!$C$7+'1.설계입력'!$C$34)*COS(B1169+F1169)-'1.설계입력'!$C$8*COS('1.설계입력'!$C$15*B1169)</f>
        <v>-46.70030517460853</v>
      </c>
      <c r="H1169" s="40">
        <f>-('1.설계입력'!$C$6+'1.설계입력'!$C$33)*SIN(B1169)+('1.설계입력'!$C$7+'1.설계입력'!$C$34)*SIN(B1169+F1169)+'1.설계입력'!$C$8*SIN('1.설계입력'!$C$15*B1169)</f>
        <v>63.167918969068864</v>
      </c>
      <c r="I1169" s="40">
        <f t="shared" si="55"/>
        <v>78.565328892399833</v>
      </c>
      <c r="J1169" s="40">
        <f t="shared" si="56"/>
        <v>78.55637778235716</v>
      </c>
      <c r="K1169" s="38" t="str">
        <f>IF(OR(A1169&gt;180,'1.설계입력'!$C$39&gt;=1),"",'1.설계입력'!$C$34*(1-SIN(B1169)/SQRT(1+'1.설계입력'!$C$39^2-2*'1.설계입력'!$C$39*COS(B1169)))-'1.설계입력'!$C$33*(1-'1.설계입력'!$C$39*COS(B1169)-SQRT(MAX(0,1-'1.설계입력'!$C$39^2))*SIN(B1169))/SQRT(1+'1.설계입력'!$C$39^2-2*'1.설계입력'!$C$39*COS(B1169)))</f>
        <v/>
      </c>
    </row>
    <row r="1170" spans="1:11" x14ac:dyDescent="0.3">
      <c r="A1170" s="40">
        <f>A1169+'1.설계입력'!$C$12</f>
        <v>232.79999999999532</v>
      </c>
      <c r="B1170" s="40">
        <f t="shared" si="54"/>
        <v>4.0631264986427178</v>
      </c>
      <c r="C1170" s="40">
        <f>ATAN2('1.설계입력'!$C$6/('1.설계입력'!$C$8*'1.설계입력'!$C$15)-COS((1-'1.설계입력'!$C$15)*B1170),SIN((1-'1.설계입력'!$C$15)*B1170))</f>
        <v>-0.69451276334809309</v>
      </c>
      <c r="D1170" s="40">
        <f>'1.설계입력'!$C$6*COS(B1170)-'1.설계입력'!$C$7*COS(B1170+C1170)-'1.설계입력'!$C$8*COS('1.설계입력'!$C$15*B1170)</f>
        <v>-46.683458527117146</v>
      </c>
      <c r="E1170" s="40">
        <f>-'1.설계입력'!$C$6*SIN(B1170)+'1.설계입력'!$C$7*SIN(B1170+C1170)+'1.설계입력'!$C$8*SIN('1.설계입력'!$C$15*B1170)</f>
        <v>63.300431865131941</v>
      </c>
      <c r="F1170" s="40">
        <f>ATAN2(('1.설계입력'!$C$6+'1.설계입력'!$C$33)/('1.설계입력'!$C$8*'1.설계입력'!$C$15)-COS((1-'1.설계입력'!$C$15)*B1170),SIN((1-'1.설계입력'!$C$15)*B1170))</f>
        <v>-0.69453430893038448</v>
      </c>
      <c r="G1170" s="40">
        <f>('1.설계입력'!$C$6+'1.설계입력'!$C$33)*COS(B1170)-('1.설계입력'!$C$7+'1.설계입력'!$C$34)*COS(B1170+F1170)-'1.설계입력'!$C$8*COS('1.설계입력'!$C$15*B1170)</f>
        <v>-46.673672670187422</v>
      </c>
      <c r="H1170" s="40">
        <f>-('1.설계입력'!$C$6+'1.설계입력'!$C$33)*SIN(B1170)+('1.설계입력'!$C$7+'1.설계입력'!$C$34)*SIN(B1170+F1170)+'1.설계입력'!$C$8*SIN('1.설계입력'!$C$15*B1170)</f>
        <v>63.296223647677124</v>
      </c>
      <c r="I1170" s="40">
        <f t="shared" si="55"/>
        <v>78.652971808859689</v>
      </c>
      <c r="J1170" s="40">
        <f t="shared" si="56"/>
        <v>78.643776922147893</v>
      </c>
      <c r="K1170" s="38" t="str">
        <f>IF(OR(A1170&gt;180,'1.설계입력'!$C$39&gt;=1),"",'1.설계입력'!$C$34*(1-SIN(B1170)/SQRT(1+'1.설계입력'!$C$39^2-2*'1.설계입력'!$C$39*COS(B1170)))-'1.설계입력'!$C$33*(1-'1.설계입력'!$C$39*COS(B1170)-SQRT(MAX(0,1-'1.설계입력'!$C$39^2))*SIN(B1170))/SQRT(1+'1.설계입력'!$C$39^2-2*'1.설계입력'!$C$39*COS(B1170)))</f>
        <v/>
      </c>
    </row>
    <row r="1171" spans="1:11" x14ac:dyDescent="0.3">
      <c r="A1171" s="40">
        <f>A1170+'1.설계입력'!$C$12</f>
        <v>232.99999999999531</v>
      </c>
      <c r="B1171" s="40">
        <f t="shared" si="54"/>
        <v>4.0666171571467062</v>
      </c>
      <c r="C1171" s="40">
        <f>ATAN2('1.설계입력'!$C$6/('1.설계입력'!$C$8*'1.설계입력'!$C$15)-COS((1-'1.설계입력'!$C$15)*B1171),SIN((1-'1.설계입력'!$C$15)*B1171))</f>
        <v>-0.64974417413435626</v>
      </c>
      <c r="D1171" s="40">
        <f>'1.설계입력'!$C$6*COS(B1171)-'1.설계입력'!$C$7*COS(B1171+C1171)-'1.설계입력'!$C$8*COS('1.설계입력'!$C$15*B1171)</f>
        <v>-46.648502414279392</v>
      </c>
      <c r="E1171" s="40">
        <f>-'1.설계입력'!$C$6*SIN(B1171)+'1.설계입력'!$C$7*SIN(B1171+C1171)+'1.설계입력'!$C$8*SIN('1.설계입력'!$C$15*B1171)</f>
        <v>63.436663519809272</v>
      </c>
      <c r="F1171" s="40">
        <f>ATAN2(('1.설계입력'!$C$6+'1.설계입력'!$C$33)/('1.설계입력'!$C$8*'1.설계입력'!$C$15)-COS((1-'1.설계입력'!$C$15)*B1171),SIN((1-'1.설계입력'!$C$15)*B1171))</f>
        <v>-0.649763110769495</v>
      </c>
      <c r="G1171" s="40">
        <f>('1.설계입력'!$C$6+'1.설계입력'!$C$33)*COS(B1171)-('1.설계입력'!$C$7+'1.설계입력'!$C$34)*COS(B1171+F1171)-'1.설계입력'!$C$8*COS('1.설계입력'!$C$15*B1171)</f>
        <v>-46.638821130328274</v>
      </c>
      <c r="H1171" s="40">
        <f>-('1.설계입력'!$C$6+'1.설계입력'!$C$33)*SIN(B1171)+('1.설계입력'!$C$7+'1.설계입력'!$C$34)*SIN(B1171+F1171)+'1.설계입력'!$C$8*SIN('1.설계입력'!$C$15*B1171)</f>
        <v>63.432059076694131</v>
      </c>
      <c r="I1171" s="40">
        <f t="shared" si="55"/>
        <v>78.741939625719979</v>
      </c>
      <c r="J1171" s="40">
        <f t="shared" si="56"/>
        <v>78.732494912430965</v>
      </c>
      <c r="K1171" s="38" t="str">
        <f>IF(OR(A1171&gt;180,'1.설계입력'!$C$39&gt;=1),"",'1.설계입력'!$C$34*(1-SIN(B1171)/SQRT(1+'1.설계입력'!$C$39^2-2*'1.설계입력'!$C$39*COS(B1171)))-'1.설계입력'!$C$33*(1-'1.설계입력'!$C$39*COS(B1171)-SQRT(MAX(0,1-'1.설계입력'!$C$39^2))*SIN(B1171))/SQRT(1+'1.설계입력'!$C$39^2-2*'1.설계입력'!$C$39*COS(B1171)))</f>
        <v/>
      </c>
    </row>
    <row r="1172" spans="1:11" x14ac:dyDescent="0.3">
      <c r="A1172" s="40">
        <f>A1171+'1.설계입력'!$C$12</f>
        <v>233.1999999999953</v>
      </c>
      <c r="B1172" s="40">
        <f t="shared" si="54"/>
        <v>4.0701078156506947</v>
      </c>
      <c r="C1172" s="40">
        <f>ATAN2('1.설계입력'!$C$6/('1.설계입력'!$C$8*'1.설계입력'!$C$15)-COS((1-'1.설계입력'!$C$15)*B1172),SIN((1-'1.설계입력'!$C$15)*B1172))</f>
        <v>-0.60199747927735736</v>
      </c>
      <c r="D1172" s="40">
        <f>'1.설계입력'!$C$6*COS(B1172)-'1.설계입력'!$C$7*COS(B1172+C1172)-'1.설계입력'!$C$8*COS('1.설계입력'!$C$15*B1172)</f>
        <v>-46.60334711946242</v>
      </c>
      <c r="E1172" s="40">
        <f>-'1.설계입력'!$C$6*SIN(B1172)+'1.설계입력'!$C$7*SIN(B1172+C1172)+'1.설계입력'!$C$8*SIN('1.설계입력'!$C$15*B1172)</f>
        <v>63.582106918416024</v>
      </c>
      <c r="F1172" s="40">
        <f>ATAN2(('1.설계입력'!$C$6+'1.설계입력'!$C$33)/('1.설계입력'!$C$8*'1.설계입력'!$C$15)-COS((1-'1.설계입력'!$C$15)*B1172),SIN((1-'1.설계입력'!$C$15)*B1172))</f>
        <v>-0.60201410668140798</v>
      </c>
      <c r="G1172" s="40">
        <f>('1.설계입력'!$C$6+'1.설계입력'!$C$33)*COS(B1172)-('1.설계입력'!$C$7+'1.설계입력'!$C$34)*COS(B1172+F1172)-'1.설계입력'!$C$8*COS('1.설계입력'!$C$15*B1172)</f>
        <v>-46.593796734187691</v>
      </c>
      <c r="H1172" s="40">
        <f>-('1.설계입력'!$C$6+'1.설계입력'!$C$33)*SIN(B1172)+('1.설계입력'!$C$7+'1.설계입력'!$C$34)*SIN(B1172+F1172)+'1.설계입력'!$C$8*SIN('1.설계입력'!$C$15*B1172)</f>
        <v>63.577089726621061</v>
      </c>
      <c r="I1172" s="40">
        <f t="shared" si="55"/>
        <v>78.832457039737079</v>
      </c>
      <c r="J1172" s="40">
        <f t="shared" si="56"/>
        <v>78.822764682632297</v>
      </c>
      <c r="K1172" s="38" t="str">
        <f>IF(OR(A1172&gt;180,'1.설계입력'!$C$39&gt;=1),"",'1.설계입력'!$C$34*(1-SIN(B1172)/SQRT(1+'1.설계입력'!$C$39^2-2*'1.설계입력'!$C$39*COS(B1172)))-'1.설계입력'!$C$33*(1-'1.설계입력'!$C$39*COS(B1172)-SQRT(MAX(0,1-'1.설계입력'!$C$39^2))*SIN(B1172))/SQRT(1+'1.설계입력'!$C$39^2-2*'1.설계입력'!$C$39*COS(B1172)))</f>
        <v/>
      </c>
    </row>
    <row r="1173" spans="1:11" x14ac:dyDescent="0.3">
      <c r="A1173" s="40">
        <f>A1172+'1.설계입력'!$C$12</f>
        <v>233.39999999999529</v>
      </c>
      <c r="B1173" s="40">
        <f t="shared" si="54"/>
        <v>4.0735984741546831</v>
      </c>
      <c r="C1173" s="40">
        <f>ATAN2('1.설계입력'!$C$6/('1.설계입력'!$C$8*'1.설계입력'!$C$15)-COS((1-'1.설계입력'!$C$15)*B1173),SIN((1-'1.설계입력'!$C$15)*B1173))</f>
        <v>-0.55195201460200116</v>
      </c>
      <c r="D1173" s="40">
        <f>'1.설계입력'!$C$6*COS(B1173)-'1.설계입력'!$C$7*COS(B1173+C1173)-'1.설계입력'!$C$8*COS('1.설계입력'!$C$15*B1173)</f>
        <v>-46.546179227650889</v>
      </c>
      <c r="E1173" s="40">
        <f>-'1.설계입력'!$C$6*SIN(B1173)+'1.설계입력'!$C$7*SIN(B1173+C1173)+'1.설계입력'!$C$8*SIN('1.설계입력'!$C$15*B1173)</f>
        <v>63.737046254765353</v>
      </c>
      <c r="F1173" s="40">
        <f>ATAN2(('1.설계입력'!$C$6+'1.설계입력'!$C$33)/('1.설계입력'!$C$8*'1.설계입력'!$C$15)-COS((1-'1.설계입력'!$C$15)*B1173),SIN((1-'1.설계입력'!$C$15)*B1173))</f>
        <v>-0.55196657090521228</v>
      </c>
      <c r="G1173" s="40">
        <f>('1.설계입력'!$C$6+'1.설계입력'!$C$33)*COS(B1173)-('1.설계입력'!$C$7+'1.설계입력'!$C$34)*COS(B1173+F1173)-'1.설계입력'!$C$8*COS('1.설계입력'!$C$15*B1173)</f>
        <v>-46.536787265480896</v>
      </c>
      <c r="H1173" s="40">
        <f>-('1.설계입력'!$C$6+'1.설계입력'!$C$33)*SIN(B1173)+('1.설계입력'!$C$7+'1.설계입력'!$C$34)*SIN(B1173+F1173)+'1.설계입력'!$C$8*SIN('1.설계입력'!$C$15*B1173)</f>
        <v>63.731606840240339</v>
      </c>
      <c r="I1173" s="40">
        <f t="shared" si="55"/>
        <v>78.923747161261275</v>
      </c>
      <c r="J1173" s="40">
        <f t="shared" si="56"/>
        <v>78.913815516876355</v>
      </c>
      <c r="K1173" s="38" t="str">
        <f>IF(OR(A1173&gt;180,'1.설계입력'!$C$39&gt;=1),"",'1.설계입력'!$C$34*(1-SIN(B1173)/SQRT(1+'1.설계입력'!$C$39^2-2*'1.설계입력'!$C$39*COS(B1173)))-'1.설계입력'!$C$33*(1-'1.설계입력'!$C$39*COS(B1173)-SQRT(MAX(0,1-'1.설계입력'!$C$39^2))*SIN(B1173))/SQRT(1+'1.설계입력'!$C$39^2-2*'1.설계입력'!$C$39*COS(B1173)))</f>
        <v/>
      </c>
    </row>
    <row r="1174" spans="1:11" x14ac:dyDescent="0.3">
      <c r="A1174" s="40">
        <f>A1173+'1.설계입력'!$C$12</f>
        <v>233.59999999999528</v>
      </c>
      <c r="B1174" s="40">
        <f t="shared" si="54"/>
        <v>4.0770891326586716</v>
      </c>
      <c r="C1174" s="40">
        <f>ATAN2('1.설계입력'!$C$6/('1.설계입력'!$C$8*'1.설계입력'!$C$15)-COS((1-'1.설계입력'!$C$15)*B1174),SIN((1-'1.설계입력'!$C$15)*B1174))</f>
        <v>-0.50010901618194314</v>
      </c>
      <c r="D1174" s="40">
        <f>'1.설계입력'!$C$6*COS(B1174)-'1.설계입력'!$C$7*COS(B1174+C1174)-'1.설계입력'!$C$8*COS('1.설계입력'!$C$15*B1174)</f>
        <v>-46.475414472056407</v>
      </c>
      <c r="E1174" s="40">
        <f>-'1.설계입력'!$C$6*SIN(B1174)+'1.설계입력'!$C$7*SIN(B1174+C1174)+'1.설계입력'!$C$8*SIN('1.설계입력'!$C$15*B1174)</f>
        <v>63.900788356611187</v>
      </c>
      <c r="F1174" s="40">
        <f>ATAN2(('1.설계입력'!$C$6+'1.설계입력'!$C$33)/('1.설계입력'!$C$8*'1.설계입력'!$C$15)-COS((1-'1.설계입력'!$C$15)*B1174),SIN((1-'1.설계입력'!$C$15)*B1174))</f>
        <v>-0.50012169170478049</v>
      </c>
      <c r="G1174" s="40">
        <f>('1.설계입력'!$C$6+'1.설계입력'!$C$33)*COS(B1174)-('1.설계입력'!$C$7+'1.설계입력'!$C$34)*COS(B1174+F1174)-'1.설계입력'!$C$8*COS('1.설계입력'!$C$15*B1174)</f>
        <v>-46.466209122078141</v>
      </c>
      <c r="H1174" s="40">
        <f>-('1.설계입력'!$C$6+'1.설계입력'!$C$33)*SIN(B1174)+('1.설계입력'!$C$7+'1.설계입력'!$C$34)*SIN(B1174+F1174)+'1.설계입력'!$C$8*SIN('1.설계입력'!$C$15*B1174)</f>
        <v>63.894922980833428</v>
      </c>
      <c r="I1174" s="40">
        <f t="shared" si="55"/>
        <v>79.014396808087113</v>
      </c>
      <c r="J1174" s="40">
        <f t="shared" si="56"/>
        <v>79.004238955282219</v>
      </c>
      <c r="K1174" s="38" t="str">
        <f>IF(OR(A1174&gt;180,'1.설계입력'!$C$39&gt;=1),"",'1.설계입력'!$C$34*(1-SIN(B1174)/SQRT(1+'1.설계입력'!$C$39^2-2*'1.설계입력'!$C$39*COS(B1174)))-'1.설계입력'!$C$33*(1-'1.설계입력'!$C$39*COS(B1174)-SQRT(MAX(0,1-'1.설계입력'!$C$39^2))*SIN(B1174))/SQRT(1+'1.설계입력'!$C$39^2-2*'1.설계입력'!$C$39*COS(B1174)))</f>
        <v/>
      </c>
    </row>
    <row r="1175" spans="1:11" x14ac:dyDescent="0.3">
      <c r="A1175" s="40">
        <f>A1174+'1.설계입력'!$C$12</f>
        <v>233.79999999999526</v>
      </c>
      <c r="B1175" s="40">
        <f t="shared" si="54"/>
        <v>4.08057979116266</v>
      </c>
      <c r="C1175" s="40">
        <f>ATAN2('1.설계입력'!$C$6/('1.설계입력'!$C$8*'1.설계입력'!$C$15)-COS((1-'1.설계입력'!$C$15)*B1175),SIN((1-'1.설계입력'!$C$15)*B1175))</f>
        <v>-0.44684767126204822</v>
      </c>
      <c r="D1175" s="40">
        <f>'1.설계입력'!$C$6*COS(B1175)-'1.설계입력'!$C$7*COS(B1175+C1175)-'1.설계입력'!$C$8*COS('1.설계입력'!$C$15*B1175)</f>
        <v>-46.389771040798635</v>
      </c>
      <c r="E1175" s="40">
        <f>-'1.설계입력'!$C$6*SIN(B1175)+'1.설계입력'!$C$7*SIN(B1175+C1175)+'1.설계입력'!$C$8*SIN('1.설계입력'!$C$15*B1175)</f>
        <v>64.071935820120146</v>
      </c>
      <c r="F1175" s="40">
        <f>ATAN2(('1.설계입력'!$C$6+'1.설계입력'!$C$33)/('1.설계입력'!$C$8*'1.설계입력'!$C$15)-COS((1-'1.설계입력'!$C$15)*B1175),SIN((1-'1.설계입력'!$C$15)*B1175))</f>
        <v>-0.44685861872345306</v>
      </c>
      <c r="G1175" s="40">
        <f>('1.설계입력'!$C$6+'1.설계입력'!$C$33)*COS(B1175)-('1.설계입력'!$C$7+'1.설계입력'!$C$34)*COS(B1175+F1175)-'1.설계입력'!$C$8*COS('1.설계입력'!$C$15*B1175)</f>
        <v>-46.380780706280632</v>
      </c>
      <c r="H1175" s="40">
        <f>-('1.설계입력'!$C$6+'1.설계입력'!$C$33)*SIN(B1175)+('1.설계입력'!$C$7+'1.설계입력'!$C$34)*SIN(B1175+F1175)+'1.설계입력'!$C$8*SIN('1.설계입력'!$C$15*B1175)</f>
        <v>64.06564556295514</v>
      </c>
      <c r="I1175" s="40">
        <f t="shared" si="55"/>
        <v>79.102615740285827</v>
      </c>
      <c r="J1175" s="40">
        <f t="shared" si="56"/>
        <v>79.09224842120932</v>
      </c>
      <c r="K1175" s="38" t="str">
        <f>IF(OR(A1175&gt;180,'1.설계입력'!$C$39&gt;=1),"",'1.설계입력'!$C$34*(1-SIN(B1175)/SQRT(1+'1.설계입력'!$C$39^2-2*'1.설계입력'!$C$39*COS(B1175)))-'1.설계입력'!$C$33*(1-'1.설계입력'!$C$39*COS(B1175)-SQRT(MAX(0,1-'1.설계입력'!$C$39^2))*SIN(B1175))/SQRT(1+'1.설계입력'!$C$39^2-2*'1.설계입력'!$C$39*COS(B1175)))</f>
        <v/>
      </c>
    </row>
    <row r="1176" spans="1:11" x14ac:dyDescent="0.3">
      <c r="A1176" s="40">
        <f>A1175+'1.설계입력'!$C$12</f>
        <v>233.99999999999525</v>
      </c>
      <c r="B1176" s="40">
        <f t="shared" si="54"/>
        <v>4.0840704496666485</v>
      </c>
      <c r="C1176" s="40">
        <f>ATAN2('1.설계입력'!$C$6/('1.설계입력'!$C$8*'1.설계입력'!$C$15)-COS((1-'1.설계입력'!$C$15)*B1176),SIN((1-'1.설계입력'!$C$15)*B1176))</f>
        <v>-0.39246170072174474</v>
      </c>
      <c r="D1176" s="40">
        <f>'1.설계입력'!$C$6*COS(B1176)-'1.설계입력'!$C$7*COS(B1176+C1176)-'1.설계입력'!$C$8*COS('1.설계입력'!$C$15*B1176)</f>
        <v>-46.288326251538216</v>
      </c>
      <c r="E1176" s="40">
        <f>-'1.설계입력'!$C$6*SIN(B1176)+'1.설계입력'!$C$7*SIN(B1176+C1176)+'1.설계입력'!$C$8*SIN('1.설계입력'!$C$15*B1176)</f>
        <v>64.248589736545213</v>
      </c>
      <c r="F1176" s="40">
        <f>ATAN2(('1.설계입력'!$C$6+'1.설계입력'!$C$33)/('1.설계입력'!$C$8*'1.설계입력'!$C$15)-COS((1-'1.설계입력'!$C$15)*B1176),SIN((1-'1.설계입력'!$C$15)*B1176))</f>
        <v>-0.39247104281022138</v>
      </c>
      <c r="G1176" s="40">
        <f>('1.설계입력'!$C$6+'1.설계입력'!$C$33)*COS(B1176)-('1.설계입력'!$C$7+'1.설계입력'!$C$34)*COS(B1176+F1176)-'1.설계입력'!$C$8*COS('1.설계입력'!$C$15*B1176)</f>
        <v>-46.279579164894038</v>
      </c>
      <c r="H1176" s="40">
        <f>-('1.설계입력'!$C$6+'1.설계입력'!$C$33)*SIN(B1176)+('1.설계입력'!$C$7+'1.설계입력'!$C$34)*SIN(B1176+F1176)+'1.설계입력'!$C$8*SIN('1.설계입력'!$C$15*B1176)</f>
        <v>64.241879827888994</v>
      </c>
      <c r="I1176" s="40">
        <f t="shared" si="55"/>
        <v>79.186428321422255</v>
      </c>
      <c r="J1176" s="40">
        <f t="shared" si="56"/>
        <v>79.175871144564141</v>
      </c>
      <c r="K1176" s="38" t="str">
        <f>IF(OR(A1176&gt;180,'1.설계입력'!$C$39&gt;=1),"",'1.설계입력'!$C$34*(1-SIN(B1176)/SQRT(1+'1.설계입력'!$C$39^2-2*'1.설계입력'!$C$39*COS(B1176)))-'1.설계입력'!$C$33*(1-'1.설계입력'!$C$39*COS(B1176)-SQRT(MAX(0,1-'1.설계입력'!$C$39^2))*SIN(B1176))/SQRT(1+'1.설계입력'!$C$39^2-2*'1.설계입력'!$C$39*COS(B1176)))</f>
        <v/>
      </c>
    </row>
    <row r="1177" spans="1:11" x14ac:dyDescent="0.3">
      <c r="A1177" s="40">
        <f>A1176+'1.설계입력'!$C$12</f>
        <v>234.19999999999524</v>
      </c>
      <c r="B1177" s="40">
        <f t="shared" si="54"/>
        <v>4.0875611081706369</v>
      </c>
      <c r="C1177" s="40">
        <f>ATAN2('1.설계입력'!$C$6/('1.설계입력'!$C$8*'1.설계입력'!$C$15)-COS((1-'1.설계입력'!$C$15)*B1177),SIN((1-'1.설계입력'!$C$15)*B1177))</f>
        <v>-0.33718393534039104</v>
      </c>
      <c r="D1177" s="40">
        <f>'1.설계입력'!$C$6*COS(B1177)-'1.설계입력'!$C$7*COS(B1177+C1177)-'1.설계입력'!$C$8*COS('1.설계입력'!$C$15*B1177)</f>
        <v>-46.170556565757011</v>
      </c>
      <c r="E1177" s="40">
        <f>-'1.설계입력'!$C$6*SIN(B1177)+'1.설계입력'!$C$7*SIN(B1177+C1177)+'1.설계입력'!$C$8*SIN('1.설계입력'!$C$15*B1177)</f>
        <v>64.428509725455044</v>
      </c>
      <c r="F1177" s="40">
        <f>ATAN2(('1.설계입력'!$C$6+'1.설계입력'!$C$33)/('1.설계입력'!$C$8*'1.설계입력'!$C$15)-COS((1-'1.설계입력'!$C$15)*B1177),SIN((1-'1.설계입력'!$C$15)*B1177))</f>
        <v>-0.33719177034714698</v>
      </c>
      <c r="G1177" s="40">
        <f>('1.설계입력'!$C$6+'1.설계입력'!$C$33)*COS(B1177)-('1.설계입력'!$C$7+'1.설계입력'!$C$34)*COS(B1177+F1177)-'1.설계입력'!$C$8*COS('1.설계입력'!$C$15*B1177)</f>
        <v>-46.162080454182323</v>
      </c>
      <c r="H1177" s="40">
        <f>-('1.설계입력'!$C$6+'1.설계입력'!$C$33)*SIN(B1177)+('1.설계입력'!$C$7+'1.설계입력'!$C$34)*SIN(B1177+F1177)+'1.설계입력'!$C$8*SIN('1.설계입력'!$C$15*B1177)</f>
        <v>64.421389036099583</v>
      </c>
      <c r="I1177" s="40">
        <f t="shared" si="55"/>
        <v>79.263819987651502</v>
      </c>
      <c r="J1177" s="40">
        <f t="shared" si="56"/>
        <v>79.253094811489177</v>
      </c>
      <c r="K1177" s="38" t="str">
        <f>IF(OR(A1177&gt;180,'1.설계입력'!$C$39&gt;=1),"",'1.설계입력'!$C$34*(1-SIN(B1177)/SQRT(1+'1.설계입력'!$C$39^2-2*'1.설계입력'!$C$39*COS(B1177)))-'1.설계입력'!$C$33*(1-'1.설계입력'!$C$39*COS(B1177)-SQRT(MAX(0,1-'1.설계입력'!$C$39^2))*SIN(B1177))/SQRT(1+'1.설계입력'!$C$39^2-2*'1.설계입력'!$C$39*COS(B1177)))</f>
        <v/>
      </c>
    </row>
    <row r="1178" spans="1:11" x14ac:dyDescent="0.3">
      <c r="A1178" s="40">
        <f>A1177+'1.설계입력'!$C$12</f>
        <v>234.39999999999523</v>
      </c>
      <c r="B1178" s="40">
        <f t="shared" si="54"/>
        <v>4.0910517666746253</v>
      </c>
      <c r="C1178" s="40">
        <f>ATAN2('1.설계입력'!$C$6/('1.설계입력'!$C$8*'1.설계입력'!$C$15)-COS((1-'1.설계입력'!$C$15)*B1178),SIN((1-'1.설계입력'!$C$15)*B1178))</f>
        <v>-0.28120328674605083</v>
      </c>
      <c r="D1178" s="40">
        <f>'1.설계입력'!$C$6*COS(B1178)-'1.설계입력'!$C$7*COS(B1178+C1178)-'1.설계입력'!$C$8*COS('1.설계입력'!$C$15*B1178)</f>
        <v>-46.036361774867117</v>
      </c>
      <c r="E1178" s="40">
        <f>-'1.설계입력'!$C$6*SIN(B1178)+'1.설계입력'!$C$7*SIN(B1178+C1178)+'1.설계입력'!$C$8*SIN('1.설계입력'!$C$15*B1178)</f>
        <v>64.60924675132685</v>
      </c>
      <c r="F1178" s="40">
        <f>ATAN2(('1.설계입력'!$C$6+'1.설계입력'!$C$33)/('1.설계입력'!$C$8*'1.설계입력'!$C$15)-COS((1-'1.설계입력'!$C$15)*B1178),SIN((1-'1.설계입력'!$C$15)*B1178))</f>
        <v>-0.2812096927658394</v>
      </c>
      <c r="G1178" s="40">
        <f>('1.설계입력'!$C$6+'1.설계입력'!$C$33)*COS(B1178)-('1.설계입력'!$C$7+'1.설계입력'!$C$34)*COS(B1178+F1178)-'1.설계입력'!$C$8*COS('1.설계입력'!$C$15*B1178)</f>
        <v>-46.02818356543235</v>
      </c>
      <c r="H1178" s="40">
        <f>-('1.설계입력'!$C$6+'1.설계입력'!$C$33)*SIN(B1178)+('1.설계입력'!$C$7+'1.설계입력'!$C$34)*SIN(B1178+F1178)+'1.설계입력'!$C$8*SIN('1.설계입력'!$C$15*B1178)</f>
        <v>64.601727387009007</v>
      </c>
      <c r="I1178" s="40">
        <f t="shared" si="55"/>
        <v>79.332851778064082</v>
      </c>
      <c r="J1178" s="40">
        <f t="shared" si="56"/>
        <v>79.321982222575386</v>
      </c>
      <c r="K1178" s="38" t="str">
        <f>IF(OR(A1178&gt;180,'1.설계입력'!$C$39&gt;=1),"",'1.설계입력'!$C$34*(1-SIN(B1178)/SQRT(1+'1.설계입력'!$C$39^2-2*'1.설계입력'!$C$39*COS(B1178)))-'1.설계입력'!$C$33*(1-'1.설계입력'!$C$39*COS(B1178)-SQRT(MAX(0,1-'1.설계입력'!$C$39^2))*SIN(B1178))/SQRT(1+'1.설계입력'!$C$39^2-2*'1.설계입력'!$C$39*COS(B1178)))</f>
        <v/>
      </c>
    </row>
    <row r="1179" spans="1:11" x14ac:dyDescent="0.3">
      <c r="A1179" s="40">
        <f>A1178+'1.설계입력'!$C$12</f>
        <v>234.59999999999522</v>
      </c>
      <c r="B1179" s="40">
        <f t="shared" si="54"/>
        <v>4.0945424251786138</v>
      </c>
      <c r="C1179" s="40">
        <f>ATAN2('1.설계입력'!$C$6/('1.설계입력'!$C$8*'1.설계입력'!$C$15)-COS((1-'1.설계입력'!$C$15)*B1179),SIN((1-'1.설계입력'!$C$15)*B1179))</f>
        <v>-0.22467679145789404</v>
      </c>
      <c r="D1179" s="40">
        <f>'1.설계입력'!$C$6*COS(B1179)-'1.설계입력'!$C$7*COS(B1179+C1179)-'1.설계입력'!$C$8*COS('1.설계입력'!$C$15*B1179)</f>
        <v>-45.886074368152499</v>
      </c>
      <c r="E1179" s="40">
        <f>-'1.설계입력'!$C$6*SIN(B1179)+'1.설계입력'!$C$7*SIN(B1179+C1179)+'1.설계입력'!$C$8*SIN('1.설계입력'!$C$15*B1179)</f>
        <v>64.78825737377457</v>
      </c>
      <c r="F1179" s="40">
        <f>ATAN2(('1.설계입력'!$C$6+'1.설계입력'!$C$33)/('1.설계입력'!$C$8*'1.설계입력'!$C$15)-COS((1-'1.설계입력'!$C$15)*B1179),SIN((1-'1.설계입력'!$C$15)*B1179))</f>
        <v>-0.22468182951760557</v>
      </c>
      <c r="G1179" s="40">
        <f>('1.설계입력'!$C$6+'1.설계입력'!$C$33)*COS(B1179)-('1.설계입력'!$C$7+'1.설계입력'!$C$34)*COS(B1179+F1179)-'1.설계입력'!$C$8*COS('1.설계입력'!$C$15*B1179)</f>
        <v>-45.878219924033765</v>
      </c>
      <c r="H1179" s="40">
        <f>-('1.설계입력'!$C$6+'1.설계입력'!$C$33)*SIN(B1179)+('1.설계입력'!$C$7+'1.설계입력'!$C$34)*SIN(B1179+F1179)+'1.설계입력'!$C$8*SIN('1.설계입력'!$C$15*B1179)</f>
        <v>64.780354336365164</v>
      </c>
      <c r="I1179" s="40">
        <f t="shared" si="55"/>
        <v>79.391750921931902</v>
      </c>
      <c r="J1179" s="40">
        <f t="shared" si="56"/>
        <v>79.380761972552477</v>
      </c>
      <c r="K1179" s="38" t="str">
        <f>IF(OR(A1179&gt;180,'1.설계입력'!$C$39&gt;=1),"",'1.설계입력'!$C$34*(1-SIN(B1179)/SQRT(1+'1.설계입력'!$C$39^2-2*'1.설계입력'!$C$39*COS(B1179)))-'1.설계입력'!$C$33*(1-'1.설계입력'!$C$39*COS(B1179)-SQRT(MAX(0,1-'1.설계입력'!$C$39^2))*SIN(B1179))/SQRT(1+'1.설계입력'!$C$39^2-2*'1.설계입력'!$C$39*COS(B1179)))</f>
        <v/>
      </c>
    </row>
    <row r="1180" spans="1:11" x14ac:dyDescent="0.3">
      <c r="A1180" s="40">
        <f>A1179+'1.설계입력'!$C$12</f>
        <v>234.79999999999521</v>
      </c>
      <c r="B1180" s="40">
        <f t="shared" si="54"/>
        <v>4.0980330836826022</v>
      </c>
      <c r="C1180" s="40">
        <f>ATAN2('1.설계입력'!$C$6/('1.설계입력'!$C$8*'1.설계입력'!$C$15)-COS((1-'1.설계입력'!$C$15)*B1180),SIN((1-'1.설계입력'!$C$15)*B1180))</f>
        <v>-0.16773840826732467</v>
      </c>
      <c r="D1180" s="40">
        <f>'1.설계입력'!$C$6*COS(B1180)-'1.설계입력'!$C$7*COS(B1180+C1180)-'1.설계입력'!$C$8*COS('1.설계입력'!$C$15*B1180)</f>
        <v>-45.720455088020138</v>
      </c>
      <c r="E1180" s="40">
        <f>-'1.설계입력'!$C$6*SIN(B1180)+'1.설계입력'!$C$7*SIN(B1180+C1180)+'1.설계입력'!$C$8*SIN('1.설계입력'!$C$15*B1180)</f>
        <v>64.963004166088638</v>
      </c>
      <c r="F1180" s="40">
        <f>ATAN2(('1.설계입력'!$C$6+'1.설계입력'!$C$33)/('1.설계입력'!$C$8*'1.설계입력'!$C$15)-COS((1-'1.설계입력'!$C$15)*B1180),SIN((1-'1.설계입력'!$C$15)*B1180))</f>
        <v>-0.1677421246367605</v>
      </c>
      <c r="G1180" s="40">
        <f>('1.설계입력'!$C$6+'1.설계입력'!$C$33)*COS(B1180)-('1.설계입력'!$C$7+'1.설계입력'!$C$34)*COS(B1180+F1180)-'1.설계입력'!$C$8*COS('1.설계입력'!$C$15*B1180)</f>
        <v>-45.712948969713587</v>
      </c>
      <c r="H1180" s="40">
        <f>-('1.설계입력'!$C$6+'1.설계입력'!$C$33)*SIN(B1180)+('1.설계입력'!$C$7+'1.설계입력'!$C$34)*SIN(B1180+F1180)+'1.설계입력'!$C$8*SIN('1.설계입력'!$C$15*B1180)</f>
        <v>64.954735058135796</v>
      </c>
      <c r="I1180" s="40">
        <f t="shared" si="55"/>
        <v>79.43898239365177</v>
      </c>
      <c r="J1180" s="40">
        <f t="shared" si="56"/>
        <v>79.427900072834944</v>
      </c>
      <c r="K1180" s="38" t="str">
        <f>IF(OR(A1180&gt;180,'1.설계입력'!$C$39&gt;=1),"",'1.설계입력'!$C$34*(1-SIN(B1180)/SQRT(1+'1.설계입력'!$C$39^2-2*'1.설계입력'!$C$39*COS(B1180)))-'1.설계입력'!$C$33*(1-'1.설계입력'!$C$39*COS(B1180)-SQRT(MAX(0,1-'1.설계입력'!$C$39^2))*SIN(B1180))/SQRT(1+'1.설계입력'!$C$39^2-2*'1.설계입력'!$C$39*COS(B1180)))</f>
        <v/>
      </c>
    </row>
    <row r="1181" spans="1:11" x14ac:dyDescent="0.3">
      <c r="A1181" s="40">
        <f>A1180+'1.설계입력'!$C$12</f>
        <v>234.9999999999952</v>
      </c>
      <c r="B1181" s="40">
        <f t="shared" si="54"/>
        <v>4.1015237421865907</v>
      </c>
      <c r="C1181" s="40">
        <f>ATAN2('1.설계입력'!$C$6/('1.설계입력'!$C$8*'1.설계입력'!$C$15)-COS((1-'1.설계입력'!$C$15)*B1181),SIN((1-'1.설계입력'!$C$15)*B1181))</f>
        <v>-0.11050565595557002</v>
      </c>
      <c r="D1181" s="40">
        <f>'1.설계입력'!$C$6*COS(B1181)-'1.설계입력'!$C$7*COS(B1181+C1181)-'1.설계입력'!$C$8*COS('1.설계입력'!$C$15*B1181)</f>
        <v>-45.54067565299323</v>
      </c>
      <c r="E1181" s="40">
        <f>-'1.설계입력'!$C$6*SIN(B1181)+'1.설계입력'!$C$7*SIN(B1181+C1181)+'1.설계입력'!$C$8*SIN('1.설계입력'!$C$15*B1181)</f>
        <v>65.13104474070343</v>
      </c>
      <c r="F1181" s="40">
        <f>ATAN2(('1.설계입력'!$C$6+'1.설계입력'!$C$33)/('1.설계입력'!$C$8*'1.설계입력'!$C$15)-COS((1-'1.설계입력'!$C$15)*B1181),SIN((1-'1.설계입력'!$C$15)*B1181))</f>
        <v>-0.11050808381877597</v>
      </c>
      <c r="G1181" s="40">
        <f>('1.설계입력'!$C$6+'1.설계입력'!$C$33)*COS(B1181)-('1.설계입력'!$C$7+'1.설계입력'!$C$34)*COS(B1181+F1181)-'1.설계입력'!$C$8*COS('1.설계입력'!$C$15*B1181)</f>
        <v>-45.533540899886205</v>
      </c>
      <c r="H1181" s="40">
        <f>-('1.설계입력'!$C$6+'1.설계입력'!$C$33)*SIN(B1181)+('1.설계입력'!$C$7+'1.설계입력'!$C$34)*SIN(B1181+F1181)+'1.설계입력'!$C$8*SIN('1.설계입력'!$C$15*B1181)</f>
        <v>65.12242949723003</v>
      </c>
      <c r="I1181" s="40">
        <f t="shared" si="55"/>
        <v>79.473304498722356</v>
      </c>
      <c r="J1181" s="40">
        <f t="shared" si="56"/>
        <v>79.462155586815697</v>
      </c>
      <c r="K1181" s="38" t="str">
        <f>IF(OR(A1181&gt;180,'1.설계입력'!$C$39&gt;=1),"",'1.설계입력'!$C$34*(1-SIN(B1181)/SQRT(1+'1.설계입력'!$C$39^2-2*'1.설계입력'!$C$39*COS(B1181)))-'1.설계입력'!$C$33*(1-'1.설계입력'!$C$39*COS(B1181)-SQRT(MAX(0,1-'1.설계입력'!$C$39^2))*SIN(B1181))/SQRT(1+'1.설계입력'!$C$39^2-2*'1.설계입력'!$C$39*COS(B1181)))</f>
        <v/>
      </c>
    </row>
    <row r="1182" spans="1:11" x14ac:dyDescent="0.3">
      <c r="A1182" s="40">
        <f>A1181+'1.설계입력'!$C$12</f>
        <v>235.19999999999519</v>
      </c>
      <c r="B1182" s="40">
        <f t="shared" si="54"/>
        <v>4.1050144006905791</v>
      </c>
      <c r="C1182" s="40">
        <f>ATAN2('1.설계입력'!$C$6/('1.설계입력'!$C$8*'1.설계입력'!$C$15)-COS((1-'1.설계입력'!$C$15)*B1182),SIN((1-'1.설계입력'!$C$15)*B1182))</f>
        <v>-5.3084818942235407E-2</v>
      </c>
      <c r="D1182" s="40">
        <f>'1.설계입력'!$C$6*COS(B1182)-'1.설계입력'!$C$7*COS(B1182+C1182)-'1.설계입력'!$C$8*COS('1.설계입력'!$C$15*B1182)</f>
        <v>-45.348289625206007</v>
      </c>
      <c r="E1182" s="40">
        <f>-'1.설계입력'!$C$6*SIN(B1182)+'1.설계입력'!$C$7*SIN(B1182+C1182)+'1.설계입력'!$C$8*SIN('1.설계입력'!$C$15*B1182)</f>
        <v>65.29011045477742</v>
      </c>
      <c r="F1182" s="40">
        <f>ATAN2(('1.설계입력'!$C$6+'1.설계입력'!$C$33)/('1.설계입력'!$C$8*'1.설계입력'!$C$15)-COS((1-'1.설계입력'!$C$15)*B1182),SIN((1-'1.설계입력'!$C$15)*B1182))</f>
        <v>-5.3085979552428872E-2</v>
      </c>
      <c r="G1182" s="40">
        <f>('1.설계입력'!$C$6+'1.설계입력'!$C$33)*COS(B1182)-('1.설계입력'!$C$7+'1.설계입력'!$C$34)*COS(B1182+F1182)-'1.설계입력'!$C$8*COS('1.설계입력'!$C$15*B1182)</f>
        <v>-45.341547553899886</v>
      </c>
      <c r="H1182" s="40">
        <f>-('1.설계입력'!$C$6+'1.설계입력'!$C$33)*SIN(B1182)+('1.설계입력'!$C$7+'1.설계입력'!$C$34)*SIN(B1182+F1182)+'1.설계입력'!$C$8*SIN('1.설계입력'!$C$15*B1182)</f>
        <v>65.281171091128641</v>
      </c>
      <c r="I1182" s="40">
        <f t="shared" si="55"/>
        <v>79.493810420237139</v>
      </c>
      <c r="J1182" s="40">
        <f t="shared" si="56"/>
        <v>79.482622211473213</v>
      </c>
      <c r="K1182" s="38" t="str">
        <f>IF(OR(A1182&gt;180,'1.설계입력'!$C$39&gt;=1),"",'1.설계입력'!$C$34*(1-SIN(B1182)/SQRT(1+'1.설계입력'!$C$39^2-2*'1.설계입력'!$C$39*COS(B1182)))-'1.설계입력'!$C$33*(1-'1.설계입력'!$C$39*COS(B1182)-SQRT(MAX(0,1-'1.설계입력'!$C$39^2))*SIN(B1182))/SQRT(1+'1.설계입력'!$C$39^2-2*'1.설계입력'!$C$39*COS(B1182)))</f>
        <v/>
      </c>
    </row>
    <row r="1183" spans="1:11" x14ac:dyDescent="0.3">
      <c r="A1183" s="40">
        <f>A1182+'1.설계입력'!$C$12</f>
        <v>235.39999999999517</v>
      </c>
      <c r="B1183" s="40">
        <f t="shared" si="54"/>
        <v>4.1085050591945675</v>
      </c>
      <c r="C1183" s="40">
        <f>ATAN2('1.설계입력'!$C$6/('1.설계입력'!$C$8*'1.설계입력'!$C$15)-COS((1-'1.설계입력'!$C$15)*B1183),SIN((1-'1.설계입력'!$C$15)*B1183))</f>
        <v>4.4247711485607749E-3</v>
      </c>
      <c r="D1183" s="40">
        <f>'1.설계입력'!$C$6*COS(B1183)-'1.설계입력'!$C$7*COS(B1183+C1183)-'1.설계입력'!$C$8*COS('1.설계입력'!$C$15*B1183)</f>
        <v>-45.145192417172147</v>
      </c>
      <c r="E1183" s="40">
        <f>-'1.설계입력'!$C$6*SIN(B1183)+'1.설계입력'!$C$7*SIN(B1183+C1183)+'1.설계입력'!$C$8*SIN('1.설계입력'!$C$15*B1183)</f>
        <v>65.43817505448996</v>
      </c>
      <c r="F1183" s="40">
        <f>ATAN2(('1.설계입력'!$C$6+'1.설계입력'!$C$33)/('1.설계입력'!$C$8*'1.설계입력'!$C$15)-COS((1-'1.설계입력'!$C$15)*B1183),SIN((1-'1.설계입력'!$C$15)*B1183))</f>
        <v>4.4248677487634374E-3</v>
      </c>
      <c r="G1183" s="40">
        <f>('1.설계입력'!$C$6+'1.설계입력'!$C$33)*COS(B1183)-('1.설계입력'!$C$7+'1.설계입력'!$C$34)*COS(B1183+F1183)-'1.설계입력'!$C$8*COS('1.설계입력'!$C$15*B1183)</f>
        <v>-45.138862433571227</v>
      </c>
      <c r="H1183" s="40">
        <f>-('1.설계입력'!$C$6+'1.설계입력'!$C$33)*SIN(B1183)+('1.설계입력'!$C$7+'1.설계입력'!$C$34)*SIN(B1183+F1183)+'1.설계입력'!$C$8*SIN('1.설계입력'!$C$15*B1183)</f>
        <v>65.428935422163846</v>
      </c>
      <c r="I1183" s="40">
        <f t="shared" si="55"/>
        <v>79.499956936123994</v>
      </c>
      <c r="J1183" s="40">
        <f t="shared" si="56"/>
        <v>79.488757018049753</v>
      </c>
      <c r="K1183" s="38" t="str">
        <f>IF(OR(A1183&gt;180,'1.설계입력'!$C$39&gt;=1),"",'1.설계입력'!$C$34*(1-SIN(B1183)/SQRT(1+'1.설계입력'!$C$39^2-2*'1.설계입력'!$C$39*COS(B1183)))-'1.설계입력'!$C$33*(1-'1.설계입력'!$C$39*COS(B1183)-SQRT(MAX(0,1-'1.설계입력'!$C$39^2))*SIN(B1183))/SQRT(1+'1.설계입력'!$C$39^2-2*'1.설계입력'!$C$39*COS(B1183)))</f>
        <v/>
      </c>
    </row>
    <row r="1184" spans="1:11" x14ac:dyDescent="0.3">
      <c r="A1184" s="40">
        <f>A1183+'1.설계입력'!$C$12</f>
        <v>235.59999999999516</v>
      </c>
      <c r="B1184" s="40">
        <f t="shared" si="54"/>
        <v>4.111995717698556</v>
      </c>
      <c r="C1184" s="40">
        <f>ATAN2('1.설계입력'!$C$6/('1.설계입력'!$C$8*'1.설계입력'!$C$15)-COS((1-'1.설계입력'!$C$15)*B1184),SIN((1-'1.설계입력'!$C$15)*B1184))</f>
        <v>6.1927002471079282E-2</v>
      </c>
      <c r="D1184" s="40">
        <f>'1.설계입력'!$C$6*COS(B1184)-'1.설계입력'!$C$7*COS(B1184+C1184)-'1.설계입력'!$C$8*COS('1.설계입력'!$C$15*B1184)</f>
        <v>-44.933571458940406</v>
      </c>
      <c r="E1184" s="40">
        <f>-'1.설계입력'!$C$6*SIN(B1184)+'1.설계입력'!$C$7*SIN(B1184+C1184)+'1.설계입력'!$C$8*SIN('1.설계입력'!$C$15*B1184)</f>
        <v>65.573513036017573</v>
      </c>
      <c r="F1184" s="40">
        <f>ATAN2(('1.설계입력'!$C$6+'1.설계입력'!$C$33)/('1.설계입력'!$C$8*'1.설계입력'!$C$15)-COS((1-'1.설계입력'!$C$15)*B1184),SIN((1-'1.설계입력'!$C$15)*B1184))</f>
        <v>6.1928357114673357E-2</v>
      </c>
      <c r="G1184" s="40">
        <f>('1.설계입력'!$C$6+'1.설계입력'!$C$33)*COS(B1184)-('1.설계입력'!$C$7+'1.설계입력'!$C$34)*COS(B1184+F1184)-'1.설계입력'!$C$8*COS('1.설계입력'!$C$15*B1184)</f>
        <v>-44.927670881404509</v>
      </c>
      <c r="H1184" s="40">
        <f>-('1.설계입력'!$C$6+'1.설계입력'!$C$33)*SIN(B1184)+('1.설계입력'!$C$7+'1.설계입력'!$C$34)*SIN(B1184+F1184)+'1.설계입력'!$C$8*SIN('1.설계입력'!$C$15*B1184)</f>
        <v>65.563998580389608</v>
      </c>
      <c r="I1184" s="40">
        <f t="shared" si="55"/>
        <v>79.491581038122959</v>
      </c>
      <c r="J1184" s="40">
        <f t="shared" si="56"/>
        <v>79.480397084294523</v>
      </c>
      <c r="K1184" s="38" t="str">
        <f>IF(OR(A1184&gt;180,'1.설계입력'!$C$39&gt;=1),"",'1.설계입력'!$C$34*(1-SIN(B1184)/SQRT(1+'1.설계입력'!$C$39^2-2*'1.설계입력'!$C$39*COS(B1184)))-'1.설계입력'!$C$33*(1-'1.설계입력'!$C$39*COS(B1184)-SQRT(MAX(0,1-'1.설계입력'!$C$39^2))*SIN(B1184))/SQRT(1+'1.설계입력'!$C$39^2-2*'1.설계입력'!$C$39*COS(B1184)))</f>
        <v/>
      </c>
    </row>
    <row r="1185" spans="1:11" x14ac:dyDescent="0.3">
      <c r="A1185" s="40">
        <f>A1184+'1.설계입력'!$C$12</f>
        <v>235.79999999999515</v>
      </c>
      <c r="B1185" s="40">
        <f t="shared" si="54"/>
        <v>4.1154863762025444</v>
      </c>
      <c r="C1185" s="40">
        <f>ATAN2('1.설계입력'!$C$6/('1.설계입력'!$C$8*'1.설계입력'!$C$15)-COS((1-'1.설계입력'!$C$15)*B1185),SIN((1-'1.설계입력'!$C$15)*B1185))</f>
        <v>0.11932549770905565</v>
      </c>
      <c r="D1185" s="40">
        <f>'1.설계입력'!$C$6*COS(B1185)-'1.설계입력'!$C$7*COS(B1185+C1185)-'1.설계입력'!$C$8*COS('1.설계입력'!$C$15*B1185)</f>
        <v>-44.71584756356463</v>
      </c>
      <c r="E1185" s="40">
        <f>-'1.설계입력'!$C$6*SIN(B1185)+'1.설계입력'!$C$7*SIN(B1185+C1185)+'1.설계입력'!$C$8*SIN('1.설계입력'!$C$15*B1185)</f>
        <v>65.694747225159801</v>
      </c>
      <c r="F1185" s="40">
        <f>ATAN2(('1.설계입력'!$C$6+'1.설계입력'!$C$33)/('1.설계입력'!$C$8*'1.설계입력'!$C$15)-COS((1-'1.설계입력'!$C$15)*B1185),SIN((1-'1.설계입력'!$C$15)*B1185))</f>
        <v>0.1193281221323034</v>
      </c>
      <c r="G1185" s="40">
        <f>('1.설계입력'!$C$6+'1.설계입력'!$C$33)*COS(B1185)-('1.설계입력'!$C$7+'1.설계입력'!$C$34)*COS(B1185+F1185)-'1.설계입력'!$C$8*COS('1.설계입력'!$C$15*B1185)</f>
        <v>-44.710391454400686</v>
      </c>
      <c r="H1185" s="40">
        <f>-('1.설계입력'!$C$6+'1.설계입력'!$C$33)*SIN(B1185)+('1.설계입력'!$C$7+'1.설계입력'!$C$34)*SIN(B1185+F1185)+'1.설계입력'!$C$8*SIN('1.설계입력'!$C$15*B1185)</f>
        <v>65.684984740184234</v>
      </c>
      <c r="I1185" s="40">
        <f t="shared" si="55"/>
        <v>79.468904838972023</v>
      </c>
      <c r="J1185" s="40">
        <f t="shared" si="56"/>
        <v>79.45776440552541</v>
      </c>
      <c r="K1185" s="38" t="str">
        <f>IF(OR(A1185&gt;180,'1.설계입력'!$C$39&gt;=1),"",'1.설계입력'!$C$34*(1-SIN(B1185)/SQRT(1+'1.설계입력'!$C$39^2-2*'1.설계입력'!$C$39*COS(B1185)))-'1.설계입력'!$C$33*(1-'1.설계입력'!$C$39*COS(B1185)-SQRT(MAX(0,1-'1.설계입력'!$C$39^2))*SIN(B1185))/SQRT(1+'1.설계입력'!$C$39^2-2*'1.설계입력'!$C$39*COS(B1185)))</f>
        <v/>
      </c>
    </row>
    <row r="1186" spans="1:11" x14ac:dyDescent="0.3">
      <c r="A1186" s="40">
        <f>A1185+'1.설계입력'!$C$12</f>
        <v>235.99999999999514</v>
      </c>
      <c r="B1186" s="40">
        <f t="shared" si="54"/>
        <v>4.1189770347065329</v>
      </c>
      <c r="C1186" s="40">
        <f>ATAN2('1.설계입력'!$C$6/('1.설계입력'!$C$8*'1.설계입력'!$C$15)-COS((1-'1.설계입력'!$C$15)*B1186),SIN((1-'1.설계입력'!$C$15)*B1186))</f>
        <v>0.17652010855056646</v>
      </c>
      <c r="D1186" s="40">
        <f>'1.설계입력'!$C$6*COS(B1186)-'1.설계입력'!$C$7*COS(B1186+C1186)-'1.설계입력'!$C$8*COS('1.설계입력'!$C$15*B1186)</f>
        <v>-44.494608515647194</v>
      </c>
      <c r="E1186" s="40">
        <f>-'1.설계입력'!$C$6*SIN(B1186)+'1.설계입력'!$C$7*SIN(B1186+C1186)+'1.설계입력'!$C$8*SIN('1.설계입력'!$C$15*B1186)</f>
        <v>65.800884924435536</v>
      </c>
      <c r="F1186" s="40">
        <f>ATAN2(('1.설계입력'!$C$6+'1.설계입력'!$C$33)/('1.설계입력'!$C$8*'1.설계입력'!$C$15)-COS((1-'1.설계입력'!$C$15)*B1186),SIN((1-'1.설계입력'!$C$15)*B1186))</f>
        <v>0.17652402578515211</v>
      </c>
      <c r="G1186" s="40">
        <f>('1.설계입력'!$C$6+'1.설계입력'!$C$33)*COS(B1186)-('1.설계입력'!$C$7+'1.설계입력'!$C$34)*COS(B1186+F1186)-'1.설계입력'!$C$8*COS('1.설계입력'!$C$15*B1186)</f>
        <v>-44.489609517877845</v>
      </c>
      <c r="H1186" s="40">
        <f>-('1.설계입력'!$C$6+'1.설계입력'!$C$33)*SIN(B1186)+('1.설계입력'!$C$7+'1.설계입력'!$C$34)*SIN(B1186+F1186)+'1.설계입력'!$C$8*SIN('1.설계입력'!$C$15*B1186)</f>
        <v>65.790902299966504</v>
      </c>
      <c r="I1186" s="40">
        <f t="shared" si="55"/>
        <v>79.432528877025632</v>
      </c>
      <c r="J1186" s="40">
        <f t="shared" si="56"/>
        <v>79.421459193954533</v>
      </c>
      <c r="K1186" s="38" t="str">
        <f>IF(OR(A1186&gt;180,'1.설계입력'!$C$39&gt;=1),"",'1.설계입력'!$C$34*(1-SIN(B1186)/SQRT(1+'1.설계입력'!$C$39^2-2*'1.설계입력'!$C$39*COS(B1186)))-'1.설계입력'!$C$33*(1-'1.설계입력'!$C$39*COS(B1186)-SQRT(MAX(0,1-'1.설계입력'!$C$39^2))*SIN(B1186))/SQRT(1+'1.설계입력'!$C$39^2-2*'1.설계입력'!$C$39*COS(B1186)))</f>
        <v/>
      </c>
    </row>
    <row r="1187" spans="1:11" x14ac:dyDescent="0.3">
      <c r="A1187" s="40">
        <f>A1186+'1.설계입력'!$C$12</f>
        <v>236.19999999999513</v>
      </c>
      <c r="B1187" s="40">
        <f t="shared" si="54"/>
        <v>4.1224676932105213</v>
      </c>
      <c r="C1187" s="40">
        <f>ATAN2('1.설계입력'!$C$6/('1.설계입력'!$C$8*'1.설계입력'!$C$15)-COS((1-'1.설계입력'!$C$15)*B1187),SIN((1-'1.설계입력'!$C$15)*B1187))</f>
        <v>0.23340311918885093</v>
      </c>
      <c r="D1187" s="40">
        <f>'1.설계입력'!$C$6*COS(B1187)-'1.설계입력'!$C$7*COS(B1187+C1187)-'1.설계입력'!$C$8*COS('1.설계입력'!$C$15*B1187)</f>
        <v>-44.272535840086235</v>
      </c>
      <c r="E1187" s="40">
        <f>-'1.설계입력'!$C$6*SIN(B1187)+'1.설계입력'!$C$7*SIN(B1187+C1187)+'1.설계입력'!$C$8*SIN('1.설계입력'!$C$15*B1187)</f>
        <v>65.891341889427537</v>
      </c>
      <c r="F1187" s="40">
        <f>ATAN2(('1.설계입력'!$C$6+'1.설계입력'!$C$33)/('1.설계입력'!$C$8*'1.설계입력'!$C$15)-COS((1-'1.설계입력'!$C$15)*B1187),SIN((1-'1.설계입력'!$C$15)*B1187))</f>
        <v>0.2334083643450367</v>
      </c>
      <c r="G1187" s="40">
        <f>('1.설계입력'!$C$6+'1.설계입력'!$C$33)*COS(B1187)-('1.설계입력'!$C$7+'1.설계입력'!$C$34)*COS(B1187+F1187)-'1.설계입력'!$C$8*COS('1.설계입력'!$C$15*B1187)</f>
        <v>-44.268004015727648</v>
      </c>
      <c r="H1187" s="40">
        <f>-('1.설계입력'!$C$6+'1.설계입력'!$C$33)*SIN(B1187)+('1.설계입력'!$C$7+'1.설계입력'!$C$34)*SIN(B1187+F1187)+'1.설계입력'!$C$8*SIN('1.설계입력'!$C$15*B1187)</f>
        <v>65.881167846841748</v>
      </c>
      <c r="I1187" s="40">
        <f t="shared" si="55"/>
        <v>79.383413668732771</v>
      </c>
      <c r="J1187" s="40">
        <f t="shared" si="56"/>
        <v>79.372441416402296</v>
      </c>
      <c r="K1187" s="38" t="str">
        <f>IF(OR(A1187&gt;180,'1.설계입력'!$C$39&gt;=1),"",'1.설계입력'!$C$34*(1-SIN(B1187)/SQRT(1+'1.설계입력'!$C$39^2-2*'1.설계입력'!$C$39*COS(B1187)))-'1.설계입력'!$C$33*(1-'1.설계입력'!$C$39*COS(B1187)-SQRT(MAX(0,1-'1.설계입력'!$C$39^2))*SIN(B1187))/SQRT(1+'1.설계입력'!$C$39^2-2*'1.설계입력'!$C$39*COS(B1187)))</f>
        <v/>
      </c>
    </row>
    <row r="1188" spans="1:11" x14ac:dyDescent="0.3">
      <c r="A1188" s="40">
        <f>A1187+'1.설계입력'!$C$12</f>
        <v>236.39999999999512</v>
      </c>
      <c r="B1188" s="40">
        <f t="shared" si="54"/>
        <v>4.1259583517145098</v>
      </c>
      <c r="C1188" s="40">
        <f>ATAN2('1.설계입력'!$C$6/('1.설계입력'!$C$8*'1.설계입력'!$C$15)-COS((1-'1.설계입력'!$C$15)*B1188),SIN((1-'1.설계입력'!$C$15)*B1188))</f>
        <v>0.28985484957468238</v>
      </c>
      <c r="D1188" s="40">
        <f>'1.설계입력'!$C$6*COS(B1188)-'1.설계입력'!$C$7*COS(B1188+C1188)-'1.설계입력'!$C$8*COS('1.설계입력'!$C$15*B1188)</f>
        <v>-44.052325553667522</v>
      </c>
      <c r="E1188" s="40">
        <f>-'1.설계입력'!$C$6*SIN(B1188)+'1.설계입력'!$C$7*SIN(B1188+C1188)+'1.설계입력'!$C$8*SIN('1.설계입력'!$C$15*B1188)</f>
        <v>65.965953329978063</v>
      </c>
      <c r="F1188" s="40">
        <f>ATAN2(('1.설계입력'!$C$6+'1.설계입력'!$C$33)/('1.설계입력'!$C$8*'1.설계입력'!$C$15)-COS((1-'1.설계입력'!$C$15)*B1188),SIN((1-'1.설계입력'!$C$15)*B1188))</f>
        <v>0.28986147106945603</v>
      </c>
      <c r="G1188" s="40">
        <f>('1.설계입력'!$C$6+'1.설계입력'!$C$33)*COS(B1188)-('1.설계입력'!$C$7+'1.설계입력'!$C$34)*COS(B1188+F1188)-'1.설계입력'!$C$8*COS('1.설계입력'!$C$15*B1188)</f>
        <v>-44.048268218560359</v>
      </c>
      <c r="H1188" s="40">
        <f>-('1.설계입력'!$C$6+'1.설계입력'!$C$33)*SIN(B1188)+('1.설계입력'!$C$7+'1.설계입력'!$C$34)*SIN(B1188+F1188)+'1.설계입력'!$C$8*SIN('1.설계입력'!$C$15*B1188)</f>
        <v>65.95561714130443</v>
      </c>
      <c r="I1188" s="40">
        <f t="shared" si="55"/>
        <v>79.322849075276864</v>
      </c>
      <c r="J1188" s="40">
        <f t="shared" si="56"/>
        <v>79.312000135821606</v>
      </c>
      <c r="K1188" s="38" t="str">
        <f>IF(OR(A1188&gt;180,'1.설계입력'!$C$39&gt;=1),"",'1.설계입력'!$C$34*(1-SIN(B1188)/SQRT(1+'1.설계입력'!$C$39^2-2*'1.설계입력'!$C$39*COS(B1188)))-'1.설계입력'!$C$33*(1-'1.설계입력'!$C$39*COS(B1188)-SQRT(MAX(0,1-'1.설계입력'!$C$39^2))*SIN(B1188))/SQRT(1+'1.설계입력'!$C$39^2-2*'1.설계입력'!$C$39*COS(B1188)))</f>
        <v/>
      </c>
    </row>
    <row r="1189" spans="1:11" x14ac:dyDescent="0.3">
      <c r="A1189" s="40">
        <f>A1188+'1.설계입력'!$C$12</f>
        <v>236.59999999999511</v>
      </c>
      <c r="B1189" s="40">
        <f t="shared" si="54"/>
        <v>4.1294490102184982</v>
      </c>
      <c r="C1189" s="40">
        <f>ATAN2('1.설계입력'!$C$6/('1.설계입력'!$C$8*'1.설계입력'!$C$15)-COS((1-'1.설계입력'!$C$15)*B1189),SIN((1-'1.설계입력'!$C$15)*B1189))</f>
        <v>0.34573826681060277</v>
      </c>
      <c r="D1189" s="40">
        <f>'1.설계입력'!$C$6*COS(B1189)-'1.설계입력'!$C$7*COS(B1189+C1189)-'1.설계입력'!$C$8*COS('1.설계입력'!$C$15*B1189)</f>
        <v>-43.836603413506978</v>
      </c>
      <c r="E1189" s="40">
        <f>-'1.설계입력'!$C$6*SIN(B1189)+'1.설계입력'!$C$7*SIN(B1189+C1189)+'1.설계입력'!$C$8*SIN('1.설계입력'!$C$15*B1189)</f>
        <v>66.024971043271734</v>
      </c>
      <c r="F1189" s="40">
        <f>ATAN2(('1.설계입력'!$C$6+'1.설계입력'!$C$33)/('1.설계입력'!$C$8*'1.설계입력'!$C$15)-COS((1-'1.설계입력'!$C$15)*B1189),SIN((1-'1.설계입력'!$C$15)*B1189))</f>
        <v>0.34574632812818334</v>
      </c>
      <c r="G1189" s="40">
        <f>('1.설계입력'!$C$6+'1.설계입력'!$C$33)*COS(B1189)-('1.설계입력'!$C$7+'1.설계입력'!$C$34)*COS(B1189+F1189)-'1.설계입력'!$C$8*COS('1.설계입력'!$C$15*B1189)</f>
        <v>-43.833024961871999</v>
      </c>
      <c r="H1189" s="40">
        <f>-('1.설계입력'!$C$6+'1.설계입력'!$C$33)*SIN(B1189)+('1.설계입력'!$C$7+'1.설계입력'!$C$34)*SIN(B1189+F1189)+'1.설계입력'!$C$8*SIN('1.설계입력'!$C$15*B1189)</f>
        <v>66.014502227967782</v>
      </c>
      <c r="I1189" s="40">
        <f t="shared" si="55"/>
        <v>79.25241068950497</v>
      </c>
      <c r="J1189" s="40">
        <f t="shared" si="56"/>
        <v>79.241709861123368</v>
      </c>
      <c r="K1189" s="38" t="str">
        <f>IF(OR(A1189&gt;180,'1.설계입력'!$C$39&gt;=1),"",'1.설계입력'!$C$34*(1-SIN(B1189)/SQRT(1+'1.설계입력'!$C$39^2-2*'1.설계입력'!$C$39*COS(B1189)))-'1.설계입력'!$C$33*(1-'1.설계입력'!$C$39*COS(B1189)-SQRT(MAX(0,1-'1.설계입력'!$C$39^2))*SIN(B1189))/SQRT(1+'1.설계입력'!$C$39^2-2*'1.설계입력'!$C$39*COS(B1189)))</f>
        <v/>
      </c>
    </row>
    <row r="1190" spans="1:11" x14ac:dyDescent="0.3">
      <c r="A1190" s="40">
        <f>A1189+'1.설계입력'!$C$12</f>
        <v>236.79999999999509</v>
      </c>
      <c r="B1190" s="40">
        <f t="shared" si="54"/>
        <v>4.1329396687224866</v>
      </c>
      <c r="C1190" s="40">
        <f>ATAN2('1.설계입력'!$C$6/('1.설계입력'!$C$8*'1.설계입력'!$C$15)-COS((1-'1.설계입력'!$C$15)*B1190),SIN((1-'1.설계입력'!$C$15)*B1190))</f>
        <v>0.40089206957369938</v>
      </c>
      <c r="D1190" s="40">
        <f>'1.설계입력'!$C$6*COS(B1190)-'1.설계입력'!$C$7*COS(B1190+C1190)-'1.설계입력'!$C$8*COS('1.설계입력'!$C$15*B1190)</f>
        <v>-43.627834679006668</v>
      </c>
      <c r="E1190" s="40">
        <f>-'1.설계입력'!$C$6*SIN(B1190)+'1.설계입력'!$C$7*SIN(B1190+C1190)+'1.설계입력'!$C$8*SIN('1.설계입력'!$C$15*B1190)</f>
        <v>66.069045625194988</v>
      </c>
      <c r="F1190" s="40">
        <f>ATAN2(('1.설계입력'!$C$6+'1.설계입력'!$C$33)/('1.설계입력'!$C$8*'1.설계입력'!$C$15)-COS((1-'1.설계입력'!$C$15)*B1190),SIN((1-'1.설계입력'!$C$15)*B1190))</f>
        <v>0.40090165168889297</v>
      </c>
      <c r="G1190" s="40">
        <f>('1.설계입력'!$C$6+'1.설계입력'!$C$33)*COS(B1190)-('1.설계입력'!$C$7+'1.설계입력'!$C$34)*COS(B1190+F1190)-'1.설계입력'!$C$8*COS('1.설계입력'!$C$15*B1190)</f>
        <v>-43.624736387994417</v>
      </c>
      <c r="H1190" s="40">
        <f>-('1.설계입력'!$C$6+'1.설계입력'!$C$33)*SIN(B1190)+('1.설계입력'!$C$7+'1.설계입력'!$C$34)*SIN(B1190+F1190)+'1.설계입력'!$C$8*SIN('1.설계입력'!$C$15*B1190)</f>
        <v>66.058473616886459</v>
      </c>
      <c r="I1190" s="40">
        <f t="shared" si="55"/>
        <v>79.173901941251032</v>
      </c>
      <c r="J1190" s="40">
        <f t="shared" si="56"/>
        <v>79.163372600685022</v>
      </c>
      <c r="K1190" s="38" t="str">
        <f>IF(OR(A1190&gt;180,'1.설계입력'!$C$39&gt;=1),"",'1.설계입력'!$C$34*(1-SIN(B1190)/SQRT(1+'1.설계입력'!$C$39^2-2*'1.설계입력'!$C$39*COS(B1190)))-'1.설계입력'!$C$33*(1-'1.설계입력'!$C$39*COS(B1190)-SQRT(MAX(0,1-'1.설계입력'!$C$39^2))*SIN(B1190))/SQRT(1+'1.설계입력'!$C$39^2-2*'1.설계입력'!$C$39*COS(B1190)))</f>
        <v/>
      </c>
    </row>
    <row r="1191" spans="1:11" x14ac:dyDescent="0.3">
      <c r="A1191" s="40">
        <f>A1190+'1.설계입력'!$C$12</f>
        <v>236.99999999999508</v>
      </c>
      <c r="B1191" s="40">
        <f t="shared" si="54"/>
        <v>4.1364303272264751</v>
      </c>
      <c r="C1191" s="40">
        <f>ATAN2('1.설계입력'!$C$6/('1.설계입력'!$C$8*'1.설계입력'!$C$15)-COS((1-'1.설계입력'!$C$15)*B1191),SIN((1-'1.설계입력'!$C$15)*B1191))</f>
        <v>0.45512147353093269</v>
      </c>
      <c r="D1191" s="40">
        <f>'1.설계입력'!$C$6*COS(B1191)-'1.설계입력'!$C$7*COS(B1191+C1191)-'1.설계입력'!$C$8*COS('1.설계입력'!$C$15*B1191)</f>
        <v>-43.428227573625705</v>
      </c>
      <c r="E1191" s="40">
        <f>-'1.설계입력'!$C$6*SIN(B1191)+'1.설계입력'!$C$7*SIN(B1191+C1191)+'1.설계입력'!$C$8*SIN('1.설계입력'!$C$15*B1191)</f>
        <v>66.099192407881162</v>
      </c>
      <c r="F1191" s="40">
        <f>ATAN2(('1.설계입력'!$C$6+'1.설계입력'!$C$33)/('1.설계입력'!$C$8*'1.설계입력'!$C$15)-COS((1-'1.설계입력'!$C$15)*B1191),SIN((1-'1.설계입력'!$C$15)*B1191))</f>
        <v>0.45513267818387199</v>
      </c>
      <c r="G1191" s="40">
        <f>('1.설계입력'!$C$6+'1.설계입력'!$C$33)*COS(B1191)-('1.설계입력'!$C$7+'1.설계입력'!$C$34)*COS(B1191+F1191)-'1.설계입력'!$C$8*COS('1.설계입력'!$C$15*B1191)</f>
        <v>-43.425607373613154</v>
      </c>
      <c r="H1191" s="40">
        <f>-('1.설계입력'!$C$6+'1.설계입력'!$C$33)*SIN(B1191)+('1.설계입력'!$C$7+'1.설계입력'!$C$34)*SIN(B1191+F1191)+'1.설계입력'!$C$8*SIN('1.설계입력'!$C$15*B1191)</f>
        <v>66.088546180500231</v>
      </c>
      <c r="I1191" s="40">
        <f t="shared" si="55"/>
        <v>79.089279849804669</v>
      </c>
      <c r="J1191" s="40">
        <f t="shared" si="56"/>
        <v>79.078943543899953</v>
      </c>
      <c r="K1191" s="38" t="str">
        <f>IF(OR(A1191&gt;180,'1.설계입력'!$C$39&gt;=1),"",'1.설계입력'!$C$34*(1-SIN(B1191)/SQRT(1+'1.설계입력'!$C$39^2-2*'1.설계입력'!$C$39*COS(B1191)))-'1.설계입력'!$C$33*(1-'1.설계입력'!$C$39*COS(B1191)-SQRT(MAX(0,1-'1.설계입력'!$C$39^2))*SIN(B1191))/SQRT(1+'1.설계입력'!$C$39^2-2*'1.설계입력'!$C$39*COS(B1191)))</f>
        <v/>
      </c>
    </row>
    <row r="1192" spans="1:11" x14ac:dyDescent="0.3">
      <c r="A1192" s="40">
        <f>A1191+'1.설계입력'!$C$12</f>
        <v>237.19999999999507</v>
      </c>
      <c r="B1192" s="40">
        <f t="shared" si="54"/>
        <v>4.1399209857304635</v>
      </c>
      <c r="C1192" s="40">
        <f>ATAN2('1.설계입력'!$C$6/('1.설계입력'!$C$8*'1.설계입력'!$C$15)-COS((1-'1.설계입력'!$C$15)*B1192),SIN((1-'1.설계입력'!$C$15)*B1192))</f>
        <v>0.50818553785060416</v>
      </c>
      <c r="D1192" s="40">
        <f>'1.설계입력'!$C$6*COS(B1192)-'1.설계입력'!$C$7*COS(B1192+C1192)-'1.설계입력'!$C$8*COS('1.설계입력'!$C$15*B1192)</f>
        <v>-43.239628253187021</v>
      </c>
      <c r="E1192" s="40">
        <f>-'1.설계입력'!$C$6*SIN(B1192)+'1.설계입력'!$C$7*SIN(B1192+C1192)+'1.설계입력'!$C$8*SIN('1.설계입력'!$C$15*B1192)</f>
        <v>66.116739240059616</v>
      </c>
      <c r="F1192" s="40">
        <f>ATAN2(('1.설계입력'!$C$6+'1.설계입력'!$C$33)/('1.설계입력'!$C$8*'1.설계입력'!$C$15)-COS((1-'1.설계입력'!$C$15)*B1192),SIN((1-'1.설계입력'!$C$15)*B1192))</f>
        <v>0.50819849194137989</v>
      </c>
      <c r="G1192" s="40">
        <f>('1.설계입력'!$C$6+'1.설계입력'!$C$33)*COS(B1192)-('1.설계입력'!$C$7+'1.설계입력'!$C$34)*COS(B1192+F1192)-'1.설계입력'!$C$8*COS('1.설계입력'!$C$15*B1192)</f>
        <v>-43.237480442435988</v>
      </c>
      <c r="H1192" s="40">
        <f>-('1.설계입력'!$C$6+'1.설계입력'!$C$33)*SIN(B1192)+('1.설계입력'!$C$7+'1.설계입력'!$C$34)*SIN(B1192+F1192)+'1.설계입력'!$C$8*SIN('1.설계입력'!$C$15*B1192)</f>
        <v>66.10604687838098</v>
      </c>
      <c r="I1192" s="40">
        <f t="shared" si="55"/>
        <v>79.000561132259364</v>
      </c>
      <c r="J1192" s="40">
        <f t="shared" si="56"/>
        <v>78.990437072450348</v>
      </c>
      <c r="K1192" s="38" t="str">
        <f>IF(OR(A1192&gt;180,'1.설계입력'!$C$39&gt;=1),"",'1.설계입력'!$C$34*(1-SIN(B1192)/SQRT(1+'1.설계입력'!$C$39^2-2*'1.설계입력'!$C$39*COS(B1192)))-'1.설계입력'!$C$33*(1-'1.설계입력'!$C$39*COS(B1192)-SQRT(MAX(0,1-'1.설계입력'!$C$39^2))*SIN(B1192))/SQRT(1+'1.설계입력'!$C$39^2-2*'1.설계입력'!$C$39*COS(B1192)))</f>
        <v/>
      </c>
    </row>
    <row r="1193" spans="1:11" x14ac:dyDescent="0.3">
      <c r="A1193" s="40">
        <f>A1192+'1.설계입력'!$C$12</f>
        <v>237.39999999999506</v>
      </c>
      <c r="B1193" s="40">
        <f t="shared" si="54"/>
        <v>4.143411644234452</v>
      </c>
      <c r="C1193" s="40">
        <f>ATAN2('1.설계입력'!$C$6/('1.설계입력'!$C$8*'1.설계입력'!$C$15)-COS((1-'1.설계입력'!$C$15)*B1193),SIN((1-'1.설계입력'!$C$15)*B1193))</f>
        <v>0.55977923114658612</v>
      </c>
      <c r="D1193" s="40">
        <f>'1.설계입력'!$C$6*COS(B1193)-'1.설계입력'!$C$7*COS(B1193+C1193)-'1.설계입력'!$C$8*COS('1.설계입력'!$C$15*B1193)</f>
        <v>-43.063402768852185</v>
      </c>
      <c r="E1193" s="40">
        <f>-'1.설계입력'!$C$6*SIN(B1193)+'1.설계입력'!$C$7*SIN(B1193+C1193)+'1.설계입력'!$C$8*SIN('1.설계입력'!$C$15*B1193)</f>
        <v>66.123253319352813</v>
      </c>
      <c r="F1193" s="40">
        <f>ATAN2(('1.설계입력'!$C$6+'1.설계입력'!$C$33)/('1.설계입력'!$C$8*'1.설계입력'!$C$15)-COS((1-'1.설계입력'!$C$15)*B1193),SIN((1-'1.설계입력'!$C$15)*B1193))</f>
        <v>0.55979409262934876</v>
      </c>
      <c r="G1193" s="40">
        <f>('1.설계입력'!$C$6+'1.설계입력'!$C$33)*COS(B1193)-('1.설계입력'!$C$7+'1.설계입력'!$C$34)*COS(B1193+F1193)-'1.설계입력'!$C$8*COS('1.설계입력'!$C$15*B1193)</f>
        <v>-43.061717639612048</v>
      </c>
      <c r="H1193" s="40">
        <f>-('1.설계입력'!$C$6+'1.설계입력'!$C$33)*SIN(B1193)+('1.설계입력'!$C$7+'1.설계입력'!$C$34)*SIN(B1193+F1193)+'1.설계입력'!$C$8*SIN('1.설계입력'!$C$15*B1193)</f>
        <v>66.112541512123641</v>
      </c>
      <c r="I1193" s="40">
        <f t="shared" si="55"/>
        <v>78.909703380304819</v>
      </c>
      <c r="J1193" s="40">
        <f t="shared" si="56"/>
        <v>78.89980780246519</v>
      </c>
      <c r="K1193" s="38" t="str">
        <f>IF(OR(A1193&gt;180,'1.설계입력'!$C$39&gt;=1),"",'1.설계입력'!$C$34*(1-SIN(B1193)/SQRT(1+'1.설계입력'!$C$39^2-2*'1.설계입력'!$C$39*COS(B1193)))-'1.설계입력'!$C$33*(1-'1.설계입력'!$C$39*COS(B1193)-SQRT(MAX(0,1-'1.설계입력'!$C$39^2))*SIN(B1193))/SQRT(1+'1.설계입력'!$C$39^2-2*'1.설계입력'!$C$39*COS(B1193)))</f>
        <v/>
      </c>
    </row>
    <row r="1194" spans="1:11" x14ac:dyDescent="0.3">
      <c r="A1194" s="40">
        <f>A1193+'1.설계입력'!$C$12</f>
        <v>237.59999999999505</v>
      </c>
      <c r="B1194" s="40">
        <f t="shared" si="54"/>
        <v>4.1469023027384404</v>
      </c>
      <c r="C1194" s="40">
        <f>ATAN2('1.설계입력'!$C$6/('1.설계입력'!$C$8*'1.설계입력'!$C$15)-COS((1-'1.설계입력'!$C$15)*B1194),SIN((1-'1.설계입력'!$C$15)*B1194))</f>
        <v>0.60950735154154823</v>
      </c>
      <c r="D1194" s="40">
        <f>'1.설계입력'!$C$6*COS(B1194)-'1.설계입력'!$C$7*COS(B1194+C1194)-'1.설계입력'!$C$8*COS('1.설계입력'!$C$15*B1194)</f>
        <v>-42.900297528395164</v>
      </c>
      <c r="E1194" s="40">
        <f>-'1.설계입력'!$C$6*SIN(B1194)+'1.설계입력'!$C$7*SIN(B1194+C1194)+'1.설계입력'!$C$8*SIN('1.설계입력'!$C$15*B1194)</f>
        <v>66.120442783247626</v>
      </c>
      <c r="F1194" s="40">
        <f>ATAN2(('1.설계입력'!$C$6+'1.설계입력'!$C$33)/('1.설계입력'!$C$8*'1.설계입력'!$C$15)-COS((1-'1.설계입력'!$C$15)*B1194),SIN((1-'1.설계입력'!$C$15)*B1194))</f>
        <v>0.6095243173503021</v>
      </c>
      <c r="G1194" s="40">
        <f>('1.설계입력'!$C$6+'1.설계입력'!$C$33)*COS(B1194)-('1.설계입력'!$C$7+'1.설계입력'!$C$34)*COS(B1194+F1194)-'1.설계입력'!$C$8*COS('1.설계입력'!$C$15*B1194)</f>
        <v>-42.899060852396666</v>
      </c>
      <c r="H1194" s="40">
        <f>-('1.설계입력'!$C$6+'1.설계입력'!$C$33)*SIN(B1194)+('1.설계입력'!$C$7+'1.설계입력'!$C$34)*SIN(B1194+F1194)+'1.설계입력'!$C$8*SIN('1.설계입력'!$C$15*B1194)</f>
        <v>66.109736206625584</v>
      </c>
      <c r="I1194" s="40">
        <f t="shared" si="55"/>
        <v>78.818452673708023</v>
      </c>
      <c r="J1194" s="40">
        <f t="shared" si="56"/>
        <v>78.808798007121354</v>
      </c>
      <c r="K1194" s="38" t="str">
        <f>IF(OR(A1194&gt;180,'1.설계입력'!$C$39&gt;=1),"",'1.설계입력'!$C$34*(1-SIN(B1194)/SQRT(1+'1.설계입력'!$C$39^2-2*'1.설계입력'!$C$39*COS(B1194)))-'1.설계입력'!$C$33*(1-'1.설계입력'!$C$39*COS(B1194)-SQRT(MAX(0,1-'1.설계입력'!$C$39^2))*SIN(B1194))/SQRT(1+'1.설계입력'!$C$39^2-2*'1.설계입력'!$C$39*COS(B1194)))</f>
        <v/>
      </c>
    </row>
    <row r="1195" spans="1:11" x14ac:dyDescent="0.3">
      <c r="A1195" s="40">
        <f>A1194+'1.설계입력'!$C$12</f>
        <v>237.79999999999504</v>
      </c>
      <c r="B1195" s="40">
        <f t="shared" si="54"/>
        <v>4.1503929612424288</v>
      </c>
      <c r="C1195" s="40">
        <f>ATAN2('1.설계입력'!$C$6/('1.설계입력'!$C$8*'1.설계입력'!$C$15)-COS((1-'1.설계입력'!$C$15)*B1195),SIN((1-'1.설계입력'!$C$15)*B1195))</f>
        <v>0.65684553749981545</v>
      </c>
      <c r="D1195" s="40">
        <f>'1.설계입력'!$C$6*COS(B1195)-'1.설계입력'!$C$7*COS(B1195+C1195)-'1.설계입력'!$C$8*COS('1.설계입력'!$C$15*B1195)</f>
        <v>-42.750262706346092</v>
      </c>
      <c r="E1195" s="40">
        <f>-'1.설계입력'!$C$6*SIN(B1195)+'1.설계입력'!$C$7*SIN(B1195+C1195)+'1.설계입력'!$C$8*SIN('1.설계입력'!$C$15*B1195)</f>
        <v>66.110026343654226</v>
      </c>
      <c r="F1195" s="40">
        <f>ATAN2(('1.설계입력'!$C$6+'1.설계입력'!$C$33)/('1.설계입력'!$C$8*'1.설계입력'!$C$15)-COS((1-'1.설계입력'!$C$15)*B1195),SIN((1-'1.설계입력'!$C$15)*B1195))</f>
        <v>0.65686485423904095</v>
      </c>
      <c r="G1195" s="40">
        <f>('1.설계입력'!$C$6+'1.설계입력'!$C$33)*COS(B1195)-('1.설계입력'!$C$7+'1.설계입력'!$C$34)*COS(B1195+F1195)-'1.설계입력'!$C$8*COS('1.설계입력'!$C$15*B1195)</f>
        <v>-42.749454994887806</v>
      </c>
      <c r="H1195" s="40">
        <f>-('1.설계입력'!$C$6+'1.설계입력'!$C$33)*SIN(B1195)+('1.설계입력'!$C$7+'1.설계입력'!$C$34)*SIN(B1195+F1195)+'1.설계입력'!$C$8*SIN('1.설계입력'!$C$15*B1195)</f>
        <v>66.099346886390393</v>
      </c>
      <c r="I1195" s="40">
        <f t="shared" si="55"/>
        <v>78.728143281931025</v>
      </c>
      <c r="J1195" s="40">
        <f t="shared" si="56"/>
        <v>78.71873703996593</v>
      </c>
      <c r="K1195" s="38" t="str">
        <f>IF(OR(A1195&gt;180,'1.설계입력'!$C$39&gt;=1),"",'1.설계입력'!$C$34*(1-SIN(B1195)/SQRT(1+'1.설계입력'!$C$39^2-2*'1.설계입력'!$C$39*COS(B1195)))-'1.설계입력'!$C$33*(1-'1.설계입력'!$C$39*COS(B1195)-SQRT(MAX(0,1-'1.설계입력'!$C$39^2))*SIN(B1195))/SQRT(1+'1.설계입력'!$C$39^2-2*'1.설계입력'!$C$39*COS(B1195)))</f>
        <v/>
      </c>
    </row>
    <row r="1196" spans="1:11" x14ac:dyDescent="0.3">
      <c r="A1196" s="40">
        <f>A1195+'1.설계입력'!$C$12</f>
        <v>237.99999999999503</v>
      </c>
      <c r="B1196" s="40">
        <f t="shared" si="54"/>
        <v>4.1538836197464173</v>
      </c>
      <c r="C1196" s="40">
        <f>ATAN2('1.설계입력'!$C$6/('1.설계입력'!$C$8*'1.설계입력'!$C$15)-COS((1-'1.설계입력'!$C$15)*B1196),SIN((1-'1.설계입력'!$C$15)*B1196))</f>
        <v>0.70108025199577273</v>
      </c>
      <c r="D1196" s="40">
        <f>'1.설계입력'!$C$6*COS(B1196)-'1.설계입력'!$C$7*COS(B1196+C1196)-'1.설계입력'!$C$8*COS('1.설계입력'!$C$15*B1196)</f>
        <v>-42.612210127342827</v>
      </c>
      <c r="E1196" s="40">
        <f>-'1.설계입력'!$C$6*SIN(B1196)+'1.설계입력'!$C$7*SIN(B1196+C1196)+'1.설계입력'!$C$8*SIN('1.설계입력'!$C$15*B1196)</f>
        <v>66.093560477204022</v>
      </c>
      <c r="F1196" s="40">
        <f>ATAN2(('1.설계입력'!$C$6+'1.설계입력'!$C$33)/('1.설계입력'!$C$8*'1.설계입력'!$C$15)-COS((1-'1.설계입력'!$C$15)*B1196),SIN((1-'1.설계입력'!$C$15)*B1196))</f>
        <v>0.70110223036213182</v>
      </c>
      <c r="G1196" s="40">
        <f>('1.설계입력'!$C$6+'1.설계입력'!$C$33)*COS(B1196)-('1.설계입력'!$C$7+'1.설계입력'!$C$34)*COS(B1196+F1196)-'1.설계입력'!$C$8*COS('1.설계입력'!$C$15*B1196)</f>
        <v>-42.611805523165295</v>
      </c>
      <c r="H1196" s="40">
        <f>-('1.설계입력'!$C$6+'1.설계입력'!$C$33)*SIN(B1196)+('1.설계입력'!$C$7+'1.설계입력'!$C$34)*SIN(B1196+F1196)+'1.설계입력'!$C$8*SIN('1.설계입력'!$C$15*B1196)</f>
        <v>66.082926233605036</v>
      </c>
      <c r="I1196" s="40">
        <f t="shared" si="55"/>
        <v>78.639425153612649</v>
      </c>
      <c r="J1196" s="40">
        <f t="shared" si="56"/>
        <v>78.630268405621919</v>
      </c>
      <c r="K1196" s="38" t="str">
        <f>IF(OR(A1196&gt;180,'1.설계입력'!$C$39&gt;=1),"",'1.설계입력'!$C$34*(1-SIN(B1196)/SQRT(1+'1.설계입력'!$C$39^2-2*'1.설계입력'!$C$39*COS(B1196)))-'1.설계입력'!$C$33*(1-'1.설계입력'!$C$39*COS(B1196)-SQRT(MAX(0,1-'1.설계입력'!$C$39^2))*SIN(B1196))/SQRT(1+'1.설계입력'!$C$39^2-2*'1.설계입력'!$C$39*COS(B1196)))</f>
        <v/>
      </c>
    </row>
    <row r="1197" spans="1:11" x14ac:dyDescent="0.3">
      <c r="A1197" s="40">
        <f>A1196+'1.설계입력'!$C$12</f>
        <v>238.19999999999501</v>
      </c>
      <c r="B1197" s="40">
        <f t="shared" si="54"/>
        <v>4.1573742782504057</v>
      </c>
      <c r="C1197" s="40">
        <f>ATAN2('1.설계입력'!$C$6/('1.설계입력'!$C$8*'1.설계입력'!$C$15)-COS((1-'1.설계입력'!$C$15)*B1197),SIN((1-'1.설계입력'!$C$15)*B1197))</f>
        <v>0.74121343055987876</v>
      </c>
      <c r="D1197" s="40">
        <f>'1.설계입력'!$C$6*COS(B1197)-'1.설계입력'!$C$7*COS(B1197+C1197)-'1.설계입력'!$C$8*COS('1.설계입력'!$C$15*B1197)</f>
        <v>-42.483652528470344</v>
      </c>
      <c r="E1197" s="40">
        <f>-'1.설계입력'!$C$6*SIN(B1197)+'1.설계입력'!$C$7*SIN(B1197+C1197)+'1.설계입력'!$C$8*SIN('1.설계입력'!$C$15*B1197)</f>
        <v>66.07220819103263</v>
      </c>
      <c r="F1197" s="40">
        <f>ATAN2(('1.설계입력'!$C$6+'1.설계입력'!$C$33)/('1.설계입력'!$C$8*'1.설계입력'!$C$15)-COS((1-'1.설계입력'!$C$15)*B1197),SIN((1-'1.설계입력'!$C$15)*B1197))</f>
        <v>0.74123846462423582</v>
      </c>
      <c r="G1197" s="40">
        <f>('1.설계입력'!$C$6+'1.설계입력'!$C$33)*COS(B1197)-('1.설계입력'!$C$7+'1.설계입력'!$C$34)*COS(B1197+F1197)-'1.설계입력'!$C$8*COS('1.설계입력'!$C$15*B1197)</f>
        <v>-42.483617079814351</v>
      </c>
      <c r="H1197" s="40">
        <f>-('1.설계입력'!$C$6+'1.설계입력'!$C$33)*SIN(B1197)+('1.설계입력'!$C$7+'1.설계입력'!$C$34)*SIN(B1197+F1197)+'1.설계입력'!$C$8*SIN('1.설계입력'!$C$15*B1197)</f>
        <v>66.061632108305034</v>
      </c>
      <c r="I1197" s="40">
        <f t="shared" si="55"/>
        <v>78.551877300284588</v>
      </c>
      <c r="J1197" s="40">
        <f t="shared" si="56"/>
        <v>78.54296249185748</v>
      </c>
      <c r="K1197" s="38" t="str">
        <f>IF(OR(A1197&gt;180,'1.설계입력'!$C$39&gt;=1),"",'1.설계입력'!$C$34*(1-SIN(B1197)/SQRT(1+'1.설계입력'!$C$39^2-2*'1.설계입력'!$C$39*COS(B1197)))-'1.설계입력'!$C$33*(1-'1.설계입력'!$C$39*COS(B1197)-SQRT(MAX(0,1-'1.설계입력'!$C$39^2))*SIN(B1197))/SQRT(1+'1.설계입력'!$C$39^2-2*'1.설계입력'!$C$39*COS(B1197)))</f>
        <v/>
      </c>
    </row>
    <row r="1198" spans="1:11" x14ac:dyDescent="0.3">
      <c r="A1198" s="40">
        <f>A1197+'1.설계입력'!$C$12</f>
        <v>238.399999999995</v>
      </c>
      <c r="B1198" s="40">
        <f t="shared" si="54"/>
        <v>4.1608649367543942</v>
      </c>
      <c r="C1198" s="40">
        <f>ATAN2('1.설계입력'!$C$6/('1.설계입력'!$C$8*'1.설계입력'!$C$15)-COS((1-'1.설계입력'!$C$15)*B1198),SIN((1-'1.설계입력'!$C$15)*B1198))</f>
        <v>0.77580564375782268</v>
      </c>
      <c r="D1198" s="40">
        <f>'1.설계입력'!$C$6*COS(B1198)-'1.설계입력'!$C$7*COS(B1198+C1198)-'1.설계입력'!$C$8*COS('1.설계입력'!$C$15*B1198)</f>
        <v>-42.360122264792693</v>
      </c>
      <c r="E1198" s="40">
        <f>-'1.설계입력'!$C$6*SIN(B1198)+'1.설계입력'!$C$7*SIN(B1198+C1198)+'1.설계입력'!$C$8*SIN('1.설계입력'!$C$15*B1198)</f>
        <v>66.046426769977813</v>
      </c>
      <c r="F1198" s="40">
        <f>ATAN2(('1.설계입력'!$C$6+'1.설계입력'!$C$33)/('1.설계입력'!$C$8*'1.설계입력'!$C$15)-COS((1-'1.설계입력'!$C$15)*B1198),SIN((1-'1.설계입력'!$C$15)*B1198))</f>
        <v>0.77583423593382306</v>
      </c>
      <c r="G1198" s="40">
        <f>('1.설계입력'!$C$6+'1.설계입력'!$C$33)*COS(B1198)-('1.설계입력'!$C$7+'1.설계입력'!$C$34)*COS(B1198+F1198)-'1.설계입력'!$C$8*COS('1.설계입력'!$C$15*B1198)</f>
        <v>-42.36041112685929</v>
      </c>
      <c r="H1198" s="40">
        <f>-('1.설계입력'!$C$6+'1.설계입력'!$C$33)*SIN(B1198)+('1.설계입력'!$C$7+'1.설계입력'!$C$34)*SIN(B1198+F1198)+'1.설계입력'!$C$8*SIN('1.설계입력'!$C$15*B1198)</f>
        <v>66.035914777380924</v>
      </c>
      <c r="I1198" s="40">
        <f t="shared" si="55"/>
        <v>78.463433823471092</v>
      </c>
      <c r="J1198" s="40">
        <f t="shared" si="56"/>
        <v>78.454741547736049</v>
      </c>
      <c r="K1198" s="38" t="str">
        <f>IF(OR(A1198&gt;180,'1.설계입력'!$C$39&gt;=1),"",'1.설계입력'!$C$34*(1-SIN(B1198)/SQRT(1+'1.설계입력'!$C$39^2-2*'1.설계입력'!$C$39*COS(B1198)))-'1.설계입력'!$C$33*(1-'1.설계입력'!$C$39*COS(B1198)-SQRT(MAX(0,1-'1.설계입력'!$C$39^2))*SIN(B1198))/SQRT(1+'1.설계입력'!$C$39^2-2*'1.설계입력'!$C$39*COS(B1198)))</f>
        <v/>
      </c>
    </row>
    <row r="1199" spans="1:11" x14ac:dyDescent="0.3">
      <c r="A1199" s="40">
        <f>A1198+'1.설계입력'!$C$12</f>
        <v>238.59999999999499</v>
      </c>
      <c r="B1199" s="40">
        <f t="shared" si="54"/>
        <v>4.1643555952583826</v>
      </c>
      <c r="C1199" s="40">
        <f>ATAN2('1.설계입력'!$C$6/('1.설계입력'!$C$8*'1.설계입력'!$C$15)-COS((1-'1.설계입력'!$C$15)*B1199),SIN((1-'1.설계입력'!$C$15)*B1199))</f>
        <v>0.80270817926467231</v>
      </c>
      <c r="D1199" s="40">
        <f>'1.설계입력'!$C$6*COS(B1199)-'1.설계입력'!$C$7*COS(B1199+C1199)-'1.설계입력'!$C$8*COS('1.설계입력'!$C$15*B1199)</f>
        <v>-42.234166557645239</v>
      </c>
      <c r="E1199" s="40">
        <f>-'1.설계입력'!$C$6*SIN(B1199)+'1.설계입력'!$C$7*SIN(B1199+C1199)+'1.설계입력'!$C$8*SIN('1.설계입력'!$C$15*B1199)</f>
        <v>66.015549561149754</v>
      </c>
      <c r="F1199" s="40">
        <f>ATAN2(('1.설계입력'!$C$6+'1.설계입력'!$C$33)/('1.설계입력'!$C$8*'1.설계입력'!$C$15)-COS((1-'1.설계입력'!$C$15)*B1199),SIN((1-'1.설계입력'!$C$15)*B1199))</f>
        <v>0.80274096964701247</v>
      </c>
      <c r="G1199" s="40">
        <f>('1.설계입력'!$C$6+'1.설계입력'!$C$33)*COS(B1199)-('1.설계입력'!$C$7+'1.설계입력'!$C$34)*COS(B1199+F1199)-'1.설계입력'!$C$8*COS('1.설계입력'!$C$15*B1199)</f>
        <v>-42.23471925394405</v>
      </c>
      <c r="H1199" s="40">
        <f>-('1.설계입력'!$C$6+'1.설계입력'!$C$33)*SIN(B1199)+('1.설계입력'!$C$7+'1.설계입력'!$C$34)*SIN(B1199+F1199)+'1.설계입력'!$C$8*SIN('1.설계입력'!$C$15*B1199)</f>
        <v>66.005097929556158</v>
      </c>
      <c r="I1199" s="40">
        <f t="shared" si="55"/>
        <v>78.369494120349785</v>
      </c>
      <c r="J1199" s="40">
        <f t="shared" si="56"/>
        <v>78.360988145567504</v>
      </c>
      <c r="K1199" s="38" t="str">
        <f>IF(OR(A1199&gt;180,'1.설계입력'!$C$39&gt;=1),"",'1.설계입력'!$C$34*(1-SIN(B1199)/SQRT(1+'1.설계입력'!$C$39^2-2*'1.설계입력'!$C$39*COS(B1199)))-'1.설계입력'!$C$33*(1-'1.설계입력'!$C$39*COS(B1199)-SQRT(MAX(0,1-'1.설계입력'!$C$39^2))*SIN(B1199))/SQRT(1+'1.설계입력'!$C$39^2-2*'1.설계입력'!$C$39*COS(B1199)))</f>
        <v/>
      </c>
    </row>
    <row r="1200" spans="1:11" x14ac:dyDescent="0.3">
      <c r="A1200" s="40">
        <f>A1199+'1.설계입력'!$C$12</f>
        <v>238.79999999999498</v>
      </c>
      <c r="B1200" s="40">
        <f t="shared" si="54"/>
        <v>4.1678462537623711</v>
      </c>
      <c r="C1200" s="40">
        <f>ATAN2('1.설계입력'!$C$6/('1.설계입력'!$C$8*'1.설계입력'!$C$15)-COS((1-'1.설계입력'!$C$15)*B1200),SIN((1-'1.설계입력'!$C$15)*B1200))</f>
        <v>0.81858663793085207</v>
      </c>
      <c r="D1200" s="40">
        <f>'1.설계입력'!$C$6*COS(B1200)-'1.설계입력'!$C$7*COS(B1200+C1200)-'1.설계입력'!$C$8*COS('1.설계입력'!$C$15*B1200)</f>
        <v>-42.093499964049791</v>
      </c>
      <c r="E1200" s="40">
        <f>-'1.설계입력'!$C$6*SIN(B1200)+'1.설계입력'!$C$7*SIN(B1200+C1200)+'1.설계입력'!$C$8*SIN('1.설계입력'!$C$15*B1200)</f>
        <v>65.977264274275456</v>
      </c>
      <c r="F1200" s="40">
        <f>ATAN2(('1.설계입력'!$C$6+'1.설계입력'!$C$33)/('1.설계입력'!$C$8*'1.설계입력'!$C$15)-COS((1-'1.설계입력'!$C$15)*B1200),SIN((1-'1.설계입력'!$C$15)*B1200))</f>
        <v>0.81862442801583768</v>
      </c>
      <c r="G1200" s="40">
        <f>('1.설계입력'!$C$6+'1.설계입력'!$C$33)*COS(B1200)-('1.설계입력'!$C$7+'1.설계입력'!$C$34)*COS(B1200+F1200)-'1.설계입력'!$C$8*COS('1.설계입력'!$C$15*B1200)</f>
        <v>-42.09423196977982</v>
      </c>
      <c r="H1200" s="40">
        <f>-('1.설계입력'!$C$6+'1.설계입력'!$C$33)*SIN(B1200)+('1.설계입력'!$C$7+'1.설계입력'!$C$34)*SIN(B1200+F1200)+'1.설계입력'!$C$8*SIN('1.설계입력'!$C$15*B1200)</f>
        <v>65.966855895195749</v>
      </c>
      <c r="I1200" s="40">
        <f t="shared" si="55"/>
        <v>78.261498454482989</v>
      </c>
      <c r="J1200" s="40">
        <f t="shared" si="56"/>
        <v>78.253117777013557</v>
      </c>
      <c r="K1200" s="38" t="str">
        <f>IF(OR(A1200&gt;180,'1.설계입력'!$C$39&gt;=1),"",'1.설계입력'!$C$34*(1-SIN(B1200)/SQRT(1+'1.설계입력'!$C$39^2-2*'1.설계입력'!$C$39*COS(B1200)))-'1.설계입력'!$C$33*(1-'1.설계입력'!$C$39*COS(B1200)-SQRT(MAX(0,1-'1.설계입력'!$C$39^2))*SIN(B1200))/SQRT(1+'1.설계입력'!$C$39^2-2*'1.설계입력'!$C$39*COS(B1200)))</f>
        <v/>
      </c>
    </row>
    <row r="1201" spans="1:11" x14ac:dyDescent="0.3">
      <c r="A1201" s="40">
        <f>A1200+'1.설계입력'!$C$12</f>
        <v>238.99999999999497</v>
      </c>
      <c r="B1201" s="40">
        <f t="shared" si="54"/>
        <v>4.1713369122663595</v>
      </c>
      <c r="C1201" s="40">
        <f>ATAN2('1.설계입력'!$C$6/('1.설계입력'!$C$8*'1.설계입력'!$C$15)-COS((1-'1.설계입력'!$C$15)*B1201),SIN((1-'1.설계입력'!$C$15)*B1201))</f>
        <v>0.81804027674288893</v>
      </c>
      <c r="D1201" s="40">
        <f>'1.설계입력'!$C$6*COS(B1201)-'1.설계입력'!$C$7*COS(B1201+C1201)-'1.설계입력'!$C$8*COS('1.설계입력'!$C$15*B1201)</f>
        <v>-41.917422815710403</v>
      </c>
      <c r="E1201" s="40">
        <f>-'1.설계입력'!$C$6*SIN(B1201)+'1.설계입력'!$C$7*SIN(B1201+C1201)+'1.설계입력'!$C$8*SIN('1.설계입력'!$C$15*B1201)</f>
        <v>65.927154827378516</v>
      </c>
      <c r="F1201" s="40">
        <f>ATAN2(('1.설계입력'!$C$6+'1.설계입력'!$C$33)/('1.설계입력'!$C$8*'1.설계입력'!$C$15)-COS((1-'1.설계입력'!$C$15)*B1201),SIN((1-'1.설계입력'!$C$15)*B1201))</f>
        <v>0.81808400609351561</v>
      </c>
      <c r="G1201" s="40">
        <f>('1.설계입력'!$C$6+'1.설계입력'!$C$33)*COS(B1201)-('1.설계입력'!$C$7+'1.설계입력'!$C$34)*COS(B1201+F1201)-'1.설계입력'!$C$8*COS('1.설계입력'!$C$15*B1201)</f>
        <v>-41.918209812681837</v>
      </c>
      <c r="H1201" s="40">
        <f>-('1.설계입력'!$C$6+'1.설계입력'!$C$33)*SIN(B1201)+('1.설계입력'!$C$7+'1.설계입력'!$C$34)*SIN(B1201+F1201)+'1.설계입력'!$C$8*SIN('1.설계입력'!$C$15*B1201)</f>
        <v>65.916754286618897</v>
      </c>
      <c r="I1201" s="40">
        <f t="shared" si="55"/>
        <v>78.124644505713931</v>
      </c>
      <c r="J1201" s="40">
        <f t="shared" si="56"/>
        <v>78.11629029583078</v>
      </c>
      <c r="K1201" s="38" t="str">
        <f>IF(OR(A1201&gt;180,'1.설계입력'!$C$39&gt;=1),"",'1.설계입력'!$C$34*(1-SIN(B1201)/SQRT(1+'1.설계입력'!$C$39^2-2*'1.설계입력'!$C$39*COS(B1201)))-'1.설계입력'!$C$33*(1-'1.설계입력'!$C$39*COS(B1201)-SQRT(MAX(0,1-'1.설계입력'!$C$39^2))*SIN(B1201))/SQRT(1+'1.설계입력'!$C$39^2-2*'1.설계입력'!$C$39*COS(B1201)))</f>
        <v/>
      </c>
    </row>
    <row r="1202" spans="1:11" x14ac:dyDescent="0.3">
      <c r="A1202" s="40">
        <f>A1201+'1.설계입력'!$C$12</f>
        <v>239.19999999999496</v>
      </c>
      <c r="B1202" s="40">
        <f t="shared" si="54"/>
        <v>4.1748275707703479</v>
      </c>
      <c r="C1202" s="40">
        <f>ATAN2('1.설계입력'!$C$6/('1.설계입력'!$C$8*'1.설계입력'!$C$15)-COS((1-'1.설계입력'!$C$15)*B1202),SIN((1-'1.설계입력'!$C$15)*B1202))</f>
        <v>0.79193106442806616</v>
      </c>
      <c r="D1202" s="40">
        <f>'1.설계입력'!$C$6*COS(B1202)-'1.설계입력'!$C$7*COS(B1202+C1202)-'1.설계입력'!$C$8*COS('1.설계입력'!$C$15*B1202)</f>
        <v>-41.669635116747926</v>
      </c>
      <c r="E1202" s="40">
        <f>-'1.설계입력'!$C$6*SIN(B1202)+'1.설계입력'!$C$7*SIN(B1202+C1202)+'1.설계입력'!$C$8*SIN('1.설계입력'!$C$15*B1202)</f>
        <v>65.859215783681151</v>
      </c>
      <c r="F1202" s="40">
        <f>ATAN2(('1.설계입력'!$C$6+'1.설계입력'!$C$33)/('1.설계입력'!$C$8*'1.설계입력'!$C$15)-COS((1-'1.설계입력'!$C$15)*B1202),SIN((1-'1.설계입력'!$C$15)*B1202))</f>
        <v>0.79198158720296796</v>
      </c>
      <c r="G1202" s="40">
        <f>('1.설계입력'!$C$6+'1.설계입력'!$C$33)*COS(B1202)-('1.설계입력'!$C$7+'1.설계입력'!$C$34)*COS(B1202+F1202)-'1.설계입력'!$C$8*COS('1.설계입력'!$C$15*B1202)</f>
        <v>-41.670282013592086</v>
      </c>
      <c r="H1202" s="40">
        <f>-('1.설계입력'!$C$6+'1.설계입력'!$C$33)*SIN(B1202)+('1.설계입력'!$C$7+'1.설계입력'!$C$34)*SIN(B1202+F1202)+'1.설계입력'!$C$8*SIN('1.설계입력'!$C$15*B1202)</f>
        <v>65.848764610151946</v>
      </c>
      <c r="I1202" s="40">
        <f t="shared" si="55"/>
        <v>77.934554559607179</v>
      </c>
      <c r="J1202" s="40">
        <f t="shared" si="56"/>
        <v>77.926068833064434</v>
      </c>
      <c r="K1202" s="38" t="str">
        <f>IF(OR(A1202&gt;180,'1.설계입력'!$C$39&gt;=1),"",'1.설계입력'!$C$34*(1-SIN(B1202)/SQRT(1+'1.설계입력'!$C$39^2-2*'1.설계입력'!$C$39*COS(B1202)))-'1.설계입력'!$C$33*(1-'1.설계입력'!$C$39*COS(B1202)-SQRT(MAX(0,1-'1.설계입력'!$C$39^2))*SIN(B1202))/SQRT(1+'1.설계입력'!$C$39^2-2*'1.설계입력'!$C$39*COS(B1202)))</f>
        <v/>
      </c>
    </row>
    <row r="1203" spans="1:11" x14ac:dyDescent="0.3">
      <c r="A1203" s="40">
        <f>A1202+'1.설계입력'!$C$12</f>
        <v>239.39999999999495</v>
      </c>
      <c r="B1203" s="40">
        <f t="shared" si="54"/>
        <v>4.1783182292743364</v>
      </c>
      <c r="C1203" s="40">
        <f>ATAN2('1.설계입력'!$C$6/('1.설계입력'!$C$8*'1.설계입력'!$C$15)-COS((1-'1.설계입력'!$C$15)*B1203),SIN((1-'1.설계입력'!$C$15)*B1203))</f>
        <v>0.72429172953662291</v>
      </c>
      <c r="D1203" s="40">
        <f>'1.설계입력'!$C$6*COS(B1203)-'1.설계입력'!$C$7*COS(B1203+C1203)-'1.설계입력'!$C$8*COS('1.설계입력'!$C$15*B1203)</f>
        <v>-41.284174168427434</v>
      </c>
      <c r="E1203" s="40">
        <f>-'1.설계입력'!$C$6*SIN(B1203)+'1.설계입력'!$C$7*SIN(B1203+C1203)+'1.설계입력'!$C$8*SIN('1.설계입력'!$C$15*B1203)</f>
        <v>65.771318426285845</v>
      </c>
      <c r="F1203" s="40">
        <f>ATAN2(('1.설계입력'!$C$6+'1.설계입력'!$C$33)/('1.설계입력'!$C$8*'1.설계입력'!$C$15)-COS((1-'1.설계입력'!$C$15)*B1203),SIN((1-'1.설계입력'!$C$15)*B1203))</f>
        <v>0.72434885053884024</v>
      </c>
      <c r="G1203" s="40">
        <f>('1.설계입력'!$C$6+'1.설계입력'!$C$33)*COS(B1203)-('1.설계입력'!$C$7+'1.설계입력'!$C$34)*COS(B1203+F1203)-'1.설계입력'!$C$8*COS('1.설계입력'!$C$15*B1203)</f>
        <v>-41.284352470586185</v>
      </c>
      <c r="H1203" s="40">
        <f>-('1.설계입력'!$C$6+'1.설계입력'!$C$33)*SIN(B1203)+('1.설계입력'!$C$7+'1.설계입력'!$C$34)*SIN(B1203+F1203)+'1.설계입력'!$C$8*SIN('1.설계입력'!$C$15*B1203)</f>
        <v>65.76073952465552</v>
      </c>
      <c r="I1203" s="40">
        <f t="shared" si="55"/>
        <v>77.654680247239043</v>
      </c>
      <c r="J1203" s="40">
        <f t="shared" si="56"/>
        <v>77.645815223649933</v>
      </c>
      <c r="K1203" s="38" t="str">
        <f>IF(OR(A1203&gt;180,'1.설계입력'!$C$39&gt;=1),"",'1.설계입력'!$C$34*(1-SIN(B1203)/SQRT(1+'1.설계입력'!$C$39^2-2*'1.설계입력'!$C$39*COS(B1203)))-'1.설계입력'!$C$33*(1-'1.설계입력'!$C$39*COS(B1203)-SQRT(MAX(0,1-'1.설계입력'!$C$39^2))*SIN(B1203))/SQRT(1+'1.설계입력'!$C$39^2-2*'1.설계입력'!$C$39*COS(B1203)))</f>
        <v/>
      </c>
    </row>
    <row r="1204" spans="1:11" x14ac:dyDescent="0.3">
      <c r="A1204" s="40">
        <f>A1203+'1.설계입력'!$C$12</f>
        <v>239.59999999999494</v>
      </c>
      <c r="B1204" s="40">
        <f t="shared" si="54"/>
        <v>4.1818088877783248</v>
      </c>
      <c r="C1204" s="40">
        <f>ATAN2('1.설계입력'!$C$6/('1.설계입력'!$C$8*'1.설계입력'!$C$15)-COS((1-'1.설계입력'!$C$15)*B1204),SIN((1-'1.설계입력'!$C$15)*B1204))</f>
        <v>0.58786033363234946</v>
      </c>
      <c r="D1204" s="40">
        <f>'1.설계입력'!$C$6*COS(B1204)-'1.설계입력'!$C$7*COS(B1204+C1204)-'1.설계입력'!$C$8*COS('1.설계입력'!$C$15*B1204)</f>
        <v>-40.644754650112816</v>
      </c>
      <c r="E1204" s="40">
        <f>-'1.설계입력'!$C$6*SIN(B1204)+'1.설계입력'!$C$7*SIN(B1204+C1204)+'1.설계입력'!$C$8*SIN('1.설계입력'!$C$15*B1204)</f>
        <v>65.690693577338351</v>
      </c>
      <c r="F1204" s="40">
        <f>ATAN2(('1.설계입력'!$C$6+'1.설계입력'!$C$33)/('1.설계입력'!$C$8*'1.설계입력'!$C$15)-COS((1-'1.설계입력'!$C$15)*B1204),SIN((1-'1.설계입력'!$C$15)*B1204))</f>
        <v>0.5879194295372443</v>
      </c>
      <c r="G1204" s="40">
        <f>('1.설계입력'!$C$6+'1.설계입력'!$C$33)*COS(B1204)-('1.설계입력'!$C$7+'1.설계입력'!$C$34)*COS(B1204+F1204)-'1.설계입력'!$C$8*COS('1.설계입력'!$C$15*B1204)</f>
        <v>-40.643886135147881</v>
      </c>
      <c r="H1204" s="40">
        <f>-('1.설계입력'!$C$6+'1.설계입력'!$C$33)*SIN(B1204)+('1.설계입력'!$C$7+'1.설계입력'!$C$34)*SIN(B1204+F1204)+'1.설계입력'!$C$8*SIN('1.설계입력'!$C$15*B1204)</f>
        <v>65.679946636585058</v>
      </c>
      <c r="I1204" s="40">
        <f t="shared" si="55"/>
        <v>77.248063427115312</v>
      </c>
      <c r="J1204" s="40">
        <f t="shared" si="56"/>
        <v>77.238467555690974</v>
      </c>
      <c r="K1204" s="38" t="str">
        <f>IF(OR(A1204&gt;180,'1.설계입력'!$C$39&gt;=1),"",'1.설계입력'!$C$34*(1-SIN(B1204)/SQRT(1+'1.설계입력'!$C$39^2-2*'1.설계입력'!$C$39*COS(B1204)))-'1.설계입력'!$C$33*(1-'1.설계입력'!$C$39*COS(B1204)-SQRT(MAX(0,1-'1.설계입력'!$C$39^2))*SIN(B1204))/SQRT(1+'1.설계입력'!$C$39^2-2*'1.설계입력'!$C$39*COS(B1204)))</f>
        <v/>
      </c>
    </row>
    <row r="1205" spans="1:11" x14ac:dyDescent="0.3">
      <c r="A1205" s="40">
        <f>A1204+'1.설계입력'!$C$12</f>
        <v>239.79999999999492</v>
      </c>
      <c r="B1205" s="40">
        <f t="shared" si="54"/>
        <v>4.1852995462823133</v>
      </c>
      <c r="C1205" s="40">
        <f>ATAN2('1.설계입력'!$C$6/('1.설계입력'!$C$8*'1.설계입력'!$C$15)-COS((1-'1.설계입력'!$C$15)*B1205),SIN((1-'1.설계입력'!$C$15)*B1205))</f>
        <v>0.34646145687990881</v>
      </c>
      <c r="D1205" s="40">
        <f>'1.설계입력'!$C$6*COS(B1205)-'1.설계입력'!$C$7*COS(B1205+C1205)-'1.설계입력'!$C$8*COS('1.설계입력'!$C$15*B1205)</f>
        <v>-39.605553932636404</v>
      </c>
      <c r="E1205" s="40">
        <f>-'1.설계입력'!$C$6*SIN(B1205)+'1.설계입력'!$C$7*SIN(B1205+C1205)+'1.설계입력'!$C$8*SIN('1.설계입력'!$C$15*B1205)</f>
        <v>65.753593340556435</v>
      </c>
      <c r="F1205" s="40">
        <f>ATAN2(('1.설계입력'!$C$6+'1.설계입력'!$C$33)/('1.설계입력'!$C$8*'1.설계입력'!$C$15)-COS((1-'1.설계입력'!$C$15)*B1205),SIN((1-'1.설계입력'!$C$15)*B1205))</f>
        <v>0.34650536010636557</v>
      </c>
      <c r="G1205" s="40">
        <f>('1.설계입력'!$C$6+'1.설계입력'!$C$33)*COS(B1205)-('1.설계입력'!$C$7+'1.설계입력'!$C$34)*COS(B1205+F1205)-'1.설계입력'!$C$8*COS('1.설계입력'!$C$15*B1205)</f>
        <v>-39.602712533505475</v>
      </c>
      <c r="H1205" s="40">
        <f>-('1.설계입력'!$C$6+'1.설계입력'!$C$33)*SIN(B1205)+('1.설계입력'!$C$7+'1.설계입력'!$C$34)*SIN(B1205+F1205)+'1.설계입력'!$C$8*SIN('1.설계입력'!$C$15*B1205)</f>
        <v>65.742914258502537</v>
      </c>
      <c r="I1205" s="40">
        <f t="shared" si="55"/>
        <v>76.760243222036749</v>
      </c>
      <c r="J1205" s="40">
        <f t="shared" si="56"/>
        <v>76.749629414169078</v>
      </c>
      <c r="K1205" s="38" t="str">
        <f>IF(OR(A1205&gt;180,'1.설계입력'!$C$39&gt;=1),"",'1.설계입력'!$C$34*(1-SIN(B1205)/SQRT(1+'1.설계입력'!$C$39^2-2*'1.설계입력'!$C$39*COS(B1205)))-'1.설계입력'!$C$33*(1-'1.설계입력'!$C$39*COS(B1205)-SQRT(MAX(0,1-'1.설계입력'!$C$39^2))*SIN(B1205))/SQRT(1+'1.설계입력'!$C$39^2-2*'1.설계입력'!$C$39*COS(B1205)))</f>
        <v/>
      </c>
    </row>
    <row r="1206" spans="1:11" x14ac:dyDescent="0.3">
      <c r="A1206" s="40">
        <f>A1205+'1.설계입력'!$C$12</f>
        <v>239.99999999999491</v>
      </c>
      <c r="B1206" s="40">
        <f t="shared" si="54"/>
        <v>4.1887902047863017</v>
      </c>
      <c r="C1206" s="40">
        <f>ATAN2('1.설계입력'!$C$6/('1.설계입력'!$C$8*'1.설계입력'!$C$15)-COS((1-'1.설계입력'!$C$15)*B1206),SIN((1-'1.설계입력'!$C$15)*B1206))</f>
        <v>9.5128095741545878E-12</v>
      </c>
      <c r="D1206" s="40">
        <f>'1.설계입력'!$C$6*COS(B1206)-'1.설계입력'!$C$7*COS(B1206+C1206)-'1.설계입력'!$C$8*COS('1.설계입력'!$C$15*B1206)</f>
        <v>-38.250000000034333</v>
      </c>
      <c r="E1206" s="40">
        <f>-'1.설계입력'!$C$6*SIN(B1206)+'1.설계입력'!$C$7*SIN(B1206+C1206)+'1.설계입력'!$C$8*SIN('1.설계입력'!$C$15*B1206)</f>
        <v>66.250943389489734</v>
      </c>
      <c r="F1206" s="40">
        <f>ATAN2(('1.설계입력'!$C$6+'1.설계입력'!$C$33)/('1.설계입력'!$C$8*'1.설계입력'!$C$15)-COS((1-'1.설계입력'!$C$15)*B1206),SIN((1-'1.설계입력'!$C$15)*B1206))</f>
        <v>9.5141502044106671E-12</v>
      </c>
      <c r="G1206" s="40">
        <f>('1.설계입력'!$C$6+'1.설계입력'!$C$33)*COS(B1206)-('1.설계입력'!$C$7+'1.설계입력'!$C$34)*COS(B1206+F1206)-'1.설계입력'!$C$8*COS('1.설계입력'!$C$15*B1206)</f>
        <v>-38.244400000034403</v>
      </c>
      <c r="H1206" s="40">
        <f>-('1.설계입력'!$C$6+'1.설계입력'!$C$33)*SIN(B1206)+('1.설계입력'!$C$7+'1.설계입력'!$C$34)*SIN(B1206+F1206)+'1.설계입력'!$C$8*SIN('1.설계입력'!$C$15*B1206)</f>
        <v>66.241243904967291</v>
      </c>
      <c r="I1206" s="40">
        <f t="shared" si="55"/>
        <v>76.5</v>
      </c>
      <c r="J1206" s="40">
        <f t="shared" si="56"/>
        <v>76.488799999999983</v>
      </c>
      <c r="K1206" s="38" t="str">
        <f>IF(OR(A1206&gt;180,'1.설계입력'!$C$39&gt;=1),"",'1.설계입력'!$C$34*(1-SIN(B1206)/SQRT(1+'1.설계입력'!$C$39^2-2*'1.설계입력'!$C$39*COS(B1206)))-'1.설계입력'!$C$33*(1-'1.설계입력'!$C$39*COS(B1206)-SQRT(MAX(0,1-'1.설계입력'!$C$39^2))*SIN(B1206))/SQRT(1+'1.설계입력'!$C$39^2-2*'1.설계입력'!$C$39*COS(B1206)))</f>
        <v/>
      </c>
    </row>
    <row r="1207" spans="1:11" x14ac:dyDescent="0.3">
      <c r="A1207" s="40">
        <f>A1206+'1.설계입력'!$C$12</f>
        <v>240.1999999999949</v>
      </c>
      <c r="B1207" s="40">
        <f t="shared" si="54"/>
        <v>4.1922808632902901</v>
      </c>
      <c r="C1207" s="40">
        <f>ATAN2('1.설계입력'!$C$6/('1.설계입력'!$C$8*'1.설계입력'!$C$15)-COS((1-'1.설계입력'!$C$15)*B1207),SIN((1-'1.설계입력'!$C$15)*B1207))</f>
        <v>-0.34646145686451063</v>
      </c>
      <c r="D1207" s="40">
        <f>'1.설계입력'!$C$6*COS(B1207)-'1.설계입력'!$C$7*COS(B1207+C1207)-'1.설계입력'!$C$8*COS('1.설계입력'!$C$15*B1207)</f>
        <v>-37.141505256757114</v>
      </c>
      <c r="E1207" s="40">
        <f>-'1.설계입력'!$C$6*SIN(B1207)+'1.설계입력'!$C$7*SIN(B1207+C1207)+'1.설계입력'!$C$8*SIN('1.설계입력'!$C$15*B1207)</f>
        <v>67.176212506846383</v>
      </c>
      <c r="F1207" s="40">
        <f>ATAN2(('1.설계입력'!$C$6+'1.설계입력'!$C$33)/('1.설계입력'!$C$8*'1.설계입력'!$C$15)-COS((1-'1.설계입력'!$C$15)*B1207),SIN((1-'1.설계입력'!$C$15)*B1207))</f>
        <v>-0.34650536009096583</v>
      </c>
      <c r="G1207" s="40">
        <f>('1.설계입력'!$C$6+'1.설계입력'!$C$33)*COS(B1207)-('1.설계입력'!$C$7+'1.설계입력'!$C$34)*COS(B1207+F1207)-'1.설계입력'!$C$8*COS('1.설계입력'!$C$15*B1207)</f>
        <v>-37.133677599974895</v>
      </c>
      <c r="H1207" s="40">
        <f>-('1.설계입력'!$C$6+'1.설계입력'!$C$33)*SIN(B1207)+('1.설계입력'!$C$7+'1.설계입력'!$C$34)*SIN(B1207+F1207)+'1.설계입력'!$C$8*SIN('1.설계입력'!$C$15*B1207)</f>
        <v>67.168412241989643</v>
      </c>
      <c r="I1207" s="40">
        <f t="shared" si="55"/>
        <v>76.760243222013699</v>
      </c>
      <c r="J1207" s="40">
        <f t="shared" si="56"/>
        <v>76.749629414145986</v>
      </c>
      <c r="K1207" s="38" t="str">
        <f>IF(OR(A1207&gt;180,'1.설계입력'!$C$39&gt;=1),"",'1.설계입력'!$C$34*(1-SIN(B1207)/SQRT(1+'1.설계입력'!$C$39^2-2*'1.설계입력'!$C$39*COS(B1207)))-'1.설계입력'!$C$33*(1-'1.설계입력'!$C$39*COS(B1207)-SQRT(MAX(0,1-'1.설계입력'!$C$39^2))*SIN(B1207))/SQRT(1+'1.설계입력'!$C$39^2-2*'1.설계입력'!$C$39*COS(B1207)))</f>
        <v/>
      </c>
    </row>
    <row r="1208" spans="1:11" x14ac:dyDescent="0.3">
      <c r="A1208" s="40">
        <f>A1207+'1.설계입력'!$C$12</f>
        <v>240.39999999999489</v>
      </c>
      <c r="B1208" s="40">
        <f t="shared" si="54"/>
        <v>4.1957715217942795</v>
      </c>
      <c r="C1208" s="40">
        <f>ATAN2('1.설계입력'!$C$6/('1.설계입력'!$C$8*'1.설계입력'!$C$15)-COS((1-'1.설계입력'!$C$15)*B1208),SIN((1-'1.설계입력'!$C$15)*B1208))</f>
        <v>-0.58786033362304113</v>
      </c>
      <c r="D1208" s="40">
        <f>'1.설계입력'!$C$6*COS(B1208)-'1.설계입력'!$C$7*COS(B1208+C1208)-'1.설계입력'!$C$8*COS('1.설계입력'!$C$15*B1208)</f>
        <v>-36.567432105156584</v>
      </c>
      <c r="E1208" s="40">
        <f>-'1.설계입력'!$C$6*SIN(B1208)+'1.설계입력'!$C$7*SIN(B1208+C1208)+'1.설계입력'!$C$8*SIN('1.설계입력'!$C$15*B1208)</f>
        <v>68.044736846215343</v>
      </c>
      <c r="F1208" s="40">
        <f>ATAN2(('1.설계입력'!$C$6+'1.설계입력'!$C$33)/('1.설계입력'!$C$8*'1.설계입력'!$C$15)-COS((1-'1.설계입력'!$C$15)*B1208),SIN((1-'1.설계입력'!$C$15)*B1208))</f>
        <v>-0.58791942952793586</v>
      </c>
      <c r="G1208" s="40">
        <f>('1.설계입력'!$C$6+'1.설계입력'!$C$33)*COS(B1208)-('1.설계입력'!$C$7+'1.설계입력'!$C$34)*COS(B1208+F1208)-'1.설계입력'!$C$8*COS('1.설계입력'!$C$15*B1208)</f>
        <v>-36.558559238933761</v>
      </c>
      <c r="H1208" s="40">
        <f>-('1.설계입력'!$C$6+'1.설계입력'!$C$33)*SIN(B1208)+('1.설계입력'!$C$7+'1.설계입력'!$C$34)*SIN(B1208+F1208)+'1.설계입력'!$C$8*SIN('1.설계입력'!$C$15*B1208)</f>
        <v>68.038611219815422</v>
      </c>
      <c r="I1208" s="40">
        <f t="shared" si="55"/>
        <v>77.248063427091381</v>
      </c>
      <c r="J1208" s="40">
        <f t="shared" si="56"/>
        <v>77.238467555666986</v>
      </c>
      <c r="K1208" s="38" t="str">
        <f>IF(OR(A1208&gt;180,'1.설계입력'!$C$39&gt;=1),"",'1.설계입력'!$C$34*(1-SIN(B1208)/SQRT(1+'1.설계입력'!$C$39^2-2*'1.설계입력'!$C$39*COS(B1208)))-'1.설계입력'!$C$33*(1-'1.설계입력'!$C$39*COS(B1208)-SQRT(MAX(0,1-'1.설계입력'!$C$39^2))*SIN(B1208))/SQRT(1+'1.설계입력'!$C$39^2-2*'1.설계입력'!$C$39*COS(B1208)))</f>
        <v/>
      </c>
    </row>
    <row r="1209" spans="1:11" x14ac:dyDescent="0.3">
      <c r="A1209" s="40">
        <f>A1208+'1.설계입력'!$C$12</f>
        <v>240.59999999999488</v>
      </c>
      <c r="B1209" s="40">
        <f t="shared" si="54"/>
        <v>4.1992621802982679</v>
      </c>
      <c r="C1209" s="40">
        <f>ATAN2('1.설계입력'!$C$6/('1.설계입력'!$C$8*'1.설계입력'!$C$15)-COS((1-'1.설계입력'!$C$15)*B1209),SIN((1-'1.설계입력'!$C$15)*B1209))</f>
        <v>-0.72429172953170562</v>
      </c>
      <c r="D1209" s="40">
        <f>'1.설계입력'!$C$6*COS(B1209)-'1.설계입력'!$C$7*COS(B1209+C1209)-'1.설계입력'!$C$8*COS('1.설계입력'!$C$15*B1209)</f>
        <v>-36.317545513353679</v>
      </c>
      <c r="E1209" s="40">
        <f>-'1.설계입력'!$C$6*SIN(B1209)+'1.설계입력'!$C$7*SIN(B1209+C1209)+'1.설계입력'!$C$8*SIN('1.설계입력'!$C$15*B1209)</f>
        <v>68.638802817238442</v>
      </c>
      <c r="F1209" s="40">
        <f>ATAN2(('1.설계입력'!$C$6+'1.설계입력'!$C$33)/('1.설계입력'!$C$8*'1.설계입력'!$C$15)-COS((1-'1.설계입력'!$C$15)*B1209),SIN((1-'1.설계입력'!$C$15)*B1209))</f>
        <v>-0.72434885053392328</v>
      </c>
      <c r="G1209" s="40">
        <f>('1.설계입력'!$C$6+'1.설계입력'!$C$33)*COS(B1209)-('1.설계입력'!$C$7+'1.설계입력'!$C$34)*COS(B1209+F1209)-'1.설계입력'!$C$8*COS('1.설계입력'!$C$15*B1209)</f>
        <v>-36.308294764718319</v>
      </c>
      <c r="H1209" s="40">
        <f>-('1.설계입력'!$C$6+'1.설계입력'!$C$33)*SIN(B1209)+('1.설계입력'!$C$7+'1.설계입력'!$C$34)*SIN(B1209+F1209)+'1.설계입력'!$C$8*SIN('1.설계입력'!$C$15*B1209)</f>
        <v>68.633667780622275</v>
      </c>
      <c r="I1209" s="40">
        <f t="shared" si="55"/>
        <v>77.654680247221776</v>
      </c>
      <c r="J1209" s="40">
        <f t="shared" si="56"/>
        <v>77.645815223632624</v>
      </c>
      <c r="K1209" s="38" t="str">
        <f>IF(OR(A1209&gt;180,'1.설계입력'!$C$39&gt;=1),"",'1.설계입력'!$C$34*(1-SIN(B1209)/SQRT(1+'1.설계입력'!$C$39^2-2*'1.설계입력'!$C$39*COS(B1209)))-'1.설계입력'!$C$33*(1-'1.설계입력'!$C$39*COS(B1209)-SQRT(MAX(0,1-'1.설계입력'!$C$39^2))*SIN(B1209))/SQRT(1+'1.설계입력'!$C$39^2-2*'1.설계입력'!$C$39*COS(B1209)))</f>
        <v/>
      </c>
    </row>
    <row r="1210" spans="1:11" x14ac:dyDescent="0.3">
      <c r="A1210" s="40">
        <f>A1209+'1.설계입력'!$C$12</f>
        <v>240.79999999999487</v>
      </c>
      <c r="B1210" s="40">
        <f t="shared" si="54"/>
        <v>4.2027528388022564</v>
      </c>
      <c r="C1210" s="40">
        <f>ATAN2('1.설계입력'!$C$6/('1.설계입력'!$C$8*'1.설계입력'!$C$15)-COS((1-'1.설계입력'!$C$15)*B1210),SIN((1-'1.설계입력'!$C$15)*B1210))</f>
        <v>-0.79193106442585903</v>
      </c>
      <c r="D1210" s="40">
        <f>'1.설계입력'!$C$6*COS(B1210)-'1.설계입력'!$C$7*COS(B1210+C1210)-'1.설계입력'!$C$8*COS('1.설계입력'!$C$15*B1210)</f>
        <v>-36.200936383619165</v>
      </c>
      <c r="E1210" s="40">
        <f>-'1.설계입력'!$C$6*SIN(B1210)+'1.설계입력'!$C$7*SIN(B1210+C1210)+'1.설계입력'!$C$8*SIN('1.설계입력'!$C$15*B1210)</f>
        <v>69.01657046935712</v>
      </c>
      <c r="F1210" s="40">
        <f>ATAN2(('1.설계입력'!$C$6+'1.설계입력'!$C$33)/('1.설계입력'!$C$8*'1.설계입력'!$C$15)-COS((1-'1.설계입력'!$C$15)*B1210),SIN((1-'1.설계입력'!$C$15)*B1210))</f>
        <v>-0.79198158720076106</v>
      </c>
      <c r="G1210" s="40">
        <f>('1.설계입력'!$C$6+'1.설계입력'!$C$33)*COS(B1210)-('1.설계입력'!$C$7+'1.설계입력'!$C$34)*COS(B1210+F1210)-'1.설계입력'!$C$8*COS('1.설계입력'!$C$15*B1210)</f>
        <v>-36.191561953421427</v>
      </c>
      <c r="H1210" s="40">
        <f>-('1.설계입력'!$C$6+'1.설계입력'!$C$33)*SIN(B1210)+('1.설계입력'!$C$7+'1.설계입력'!$C$34)*SIN(B1210+F1210)+'1.설계입력'!$C$8*SIN('1.설계입력'!$C$15*B1210)</f>
        <v>69.011905111693167</v>
      </c>
      <c r="I1210" s="40">
        <f t="shared" si="55"/>
        <v>77.934554559595568</v>
      </c>
      <c r="J1210" s="40">
        <f t="shared" si="56"/>
        <v>77.926068833052796</v>
      </c>
      <c r="K1210" s="38" t="str">
        <f>IF(OR(A1210&gt;180,'1.설계입력'!$C$39&gt;=1),"",'1.설계입력'!$C$34*(1-SIN(B1210)/SQRT(1+'1.설계입력'!$C$39^2-2*'1.설계입력'!$C$39*COS(B1210)))-'1.설계입력'!$C$33*(1-'1.설계입력'!$C$39*COS(B1210)-SQRT(MAX(0,1-'1.설계입력'!$C$39^2))*SIN(B1210))/SQRT(1+'1.설계입력'!$C$39^2-2*'1.설계입력'!$C$39*COS(B1210)))</f>
        <v/>
      </c>
    </row>
    <row r="1211" spans="1:11" x14ac:dyDescent="0.3">
      <c r="A1211" s="40">
        <f>A1210+'1.설계입력'!$C$12</f>
        <v>240.99999999999486</v>
      </c>
      <c r="B1211" s="40">
        <f t="shared" si="54"/>
        <v>4.2062434973062448</v>
      </c>
      <c r="C1211" s="40">
        <f>ATAN2('1.설계입력'!$C$6/('1.설계입력'!$C$8*'1.설계입력'!$C$15)-COS((1-'1.설계입력'!$C$15)*B1211),SIN((1-'1.설계입력'!$C$15)*B1211))</f>
        <v>-0.81804027674231117</v>
      </c>
      <c r="D1211" s="40">
        <f>'1.설계입력'!$C$6*COS(B1211)-'1.설계입력'!$C$7*COS(B1211+C1211)-'1.설계입력'!$C$8*COS('1.설계입력'!$C$15*B1211)</f>
        <v>-36.135879471887108</v>
      </c>
      <c r="E1211" s="40">
        <f>-'1.설계입력'!$C$6*SIN(B1211)+'1.설계입력'!$C$7*SIN(B1211+C1211)+'1.설계입력'!$C$8*SIN('1.설계입력'!$C$15*B1211)</f>
        <v>69.265130433257426</v>
      </c>
      <c r="F1211" s="40">
        <f>ATAN2(('1.설계입력'!$C$6+'1.설계입력'!$C$33)/('1.설계입력'!$C$8*'1.설계입력'!$C$15)-COS((1-'1.설계입력'!$C$15)*B1211),SIN((1-'1.설계입력'!$C$15)*B1211))</f>
        <v>-0.81808400609293819</v>
      </c>
      <c r="G1211" s="40">
        <f>('1.설계입력'!$C$6+'1.설계입력'!$C$33)*COS(B1211)-('1.설계입력'!$C$7+'1.설계입력'!$C$34)*COS(B1211+F1211)-'1.설계입력'!$C$8*COS('1.설계입력'!$C$15*B1211)</f>
        <v>-36.126478840890478</v>
      </c>
      <c r="H1211" s="40">
        <f>-('1.설계입력'!$C$6+'1.설계입력'!$C$33)*SIN(B1211)+('1.설계입력'!$C$7+'1.설계입력'!$C$34)*SIN(B1211+F1211)+'1.설계입력'!$C$8*SIN('1.설계입력'!$C$15*B1211)</f>
        <v>69.260611722247589</v>
      </c>
      <c r="I1211" s="40">
        <f t="shared" si="55"/>
        <v>78.124644505705859</v>
      </c>
      <c r="J1211" s="40">
        <f t="shared" si="56"/>
        <v>78.116290295822722</v>
      </c>
      <c r="K1211" s="38" t="str">
        <f>IF(OR(A1211&gt;180,'1.설계입력'!$C$39&gt;=1),"",'1.설계입력'!$C$34*(1-SIN(B1211)/SQRT(1+'1.설계입력'!$C$39^2-2*'1.설계입력'!$C$39*COS(B1211)))-'1.설계입력'!$C$33*(1-'1.설계입력'!$C$39*COS(B1211)-SQRT(MAX(0,1-'1.설계입력'!$C$39^2))*SIN(B1211))/SQRT(1+'1.설계입력'!$C$39^2-2*'1.설계입력'!$C$39*COS(B1211)))</f>
        <v/>
      </c>
    </row>
    <row r="1212" spans="1:11" x14ac:dyDescent="0.3">
      <c r="A1212" s="40">
        <f>A1211+'1.설계입력'!$C$12</f>
        <v>241.19999999999484</v>
      </c>
      <c r="B1212" s="40">
        <f t="shared" si="54"/>
        <v>4.2097341558102332</v>
      </c>
      <c r="C1212" s="40">
        <f>ATAN2('1.설계입력'!$C$6/('1.설계입력'!$C$8*'1.설계입력'!$C$15)-COS((1-'1.설계입력'!$C$15)*B1212),SIN((1-'1.설계입력'!$C$15)*B1212))</f>
        <v>-0.81858663793130138</v>
      </c>
      <c r="D1212" s="40">
        <f>'1.설계입력'!$C$6*COS(B1212)-'1.설계입력'!$C$7*COS(B1212+C1212)-'1.설계입력'!$C$8*COS('1.설계입력'!$C$15*B1212)</f>
        <v>-36.091236951699109</v>
      </c>
      <c r="E1212" s="40">
        <f>-'1.설계입력'!$C$6*SIN(B1212)+'1.설계입력'!$C$7*SIN(B1212+C1212)+'1.설계입력'!$C$8*SIN('1.설계입력'!$C$15*B1212)</f>
        <v>69.442672440196333</v>
      </c>
      <c r="F1212" s="40">
        <f>ATAN2(('1.설계입력'!$C$6+'1.설계입력'!$C$33)/('1.설계입력'!$C$8*'1.설계입력'!$C$15)-COS((1-'1.설계입력'!$C$15)*B1212),SIN((1-'1.설계입력'!$C$15)*B1212))</f>
        <v>-0.81862442801628721</v>
      </c>
      <c r="G1212" s="40">
        <f>('1.설계입력'!$C$6+'1.설계입력'!$C$33)*COS(B1212)-('1.설계입력'!$C$7+'1.설계입력'!$C$34)*COS(B1212+F1212)-'1.설계입력'!$C$8*COS('1.설계입력'!$C$15*B1212)</f>
        <v>-36.081857028138849</v>
      </c>
      <c r="H1212" s="40">
        <f>-('1.설계입력'!$C$6+'1.설계입력'!$C$33)*SIN(B1212)+('1.설계입력'!$C$7+'1.설계입력'!$C$34)*SIN(B1212+F1212)+'1.설계입력'!$C$8*SIN('1.설계입력'!$C$15*B1212)</f>
        <v>69.438102186214394</v>
      </c>
      <c r="I1212" s="40">
        <f t="shared" si="55"/>
        <v>78.261498454476921</v>
      </c>
      <c r="J1212" s="40">
        <f t="shared" si="56"/>
        <v>78.253117777007489</v>
      </c>
      <c r="K1212" s="38" t="str">
        <f>IF(OR(A1212&gt;180,'1.설계입력'!$C$39&gt;=1),"",'1.설계입력'!$C$34*(1-SIN(B1212)/SQRT(1+'1.설계입력'!$C$39^2-2*'1.설계입력'!$C$39*COS(B1212)))-'1.설계입력'!$C$33*(1-'1.설계입력'!$C$39*COS(B1212)-SQRT(MAX(0,1-'1.설계입력'!$C$39^2))*SIN(B1212))/SQRT(1+'1.설계입력'!$C$39^2-2*'1.설계입력'!$C$39*COS(B1212)))</f>
        <v/>
      </c>
    </row>
    <row r="1213" spans="1:11" x14ac:dyDescent="0.3">
      <c r="A1213" s="40">
        <f>A1212+'1.설계입력'!$C$12</f>
        <v>241.39999999999483</v>
      </c>
      <c r="B1213" s="40">
        <f t="shared" si="54"/>
        <v>4.2132248143142217</v>
      </c>
      <c r="C1213" s="40">
        <f>ATAN2('1.설계입력'!$C$6/('1.설계입력'!$C$8*'1.설계입력'!$C$15)-COS((1-'1.설계입력'!$C$15)*B1213),SIN((1-'1.설계입력'!$C$15)*B1213))</f>
        <v>-0.80270817926579452</v>
      </c>
      <c r="D1213" s="40">
        <f>'1.설계입력'!$C$6*COS(B1213)-'1.설계입력'!$C$7*COS(B1213+C1213)-'1.설계입력'!$C$8*COS('1.설계입력'!$C$15*B1213)</f>
        <v>-36.054059685925544</v>
      </c>
      <c r="E1213" s="40">
        <f>-'1.설계입력'!$C$6*SIN(B1213)+'1.설계입력'!$C$7*SIN(B1213+C1213)+'1.설계입력'!$C$8*SIN('1.설계입력'!$C$15*B1213)</f>
        <v>69.583635927152201</v>
      </c>
      <c r="F1213" s="40">
        <f>ATAN2(('1.설계입력'!$C$6+'1.설계입력'!$C$33)/('1.설계입력'!$C$8*'1.설계입력'!$C$15)-COS((1-'1.설계입력'!$C$15)*B1213),SIN((1-'1.설계입력'!$C$15)*B1213))</f>
        <v>-0.80274096964813491</v>
      </c>
      <c r="G1213" s="40">
        <f>('1.설계입력'!$C$6+'1.설계입력'!$C$33)*COS(B1213)-('1.설계입력'!$C$7+'1.설계입력'!$C$34)*COS(B1213+F1213)-'1.설계입력'!$C$8*COS('1.설계입력'!$C$15*B1213)</f>
        <v>-36.044731959305096</v>
      </c>
      <c r="H1213" s="40">
        <f>-('1.설계입력'!$C$6+'1.설계입력'!$C$33)*SIN(B1213)+('1.설계입력'!$C$7+'1.설계입력'!$C$34)*SIN(B1213+F1213)+'1.설계입력'!$C$8*SIN('1.설계입력'!$C$15*B1213)</f>
        <v>69.578888760390754</v>
      </c>
      <c r="I1213" s="40">
        <f t="shared" si="55"/>
        <v>78.36949412034474</v>
      </c>
      <c r="J1213" s="40">
        <f t="shared" si="56"/>
        <v>78.360988145562459</v>
      </c>
      <c r="K1213" s="38" t="str">
        <f>IF(OR(A1213&gt;180,'1.설계입력'!$C$39&gt;=1),"",'1.설계입력'!$C$34*(1-SIN(B1213)/SQRT(1+'1.설계입력'!$C$39^2-2*'1.설계입력'!$C$39*COS(B1213)))-'1.설계입력'!$C$33*(1-'1.설계입력'!$C$39*COS(B1213)-SQRT(MAX(0,1-'1.설계입력'!$C$39^2))*SIN(B1213))/SQRT(1+'1.설계입력'!$C$39^2-2*'1.설계입력'!$C$39*COS(B1213)))</f>
        <v/>
      </c>
    </row>
    <row r="1214" spans="1:11" x14ac:dyDescent="0.3">
      <c r="A1214" s="40">
        <f>A1213+'1.설계입력'!$C$12</f>
        <v>241.59999999999482</v>
      </c>
      <c r="B1214" s="40">
        <f t="shared" si="54"/>
        <v>4.2167154728182101</v>
      </c>
      <c r="C1214" s="40">
        <f>ATAN2('1.설계입력'!$C$6/('1.설계입력'!$C$8*'1.설계입력'!$C$15)-COS((1-'1.설계입력'!$C$15)*B1214),SIN((1-'1.설계입력'!$C$15)*B1214))</f>
        <v>-0.77580564375941419</v>
      </c>
      <c r="D1214" s="40">
        <f>'1.설계입력'!$C$6*COS(B1214)-'1.설계입력'!$C$7*COS(B1214+C1214)-'1.설계입력'!$C$8*COS('1.설계입력'!$C$15*B1214)</f>
        <v>-36.017822279594917</v>
      </c>
      <c r="E1214" s="40">
        <f>-'1.설계입력'!$C$6*SIN(B1214)+'1.설계입력'!$C$7*SIN(B1214+C1214)+'1.설계입력'!$C$8*SIN('1.설계입력'!$C$15*B1214)</f>
        <v>69.708155373708024</v>
      </c>
      <c r="F1214" s="40">
        <f>ATAN2(('1.설계입력'!$C$6+'1.설계입력'!$C$33)/('1.설계입력'!$C$8*'1.설계입력'!$C$15)-COS((1-'1.설계입력'!$C$15)*B1214),SIN((1-'1.설계입력'!$C$15)*B1214))</f>
        <v>-0.77583423593541467</v>
      </c>
      <c r="G1214" s="40">
        <f>('1.설계입력'!$C$6+'1.설계입력'!$C$33)*COS(B1214)-('1.설계입력'!$C$7+'1.설계입력'!$C$34)*COS(B1214+F1214)-'1.설계입력'!$C$8*COS('1.설계입력'!$C$15*B1214)</f>
        <v>-36.008574195928318</v>
      </c>
      <c r="H1214" s="40">
        <f>-('1.설계입력'!$C$6+'1.설계입력'!$C$33)*SIN(B1214)+('1.설계입력'!$C$7+'1.설계입력'!$C$34)*SIN(B1214+F1214)+'1.설계입력'!$C$8*SIN('1.설계입력'!$C$15*B1214)</f>
        <v>69.70314953929747</v>
      </c>
      <c r="I1214" s="40">
        <f t="shared" si="55"/>
        <v>78.463433823466474</v>
      </c>
      <c r="J1214" s="40">
        <f t="shared" si="56"/>
        <v>78.454741547731459</v>
      </c>
      <c r="K1214" s="38" t="str">
        <f>IF(OR(A1214&gt;180,'1.설계입력'!$C$39&gt;=1),"",'1.설계입력'!$C$34*(1-SIN(B1214)/SQRT(1+'1.설계입력'!$C$39^2-2*'1.설계입력'!$C$39*COS(B1214)))-'1.설계입력'!$C$33*(1-'1.설계입력'!$C$39*COS(B1214)-SQRT(MAX(0,1-'1.설계입력'!$C$39^2))*SIN(B1214))/SQRT(1+'1.설계입력'!$C$39^2-2*'1.설계입력'!$C$39*COS(B1214)))</f>
        <v/>
      </c>
    </row>
    <row r="1215" spans="1:11" x14ac:dyDescent="0.3">
      <c r="A1215" s="40">
        <f>A1214+'1.설계입력'!$C$12</f>
        <v>241.79999999999481</v>
      </c>
      <c r="B1215" s="40">
        <f t="shared" si="54"/>
        <v>4.2202061313221986</v>
      </c>
      <c r="C1215" s="40">
        <f>ATAN2('1.설계입력'!$C$6/('1.설계입력'!$C$8*'1.설계입력'!$C$15)-COS((1-'1.설계입력'!$C$15)*B1215),SIN((1-'1.설계입력'!$C$15)*B1215))</f>
        <v>-0.74121343056179212</v>
      </c>
      <c r="D1215" s="40">
        <f>'1.설계입력'!$C$6*COS(B1215)-'1.설계입력'!$C$7*COS(B1215+C1215)-'1.설계입력'!$C$8*COS('1.설계입력'!$C$15*B1215)</f>
        <v>-35.97838451333552</v>
      </c>
      <c r="E1215" s="40">
        <f>-'1.설계입력'!$C$6*SIN(B1215)+'1.설계입력'!$C$7*SIN(B1215+C1215)+'1.설계입력'!$C$8*SIN('1.설계입력'!$C$15*B1215)</f>
        <v>69.828026430716506</v>
      </c>
      <c r="F1215" s="40">
        <f>ATAN2(('1.설계입력'!$C$6+'1.설계입력'!$C$33)/('1.설계입력'!$C$8*'1.설계입력'!$C$15)-COS((1-'1.설계입력'!$C$15)*B1215),SIN((1-'1.설계입력'!$C$15)*B1215))</f>
        <v>-0.74123846462614951</v>
      </c>
      <c r="G1215" s="40">
        <f>('1.설계입력'!$C$6+'1.설계입력'!$C$33)*COS(B1215)-('1.설계입력'!$C$7+'1.설계입력'!$C$34)*COS(B1215+F1215)-'1.설계입력'!$C$8*COS('1.설계입력'!$C$15*B1215)</f>
        <v>-35.969243081348871</v>
      </c>
      <c r="H1215" s="40">
        <f>-('1.설계입력'!$C$6+'1.설계입력'!$C$33)*SIN(B1215)+('1.설계입력'!$C$7+'1.설계입력'!$C$34)*SIN(B1215+F1215)+'1.설계입력'!$C$8*SIN('1.설계입력'!$C$15*B1215)</f>
        <v>69.822707689916115</v>
      </c>
      <c r="I1215" s="40">
        <f t="shared" si="55"/>
        <v>78.551877300280125</v>
      </c>
      <c r="J1215" s="40">
        <f t="shared" si="56"/>
        <v>78.542962491853046</v>
      </c>
      <c r="K1215" s="38" t="str">
        <f>IF(OR(A1215&gt;180,'1.설계입력'!$C$39&gt;=1),"",'1.설계입력'!$C$34*(1-SIN(B1215)/SQRT(1+'1.설계입력'!$C$39^2-2*'1.설계입력'!$C$39*COS(B1215)))-'1.설계입력'!$C$33*(1-'1.설계입력'!$C$39*COS(B1215)-SQRT(MAX(0,1-'1.설계입력'!$C$39^2))*SIN(B1215))/SQRT(1+'1.설계입력'!$C$39^2-2*'1.설계입력'!$C$39*COS(B1215)))</f>
        <v/>
      </c>
    </row>
    <row r="1216" spans="1:11" x14ac:dyDescent="0.3">
      <c r="A1216" s="40">
        <f>A1215+'1.설계입력'!$C$12</f>
        <v>241.9999999999948</v>
      </c>
      <c r="B1216" s="40">
        <f t="shared" si="54"/>
        <v>4.223696789826187</v>
      </c>
      <c r="C1216" s="40">
        <f>ATAN2('1.설계입력'!$C$6/('1.설계입력'!$C$8*'1.설계입력'!$C$15)-COS((1-'1.설계입력'!$C$15)*B1216),SIN((1-'1.설계입력'!$C$15)*B1216))</f>
        <v>-0.70108025199792667</v>
      </c>
      <c r="D1216" s="40">
        <f>'1.설계입력'!$C$6*COS(B1216)-'1.설계입력'!$C$7*COS(B1216+C1216)-'1.설계입력'!$C$8*COS('1.설계입력'!$C$15*B1216)</f>
        <v>-35.932597336152938</v>
      </c>
      <c r="E1216" s="40">
        <f>-'1.설계입력'!$C$6*SIN(B1216)+'1.설계입력'!$C$7*SIN(B1216+C1216)+'1.설계입력'!$C$8*SIN('1.설계입력'!$C$15*B1216)</f>
        <v>69.950036720275065</v>
      </c>
      <c r="F1216" s="40">
        <f>ATAN2(('1.설계입력'!$C$6+'1.설계입력'!$C$33)/('1.설계입력'!$C$8*'1.설계입력'!$C$15)-COS((1-'1.설계입력'!$C$15)*B1216),SIN((1-'1.설계입력'!$C$15)*B1216))</f>
        <v>-0.70110223036428598</v>
      </c>
      <c r="G1216" s="40">
        <f>('1.설계입력'!$C$6+'1.설계입력'!$C$33)*COS(B1216)-('1.설계입력'!$C$7+'1.설계입력'!$C$34)*COS(B1216+F1216)-'1.설계입력'!$C$8*COS('1.설계입력'!$C$15*B1216)</f>
        <v>-35.923590113134949</v>
      </c>
      <c r="H1216" s="40">
        <f>-('1.설계입력'!$C$6+'1.설계입력'!$C$33)*SIN(B1216)+('1.설계입력'!$C$7+'1.설계입력'!$C$34)*SIN(B1216+F1216)+'1.설계입력'!$C$8*SIN('1.설계입력'!$C$15*B1216)</f>
        <v>69.944369200979381</v>
      </c>
      <c r="I1216" s="40">
        <f t="shared" si="55"/>
        <v>78.63942515360813</v>
      </c>
      <c r="J1216" s="40">
        <f t="shared" si="56"/>
        <v>78.630268405617443</v>
      </c>
      <c r="K1216" s="38" t="str">
        <f>IF(OR(A1216&gt;180,'1.설계입력'!$C$39&gt;=1),"",'1.설계입력'!$C$34*(1-SIN(B1216)/SQRT(1+'1.설계입력'!$C$39^2-2*'1.설계입력'!$C$39*COS(B1216)))-'1.설계입력'!$C$33*(1-'1.설계입력'!$C$39*COS(B1216)-SQRT(MAX(0,1-'1.설계입력'!$C$39^2))*SIN(B1216))/SQRT(1+'1.설계입력'!$C$39^2-2*'1.설계입력'!$C$39*COS(B1216)))</f>
        <v/>
      </c>
    </row>
    <row r="1217" spans="1:11" x14ac:dyDescent="0.3">
      <c r="A1217" s="40">
        <f>A1216+'1.설계입력'!$C$12</f>
        <v>242.19999999999479</v>
      </c>
      <c r="B1217" s="40">
        <f t="shared" si="54"/>
        <v>4.2271874483301755</v>
      </c>
      <c r="C1217" s="40">
        <f>ATAN2('1.설계입력'!$C$6/('1.설계입력'!$C$8*'1.설계입력'!$C$15)-COS((1-'1.설계입력'!$C$15)*B1217),SIN((1-'1.설계입력'!$C$15)*B1217))</f>
        <v>-0.65684553750215913</v>
      </c>
      <c r="D1217" s="40">
        <f>'1.설계입력'!$C$6*COS(B1217)-'1.설계입력'!$C$7*COS(B1217+C1217)-'1.설계입력'!$C$8*COS('1.설계입력'!$C$15*B1217)</f>
        <v>-35.877830905293045</v>
      </c>
      <c r="E1217" s="40">
        <f>-'1.설계입력'!$C$6*SIN(B1217)+'1.설계입력'!$C$7*SIN(B1217+C1217)+'1.설계입력'!$C$8*SIN('1.설계입력'!$C$15*B1217)</f>
        <v>70.077826693974671</v>
      </c>
      <c r="F1217" s="40">
        <f>ATAN2(('1.설계입력'!$C$6+'1.설계입력'!$C$33)/('1.설계입력'!$C$8*'1.설계입력'!$C$15)-COS((1-'1.설계입력'!$C$15)*B1217),SIN((1-'1.설계입력'!$C$15)*B1217))</f>
        <v>-0.65686485424138485</v>
      </c>
      <c r="G1217" s="40">
        <f>('1.설계입력'!$C$6+'1.설계입력'!$C$33)*COS(B1217)-('1.설계입력'!$C$7+'1.설계입력'!$C$34)*COS(B1217+F1217)-'1.설계입력'!$C$8*COS('1.설계입력'!$C$15*B1217)</f>
        <v>-35.86898607973307</v>
      </c>
      <c r="H1217" s="40">
        <f>-('1.설계입력'!$C$6+'1.설계입력'!$C$33)*SIN(B1217)+('1.설계입력'!$C$7+'1.설계입력'!$C$34)*SIN(B1217+F1217)+'1.설계입력'!$C$8*SIN('1.설계입력'!$C$15*B1217)</f>
        <v>70.071787466700968</v>
      </c>
      <c r="I1217" s="40">
        <f t="shared" si="55"/>
        <v>78.728143281926506</v>
      </c>
      <c r="J1217" s="40">
        <f t="shared" si="56"/>
        <v>78.718737039961425</v>
      </c>
      <c r="K1217" s="38" t="str">
        <f>IF(OR(A1217&gt;180,'1.설계입력'!$C$39&gt;=1),"",'1.설계입력'!$C$34*(1-SIN(B1217)/SQRT(1+'1.설계입력'!$C$39^2-2*'1.설계입력'!$C$39*COS(B1217)))-'1.설계입력'!$C$33*(1-'1.설계입력'!$C$39*COS(B1217)-SQRT(MAX(0,1-'1.설계입력'!$C$39^2))*SIN(B1217))/SQRT(1+'1.설계입력'!$C$39^2-2*'1.설계입력'!$C$39*COS(B1217)))</f>
        <v/>
      </c>
    </row>
    <row r="1218" spans="1:11" x14ac:dyDescent="0.3">
      <c r="A1218" s="40">
        <f>A1217+'1.설계입력'!$C$12</f>
        <v>242.39999999999478</v>
      </c>
      <c r="B1218" s="40">
        <f t="shared" si="54"/>
        <v>4.2306781068341639</v>
      </c>
      <c r="C1218" s="40">
        <f>ATAN2('1.설계입력'!$C$6/('1.설계입력'!$C$8*'1.설계입력'!$C$15)-COS((1-'1.설계입력'!$C$15)*B1218),SIN((1-'1.설계입력'!$C$15)*B1218))</f>
        <v>-0.60950735154402014</v>
      </c>
      <c r="D1218" s="40">
        <f>'1.설계입력'!$C$6*COS(B1218)-'1.설계입력'!$C$7*COS(B1218+C1218)-'1.설계입력'!$C$8*COS('1.설계입력'!$C$15*B1218)</f>
        <v>-35.811834395573982</v>
      </c>
      <c r="E1218" s="40">
        <f>-'1.설계입력'!$C$6*SIN(B1218)+'1.설계입력'!$C$7*SIN(B1218+C1218)+'1.설계입력'!$C$8*SIN('1.설계입력'!$C$15*B1218)</f>
        <v>70.212968881117675</v>
      </c>
      <c r="F1218" s="40">
        <f>ATAN2(('1.설계입력'!$C$6+'1.설계입력'!$C$33)/('1.설계입력'!$C$8*'1.설계입력'!$C$15)-COS((1-'1.설계입력'!$C$15)*B1218),SIN((1-'1.설계입력'!$C$15)*B1218))</f>
        <v>-0.60952431735277413</v>
      </c>
      <c r="G1218" s="40">
        <f>('1.설계입력'!$C$6+'1.설계입력'!$C$33)*COS(B1218)-('1.설계입력'!$C$7+'1.설계입력'!$C$34)*COS(B1218+F1218)-'1.설계입력'!$C$8*COS('1.설계입력'!$C$15*B1218)</f>
        <v>-35.803180566230964</v>
      </c>
      <c r="H1218" s="40">
        <f>-('1.설계입력'!$C$6+'1.설계입력'!$C$33)*SIN(B1218)+('1.설계입력'!$C$7+'1.설계입력'!$C$34)*SIN(B1218+F1218)+'1.설계입력'!$C$8*SIN('1.설계입력'!$C$15*B1218)</f>
        <v>70.206544599975715</v>
      </c>
      <c r="I1218" s="40">
        <f t="shared" si="55"/>
        <v>78.818452673703348</v>
      </c>
      <c r="J1218" s="40">
        <f t="shared" si="56"/>
        <v>78.808798007116678</v>
      </c>
      <c r="K1218" s="38" t="str">
        <f>IF(OR(A1218&gt;180,'1.설계입력'!$C$39&gt;=1),"",'1.설계입력'!$C$34*(1-SIN(B1218)/SQRT(1+'1.설계입력'!$C$39^2-2*'1.설계입력'!$C$39*COS(B1218)))-'1.설계입력'!$C$33*(1-'1.설계입력'!$C$39*COS(B1218)-SQRT(MAX(0,1-'1.설계입력'!$C$39^2))*SIN(B1218))/SQRT(1+'1.설계입력'!$C$39^2-2*'1.설계입력'!$C$39*COS(B1218)))</f>
        <v/>
      </c>
    </row>
    <row r="1219" spans="1:11" x14ac:dyDescent="0.3">
      <c r="A1219" s="40">
        <f>A1218+'1.설계입력'!$C$12</f>
        <v>242.59999999999476</v>
      </c>
      <c r="B1219" s="40">
        <f t="shared" si="54"/>
        <v>4.2341687653381523</v>
      </c>
      <c r="C1219" s="40">
        <f>ATAN2('1.설계입력'!$C$6/('1.설계입력'!$C$8*'1.설계입력'!$C$15)-COS((1-'1.설계입력'!$C$15)*B1219),SIN((1-'1.설계입력'!$C$15)*B1219))</f>
        <v>-0.55977923114916484</v>
      </c>
      <c r="D1219" s="40">
        <f>'1.설계입력'!$C$6*COS(B1219)-'1.설계입력'!$C$7*COS(B1219+C1219)-'1.설계입력'!$C$8*COS('1.설계입력'!$C$15*B1219)</f>
        <v>-35.732715771011563</v>
      </c>
      <c r="E1219" s="40">
        <f>-'1.설계입력'!$C$6*SIN(B1219)+'1.설계입력'!$C$7*SIN(B1219+C1219)+'1.설계입력'!$C$8*SIN('1.설계입력'!$C$15*B1219)</f>
        <v>70.355627430896106</v>
      </c>
      <c r="F1219" s="40">
        <f>ATAN2(('1.설계입력'!$C$6+'1.설계입력'!$C$33)/('1.설계입력'!$C$8*'1.설계입력'!$C$15)-COS((1-'1.설계입력'!$C$15)*B1219),SIN((1-'1.설계입력'!$C$15)*B1219))</f>
        <v>-0.55979409263192759</v>
      </c>
      <c r="G1219" s="40">
        <f>('1.설계입력'!$C$6+'1.설계입력'!$C$33)*COS(B1219)-('1.설계입력'!$C$7+'1.설계입력'!$C$34)*COS(B1219+F1219)-'1.설계입력'!$C$8*COS('1.설계입력'!$C$15*B1219)</f>
        <v>-35.724281638450712</v>
      </c>
      <c r="H1219" s="40">
        <f>-('1.설계입력'!$C$6+'1.설계입력'!$C$33)*SIN(B1219)+('1.설계입력'!$C$7+'1.설계입력'!$C$34)*SIN(B1219+F1219)+'1.설계입력'!$C$8*SIN('1.설계입력'!$C$15*B1219)</f>
        <v>70.348812162550914</v>
      </c>
      <c r="I1219" s="40">
        <f t="shared" si="55"/>
        <v>78.909703380300186</v>
      </c>
      <c r="J1219" s="40">
        <f t="shared" si="56"/>
        <v>78.899807802460572</v>
      </c>
      <c r="K1219" s="38" t="str">
        <f>IF(OR(A1219&gt;180,'1.설계입력'!$C$39&gt;=1),"",'1.설계입력'!$C$34*(1-SIN(B1219)/SQRT(1+'1.설계입력'!$C$39^2-2*'1.설계입력'!$C$39*COS(B1219)))-'1.설계입력'!$C$33*(1-'1.설계입력'!$C$39*COS(B1219)-SQRT(MAX(0,1-'1.설계입력'!$C$39^2))*SIN(B1219))/SQRT(1+'1.설계입력'!$C$39^2-2*'1.설계입력'!$C$39*COS(B1219)))</f>
        <v/>
      </c>
    </row>
    <row r="1220" spans="1:11" x14ac:dyDescent="0.3">
      <c r="A1220" s="40">
        <f>A1219+'1.설계입력'!$C$12</f>
        <v>242.79999999999475</v>
      </c>
      <c r="B1220" s="40">
        <f t="shared" si="54"/>
        <v>4.2376594238421408</v>
      </c>
      <c r="C1220" s="40">
        <f>ATAN2('1.설계입력'!$C$6/('1.설계입력'!$C$8*'1.설계입력'!$C$15)-COS((1-'1.설계입력'!$C$15)*B1220),SIN((1-'1.설계입력'!$C$15)*B1220))</f>
        <v>-0.50818553785327769</v>
      </c>
      <c r="D1220" s="40">
        <f>'1.설계입력'!$C$6*COS(B1220)-'1.설계입력'!$C$7*COS(B1220+C1220)-'1.설계입력'!$C$8*COS('1.설계입력'!$C$15*B1220)</f>
        <v>-35.638961670694712</v>
      </c>
      <c r="E1220" s="40">
        <f>-'1.설계입력'!$C$6*SIN(B1220)+'1.설계입력'!$C$7*SIN(B1220+C1220)+'1.설계입력'!$C$8*SIN('1.설계입력'!$C$15*B1220)</f>
        <v>70.504986137477374</v>
      </c>
      <c r="F1220" s="40">
        <f>ATAN2(('1.설계입력'!$C$6+'1.설계입력'!$C$33)/('1.설계입력'!$C$8*'1.설계입력'!$C$15)-COS((1-'1.설계입력'!$C$15)*B1220),SIN((1-'1.설계입력'!$C$15)*B1220))</f>
        <v>-0.50819849194405353</v>
      </c>
      <c r="G1220" s="40">
        <f>('1.설계입력'!$C$6+'1.설계입력'!$C$33)*COS(B1220)-('1.설계입력'!$C$7+'1.설계입력'!$C$34)*COS(B1220+F1220)-'1.설계입력'!$C$8*COS('1.설계입력'!$C$15*B1220)</f>
        <v>-35.630775719230051</v>
      </c>
      <c r="H1220" s="40">
        <f>-('1.설계입력'!$C$6+'1.설계입력'!$C$33)*SIN(B1220)+('1.설계입력'!$C$7+'1.설계입력'!$C$34)*SIN(B1220+F1220)+'1.설계입력'!$C$8*SIN('1.설계입력'!$C$15*B1220)</f>
        <v>70.497779897965145</v>
      </c>
      <c r="I1220" s="40">
        <f t="shared" si="55"/>
        <v>79.000561132254774</v>
      </c>
      <c r="J1220" s="40">
        <f t="shared" si="56"/>
        <v>78.990437072445744</v>
      </c>
      <c r="K1220" s="38" t="str">
        <f>IF(OR(A1220&gt;180,'1.설계입력'!$C$39&gt;=1),"",'1.설계입력'!$C$34*(1-SIN(B1220)/SQRT(1+'1.설계입력'!$C$39^2-2*'1.설계입력'!$C$39*COS(B1220)))-'1.설계입력'!$C$33*(1-'1.설계입력'!$C$39*COS(B1220)-SQRT(MAX(0,1-'1.설계입력'!$C$39^2))*SIN(B1220))/SQRT(1+'1.설계입력'!$C$39^2-2*'1.설계입력'!$C$39*COS(B1220)))</f>
        <v/>
      </c>
    </row>
    <row r="1221" spans="1:11" x14ac:dyDescent="0.3">
      <c r="A1221" s="40">
        <f>A1220+'1.설계입력'!$C$12</f>
        <v>242.99999999999474</v>
      </c>
      <c r="B1221" s="40">
        <f t="shared" si="54"/>
        <v>4.2411500823461292</v>
      </c>
      <c r="C1221" s="40">
        <f>ATAN2('1.설계입력'!$C$6/('1.설계입력'!$C$8*'1.설계입력'!$C$15)-COS((1-'1.설계입력'!$C$15)*B1221),SIN((1-'1.설계입력'!$C$15)*B1221))</f>
        <v>-0.45512147353366167</v>
      </c>
      <c r="D1221" s="40">
        <f>'1.설계입력'!$C$6*COS(B1221)-'1.설계입력'!$C$7*COS(B1221+C1221)-'1.설계입력'!$C$8*COS('1.설계입력'!$C$15*B1221)</f>
        <v>-35.529466008053724</v>
      </c>
      <c r="E1221" s="40">
        <f>-'1.설계입력'!$C$6*SIN(B1221)+'1.설계입력'!$C$7*SIN(B1221+C1221)+'1.설계입력'!$C$8*SIN('1.설계입력'!$C$15*B1221)</f>
        <v>70.659544524024312</v>
      </c>
      <c r="F1221" s="40">
        <f>ATAN2(('1.설계입력'!$C$6+'1.설계입력'!$C$33)/('1.설계입력'!$C$8*'1.설계입력'!$C$15)-COS((1-'1.설계입력'!$C$15)*B1221),SIN((1-'1.설계입력'!$C$15)*B1221))</f>
        <v>-0.45513267818660103</v>
      </c>
      <c r="G1221" s="40">
        <f>('1.설계입력'!$C$6+'1.설계입력'!$C$33)*COS(B1221)-('1.설계입력'!$C$7+'1.설계입력'!$C$34)*COS(B1221+F1221)-'1.설계입력'!$C$8*COS('1.설계입력'!$C$15*B1221)</f>
        <v>-35.521556204693631</v>
      </c>
      <c r="H1221" s="40">
        <f>-('1.설계입력'!$C$6+'1.설계입력'!$C$33)*SIN(B1221)+('1.설계입력'!$C$7+'1.설계입력'!$C$34)*SIN(B1221+F1221)+'1.설계입력'!$C$8*SIN('1.설계입력'!$C$15*B1221)</f>
        <v>70.651952250560001</v>
      </c>
      <c r="I1221" s="40">
        <f t="shared" si="55"/>
        <v>79.089279849800249</v>
      </c>
      <c r="J1221" s="40">
        <f t="shared" si="56"/>
        <v>79.078943543895548</v>
      </c>
      <c r="K1221" s="38" t="str">
        <f>IF(OR(A1221&gt;180,'1.설계입력'!$C$39&gt;=1),"",'1.설계입력'!$C$34*(1-SIN(B1221)/SQRT(1+'1.설계입력'!$C$39^2-2*'1.설계입력'!$C$39*COS(B1221)))-'1.설계입력'!$C$33*(1-'1.설계입력'!$C$39*COS(B1221)-SQRT(MAX(0,1-'1.설계입력'!$C$39^2))*SIN(B1221))/SQRT(1+'1.설계입력'!$C$39^2-2*'1.설계입력'!$C$39*COS(B1221)))</f>
        <v/>
      </c>
    </row>
    <row r="1222" spans="1:11" x14ac:dyDescent="0.3">
      <c r="A1222" s="40">
        <f>A1221+'1.설계입력'!$C$12</f>
        <v>243.19999999999473</v>
      </c>
      <c r="B1222" s="40">
        <f t="shared" ref="B1222:B1285" si="57">RADIANS(A1222)</f>
        <v>4.2446407408501177</v>
      </c>
      <c r="C1222" s="40">
        <f>ATAN2('1.설계입력'!$C$6/('1.설계입력'!$C$8*'1.설계입력'!$C$15)-COS((1-'1.설계입력'!$C$15)*B1222),SIN((1-'1.설계입력'!$C$15)*B1222))</f>
        <v>-0.40089206957649232</v>
      </c>
      <c r="D1222" s="40">
        <f>'1.설계입력'!$C$6*COS(B1222)-'1.설계입력'!$C$7*COS(B1222+C1222)-'1.설계입력'!$C$8*COS('1.설계입력'!$C$15*B1222)</f>
        <v>-35.403554575715482</v>
      </c>
      <c r="E1222" s="40">
        <f>-'1.설계입력'!$C$6*SIN(B1222)+'1.설계입력'!$C$7*SIN(B1222+C1222)+'1.설계입력'!$C$8*SIN('1.설계입력'!$C$15*B1222)</f>
        <v>70.817335956716903</v>
      </c>
      <c r="F1222" s="40">
        <f>ATAN2(('1.설계입력'!$C$6+'1.설계입력'!$C$33)/('1.설계입력'!$C$8*'1.설계입력'!$C$15)-COS((1-'1.설계입력'!$C$15)*B1222),SIN((1-'1.설계입력'!$C$15)*B1222))</f>
        <v>-0.40090165169168596</v>
      </c>
      <c r="G1222" s="40">
        <f>('1.설계입력'!$C$6+'1.설계입력'!$C$33)*COS(B1222)-('1.설계입력'!$C$7+'1.설계입력'!$C$34)*COS(B1222+F1222)-'1.설계입력'!$C$8*COS('1.설계입력'!$C$15*B1222)</f>
        <v>-35.395948093457378</v>
      </c>
      <c r="H1222" s="40">
        <f>-('1.설계입력'!$C$6+'1.설계입력'!$C$33)*SIN(B1222)+('1.설계입력'!$C$7+'1.설계입력'!$C$34)*SIN(B1222+F1222)+'1.설계입력'!$C$8*SIN('1.설계입력'!$C$15*B1222)</f>
        <v>70.809366753837722</v>
      </c>
      <c r="I1222" s="40">
        <f t="shared" ref="I1222:I1285" si="58">SQRT(D1222^2+E1222^2)</f>
        <v>79.173901941246854</v>
      </c>
      <c r="J1222" s="40">
        <f t="shared" ref="J1222:J1285" si="59">SQRT(G1222^2+H1222^2)</f>
        <v>79.163372600680844</v>
      </c>
      <c r="K1222" s="38" t="str">
        <f>IF(OR(A1222&gt;180,'1.설계입력'!$C$39&gt;=1),"",'1.설계입력'!$C$34*(1-SIN(B1222)/SQRT(1+'1.설계입력'!$C$39^2-2*'1.설계입력'!$C$39*COS(B1222)))-'1.설계입력'!$C$33*(1-'1.설계입력'!$C$39*COS(B1222)-SQRT(MAX(0,1-'1.설계입력'!$C$39^2))*SIN(B1222))/SQRT(1+'1.설계입력'!$C$39^2-2*'1.설계입력'!$C$39*COS(B1222)))</f>
        <v/>
      </c>
    </row>
    <row r="1223" spans="1:11" x14ac:dyDescent="0.3">
      <c r="A1223" s="40">
        <f>A1222+'1.설계입력'!$C$12</f>
        <v>243.39999999999472</v>
      </c>
      <c r="B1223" s="40">
        <f t="shared" si="57"/>
        <v>4.2481313993541061</v>
      </c>
      <c r="C1223" s="40">
        <f>ATAN2('1.설계입력'!$C$6/('1.설계입력'!$C$8*'1.설계입력'!$C$15)-COS((1-'1.설계입력'!$C$15)*B1223),SIN((1-'1.설계입력'!$C$15)*B1223))</f>
        <v>-0.34573826681342612</v>
      </c>
      <c r="D1223" s="40">
        <f>'1.설계입력'!$C$6*COS(B1223)-'1.설계입력'!$C$7*COS(B1223+C1223)-'1.설계입력'!$C$8*COS('1.설계입력'!$C$15*B1223)</f>
        <v>-35.261000500859467</v>
      </c>
      <c r="E1223" s="40">
        <f>-'1.설계입력'!$C$6*SIN(B1223)+'1.설계입력'!$C$7*SIN(B1223+C1223)+'1.설계입력'!$C$8*SIN('1.설계입력'!$C$15*B1223)</f>
        <v>70.976097693348493</v>
      </c>
      <c r="F1223" s="40">
        <f>ATAN2(('1.설계입력'!$C$6+'1.설계입력'!$C$33)/('1.설계입력'!$C$8*'1.설계입력'!$C$15)-COS((1-'1.설계입력'!$C$15)*B1223),SIN((1-'1.설계입력'!$C$15)*B1223))</f>
        <v>-0.34574632813100675</v>
      </c>
      <c r="G1223" s="40">
        <f>('1.설계입력'!$C$6+'1.설계입력'!$C$33)*COS(B1223)-('1.설계입력'!$C$7+'1.설계입력'!$C$34)*COS(B1223+F1223)-'1.설계입력'!$C$8*COS('1.설계입력'!$C$15*B1223)</f>
        <v>-35.253723466676192</v>
      </c>
      <c r="H1223" s="40">
        <f>-('1.설계입력'!$C$6+'1.설계입력'!$C$33)*SIN(B1223)+('1.설계입력'!$C$7+'1.설계입력'!$C$34)*SIN(B1223+F1223)+'1.설계입력'!$C$8*SIN('1.설계입력'!$C$15*B1223)</f>
        <v>70.967764255674425</v>
      </c>
      <c r="I1223" s="40">
        <f t="shared" si="58"/>
        <v>79.252410689501176</v>
      </c>
      <c r="J1223" s="40">
        <f t="shared" si="59"/>
        <v>79.241709861119574</v>
      </c>
      <c r="K1223" s="38" t="str">
        <f>IF(OR(A1223&gt;180,'1.설계입력'!$C$39&gt;=1),"",'1.설계입력'!$C$34*(1-SIN(B1223)/SQRT(1+'1.설계입력'!$C$39^2-2*'1.설계입력'!$C$39*COS(B1223)))-'1.설계입력'!$C$33*(1-'1.설계입력'!$C$39*COS(B1223)-SQRT(MAX(0,1-'1.설계입력'!$C$39^2))*SIN(B1223))/SQRT(1+'1.설계입력'!$C$39^2-2*'1.설계입력'!$C$39*COS(B1223)))</f>
        <v/>
      </c>
    </row>
    <row r="1224" spans="1:11" x14ac:dyDescent="0.3">
      <c r="A1224" s="40">
        <f>A1223+'1.설계입력'!$C$12</f>
        <v>243.59999999999471</v>
      </c>
      <c r="B1224" s="40">
        <f t="shared" si="57"/>
        <v>4.2516220578580945</v>
      </c>
      <c r="C1224" s="40">
        <f>ATAN2('1.설계입력'!$C$6/('1.설계입력'!$C$8*'1.설계입력'!$C$15)-COS((1-'1.설계입력'!$C$15)*B1224),SIN((1-'1.설계입력'!$C$15)*B1224))</f>
        <v>-0.28985484957753832</v>
      </c>
      <c r="D1224" s="40">
        <f>'1.설계입력'!$C$6*COS(B1224)-'1.설계입력'!$C$7*COS(B1224+C1224)-'1.설계입력'!$C$8*COS('1.설계입력'!$C$15*B1224)</f>
        <v>-35.102028591794458</v>
      </c>
      <c r="E1224" s="40">
        <f>-'1.설계입력'!$C$6*SIN(B1224)+'1.설계입력'!$C$7*SIN(B1224+C1224)+'1.설계입력'!$C$8*SIN('1.설계입력'!$C$15*B1224)</f>
        <v>71.133409690239517</v>
      </c>
      <c r="F1224" s="40">
        <f>ATAN2(('1.설계입력'!$C$6+'1.설계입력'!$C$33)/('1.설계입력'!$C$8*'1.설계입력'!$C$15)-COS((1-'1.설계입력'!$C$15)*B1224),SIN((1-'1.설계입력'!$C$15)*B1224))</f>
        <v>-0.28986147107231203</v>
      </c>
      <c r="G1224" s="40">
        <f>('1.설계입력'!$C$6+'1.설계입력'!$C$33)*COS(B1224)-('1.설계입력'!$C$7+'1.설계입력'!$C$34)*COS(B1224+F1224)-'1.설계입력'!$C$8*COS('1.설계입력'!$C$15*B1224)</f>
        <v>-35.095105857378343</v>
      </c>
      <c r="H1224" s="40">
        <f>-('1.설계입력'!$C$6+'1.설계입력'!$C$33)*SIN(B1224)+('1.설계입력'!$C$7+'1.설계입력'!$C$34)*SIN(B1224+F1224)+'1.설계입력'!$C$8*SIN('1.설계입력'!$C$15*B1224)</f>
        <v>71.124727840628253</v>
      </c>
      <c r="I1224" s="40">
        <f t="shared" si="58"/>
        <v>79.322849075273496</v>
      </c>
      <c r="J1224" s="40">
        <f t="shared" si="59"/>
        <v>79.312000135818224</v>
      </c>
      <c r="K1224" s="38" t="str">
        <f>IF(OR(A1224&gt;180,'1.설계입력'!$C$39&gt;=1),"",'1.설계입력'!$C$34*(1-SIN(B1224)/SQRT(1+'1.설계입력'!$C$39^2-2*'1.설계입력'!$C$39*COS(B1224)))-'1.설계입력'!$C$33*(1-'1.설계입력'!$C$39*COS(B1224)-SQRT(MAX(0,1-'1.설계입력'!$C$39^2))*SIN(B1224))/SQRT(1+'1.설계입력'!$C$39^2-2*'1.설계입력'!$C$39*COS(B1224)))</f>
        <v/>
      </c>
    </row>
    <row r="1225" spans="1:11" x14ac:dyDescent="0.3">
      <c r="A1225" s="40">
        <f>A1224+'1.설계입력'!$C$12</f>
        <v>243.7999999999947</v>
      </c>
      <c r="B1225" s="40">
        <f t="shared" si="57"/>
        <v>4.255112716362083</v>
      </c>
      <c r="C1225" s="40">
        <f>ATAN2('1.설계입력'!$C$6/('1.설계입력'!$C$8*'1.설계입력'!$C$15)-COS((1-'1.설계입력'!$C$15)*B1225),SIN((1-'1.설계입력'!$C$15)*B1225))</f>
        <v>-0.23340311919174403</v>
      </c>
      <c r="D1225" s="40">
        <f>'1.설계입력'!$C$6*COS(B1225)-'1.설계입력'!$C$7*COS(B1225+C1225)-'1.설계입력'!$C$8*COS('1.설계입력'!$C$15*B1225)</f>
        <v>-34.927308045656105</v>
      </c>
      <c r="E1225" s="40">
        <f>-'1.설계입력'!$C$6*SIN(B1225)+'1.설계입력'!$C$7*SIN(B1225+C1225)+'1.설계입력'!$C$8*SIN('1.설계입력'!$C$15*B1225)</f>
        <v>71.286811672177834</v>
      </c>
      <c r="F1225" s="40">
        <f>ATAN2(('1.설계입력'!$C$6+'1.설계입력'!$C$33)/('1.설계입력'!$C$8*'1.설계입력'!$C$15)-COS((1-'1.설계입력'!$C$15)*B1225),SIN((1-'1.설계입력'!$C$15)*B1225))</f>
        <v>-0.23340836434792989</v>
      </c>
      <c r="G1225" s="40">
        <f>('1.설계입력'!$C$6+'1.설계입력'!$C$33)*COS(B1225)-('1.설계입력'!$C$7+'1.설계입력'!$C$34)*COS(B1225+F1225)-'1.설계입력'!$C$8*COS('1.설계입력'!$C$15*B1225)</f>
        <v>-34.920762978496903</v>
      </c>
      <c r="H1225" s="40">
        <f>-('1.설계입력'!$C$6+'1.설계입력'!$C$33)*SIN(B1225)+('1.설계입력'!$C$7+'1.설계입력'!$C$34)*SIN(B1225+F1225)+'1.설계입력'!$C$8*SIN('1.설계입력'!$C$15*B1225)</f>
        <v>71.277799975864951</v>
      </c>
      <c r="I1225" s="40">
        <f t="shared" si="58"/>
        <v>79.383413668729958</v>
      </c>
      <c r="J1225" s="40">
        <f t="shared" si="59"/>
        <v>79.372441416399511</v>
      </c>
      <c r="K1225" s="38" t="str">
        <f>IF(OR(A1225&gt;180,'1.설계입력'!$C$39&gt;=1),"",'1.설계입력'!$C$34*(1-SIN(B1225)/SQRT(1+'1.설계입력'!$C$39^2-2*'1.설계입력'!$C$39*COS(B1225)))-'1.설계입력'!$C$33*(1-'1.설계입력'!$C$39*COS(B1225)-SQRT(MAX(0,1-'1.설계입력'!$C$39^2))*SIN(B1225))/SQRT(1+'1.설계입력'!$C$39^2-2*'1.설계입력'!$C$39*COS(B1225)))</f>
        <v/>
      </c>
    </row>
    <row r="1226" spans="1:11" x14ac:dyDescent="0.3">
      <c r="A1226" s="40">
        <f>A1225+'1.설계입력'!$C$12</f>
        <v>243.99999999999469</v>
      </c>
      <c r="B1226" s="40">
        <f t="shared" si="57"/>
        <v>4.2586033748660714</v>
      </c>
      <c r="C1226" s="40">
        <f>ATAN2('1.설계입력'!$C$6/('1.설계입력'!$C$8*'1.설계입력'!$C$15)-COS((1-'1.설계입력'!$C$15)*B1226),SIN((1-'1.설계입력'!$C$15)*B1226))</f>
        <v>-0.17652010855346642</v>
      </c>
      <c r="D1226" s="40">
        <f>'1.설계입력'!$C$6*COS(B1226)-'1.설계입력'!$C$7*COS(B1226+C1226)-'1.설계입력'!$C$8*COS('1.설계입력'!$C$15*B1226)</f>
        <v>-34.73793367824409</v>
      </c>
      <c r="E1226" s="40">
        <f>-'1.설계입력'!$C$6*SIN(B1226)+'1.설계입력'!$C$7*SIN(B1226+C1226)+'1.설계입력'!$C$8*SIN('1.설계입력'!$C$15*B1226)</f>
        <v>71.433903768204303</v>
      </c>
      <c r="F1226" s="40">
        <f>ATAN2(('1.설계입력'!$C$6+'1.설계입력'!$C$33)/('1.설계입력'!$C$8*'1.설계입력'!$C$15)-COS((1-'1.설계입력'!$C$15)*B1226),SIN((1-'1.설계입력'!$C$15)*B1226))</f>
        <v>-0.17652402578805215</v>
      </c>
      <c r="G1226" s="40">
        <f>('1.설계입력'!$C$6+'1.설계입력'!$C$33)*COS(B1226)-('1.설계입력'!$C$7+'1.설계입력'!$C$34)*COS(B1226+F1226)-'1.설계입력'!$C$8*COS('1.설계입력'!$C$15*B1226)</f>
        <v>-34.731787970742133</v>
      </c>
      <c r="H1226" s="40">
        <f>-('1.설계입력'!$C$6+'1.설계입력'!$C$33)*SIN(B1226)+('1.설계입력'!$C$7+'1.설계입력'!$C$34)*SIN(B1226+F1226)+'1.설계입력'!$C$8*SIN('1.설계입력'!$C$15*B1226)</f>
        <v>71.424583196908102</v>
      </c>
      <c r="I1226" s="40">
        <f t="shared" si="58"/>
        <v>79.432528877023415</v>
      </c>
      <c r="J1226" s="40">
        <f t="shared" si="59"/>
        <v>79.42145919395233</v>
      </c>
      <c r="K1226" s="38" t="str">
        <f>IF(OR(A1226&gt;180,'1.설계입력'!$C$39&gt;=1),"",'1.설계입력'!$C$34*(1-SIN(B1226)/SQRT(1+'1.설계입력'!$C$39^2-2*'1.설계입력'!$C$39*COS(B1226)))-'1.설계입력'!$C$33*(1-'1.설계입력'!$C$39*COS(B1226)-SQRT(MAX(0,1-'1.설계입력'!$C$39^2))*SIN(B1226))/SQRT(1+'1.설계입력'!$C$39^2-2*'1.설계입력'!$C$39*COS(B1226)))</f>
        <v/>
      </c>
    </row>
    <row r="1227" spans="1:11" x14ac:dyDescent="0.3">
      <c r="A1227" s="40">
        <f>A1226+'1.설계입력'!$C$12</f>
        <v>244.19999999999467</v>
      </c>
      <c r="B1227" s="40">
        <f t="shared" si="57"/>
        <v>4.2620940333700599</v>
      </c>
      <c r="C1227" s="40">
        <f>ATAN2('1.설계입력'!$C$6/('1.설계입력'!$C$8*'1.설계입력'!$C$15)-COS((1-'1.설계입력'!$C$15)*B1227),SIN((1-'1.설계입력'!$C$15)*B1227))</f>
        <v>-0.11932549771196868</v>
      </c>
      <c r="D1227" s="40">
        <f>'1.설계입력'!$C$6*COS(B1227)-'1.설계입력'!$C$7*COS(B1227+C1227)-'1.설계입력'!$C$8*COS('1.설계입력'!$C$15*B1227)</f>
        <v>-34.535396210413943</v>
      </c>
      <c r="E1227" s="40">
        <f>-'1.설계입력'!$C$6*SIN(B1227)+'1.설계입력'!$C$7*SIN(B1227+C1227)+'1.설계입력'!$C$8*SIN('1.설계입력'!$C$15*B1227)</f>
        <v>71.57243355437258</v>
      </c>
      <c r="F1227" s="40">
        <f>ATAN2(('1.설계입력'!$C$6+'1.설계입력'!$C$33)/('1.설계입력'!$C$8*'1.설계입력'!$C$15)-COS((1-'1.설계입력'!$C$15)*B1227),SIN((1-'1.설계입력'!$C$15)*B1227))</f>
        <v>-0.11932812213521647</v>
      </c>
      <c r="G1227" s="40">
        <f>('1.설계입력'!$C$6+'1.설계입력'!$C$33)*COS(B1227)-('1.설계입력'!$C$7+'1.설계입력'!$C$34)*COS(B1227+F1227)-'1.설계입력'!$C$8*COS('1.설계입력'!$C$15*B1227)</f>
        <v>-34.529669705003009</v>
      </c>
      <c r="H1227" s="40">
        <f>-('1.설계입력'!$C$6+'1.설계입력'!$C$33)*SIN(B1227)+('1.설계입력'!$C$7+'1.설계입력'!$C$34)*SIN(B1227+F1227)+'1.설계입력'!$C$8*SIN('1.설계입력'!$C$15*B1227)</f>
        <v>71.562827182743007</v>
      </c>
      <c r="I1227" s="40">
        <f t="shared" si="58"/>
        <v>79.468904838970516</v>
      </c>
      <c r="J1227" s="40">
        <f t="shared" si="59"/>
        <v>79.457764405523918</v>
      </c>
      <c r="K1227" s="38" t="str">
        <f>IF(OR(A1227&gt;180,'1.설계입력'!$C$39&gt;=1),"",'1.설계입력'!$C$34*(1-SIN(B1227)/SQRT(1+'1.설계입력'!$C$39^2-2*'1.설계입력'!$C$39*COS(B1227)))-'1.설계입력'!$C$33*(1-'1.설계입력'!$C$39*COS(B1227)-SQRT(MAX(0,1-'1.설계입력'!$C$39^2))*SIN(B1227))/SQRT(1+'1.설계입력'!$C$39^2-2*'1.설계입력'!$C$39*COS(B1227)))</f>
        <v/>
      </c>
    </row>
    <row r="1228" spans="1:11" x14ac:dyDescent="0.3">
      <c r="A1228" s="40">
        <f>A1227+'1.설계입력'!$C$12</f>
        <v>244.39999999999466</v>
      </c>
      <c r="B1228" s="40">
        <f t="shared" si="57"/>
        <v>4.2655846918740483</v>
      </c>
      <c r="C1228" s="40">
        <f>ATAN2('1.설계입력'!$C$6/('1.설계입력'!$C$8*'1.설계입력'!$C$15)-COS((1-'1.설계입력'!$C$15)*B1228),SIN((1-'1.설계입력'!$C$15)*B1228))</f>
        <v>-6.1927002474012068E-2</v>
      </c>
      <c r="D1228" s="40">
        <f>'1.설계입력'!$C$6*COS(B1228)-'1.설계입력'!$C$7*COS(B1228+C1228)-'1.설계입력'!$C$8*COS('1.설계입력'!$C$15*B1228)</f>
        <v>-34.321542375122192</v>
      </c>
      <c r="E1228" s="40">
        <f>-'1.설계입력'!$C$6*SIN(B1228)+'1.설계입력'!$C$7*SIN(B1228+C1228)+'1.설계입력'!$C$8*SIN('1.설계입력'!$C$15*B1228)</f>
        <v>71.700370884208368</v>
      </c>
      <c r="F1228" s="40">
        <f>ATAN2(('1.설계입력'!$C$6+'1.설계입력'!$C$33)/('1.설계입력'!$C$8*'1.설계입력'!$C$15)-COS((1-'1.설계입력'!$C$15)*B1228),SIN((1-'1.설계입력'!$C$15)*B1228))</f>
        <v>-6.1928357117606213E-2</v>
      </c>
      <c r="G1228" s="40">
        <f>('1.설계입력'!$C$6+'1.설계입력'!$C$33)*COS(B1228)-('1.설계입력'!$C$7+'1.설계입력'!$C$34)*COS(B1228+F1228)-'1.설계입력'!$C$8*COS('1.설계입력'!$C$15*B1228)</f>
        <v>-34.316252903613112</v>
      </c>
      <c r="H1228" s="40">
        <f>-('1.설계입력'!$C$6+'1.설계입력'!$C$33)*SIN(B1228)+('1.설계입력'!$C$7+'1.설계입력'!$C$34)*SIN(B1228+F1228)+'1.설계입력'!$C$8*SIN('1.설계입력'!$C$15*B1228)</f>
        <v>71.690503606351299</v>
      </c>
      <c r="I1228" s="40">
        <f t="shared" si="58"/>
        <v>79.491581038122163</v>
      </c>
      <c r="J1228" s="40">
        <f t="shared" si="59"/>
        <v>79.480397084293713</v>
      </c>
      <c r="K1228" s="38" t="str">
        <f>IF(OR(A1228&gt;180,'1.설계입력'!$C$39&gt;=1),"",'1.설계입력'!$C$34*(1-SIN(B1228)/SQRT(1+'1.설계입력'!$C$39^2-2*'1.설계입력'!$C$39*COS(B1228)))-'1.설계입력'!$C$33*(1-'1.설계입력'!$C$39*COS(B1228)-SQRT(MAX(0,1-'1.설계입력'!$C$39^2))*SIN(B1228))/SQRT(1+'1.설계입력'!$C$39^2-2*'1.설계입력'!$C$39*COS(B1228)))</f>
        <v/>
      </c>
    </row>
    <row r="1229" spans="1:11" x14ac:dyDescent="0.3">
      <c r="A1229" s="40">
        <f>A1228+'1.설계입력'!$C$12</f>
        <v>244.59999999999465</v>
      </c>
      <c r="B1229" s="40">
        <f t="shared" si="57"/>
        <v>4.2690753503780368</v>
      </c>
      <c r="C1229" s="40">
        <f>ATAN2('1.설계입력'!$C$6/('1.설계입력'!$C$8*'1.설계입력'!$C$15)-COS((1-'1.설계입력'!$C$15)*B1229),SIN((1-'1.설계입력'!$C$15)*B1229))</f>
        <v>-4.4247711514843729E-3</v>
      </c>
      <c r="D1229" s="40">
        <f>'1.설계입력'!$C$6*COS(B1229)-'1.설계입력'!$C$7*COS(B1229+C1229)-'1.설계입력'!$C$8*COS('1.설계입력'!$C$15*B1229)</f>
        <v>-34.098525765906928</v>
      </c>
      <c r="E1229" s="40">
        <f>-'1.설계입력'!$C$6*SIN(B1229)+'1.설계입력'!$C$7*SIN(B1229+C1229)+'1.설계입력'!$C$8*SIN('1.설계입력'!$C$15*B1229)</f>
        <v>71.815971019247115</v>
      </c>
      <c r="F1229" s="40">
        <f>ATAN2(('1.설계입력'!$C$6+'1.설계입력'!$C$33)/('1.설계입력'!$C$8*'1.설계입력'!$C$15)-COS((1-'1.설계입력'!$C$15)*B1229),SIN((1-'1.설계입력'!$C$15)*B1229))</f>
        <v>-4.4248677516870996E-3</v>
      </c>
      <c r="G1229" s="40">
        <f>('1.설계입력'!$C$6+'1.설계입력'!$C$33)*COS(B1229)-('1.설계입력'!$C$7+'1.설계입력'!$C$34)*COS(B1229+F1229)-'1.설계입력'!$C$8*COS('1.설계입력'!$C$15*B1229)</f>
        <v>-34.093689001391319</v>
      </c>
      <c r="H1229" s="40">
        <f>-('1.설계입력'!$C$6+'1.설계입력'!$C$33)*SIN(B1229)+('1.설계입력'!$C$7+'1.설계입력'!$C$34)*SIN(B1229+F1229)+'1.설계입력'!$C$8*SIN('1.설계입력'!$C$15*B1229)</f>
        <v>71.805869276480124</v>
      </c>
      <c r="I1229" s="40">
        <f t="shared" si="58"/>
        <v>79.499956936123937</v>
      </c>
      <c r="J1229" s="40">
        <f t="shared" si="59"/>
        <v>79.488757018049682</v>
      </c>
      <c r="K1229" s="38" t="str">
        <f>IF(OR(A1229&gt;180,'1.설계입력'!$C$39&gt;=1),"",'1.설계입력'!$C$34*(1-SIN(B1229)/SQRT(1+'1.설계입력'!$C$39^2-2*'1.설계입력'!$C$39*COS(B1229)))-'1.설계입력'!$C$33*(1-'1.설계입력'!$C$39*COS(B1229)-SQRT(MAX(0,1-'1.설계입력'!$C$39^2))*SIN(B1229))/SQRT(1+'1.설계입력'!$C$39^2-2*'1.설계입력'!$C$39*COS(B1229)))</f>
        <v/>
      </c>
    </row>
    <row r="1230" spans="1:11" x14ac:dyDescent="0.3">
      <c r="A1230" s="40">
        <f>A1229+'1.설계입력'!$C$12</f>
        <v>244.79999999999464</v>
      </c>
      <c r="B1230" s="40">
        <f t="shared" si="57"/>
        <v>4.2725660088820252</v>
      </c>
      <c r="C1230" s="40">
        <f>ATAN2('1.설계입력'!$C$6/('1.설계입력'!$C$8*'1.설계입력'!$C$15)-COS((1-'1.설계입력'!$C$15)*B1230),SIN((1-'1.설계입력'!$C$15)*B1230))</f>
        <v>5.308481893930185E-2</v>
      </c>
      <c r="D1230" s="40">
        <f>'1.설계입력'!$C$6*COS(B1230)-'1.설계입력'!$C$7*COS(B1230+C1230)-'1.설계입력'!$C$8*COS('1.설계입력'!$C$15*B1230)</f>
        <v>-33.868749457138058</v>
      </c>
      <c r="E1230" s="40">
        <f>-'1.설계입력'!$C$6*SIN(B1230)+'1.설계입력'!$C$7*SIN(B1230+C1230)+'1.설계입력'!$C$8*SIN('1.설계입력'!$C$15*B1230)</f>
        <v>71.917826060986599</v>
      </c>
      <c r="F1230" s="40">
        <f>ATAN2(('1.설계입력'!$C$6+'1.설계입력'!$C$33)/('1.설계입력'!$C$8*'1.설계입력'!$C$15)-COS((1-'1.설계입력'!$C$15)*B1230),SIN((1-'1.설계입력'!$C$15)*B1230))</f>
        <v>5.3085979549495253E-2</v>
      </c>
      <c r="G1230" s="40">
        <f>('1.설계입력'!$C$6+'1.설계입력'!$C$33)*COS(B1230)-('1.설계입력'!$C$7+'1.설계입력'!$C$34)*COS(B1230+F1230)-'1.설계입력'!$C$8*COS('1.설계입력'!$C$15*B1230)</f>
        <v>-33.864378776777578</v>
      </c>
      <c r="H1230" s="40">
        <f>-('1.설계입력'!$C$6+'1.설계입력'!$C$33)*SIN(B1230)+('1.설계입력'!$C$7+'1.설계입력'!$C$34)*SIN(B1230+F1230)+'1.설계입력'!$C$8*SIN('1.설계입력'!$C$15*B1230)</f>
        <v>71.907517574136975</v>
      </c>
      <c r="I1230" s="40">
        <f t="shared" si="58"/>
        <v>79.493810420237821</v>
      </c>
      <c r="J1230" s="40">
        <f t="shared" si="59"/>
        <v>79.482622211473881</v>
      </c>
      <c r="K1230" s="38" t="str">
        <f>IF(OR(A1230&gt;180,'1.설계입력'!$C$39&gt;=1),"",'1.설계입력'!$C$34*(1-SIN(B1230)/SQRT(1+'1.설계입력'!$C$39^2-2*'1.설계입력'!$C$39*COS(B1230)))-'1.설계입력'!$C$33*(1-'1.설계입력'!$C$39*COS(B1230)-SQRT(MAX(0,1-'1.설계입력'!$C$39^2))*SIN(B1230))/SQRT(1+'1.설계입력'!$C$39^2-2*'1.설계입력'!$C$39*COS(B1230)))</f>
        <v/>
      </c>
    </row>
    <row r="1231" spans="1:11" x14ac:dyDescent="0.3">
      <c r="A1231" s="40">
        <f>A1230+'1.설계입력'!$C$12</f>
        <v>244.99999999999463</v>
      </c>
      <c r="B1231" s="40">
        <f t="shared" si="57"/>
        <v>4.2760566673860136</v>
      </c>
      <c r="C1231" s="40">
        <f>ATAN2('1.설계입력'!$C$6/('1.설계입력'!$C$8*'1.설계입력'!$C$15)-COS((1-'1.설계입력'!$C$15)*B1231),SIN((1-'1.설계입력'!$C$15)*B1231))</f>
        <v>0.11050565595265548</v>
      </c>
      <c r="D1231" s="40">
        <f>'1.설계입력'!$C$6*COS(B1231)-'1.설계입력'!$C$7*COS(B1231+C1231)-'1.설계입력'!$C$8*COS('1.설계입력'!$C$15*B1231)</f>
        <v>-33.634801493985385</v>
      </c>
      <c r="E1231" s="40">
        <f>-'1.설계입력'!$C$6*SIN(B1231)+'1.설계입력'!$C$7*SIN(B1231+C1231)+'1.설계입력'!$C$8*SIN('1.설계입력'!$C$15*B1231)</f>
        <v>72.004904391347281</v>
      </c>
      <c r="F1231" s="40">
        <f>ATAN2(('1.설계입력'!$C$6+'1.설계입력'!$C$33)/('1.설계입력'!$C$8*'1.설계입력'!$C$15)-COS((1-'1.설계입력'!$C$15)*B1231),SIN((1-'1.설계입력'!$C$15)*B1231))</f>
        <v>0.11050808381586134</v>
      </c>
      <c r="G1231" s="40">
        <f>('1.설계입력'!$C$6+'1.설계입력'!$C$33)*COS(B1231)-('1.설계입력'!$C$7+'1.설계입력'!$C$34)*COS(B1231+F1231)-'1.설계입력'!$C$8*COS('1.설계입력'!$C$15*B1231)</f>
        <v>-33.630907850831115</v>
      </c>
      <c r="H1231" s="40">
        <f>-('1.설계입력'!$C$6+'1.설계입력'!$C$33)*SIN(B1231)+('1.설계입력'!$C$7+'1.설계입력'!$C$34)*SIN(B1231+F1231)+'1.설계입력'!$C$8*SIN('1.설계입력'!$C$15*B1231)</f>
        <v>71.994417892170176</v>
      </c>
      <c r="I1231" s="40">
        <f t="shared" si="58"/>
        <v>79.473304498723749</v>
      </c>
      <c r="J1231" s="40">
        <f t="shared" si="59"/>
        <v>79.46215558681709</v>
      </c>
      <c r="K1231" s="38" t="str">
        <f>IF(OR(A1231&gt;180,'1.설계입력'!$C$39&gt;=1),"",'1.설계입력'!$C$34*(1-SIN(B1231)/SQRT(1+'1.설계입력'!$C$39^2-2*'1.설계입력'!$C$39*COS(B1231)))-'1.설계입력'!$C$33*(1-'1.설계입력'!$C$39*COS(B1231)-SQRT(MAX(0,1-'1.설계입력'!$C$39^2))*SIN(B1231))/SQRT(1+'1.설계입력'!$C$39^2-2*'1.설계입력'!$C$39*COS(B1231)))</f>
        <v/>
      </c>
    </row>
    <row r="1232" spans="1:11" x14ac:dyDescent="0.3">
      <c r="A1232" s="40">
        <f>A1231+'1.설계입력'!$C$12</f>
        <v>245.19999999999462</v>
      </c>
      <c r="B1232" s="40">
        <f t="shared" si="57"/>
        <v>4.2795473258900021</v>
      </c>
      <c r="C1232" s="40">
        <f>ATAN2('1.설계입력'!$C$6/('1.설계입력'!$C$8*'1.설계입력'!$C$15)-COS((1-'1.설계입력'!$C$15)*B1232),SIN((1-'1.설계입력'!$C$15)*B1232))</f>
        <v>0.16773840826442235</v>
      </c>
      <c r="D1232" s="40">
        <f>'1.설계입력'!$C$6*COS(B1232)-'1.설계입력'!$C$7*COS(B1232+C1232)-'1.설계입력'!$C$8*COS('1.설계입력'!$C$15*B1232)</f>
        <v>-33.399384369989043</v>
      </c>
      <c r="E1232" s="40">
        <f>-'1.설계입력'!$C$6*SIN(B1232)+'1.설계입력'!$C$7*SIN(B1232+C1232)+'1.설계입력'!$C$8*SIN('1.설계입력'!$C$15*B1232)</f>
        <v>72.076577661851985</v>
      </c>
      <c r="F1232" s="40">
        <f>ATAN2(('1.설계입력'!$C$6+'1.설계입력'!$C$33)/('1.설계입력'!$C$8*'1.설계입력'!$C$15)-COS((1-'1.설계입력'!$C$15)*B1232),SIN((1-'1.설계입력'!$C$15)*B1232))</f>
        <v>0.1677421246338581</v>
      </c>
      <c r="G1232" s="40">
        <f>('1.설계입력'!$C$6+'1.설계입력'!$C$33)*COS(B1232)-('1.설계입력'!$C$7+'1.설계입력'!$C$34)*COS(B1232+F1232)-'1.설계입력'!$C$8*COS('1.설계입력'!$C$15*B1232)</f>
        <v>-33.395976171588501</v>
      </c>
      <c r="H1232" s="40">
        <f>-('1.설계입력'!$C$6+'1.설계입력'!$C$33)*SIN(B1232)+('1.설계입력'!$C$7+'1.설계입력'!$C$34)*SIN(B1232+F1232)+'1.설계입력'!$C$8*SIN('1.설계입력'!$C$15*B1232)</f>
        <v>72.065942618738291</v>
      </c>
      <c r="I1232" s="40">
        <f t="shared" si="58"/>
        <v>79.438982393653873</v>
      </c>
      <c r="J1232" s="40">
        <f t="shared" si="59"/>
        <v>79.427900072837048</v>
      </c>
      <c r="K1232" s="38" t="str">
        <f>IF(OR(A1232&gt;180,'1.설계입력'!$C$39&gt;=1),"",'1.설계입력'!$C$34*(1-SIN(B1232)/SQRT(1+'1.설계입력'!$C$39^2-2*'1.설계입력'!$C$39*COS(B1232)))-'1.설계입력'!$C$33*(1-'1.설계입력'!$C$39*COS(B1232)-SQRT(MAX(0,1-'1.설계입력'!$C$39^2))*SIN(B1232))/SQRT(1+'1.설계입력'!$C$39^2-2*'1.설계입력'!$C$39*COS(B1232)))</f>
        <v/>
      </c>
    </row>
    <row r="1233" spans="1:11" x14ac:dyDescent="0.3">
      <c r="A1233" s="40">
        <f>A1232+'1.설계입력'!$C$12</f>
        <v>245.39999999999461</v>
      </c>
      <c r="B1233" s="40">
        <f t="shared" si="57"/>
        <v>4.2830379843939905</v>
      </c>
      <c r="C1233" s="40">
        <f>ATAN2('1.설계입력'!$C$6/('1.설계입력'!$C$8*'1.설계입력'!$C$15)-COS((1-'1.설계입력'!$C$15)*B1233),SIN((1-'1.설계입력'!$C$15)*B1233))</f>
        <v>0.22467679145499767</v>
      </c>
      <c r="D1233" s="40">
        <f>'1.설계입력'!$C$6*COS(B1233)-'1.설계입력'!$C$7*COS(B1233+C1233)-'1.설계입력'!$C$8*COS('1.설계입력'!$C$15*B1233)</f>
        <v>-33.165239568548806</v>
      </c>
      <c r="E1233" s="40">
        <f>-'1.설계입력'!$C$6*SIN(B1233)+'1.설계입력'!$C$7*SIN(B1233+C1233)+'1.설계입력'!$C$8*SIN('1.설계입력'!$C$15*B1233)</f>
        <v>72.132634769646884</v>
      </c>
      <c r="F1233" s="40">
        <f>ATAN2(('1.설계입력'!$C$6+'1.설계입력'!$C$33)/('1.설계입력'!$C$8*'1.설계입력'!$C$15)-COS((1-'1.설계입력'!$C$15)*B1233),SIN((1-'1.설계입력'!$C$15)*B1233))</f>
        <v>0.22468182951470911</v>
      </c>
      <c r="G1233" s="40">
        <f>('1.설계입력'!$C$6+'1.설계입력'!$C$33)*COS(B1233)-('1.설계입력'!$C$7+'1.설계입력'!$C$34)*COS(B1233+F1233)-'1.설계입력'!$C$8*COS('1.설계입력'!$C$15*B1233)</f>
        <v>-33.162322559444533</v>
      </c>
      <c r="H1233" s="40">
        <f>-('1.설계입력'!$C$6+'1.설계입력'!$C$33)*SIN(B1233)+('1.설계입력'!$C$7+'1.설계입력'!$C$34)*SIN(B1233+F1233)+'1.설계입력'!$C$8*SIN('1.설계입력'!$C$15*B1233)</f>
        <v>72.12188110280276</v>
      </c>
      <c r="I1233" s="40">
        <f t="shared" si="58"/>
        <v>79.391750921934616</v>
      </c>
      <c r="J1233" s="40">
        <f t="shared" si="59"/>
        <v>79.380761972555177</v>
      </c>
      <c r="K1233" s="38" t="str">
        <f>IF(OR(A1233&gt;180,'1.설계입력'!$C$39&gt;=1),"",'1.설계입력'!$C$34*(1-SIN(B1233)/SQRT(1+'1.설계입력'!$C$39^2-2*'1.설계입력'!$C$39*COS(B1233)))-'1.설계입력'!$C$33*(1-'1.설계입력'!$C$39*COS(B1233)-SQRT(MAX(0,1-'1.설계입력'!$C$39^2))*SIN(B1233))/SQRT(1+'1.설계입력'!$C$39^2-2*'1.설계입력'!$C$39*COS(B1233)))</f>
        <v/>
      </c>
    </row>
    <row r="1234" spans="1:11" x14ac:dyDescent="0.3">
      <c r="A1234" s="40">
        <f>A1233+'1.설계입력'!$C$12</f>
        <v>245.59999999999459</v>
      </c>
      <c r="B1234" s="40">
        <f t="shared" si="57"/>
        <v>4.286528642897979</v>
      </c>
      <c r="C1234" s="40">
        <f>ATAN2('1.설계입력'!$C$6/('1.설계입력'!$C$8*'1.설계입력'!$C$15)-COS((1-'1.설계입력'!$C$15)*B1234),SIN((1-'1.설계입력'!$C$15)*B1234))</f>
        <v>0.28120328674319051</v>
      </c>
      <c r="D1234" s="40">
        <f>'1.설계입력'!$C$6*COS(B1234)-'1.설계입력'!$C$7*COS(B1234+C1234)-'1.설계입력'!$C$8*COS('1.설계입력'!$C$15*B1234)</f>
        <v>-32.935068118604306</v>
      </c>
      <c r="E1234" s="40">
        <f>-'1.설계입력'!$C$6*SIN(B1234)+'1.설계입력'!$C$7*SIN(B1234+C1234)+'1.설계입력'!$C$8*SIN('1.설계입력'!$C$15*B1234)</f>
        <v>72.17328217050752</v>
      </c>
      <c r="F1234" s="40">
        <f>ATAN2(('1.설계입력'!$C$6+'1.설계입력'!$C$33)/('1.설계입력'!$C$8*'1.설계입력'!$C$15)-COS((1-'1.설계입력'!$C$15)*B1234),SIN((1-'1.설계입력'!$C$15)*B1234))</f>
        <v>0.28120969276297897</v>
      </c>
      <c r="G1234" s="40">
        <f>('1.설계입력'!$C$6+'1.설계입력'!$C$33)*COS(B1234)-('1.설계입력'!$C$7+'1.설계입력'!$C$34)*COS(B1234+F1234)-'1.설계입력'!$C$8*COS('1.설계입력'!$C$15*B1234)</f>
        <v>-32.932645262802104</v>
      </c>
      <c r="H1234" s="40">
        <f>-('1.설계입력'!$C$6+'1.설계입력'!$C$33)*SIN(B1234)+('1.설계입력'!$C$7+'1.설계입력'!$C$34)*SIN(B1234+F1234)+'1.설계입력'!$C$8*SIN('1.설계입력'!$C$15*B1234)</f>
        <v>72.162439951220634</v>
      </c>
      <c r="I1234" s="40">
        <f t="shared" si="58"/>
        <v>79.332851778067351</v>
      </c>
      <c r="J1234" s="40">
        <f t="shared" si="59"/>
        <v>79.321982222578669</v>
      </c>
      <c r="K1234" s="38" t="str">
        <f>IF(OR(A1234&gt;180,'1.설계입력'!$C$39&gt;=1),"",'1.설계입력'!$C$34*(1-SIN(B1234)/SQRT(1+'1.설계입력'!$C$39^2-2*'1.설계입력'!$C$39*COS(B1234)))-'1.설계입력'!$C$33*(1-'1.설계입력'!$C$39*COS(B1234)-SQRT(MAX(0,1-'1.설계입력'!$C$39^2))*SIN(B1234))/SQRT(1+'1.설계입력'!$C$39^2-2*'1.설계입력'!$C$39*COS(B1234)))</f>
        <v/>
      </c>
    </row>
    <row r="1235" spans="1:11" x14ac:dyDescent="0.3">
      <c r="A1235" s="40">
        <f>A1234+'1.설계입력'!$C$12</f>
        <v>245.79999999999458</v>
      </c>
      <c r="B1235" s="40">
        <f t="shared" si="57"/>
        <v>4.2900193014019674</v>
      </c>
      <c r="C1235" s="40">
        <f>ATAN2('1.설계입력'!$C$6/('1.설계입력'!$C$8*'1.설계입력'!$C$15)-COS((1-'1.설계입력'!$C$15)*B1235),SIN((1-'1.설계입력'!$C$15)*B1235))</f>
        <v>0.33718393533756219</v>
      </c>
      <c r="D1235" s="40">
        <f>'1.설계입력'!$C$6*COS(B1235)-'1.설계입력'!$C$7*COS(B1235+C1235)-'1.설계입력'!$C$8*COS('1.설계입력'!$C$15*B1235)</f>
        <v>-32.711447867349513</v>
      </c>
      <c r="E1235" s="40">
        <f>-'1.설계입력'!$C$6*SIN(B1235)+'1.설계입력'!$C$7*SIN(B1235+C1235)+'1.설계입력'!$C$8*SIN('1.설계입력'!$C$15*B1235)</f>
        <v>72.19912975553855</v>
      </c>
      <c r="F1235" s="40">
        <f>ATAN2(('1.설계입력'!$C$6+'1.설계입력'!$C$33)/('1.설계입력'!$C$8*'1.설계입력'!$C$15)-COS((1-'1.설계입력'!$C$15)*B1235),SIN((1-'1.설계입력'!$C$15)*B1235))</f>
        <v>0.33719177034431808</v>
      </c>
      <c r="G1235" s="40">
        <f>('1.설계입력'!$C$6+'1.설계입력'!$C$33)*COS(B1235)-('1.설계입력'!$C$7+'1.설계입력'!$C$34)*COS(B1235+F1235)-'1.설계입력'!$C$8*COS('1.설계입력'!$C$15*B1235)</f>
        <v>-32.70951922526254</v>
      </c>
      <c r="H1235" s="40">
        <f>-('1.설계입력'!$C$6+'1.설계입력'!$C$33)*SIN(B1235)+('1.설계입력'!$C$7+'1.설계입력'!$C$34)*SIN(B1235+F1235)+'1.설계입력'!$C$8*SIN('1.설계입력'!$C$15*B1235)</f>
        <v>72.188228882911815</v>
      </c>
      <c r="I1235" s="40">
        <f t="shared" si="58"/>
        <v>79.263819987655253</v>
      </c>
      <c r="J1235" s="40">
        <f t="shared" si="59"/>
        <v>79.2530948114929</v>
      </c>
      <c r="K1235" s="38" t="str">
        <f>IF(OR(A1235&gt;180,'1.설계입력'!$C$39&gt;=1),"",'1.설계입력'!$C$34*(1-SIN(B1235)/SQRT(1+'1.설계입력'!$C$39^2-2*'1.설계입력'!$C$39*COS(B1235)))-'1.설계입력'!$C$33*(1-'1.설계입력'!$C$39*COS(B1235)-SQRT(MAX(0,1-'1.설계입력'!$C$39^2))*SIN(B1235))/SQRT(1+'1.설계입력'!$C$39^2-2*'1.설계입력'!$C$39*COS(B1235)))</f>
        <v/>
      </c>
    </row>
    <row r="1236" spans="1:11" x14ac:dyDescent="0.3">
      <c r="A1236" s="40">
        <f>A1235+'1.설계입력'!$C$12</f>
        <v>245.99999999999457</v>
      </c>
      <c r="B1236" s="40">
        <f t="shared" si="57"/>
        <v>4.2935099599059559</v>
      </c>
      <c r="C1236" s="40">
        <f>ATAN2('1.설계입력'!$C$6/('1.설계입력'!$C$8*'1.설계입력'!$C$15)-COS((1-'1.설계입력'!$C$15)*B1236),SIN((1-'1.설계입력'!$C$15)*B1236))</f>
        <v>0.39246170071894465</v>
      </c>
      <c r="D1236" s="40">
        <f>'1.설계입력'!$C$6*COS(B1236)-'1.설계입력'!$C$7*COS(B1236+C1236)-'1.설계입력'!$C$8*COS('1.설계입력'!$C$15*B1236)</f>
        <v>-32.49674774341387</v>
      </c>
      <c r="E1236" s="40">
        <f>-'1.설계입력'!$C$6*SIN(B1236)+'1.설계입력'!$C$7*SIN(B1236+C1236)+'1.설계입력'!$C$8*SIN('1.설계입력'!$C$15*B1236)</f>
        <v>72.211161300766562</v>
      </c>
      <c r="F1236" s="40">
        <f>ATAN2(('1.설계입력'!$C$6+'1.설계입력'!$C$33)/('1.설계입력'!$C$8*'1.설계입력'!$C$15)-COS((1-'1.설계입력'!$C$15)*B1236),SIN((1-'1.설계입력'!$C$15)*B1236))</f>
        <v>0.39247104280742123</v>
      </c>
      <c r="G1236" s="40">
        <f>('1.설계입력'!$C$6+'1.설계입력'!$C$33)*COS(B1236)-('1.설계입력'!$C$7+'1.설계입력'!$C$34)*COS(B1236+F1236)-'1.설계입력'!$C$8*COS('1.설계입력'!$C$15*B1236)</f>
        <v>-32.495310335382563</v>
      </c>
      <c r="H1236" s="40">
        <f>-('1.설계입력'!$C$6+'1.설계입력'!$C$33)*SIN(B1236)+('1.설계입력'!$C$7+'1.설계입력'!$C$34)*SIN(B1236+F1236)+'1.설계입력'!$C$8*SIN('1.설계입력'!$C$15*B1236)</f>
        <v>72.200231147195481</v>
      </c>
      <c r="I1236" s="40">
        <f t="shared" si="58"/>
        <v>79.186428321426391</v>
      </c>
      <c r="J1236" s="40">
        <f t="shared" si="59"/>
        <v>79.175871144568262</v>
      </c>
      <c r="K1236" s="38" t="str">
        <f>IF(OR(A1236&gt;180,'1.설계입력'!$C$39&gt;=1),"",'1.설계입력'!$C$34*(1-SIN(B1236)/SQRT(1+'1.설계입력'!$C$39^2-2*'1.설계입력'!$C$39*COS(B1236)))-'1.설계입력'!$C$33*(1-'1.설계입력'!$C$39*COS(B1236)-SQRT(MAX(0,1-'1.설계입력'!$C$39^2))*SIN(B1236))/SQRT(1+'1.설계입력'!$C$39^2-2*'1.설계입력'!$C$39*COS(B1236)))</f>
        <v/>
      </c>
    </row>
    <row r="1237" spans="1:11" x14ac:dyDescent="0.3">
      <c r="A1237" s="40">
        <f>A1236+'1.설계입력'!$C$12</f>
        <v>246.19999999999456</v>
      </c>
      <c r="B1237" s="40">
        <f t="shared" si="57"/>
        <v>4.2970006184099443</v>
      </c>
      <c r="C1237" s="40">
        <f>ATAN2('1.설계입력'!$C$6/('1.설계입력'!$C$8*'1.설계입력'!$C$15)-COS((1-'1.설계입력'!$C$15)*B1237),SIN((1-'1.설계입력'!$C$15)*B1237))</f>
        <v>0.44684767125931041</v>
      </c>
      <c r="D1237" s="40">
        <f>'1.설계입력'!$C$6*COS(B1237)-'1.설계입력'!$C$7*COS(B1237+C1237)-'1.설계입력'!$C$8*COS('1.설계입력'!$C$15*B1237)</f>
        <v>-32.293038569480935</v>
      </c>
      <c r="E1237" s="40">
        <f>-'1.설계입력'!$C$6*SIN(B1237)+'1.설계입력'!$C$7*SIN(B1237+C1237)+'1.설계입력'!$C$8*SIN('1.설계입력'!$C$15*B1237)</f>
        <v>72.210688107135681</v>
      </c>
      <c r="F1237" s="40">
        <f>ATAN2(('1.설계입력'!$C$6+'1.설계입력'!$C$33)/('1.설계입력'!$C$8*'1.설계입력'!$C$15)-COS((1-'1.설계입력'!$C$15)*B1237),SIN((1-'1.설계입력'!$C$15)*B1237))</f>
        <v>0.44685861872071514</v>
      </c>
      <c r="G1237" s="40">
        <f>('1.설계입력'!$C$6+'1.설계입력'!$C$33)*COS(B1237)-('1.설계입력'!$C$7+'1.설계입력'!$C$34)*COS(B1237+F1237)-'1.설계입력'!$C$8*COS('1.설계입력'!$C$15*B1237)</f>
        <v>-32.292086214238665</v>
      </c>
      <c r="H1237" s="40">
        <f>-('1.설계입력'!$C$6+'1.설계입력'!$C$33)*SIN(B1237)+('1.설계입력'!$C$7+'1.설계입력'!$C$34)*SIN(B1237+F1237)+'1.설계입력'!$C$8*SIN('1.설계입력'!$C$15*B1237)</f>
        <v>72.199757120472057</v>
      </c>
      <c r="I1237" s="40">
        <f t="shared" si="58"/>
        <v>79.102615740290219</v>
      </c>
      <c r="J1237" s="40">
        <f t="shared" si="59"/>
        <v>79.092248421213682</v>
      </c>
      <c r="K1237" s="38" t="str">
        <f>IF(OR(A1237&gt;180,'1.설계입력'!$C$39&gt;=1),"",'1.설계입력'!$C$34*(1-SIN(B1237)/SQRT(1+'1.설계입력'!$C$39^2-2*'1.설계입력'!$C$39*COS(B1237)))-'1.설계입력'!$C$33*(1-'1.설계입력'!$C$39*COS(B1237)-SQRT(MAX(0,1-'1.설계입력'!$C$39^2))*SIN(B1237))/SQRT(1+'1.설계입력'!$C$39^2-2*'1.설계입력'!$C$39*COS(B1237)))</f>
        <v/>
      </c>
    </row>
    <row r="1238" spans="1:11" x14ac:dyDescent="0.3">
      <c r="A1238" s="40">
        <f>A1237+'1.설계입력'!$C$12</f>
        <v>246.39999999999455</v>
      </c>
      <c r="B1238" s="40">
        <f t="shared" si="57"/>
        <v>4.3004912769139327</v>
      </c>
      <c r="C1238" s="40">
        <f>ATAN2('1.설계입력'!$C$6/('1.설계입력'!$C$8*'1.설계입력'!$C$15)-COS((1-'1.설계입력'!$C$15)*B1238),SIN((1-'1.설계입력'!$C$15)*B1238))</f>
        <v>0.5001090161792584</v>
      </c>
      <c r="D1238" s="40">
        <f>'1.설계입력'!$C$6*COS(B1238)-'1.설계입력'!$C$7*COS(B1238+C1238)-'1.설계입력'!$C$8*COS('1.설계입력'!$C$15*B1238)</f>
        <v>-32.101998802659324</v>
      </c>
      <c r="E1238" s="40">
        <f>-'1.설계입력'!$C$6*SIN(B1238)+'1.설계입력'!$C$7*SIN(B1238+C1238)+'1.설계입력'!$C$8*SIN('1.설계입력'!$C$15*B1238)</f>
        <v>72.199283762518235</v>
      </c>
      <c r="F1238" s="40">
        <f>ATAN2(('1.설계입력'!$C$6+'1.설계입력'!$C$33)/('1.설계입력'!$C$8*'1.설계입력'!$C$15)-COS((1-'1.설계입력'!$C$15)*B1238),SIN((1-'1.설계입력'!$C$15)*B1238))</f>
        <v>0.50012169170209575</v>
      </c>
      <c r="G1238" s="40">
        <f>('1.설계입력'!$C$6+'1.설계입력'!$C$33)*COS(B1238)-('1.설계입력'!$C$7+'1.설계입력'!$C$34)*COS(B1238+F1238)-'1.설계입력'!$C$8*COS('1.설계입력'!$C$15*B1238)</f>
        <v>-32.10152191322215</v>
      </c>
      <c r="H1238" s="40">
        <f>-('1.설계입력'!$C$6+'1.설계입력'!$C$33)*SIN(B1238)+('1.설계입력'!$C$7+'1.설계입력'!$C$34)*SIN(B1238+F1238)+'1.설계입력'!$C$8*SIN('1.설계입력'!$C$15*B1238)</f>
        <v>72.188379007697435</v>
      </c>
      <c r="I1238" s="40">
        <f t="shared" si="58"/>
        <v>79.014396808091689</v>
      </c>
      <c r="J1238" s="40">
        <f t="shared" si="59"/>
        <v>79.00423895528678</v>
      </c>
      <c r="K1238" s="38" t="str">
        <f>IF(OR(A1238&gt;180,'1.설계입력'!$C$39&gt;=1),"",'1.설계입력'!$C$34*(1-SIN(B1238)/SQRT(1+'1.설계입력'!$C$39^2-2*'1.설계입력'!$C$39*COS(B1238)))-'1.설계입력'!$C$33*(1-'1.설계입력'!$C$39*COS(B1238)-SQRT(MAX(0,1-'1.설계입력'!$C$39^2))*SIN(B1238))/SQRT(1+'1.설계입력'!$C$39^2-2*'1.설계입력'!$C$39*COS(B1238)))</f>
        <v/>
      </c>
    </row>
    <row r="1239" spans="1:11" x14ac:dyDescent="0.3">
      <c r="A1239" s="40">
        <f>A1238+'1.설계입력'!$C$12</f>
        <v>246.59999999999454</v>
      </c>
      <c r="B1239" s="40">
        <f t="shared" si="57"/>
        <v>4.3039819354179212</v>
      </c>
      <c r="C1239" s="40">
        <f>ATAN2('1.설계입력'!$C$6/('1.설계입력'!$C$8*'1.설계입력'!$C$15)-COS((1-'1.설계입력'!$C$15)*B1239),SIN((1-'1.설계입력'!$C$15)*B1239))</f>
        <v>0.55195201459940813</v>
      </c>
      <c r="D1239" s="40">
        <f>'1.설계입력'!$C$6*COS(B1239)-'1.설계입력'!$C$7*COS(B1239+C1239)-'1.설계입력'!$C$8*COS('1.설계입력'!$C$15*B1239)</f>
        <v>-31.924811604993824</v>
      </c>
      <c r="E1239" s="40">
        <f>-'1.설계입력'!$C$6*SIN(B1239)+'1.설계입력'!$C$7*SIN(B1239+C1239)+'1.설계입력'!$C$8*SIN('1.설계입력'!$C$15*B1239)</f>
        <v>72.178696787633129</v>
      </c>
      <c r="F1239" s="40">
        <f>ATAN2(('1.설계입력'!$C$6+'1.설계입력'!$C$33)/('1.설계입력'!$C$8*'1.설계입력'!$C$15)-COS((1-'1.설계입력'!$C$15)*B1239),SIN((1-'1.설계입력'!$C$15)*B1239))</f>
        <v>0.55196657090261925</v>
      </c>
      <c r="G1239" s="40">
        <f>('1.설계입력'!$C$6+'1.설계입력'!$C$33)*COS(B1239)-('1.설계입력'!$C$7+'1.설계입력'!$C$34)*COS(B1239+F1239)-'1.설계입력'!$C$8*COS('1.설계입력'!$C$15*B1239)</f>
        <v>-31.924796914918421</v>
      </c>
      <c r="H1239" s="40">
        <f>-('1.설계입력'!$C$6+'1.설계입력'!$C$33)*SIN(B1239)+('1.설계입력'!$C$7+'1.설계입력'!$C$34)*SIN(B1239+F1239)+'1.설계입력'!$C$8*SIN('1.설계입력'!$C$15*B1239)</f>
        <v>72.167843402540001</v>
      </c>
      <c r="I1239" s="40">
        <f t="shared" si="58"/>
        <v>78.923747161265908</v>
      </c>
      <c r="J1239" s="40">
        <f t="shared" si="59"/>
        <v>78.913815516880945</v>
      </c>
      <c r="K1239" s="38" t="str">
        <f>IF(OR(A1239&gt;180,'1.설계입력'!$C$39&gt;=1),"",'1.설계입력'!$C$34*(1-SIN(B1239)/SQRT(1+'1.설계입력'!$C$39^2-2*'1.설계입력'!$C$39*COS(B1239)))-'1.설계입력'!$C$33*(1-'1.설계입력'!$C$39*COS(B1239)-SQRT(MAX(0,1-'1.설계입력'!$C$39^2))*SIN(B1239))/SQRT(1+'1.설계입력'!$C$39^2-2*'1.설계입력'!$C$39*COS(B1239)))</f>
        <v/>
      </c>
    </row>
    <row r="1240" spans="1:11" x14ac:dyDescent="0.3">
      <c r="A1240" s="40">
        <f>A1239+'1.설계입력'!$C$12</f>
        <v>246.79999999999453</v>
      </c>
      <c r="B1240" s="40">
        <f t="shared" si="57"/>
        <v>4.3074725939219096</v>
      </c>
      <c r="C1240" s="40">
        <f>ATAN2('1.설계입력'!$C$6/('1.설계입력'!$C$8*'1.설계입력'!$C$15)-COS((1-'1.설계입력'!$C$15)*B1240),SIN((1-'1.설계입력'!$C$15)*B1240))</f>
        <v>0.60199747927486724</v>
      </c>
      <c r="D1240" s="40">
        <f>'1.설계입력'!$C$6*COS(B1240)-'1.설계입력'!$C$7*COS(B1240+C1240)-'1.설계입력'!$C$8*COS('1.설계입력'!$C$15*B1240)</f>
        <v>-31.762046257763323</v>
      </c>
      <c r="E1240" s="40">
        <f>-'1.설계입력'!$C$6*SIN(B1240)+'1.설계입력'!$C$7*SIN(B1240+C1240)+'1.설계입력'!$C$8*SIN('1.설계입력'!$C$15*B1240)</f>
        <v>72.15073596604843</v>
      </c>
      <c r="F1240" s="40">
        <f>ATAN2(('1.설계입력'!$C$6+'1.설계입력'!$C$33)/('1.설계입력'!$C$8*'1.설계입력'!$C$15)-COS((1-'1.설계입력'!$C$15)*B1240),SIN((1-'1.설계입력'!$C$15)*B1240))</f>
        <v>0.60201410667891786</v>
      </c>
      <c r="G1240" s="40">
        <f>('1.설계입력'!$C$6+'1.설계입력'!$C$33)*COS(B1240)-('1.설계입력'!$C$7+'1.설계입력'!$C$34)*COS(B1240+F1240)-'1.설계입력'!$C$8*COS('1.설계입력'!$C$15*B1240)</f>
        <v>-31.762476434850576</v>
      </c>
      <c r="H1240" s="40">
        <f>-('1.설계입력'!$C$6+'1.설계입력'!$C$33)*SIN(B1240)+('1.설계입력'!$C$7+'1.설계입력'!$C$34)*SIN(B1240+F1240)+'1.설계입력'!$C$8*SIN('1.설계입력'!$C$15*B1240)</f>
        <v>72.139956493887098</v>
      </c>
      <c r="I1240" s="40">
        <f t="shared" si="58"/>
        <v>78.832457039741769</v>
      </c>
      <c r="J1240" s="40">
        <f t="shared" si="59"/>
        <v>78.822764682636958</v>
      </c>
      <c r="K1240" s="38" t="str">
        <f>IF(OR(A1240&gt;180,'1.설계입력'!$C$39&gt;=1),"",'1.설계입력'!$C$34*(1-SIN(B1240)/SQRT(1+'1.설계입력'!$C$39^2-2*'1.설계입력'!$C$39*COS(B1240)))-'1.설계입력'!$C$33*(1-'1.설계입력'!$C$39*COS(B1240)-SQRT(MAX(0,1-'1.설계입력'!$C$39^2))*SIN(B1240))/SQRT(1+'1.설계입력'!$C$39^2-2*'1.설계입력'!$C$39*COS(B1240)))</f>
        <v/>
      </c>
    </row>
    <row r="1241" spans="1:11" x14ac:dyDescent="0.3">
      <c r="A1241" s="40">
        <f>A1240+'1.설계입력'!$C$12</f>
        <v>246.99999999999451</v>
      </c>
      <c r="B1241" s="40">
        <f t="shared" si="57"/>
        <v>4.3109632524258981</v>
      </c>
      <c r="C1241" s="40">
        <f>ATAN2('1.설계입력'!$C$6/('1.설계입력'!$C$8*'1.설계입력'!$C$15)-COS((1-'1.설계입력'!$C$15)*B1241),SIN((1-'1.설계입력'!$C$15)*B1241))</f>
        <v>0.64974417413198871</v>
      </c>
      <c r="D1241" s="40">
        <f>'1.설계입력'!$C$6*COS(B1241)-'1.설계입력'!$C$7*COS(B1241+C1241)-'1.설계입력'!$C$8*COS('1.설계입력'!$C$15*B1241)</f>
        <v>-31.613510932347896</v>
      </c>
      <c r="E1241" s="40">
        <f>-'1.설계입력'!$C$6*SIN(B1241)+'1.설계입력'!$C$7*SIN(B1241+C1241)+'1.설계입력'!$C$8*SIN('1.설계입력'!$C$15*B1241)</f>
        <v>72.117119899172124</v>
      </c>
      <c r="F1241" s="40">
        <f>ATAN2(('1.설계입력'!$C$6+'1.설계입력'!$C$33)/('1.설계입력'!$C$8*'1.설계입력'!$C$15)-COS((1-'1.설계입력'!$C$15)*B1241),SIN((1-'1.설계입력'!$C$15)*B1241))</f>
        <v>0.64976311076712734</v>
      </c>
      <c r="G1241" s="40">
        <f>('1.설계입력'!$C$6+'1.설계입력'!$C$33)*COS(B1241)-('1.설계입력'!$C$7+'1.설계입력'!$C$34)*COS(B1241+F1241)-'1.설계입력'!$C$8*COS('1.설계입력'!$C$15*B1241)</f>
        <v>-31.614364009615425</v>
      </c>
      <c r="H1241" s="40">
        <f>-('1.설계입력'!$C$6+'1.설계입력'!$C$33)*SIN(B1241)+('1.설계입력'!$C$7+'1.설계입력'!$C$34)*SIN(B1241+F1241)+'1.설계입력'!$C$8*SIN('1.설계입력'!$C$15*B1241)</f>
        <v>72.106433439771621</v>
      </c>
      <c r="I1241" s="40">
        <f t="shared" si="58"/>
        <v>78.741939625724541</v>
      </c>
      <c r="J1241" s="40">
        <f t="shared" si="59"/>
        <v>78.732494912435499</v>
      </c>
      <c r="K1241" s="38" t="str">
        <f>IF(OR(A1241&gt;180,'1.설계입력'!$C$39&gt;=1),"",'1.설계입력'!$C$34*(1-SIN(B1241)/SQRT(1+'1.설계입력'!$C$39^2-2*'1.설계입력'!$C$39*COS(B1241)))-'1.설계입력'!$C$33*(1-'1.설계입력'!$C$39*COS(B1241)-SQRT(MAX(0,1-'1.설계입력'!$C$39^2))*SIN(B1241))/SQRT(1+'1.설계입력'!$C$39^2-2*'1.설계입력'!$C$39*COS(B1241)))</f>
        <v/>
      </c>
    </row>
    <row r="1242" spans="1:11" x14ac:dyDescent="0.3">
      <c r="A1242" s="40">
        <f>A1241+'1.설계입력'!$C$12</f>
        <v>247.1999999999945</v>
      </c>
      <c r="B1242" s="40">
        <f t="shared" si="57"/>
        <v>4.3144539109298865</v>
      </c>
      <c r="C1242" s="40">
        <f>ATAN2('1.설계입력'!$C$6/('1.설계입력'!$C$8*'1.설계입력'!$C$15)-COS((1-'1.설계입력'!$C$15)*B1242),SIN((1-'1.설계입력'!$C$15)*B1242))</f>
        <v>0.69451276334590806</v>
      </c>
      <c r="D1242" s="40">
        <f>'1.설계입력'!$C$6*COS(B1242)-'1.설계입력'!$C$7*COS(B1242+C1242)-'1.설계입력'!$C$8*COS('1.설계입력'!$C$15*B1242)</f>
        <v>-31.478052802178279</v>
      </c>
      <c r="E1242" s="40">
        <f>-'1.설계입력'!$C$6*SIN(B1242)+'1.설계입력'!$C$7*SIN(B1242+C1242)+'1.설계입력'!$C$8*SIN('1.설계입력'!$C$15*B1242)</f>
        <v>72.079276953568751</v>
      </c>
      <c r="F1242" s="40">
        <f>ATAN2(('1.설계입력'!$C$6+'1.설계입력'!$C$33)/('1.설계입력'!$C$8*'1.설계입력'!$C$15)-COS((1-'1.설계입력'!$C$15)*B1242),SIN((1-'1.설계입력'!$C$15)*B1242))</f>
        <v>0.69453430892819934</v>
      </c>
      <c r="G1242" s="40">
        <f>('1.설계입력'!$C$6+'1.설계입력'!$C$33)*COS(B1242)-('1.설계입력'!$C$7+'1.설계입력'!$C$34)*COS(B1242+F1242)-'1.설계입력'!$C$8*COS('1.설계입력'!$C$15*B1242)</f>
        <v>-31.479301307422606</v>
      </c>
      <c r="H1242" s="40">
        <f>-('1.설계입력'!$C$6+'1.설계입력'!$C$33)*SIN(B1242)+('1.설계입력'!$C$7+'1.설계입력'!$C$34)*SIN(B1242+F1242)+'1.설계입력'!$C$8*SIN('1.설계입력'!$C$15*B1242)</f>
        <v>72.068698044142394</v>
      </c>
      <c r="I1242" s="40">
        <f t="shared" si="58"/>
        <v>78.652971808864223</v>
      </c>
      <c r="J1242" s="40">
        <f t="shared" si="59"/>
        <v>78.643776922152412</v>
      </c>
      <c r="K1242" s="38" t="str">
        <f>IF(OR(A1242&gt;180,'1.설계입력'!$C$39&gt;=1),"",'1.설계입력'!$C$34*(1-SIN(B1242)/SQRT(1+'1.설계입력'!$C$39^2-2*'1.설계입력'!$C$39*COS(B1242)))-'1.설계입력'!$C$33*(1-'1.설계입력'!$C$39*COS(B1242)-SQRT(MAX(0,1-'1.설계입력'!$C$39^2))*SIN(B1242))/SQRT(1+'1.설계입력'!$C$39^2-2*'1.설계입력'!$C$39*COS(B1242)))</f>
        <v/>
      </c>
    </row>
    <row r="1243" spans="1:11" x14ac:dyDescent="0.3">
      <c r="A1243" s="40">
        <f>A1242+'1.설계입력'!$C$12</f>
        <v>247.39999999999449</v>
      </c>
      <c r="B1243" s="40">
        <f t="shared" si="57"/>
        <v>4.3179445694338749</v>
      </c>
      <c r="C1243" s="40">
        <f>ATAN2('1.설계입력'!$C$6/('1.설계입력'!$C$8*'1.설계입력'!$C$15)-COS((1-'1.설계입력'!$C$15)*B1243),SIN((1-'1.설계입력'!$C$15)*B1243))</f>
        <v>0.7353572076932432</v>
      </c>
      <c r="D1243" s="40">
        <f>'1.설계입력'!$C$6*COS(B1243)-'1.설계입력'!$C$7*COS(B1243+C1243)-'1.설계입력'!$C$8*COS('1.설계입력'!$C$15*B1243)</f>
        <v>-31.353260368636093</v>
      </c>
      <c r="E1243" s="40">
        <f>-'1.설계입력'!$C$6*SIN(B1243)+'1.설계입력'!$C$7*SIN(B1243+C1243)+'1.설계입력'!$C$8*SIN('1.설계입력'!$C$15*B1243)</f>
        <v>72.038073046328535</v>
      </c>
      <c r="F1243" s="40">
        <f>ATAN2(('1.설계입력'!$C$6+'1.설계입력'!$C$33)/('1.설계입력'!$C$8*'1.설계입력'!$C$15)-COS((1-'1.설계입력'!$C$15)*B1243),SIN((1-'1.설계입력'!$C$15)*B1243))</f>
        <v>0.73538174198697936</v>
      </c>
      <c r="G1243" s="40">
        <f>('1.설계입력'!$C$6+'1.설계입력'!$C$33)*COS(B1243)-('1.설계입력'!$C$7+'1.설계입력'!$C$34)*COS(B1243+F1243)-'1.설계입력'!$C$8*COS('1.설계입력'!$C$15*B1243)</f>
        <v>-31.354869944112423</v>
      </c>
      <c r="H1243" s="40">
        <f>-('1.설계입력'!$C$6+'1.설계입력'!$C$33)*SIN(B1243)+('1.설계입력'!$C$7+'1.설계입력'!$C$34)*SIN(B1243+F1243)+'1.설계입력'!$C$8*SIN('1.설계입력'!$C$15*B1243)</f>
        <v>72.027610130233455</v>
      </c>
      <c r="I1243" s="40">
        <f t="shared" si="58"/>
        <v>78.565328892404267</v>
      </c>
      <c r="J1243" s="40">
        <f t="shared" si="59"/>
        <v>78.556377782361594</v>
      </c>
      <c r="K1243" s="38" t="str">
        <f>IF(OR(A1243&gt;180,'1.설계입력'!$C$39&gt;=1),"",'1.설계입력'!$C$34*(1-SIN(B1243)/SQRT(1+'1.설계입력'!$C$39^2-2*'1.설계입력'!$C$39*COS(B1243)))-'1.설계입력'!$C$33*(1-'1.설계입력'!$C$39*COS(B1243)-SQRT(MAX(0,1-'1.설계입력'!$C$39^2))*SIN(B1243))/SQRT(1+'1.설계입력'!$C$39^2-2*'1.설계입력'!$C$39*COS(B1243)))</f>
        <v/>
      </c>
    </row>
    <row r="1244" spans="1:11" x14ac:dyDescent="0.3">
      <c r="A1244" s="40">
        <f>A1243+'1.설계입력'!$C$12</f>
        <v>247.59999999999448</v>
      </c>
      <c r="B1244" s="40">
        <f t="shared" si="57"/>
        <v>4.3214352279378634</v>
      </c>
      <c r="C1244" s="40">
        <f>ATAN2('1.설계입력'!$C$6/('1.설계입력'!$C$8*'1.설계입력'!$C$15)-COS((1-'1.설계입력'!$C$15)*B1244),SIN((1-'1.설계입력'!$C$15)*B1244))</f>
        <v>0.77091983254073237</v>
      </c>
      <c r="D1244" s="40">
        <f>'1.설계입력'!$C$6*COS(B1244)-'1.설계입력'!$C$7*COS(B1244+C1244)-'1.설계입력'!$C$8*COS('1.설계입력'!$C$15*B1244)</f>
        <v>-31.234980661269155</v>
      </c>
      <c r="E1244" s="40">
        <f>-'1.설계입력'!$C$6*SIN(B1244)+'1.설계입력'!$C$7*SIN(B1244+C1244)+'1.설계입력'!$C$8*SIN('1.설계입력'!$C$15*B1244)</f>
        <v>71.993431179077234</v>
      </c>
      <c r="F1244" s="40">
        <f>ATAN2(('1.설계입력'!$C$6+'1.설계입력'!$C$33)/('1.설계입력'!$C$8*'1.설계입력'!$C$15)-COS((1-'1.설계입력'!$C$15)*B1244),SIN((1-'1.설계입력'!$C$15)*B1244))</f>
        <v>0.77094783944550715</v>
      </c>
      <c r="G1244" s="40">
        <f>('1.설계입력'!$C$6+'1.설계입력'!$C$33)*COS(B1244)-('1.설계입력'!$C$7+'1.설계입력'!$C$34)*COS(B1244+F1244)-'1.설계입력'!$C$8*COS('1.설계입력'!$C$15*B1244)</f>
        <v>-31.236907791341615</v>
      </c>
      <c r="H1244" s="40">
        <f>-('1.설계입력'!$C$6+'1.설계입력'!$C$33)*SIN(B1244)+('1.설계입력'!$C$7+'1.설계입력'!$C$34)*SIN(B1244+F1244)+'1.설계입력'!$C$8*SIN('1.설계입력'!$C$15*B1244)</f>
        <v>71.983084436324674</v>
      </c>
      <c r="I1244" s="40">
        <f t="shared" si="58"/>
        <v>78.477246064361793</v>
      </c>
      <c r="J1244" s="40">
        <f t="shared" si="59"/>
        <v>78.468521416755564</v>
      </c>
      <c r="K1244" s="38" t="str">
        <f>IF(OR(A1244&gt;180,'1.설계입력'!$C$39&gt;=1),"",'1.설계입력'!$C$34*(1-SIN(B1244)/SQRT(1+'1.설계입력'!$C$39^2-2*'1.설계입력'!$C$39*COS(B1244)))-'1.설계입력'!$C$33*(1-'1.설계입력'!$C$39*COS(B1244)-SQRT(MAX(0,1-'1.설계입력'!$C$39^2))*SIN(B1244))/SQRT(1+'1.설계입력'!$C$39^2-2*'1.설계입력'!$C$39*COS(B1244)))</f>
        <v/>
      </c>
    </row>
    <row r="1245" spans="1:11" x14ac:dyDescent="0.3">
      <c r="A1245" s="40">
        <f>A1244+'1.설계입력'!$C$12</f>
        <v>247.79999999999447</v>
      </c>
      <c r="B1245" s="40">
        <f t="shared" si="57"/>
        <v>4.3249258864418518</v>
      </c>
      <c r="C1245" s="40">
        <f>ATAN2('1.설계입력'!$C$6/('1.설계입력'!$C$8*'1.설계입력'!$C$15)-COS((1-'1.설계입력'!$C$15)*B1245),SIN((1-'1.설계입력'!$C$15)*B1245))</f>
        <v>0.79918523100219874</v>
      </c>
      <c r="D1245" s="40">
        <f>'1.설계입력'!$C$6*COS(B1245)-'1.설계입력'!$C$7*COS(B1245+C1245)-'1.설계입력'!$C$8*COS('1.설계입력'!$C$15*B1245)</f>
        <v>-31.116475693506747</v>
      </c>
      <c r="E1245" s="40">
        <f>-'1.설계입력'!$C$6*SIN(B1245)+'1.설계입력'!$C$7*SIN(B1245+C1245)+'1.설계입력'!$C$8*SIN('1.설계입력'!$C$15*B1245)</f>
        <v>71.943788405067565</v>
      </c>
      <c r="F1245" s="40">
        <f>ATAN2(('1.설계입력'!$C$6+'1.설계입력'!$C$33)/('1.설계입력'!$C$8*'1.설계입력'!$C$15)-COS((1-'1.설계입력'!$C$15)*B1245),SIN((1-'1.설계입력'!$C$15)*B1245))</f>
        <v>0.79921732751680208</v>
      </c>
      <c r="G1245" s="40">
        <f>('1.설계입력'!$C$6+'1.설계입력'!$C$33)*COS(B1245)-('1.설계입력'!$C$7+'1.설계입력'!$C$34)*COS(B1245+F1245)-'1.설계입력'!$C$8*COS('1.설계입력'!$C$15*B1245)</f>
        <v>-31.118663805683706</v>
      </c>
      <c r="H1245" s="40">
        <f>-('1.설계입력'!$C$6+'1.설계입력'!$C$33)*SIN(B1245)+('1.설계입력'!$C$7+'1.설계입력'!$C$34)*SIN(B1245+F1245)+'1.설계입력'!$C$8*SIN('1.설계입력'!$C$15*B1245)</f>
        <v>71.933546583440105</v>
      </c>
      <c r="I1245" s="40">
        <f t="shared" si="58"/>
        <v>78.384588725448651</v>
      </c>
      <c r="J1245" s="40">
        <f t="shared" si="59"/>
        <v>78.376057320607273</v>
      </c>
      <c r="K1245" s="38" t="str">
        <f>IF(OR(A1245&gt;180,'1.설계입력'!$C$39&gt;=1),"",'1.설계입력'!$C$34*(1-SIN(B1245)/SQRT(1+'1.설계입력'!$C$39^2-2*'1.설계입력'!$C$39*COS(B1245)))-'1.설계입력'!$C$33*(1-'1.설계입력'!$C$39*COS(B1245)-SQRT(MAX(0,1-'1.설계입력'!$C$39^2))*SIN(B1245))/SQRT(1+'1.설계입력'!$C$39^2-2*'1.설계입력'!$C$39*COS(B1245)))</f>
        <v/>
      </c>
    </row>
    <row r="1246" spans="1:11" x14ac:dyDescent="0.3">
      <c r="A1246" s="40">
        <f>A1245+'1.설계입력'!$C$12</f>
        <v>247.99999999999446</v>
      </c>
      <c r="B1246" s="40">
        <f t="shared" si="57"/>
        <v>4.3284165449458403</v>
      </c>
      <c r="C1246" s="40">
        <f>ATAN2('1.설계입력'!$C$6/('1.설계입력'!$C$8*'1.설계입력'!$C$15)-COS((1-'1.설계입력'!$C$15)*B1246),SIN((1-'1.설계입력'!$C$15)*B1246))</f>
        <v>0.8170453783869015</v>
      </c>
      <c r="D1246" s="40">
        <f>'1.설계입력'!$C$6*COS(B1246)-'1.설계입력'!$C$7*COS(B1246+C1246)-'1.설계입력'!$C$8*COS('1.설계입력'!$C$15*B1246)</f>
        <v>-30.986849847628271</v>
      </c>
      <c r="E1246" s="40">
        <f>-'1.설계입력'!$C$6*SIN(B1246)+'1.설계입력'!$C$7*SIN(B1246+C1246)+'1.설계입력'!$C$8*SIN('1.설계입력'!$C$15*B1246)</f>
        <v>71.885324100171204</v>
      </c>
      <c r="F1246" s="40">
        <f>ATAN2(('1.설계입력'!$C$6+'1.설계입력'!$C$33)/('1.설계입력'!$C$8*'1.설계입력'!$C$15)-COS((1-'1.설계입력'!$C$15)*B1246),SIN((1-'1.설계입력'!$C$15)*B1246))</f>
        <v>0.8170823406315344</v>
      </c>
      <c r="G1246" s="40">
        <f>('1.설계입력'!$C$6+'1.설계입력'!$C$33)*COS(B1246)-('1.설계입력'!$C$7+'1.설계입력'!$C$34)*COS(B1246+F1246)-'1.설계입력'!$C$8*COS('1.설계입력'!$C$15*B1246)</f>
        <v>-30.989222299860103</v>
      </c>
      <c r="H1246" s="40">
        <f>-('1.설계입력'!$C$6+'1.설계입력'!$C$33)*SIN(B1246)+('1.설계입력'!$C$7+'1.설계입력'!$C$34)*SIN(B1246+F1246)+'1.설계입력'!$C$8*SIN('1.설계입력'!$C$15*B1246)</f>
        <v>71.875159793391376</v>
      </c>
      <c r="I1246" s="40">
        <f t="shared" si="58"/>
        <v>78.279529153324077</v>
      </c>
      <c r="J1246" s="40">
        <f t="shared" si="59"/>
        <v>78.271134488237053</v>
      </c>
      <c r="K1246" s="38" t="str">
        <f>IF(OR(A1246&gt;180,'1.설계입력'!$C$39&gt;=1),"",'1.설계입력'!$C$34*(1-SIN(B1246)/SQRT(1+'1.설계입력'!$C$39^2-2*'1.설계입력'!$C$39*COS(B1246)))-'1.설계입력'!$C$33*(1-'1.설계입력'!$C$39*COS(B1246)-SQRT(MAX(0,1-'1.설계입력'!$C$39^2))*SIN(B1246))/SQRT(1+'1.설계입력'!$C$39^2-2*'1.설계입력'!$C$39*COS(B1246)))</f>
        <v/>
      </c>
    </row>
    <row r="1247" spans="1:11" x14ac:dyDescent="0.3">
      <c r="A1247" s="40">
        <f>A1246+'1.설계입력'!$C$12</f>
        <v>248.19999999999445</v>
      </c>
      <c r="B1247" s="40">
        <f t="shared" si="57"/>
        <v>4.3319072034498287</v>
      </c>
      <c r="C1247" s="40">
        <f>ATAN2('1.설계입력'!$C$6/('1.설계입력'!$C$8*'1.설계입력'!$C$15)-COS((1-'1.설계입력'!$C$15)*B1247),SIN((1-'1.설계입력'!$C$15)*B1247))</f>
        <v>0.81950020104137333</v>
      </c>
      <c r="D1247" s="40">
        <f>'1.설계입력'!$C$6*COS(B1247)-'1.설계입력'!$C$7*COS(B1247+C1247)-'1.설계입력'!$C$8*COS('1.설계입력'!$C$15*B1247)</f>
        <v>-30.827945836203323</v>
      </c>
      <c r="E1247" s="40">
        <f>-'1.설계입력'!$C$6*SIN(B1247)+'1.설계입력'!$C$7*SIN(B1247+C1247)+'1.설계입력'!$C$8*SIN('1.설계입력'!$C$15*B1247)</f>
        <v>71.810953183243441</v>
      </c>
      <c r="F1247" s="40">
        <f>ATAN2(('1.설계입력'!$C$6+'1.설계입력'!$C$33)/('1.설계입력'!$C$8*'1.설계입력'!$C$15)-COS((1-'1.설계입력'!$C$15)*B1247),SIN((1-'1.설계입력'!$C$15)*B1247))</f>
        <v>0.81954295366267704</v>
      </c>
      <c r="G1247" s="40">
        <f>('1.설계입력'!$C$6+'1.설계입력'!$C$33)*COS(B1247)-('1.설계입력'!$C$7+'1.설계입력'!$C$34)*COS(B1247+F1247)-'1.설계입력'!$C$8*COS('1.설계입력'!$C$15*B1247)</f>
        <v>-30.830392615795819</v>
      </c>
      <c r="H1247" s="40">
        <f>-('1.설계입력'!$C$6+'1.설계입력'!$C$33)*SIN(B1247)+('1.설계입력'!$C$7+'1.설계입력'!$C$34)*SIN(B1247+F1247)+'1.설계입력'!$C$8*SIN('1.설계입력'!$C$15*B1247)</f>
        <v>71.800815844411886</v>
      </c>
      <c r="I1247" s="40">
        <f t="shared" si="58"/>
        <v>78.148418036233252</v>
      </c>
      <c r="J1247" s="40">
        <f t="shared" si="59"/>
        <v>78.140068241378358</v>
      </c>
      <c r="K1247" s="38" t="str">
        <f>IF(OR(A1247&gt;180,'1.설계입력'!$C$39&gt;=1),"",'1.설계입력'!$C$34*(1-SIN(B1247)/SQRT(1+'1.설계입력'!$C$39^2-2*'1.설계입력'!$C$39*COS(B1247)))-'1.설계입력'!$C$33*(1-'1.설계입력'!$C$39*COS(B1247)-SQRT(MAX(0,1-'1.설계입력'!$C$39^2))*SIN(B1247))/SQRT(1+'1.설계입력'!$C$39^2-2*'1.설계입력'!$C$39*COS(B1247)))</f>
        <v/>
      </c>
    </row>
    <row r="1248" spans="1:11" x14ac:dyDescent="0.3">
      <c r="A1248" s="40">
        <f>A1247+'1.설계입력'!$C$12</f>
        <v>248.39999999999444</v>
      </c>
      <c r="B1248" s="40">
        <f t="shared" si="57"/>
        <v>4.3353978619538172</v>
      </c>
      <c r="C1248" s="40">
        <f>ATAN2('1.설계입력'!$C$6/('1.설계입력'!$C$8*'1.설계입력'!$C$15)-COS((1-'1.설계입력'!$C$15)*B1248),SIN((1-'1.설계입력'!$C$15)*B1248))</f>
        <v>0.79814411185954171</v>
      </c>
      <c r="D1248" s="40">
        <f>'1.설계입력'!$C$6*COS(B1248)-'1.설계입력'!$C$7*COS(B1248+C1248)-'1.설계입력'!$C$8*COS('1.설계입력'!$C$15*B1248)</f>
        <v>-30.607939697933919</v>
      </c>
      <c r="E1248" s="40">
        <f>-'1.설계입력'!$C$6*SIN(B1248)+'1.설계입력'!$C$7*SIN(B1248+C1248)+'1.설계입력'!$C$8*SIN('1.설계입력'!$C$15*B1248)</f>
        <v>71.709521210934568</v>
      </c>
      <c r="F1248" s="40">
        <f>ATAN2(('1.설계입력'!$C$6+'1.설계입력'!$C$33)/('1.설계입력'!$C$8*'1.설계입력'!$C$15)-COS((1-'1.설계입력'!$C$15)*B1248),SIN((1-'1.설계입력'!$C$15)*B1248))</f>
        <v>0.79819355522404056</v>
      </c>
      <c r="G1248" s="40">
        <f>('1.설계입력'!$C$6+'1.설계입력'!$C$33)*COS(B1248)-('1.설계입력'!$C$7+'1.설계입력'!$C$34)*COS(B1248+F1248)-'1.설계입력'!$C$8*COS('1.설계입력'!$C$15*B1248)</f>
        <v>-30.610290752003642</v>
      </c>
      <c r="H1248" s="40">
        <f>-('1.설계입력'!$C$6+'1.설계입력'!$C$33)*SIN(B1248)+('1.설계입력'!$C$7+'1.설계입력'!$C$34)*SIN(B1248+F1248)+'1.설계입력'!$C$8*SIN('1.설계입력'!$C$15*B1248)</f>
        <v>71.699327717053848</v>
      </c>
      <c r="I1248" s="40">
        <f t="shared" si="58"/>
        <v>77.968592425757137</v>
      </c>
      <c r="J1248" s="40">
        <f t="shared" si="59"/>
        <v>77.960140424448227</v>
      </c>
      <c r="K1248" s="38" t="str">
        <f>IF(OR(A1248&gt;180,'1.설계입력'!$C$39&gt;=1),"",'1.설계입력'!$C$34*(1-SIN(B1248)/SQRT(1+'1.설계입력'!$C$39^2-2*'1.설계입력'!$C$39*COS(B1248)))-'1.설계입력'!$C$33*(1-'1.설계입력'!$C$39*COS(B1248)-SQRT(MAX(0,1-'1.설계입력'!$C$39^2))*SIN(B1248))/SQRT(1+'1.설계입력'!$C$39^2-2*'1.설계입력'!$C$39*COS(B1248)))</f>
        <v/>
      </c>
    </row>
    <row r="1249" spans="1:11" x14ac:dyDescent="0.3">
      <c r="A1249" s="40">
        <f>A1248+'1.설계입력'!$C$12</f>
        <v>248.59999999999442</v>
      </c>
      <c r="B1249" s="40">
        <f t="shared" si="57"/>
        <v>4.3388885204578056</v>
      </c>
      <c r="C1249" s="40">
        <f>ATAN2('1.설계입력'!$C$6/('1.설계입력'!$C$8*'1.설계입력'!$C$15)-COS((1-'1.설계입력'!$C$15)*B1249),SIN((1-'1.설계입력'!$C$15)*B1249))</f>
        <v>0.73833527495981799</v>
      </c>
      <c r="D1249" s="40">
        <f>'1.설계입력'!$C$6*COS(B1249)-'1.설계입력'!$C$7*COS(B1249+C1249)-'1.설계입력'!$C$8*COS('1.설계입력'!$C$15*B1249)</f>
        <v>-30.268066560800307</v>
      </c>
      <c r="E1249" s="40">
        <f>-'1.설계입력'!$C$6*SIN(B1249)+'1.설계입력'!$C$7*SIN(B1249+C1249)+'1.설계입력'!$C$8*SIN('1.설계입력'!$C$15*B1249)</f>
        <v>71.567858500729827</v>
      </c>
      <c r="F1249" s="40">
        <f>ATAN2(('1.설계입력'!$C$6+'1.설계입력'!$C$33)/('1.설계입력'!$C$8*'1.설계입력'!$C$15)-COS((1-'1.설계입력'!$C$15)*B1249),SIN((1-'1.설계입력'!$C$15)*B1249))</f>
        <v>0.73839150331870507</v>
      </c>
      <c r="G1249" s="40">
        <f>('1.설계입력'!$C$6+'1.설계입력'!$C$33)*COS(B1249)-('1.설계입력'!$C$7+'1.설계입력'!$C$34)*COS(B1249+F1249)-'1.설계입력'!$C$8*COS('1.설계입력'!$C$15*B1249)</f>
        <v>-30.270036015614174</v>
      </c>
      <c r="H1249" s="40">
        <f>-('1.설계입력'!$C$6+'1.설계입력'!$C$33)*SIN(B1249)+('1.설계입력'!$C$7+'1.설계입력'!$C$34)*SIN(B1249+F1249)+'1.설계입력'!$C$8*SIN('1.설계입력'!$C$15*B1249)</f>
        <v>71.557485764148268</v>
      </c>
      <c r="I1249" s="40">
        <f t="shared" si="58"/>
        <v>77.705303703862612</v>
      </c>
      <c r="J1249" s="40">
        <f t="shared" si="59"/>
        <v>77.696517613551137</v>
      </c>
      <c r="K1249" s="38" t="str">
        <f>IF(OR(A1249&gt;180,'1.설계입력'!$C$39&gt;=1),"",'1.설계입력'!$C$34*(1-SIN(B1249)/SQRT(1+'1.설계입력'!$C$39^2-2*'1.설계입력'!$C$39*COS(B1249)))-'1.설계입력'!$C$33*(1-'1.설계입력'!$C$39*COS(B1249)-SQRT(MAX(0,1-'1.설계입력'!$C$39^2))*SIN(B1249))/SQRT(1+'1.설계입력'!$C$39^2-2*'1.설계입력'!$C$39*COS(B1249)))</f>
        <v/>
      </c>
    </row>
    <row r="1250" spans="1:11" x14ac:dyDescent="0.3">
      <c r="A1250" s="40">
        <f>A1249+'1.설계입력'!$C$12</f>
        <v>248.79999999999441</v>
      </c>
      <c r="B1250" s="40">
        <f t="shared" si="57"/>
        <v>4.342379178961794</v>
      </c>
      <c r="C1250" s="40">
        <f>ATAN2('1.설계입력'!$C$6/('1.설계입력'!$C$8*'1.설계입력'!$C$15)-COS((1-'1.설계입력'!$C$15)*B1250),SIN((1-'1.설계입력'!$C$15)*B1250))</f>
        <v>0.6147947713447256</v>
      </c>
      <c r="D1250" s="40">
        <f>'1.설계입력'!$C$6*COS(B1250)-'1.설계입력'!$C$7*COS(B1250+C1250)-'1.설계입력'!$C$8*COS('1.설계입력'!$C$15*B1250)</f>
        <v>-29.699113375656733</v>
      </c>
      <c r="E1250" s="40">
        <f>-'1.설계입력'!$C$6*SIN(B1250)+'1.설계입력'!$C$7*SIN(B1250+C1250)+'1.설계입력'!$C$8*SIN('1.설계입력'!$C$15*B1250)</f>
        <v>71.387777731466073</v>
      </c>
      <c r="F1250" s="40">
        <f>ATAN2(('1.설계입력'!$C$6+'1.설계입력'!$C$33)/('1.설계입력'!$C$8*'1.설계입력'!$C$15)-COS((1-'1.설계입력'!$C$15)*B1250),SIN((1-'1.설계입력'!$C$15)*B1250))</f>
        <v>0.61485424685510148</v>
      </c>
      <c r="G1250" s="40">
        <f>('1.설계입력'!$C$6+'1.설계입력'!$C$33)*COS(B1250)-('1.설계입력'!$C$7+'1.설계입력'!$C$34)*COS(B1250+F1250)-'1.설계입력'!$C$8*COS('1.설계입력'!$C$15*B1250)</f>
        <v>-29.700186631669613</v>
      </c>
      <c r="H1250" s="40">
        <f>-('1.설계입력'!$C$6+'1.설계입력'!$C$33)*SIN(B1250)+('1.설계입력'!$C$7+'1.설계입력'!$C$34)*SIN(B1250+F1250)+'1.설계입력'!$C$8*SIN('1.설계입력'!$C$15*B1250)</f>
        <v>71.377086771704896</v>
      </c>
      <c r="I1250" s="40">
        <f t="shared" si="58"/>
        <v>77.319157682538915</v>
      </c>
      <c r="J1250" s="40">
        <f t="shared" si="59"/>
        <v>77.309699274874276</v>
      </c>
      <c r="K1250" s="38" t="str">
        <f>IF(OR(A1250&gt;180,'1.설계입력'!$C$39&gt;=1),"",'1.설계입력'!$C$34*(1-SIN(B1250)/SQRT(1+'1.설계입력'!$C$39^2-2*'1.설계입력'!$C$39*COS(B1250)))-'1.설계입력'!$C$33*(1-'1.설계입력'!$C$39*COS(B1250)-SQRT(MAX(0,1-'1.설계입력'!$C$39^2))*SIN(B1250))/SQRT(1+'1.설계입력'!$C$39^2-2*'1.설계입력'!$C$39*COS(B1250)))</f>
        <v/>
      </c>
    </row>
    <row r="1251" spans="1:11" x14ac:dyDescent="0.3">
      <c r="A1251" s="40">
        <f>A1250+'1.설계입력'!$C$12</f>
        <v>248.9999999999944</v>
      </c>
      <c r="B1251" s="40">
        <f t="shared" si="57"/>
        <v>4.3458698374657825</v>
      </c>
      <c r="C1251" s="40">
        <f>ATAN2('1.설계입력'!$C$6/('1.설계입력'!$C$8*'1.설계입력'!$C$15)-COS((1-'1.설계입력'!$C$15)*B1251),SIN((1-'1.설계입력'!$C$15)*B1251))</f>
        <v>0.39147436996383467</v>
      </c>
      <c r="D1251" s="40">
        <f>'1.설계입력'!$C$6*COS(B1251)-'1.설계입력'!$C$7*COS(B1251+C1251)-'1.설계입력'!$C$8*COS('1.설계입력'!$C$15*B1251)</f>
        <v>-28.735982410418728</v>
      </c>
      <c r="E1251" s="40">
        <f>-'1.설계입력'!$C$6*SIN(B1251)+'1.설계입력'!$C$7*SIN(B1251+C1251)+'1.설계입력'!$C$8*SIN('1.설계입력'!$C$15*B1251)</f>
        <v>71.255802329169967</v>
      </c>
      <c r="F1251" s="40">
        <f>ATAN2(('1.설계입력'!$C$6+'1.설계입력'!$C$33)/('1.설계입력'!$C$8*'1.설계입력'!$C$15)-COS((1-'1.설계입력'!$C$15)*B1251),SIN((1-'1.설계입력'!$C$15)*B1251))</f>
        <v>0.39152245780569744</v>
      </c>
      <c r="G1251" s="40">
        <f>('1.설계입력'!$C$6+'1.설계입력'!$C$33)*COS(B1251)-('1.설계입력'!$C$7+'1.설계입력'!$C$34)*COS(B1251+F1251)-'1.설계입력'!$C$8*COS('1.설계입력'!$C$15*B1251)</f>
        <v>-28.735266266884629</v>
      </c>
      <c r="H1251" s="40">
        <f>-('1.설계입력'!$C$6+'1.설계입력'!$C$33)*SIN(B1251)+('1.설계입력'!$C$7+'1.설계입력'!$C$34)*SIN(B1251+F1251)+'1.설계입력'!$C$8*SIN('1.설계입력'!$C$15*B1251)</f>
        <v>71.244815565934488</v>
      </c>
      <c r="I1251" s="40">
        <f t="shared" si="58"/>
        <v>76.831933794911336</v>
      </c>
      <c r="J1251" s="40">
        <f t="shared" si="59"/>
        <v>76.82147663546165</v>
      </c>
      <c r="K1251" s="38" t="str">
        <f>IF(OR(A1251&gt;180,'1.설계입력'!$C$39&gt;=1),"",'1.설계입력'!$C$34*(1-SIN(B1251)/SQRT(1+'1.설계입력'!$C$39^2-2*'1.설계입력'!$C$39*COS(B1251)))-'1.설계입력'!$C$33*(1-'1.설계입력'!$C$39*COS(B1251)-SQRT(MAX(0,1-'1.설계입력'!$C$39^2))*SIN(B1251))/SQRT(1+'1.설계입력'!$C$39^2-2*'1.설계입력'!$C$39*COS(B1251)))</f>
        <v/>
      </c>
    </row>
    <row r="1252" spans="1:11" x14ac:dyDescent="0.3">
      <c r="A1252" s="40">
        <f>A1251+'1.설계입력'!$C$12</f>
        <v>249.19999999999439</v>
      </c>
      <c r="B1252" s="40">
        <f t="shared" si="57"/>
        <v>4.3493604959697709</v>
      </c>
      <c r="C1252" s="40">
        <f>ATAN2('1.설계입력'!$C$6/('1.설계입력'!$C$8*'1.설계입력'!$C$15)-COS((1-'1.설계입력'!$C$15)*B1252),SIN((1-'1.설계입력'!$C$15)*B1252))</f>
        <v>5.7019672665276883E-2</v>
      </c>
      <c r="D1252" s="40">
        <f>'1.설계입력'!$C$6*COS(B1252)-'1.설계입력'!$C$7*COS(B1252+C1252)-'1.설계입력'!$C$8*COS('1.설계입력'!$C$15*B1252)</f>
        <v>-27.351839930326154</v>
      </c>
      <c r="E1252" s="40">
        <f>-'1.설계입력'!$C$6*SIN(B1252)+'1.설계입력'!$C$7*SIN(B1252+C1252)+'1.설계입력'!$C$8*SIN('1.설계입력'!$C$15*B1252)</f>
        <v>71.450755570741975</v>
      </c>
      <c r="F1252" s="40">
        <f>ATAN2(('1.설계입력'!$C$6+'1.설계입력'!$C$33)/('1.설계입력'!$C$8*'1.설계입력'!$C$15)-COS((1-'1.설계입력'!$C$15)*B1252),SIN((1-'1.설계입력'!$C$15)*B1252))</f>
        <v>5.7027686184235649E-2</v>
      </c>
      <c r="G1252" s="40">
        <f>('1.설계입력'!$C$6+'1.설계입력'!$C$33)*COS(B1252)-('1.설계입력'!$C$7+'1.설계입력'!$C$34)*COS(B1252+F1252)-'1.설계입력'!$C$8*COS('1.설계입력'!$C$15*B1252)</f>
        <v>-27.348329557910585</v>
      </c>
      <c r="H1252" s="40">
        <f>-('1.설계입력'!$C$6+'1.설계입력'!$C$33)*SIN(B1252)+('1.설계입력'!$C$7+'1.설계입력'!$C$34)*SIN(B1252+F1252)+'1.설계입력'!$C$8*SIN('1.설계입력'!$C$15*B1252)</f>
        <v>71.440124232677562</v>
      </c>
      <c r="I1252" s="40">
        <f t="shared" si="58"/>
        <v>76.507082150635568</v>
      </c>
      <c r="J1252" s="40">
        <f t="shared" si="59"/>
        <v>76.495898452064012</v>
      </c>
      <c r="K1252" s="38" t="str">
        <f>IF(OR(A1252&gt;180,'1.설계입력'!$C$39&gt;=1),"",'1.설계입력'!$C$34*(1-SIN(B1252)/SQRT(1+'1.설계입력'!$C$39^2-2*'1.설계입력'!$C$39*COS(B1252)))-'1.설계입력'!$C$33*(1-'1.설계입력'!$C$39*COS(B1252)-SQRT(MAX(0,1-'1.설계입력'!$C$39^2))*SIN(B1252))/SQRT(1+'1.설계입력'!$C$39^2-2*'1.설계입력'!$C$39*COS(B1252)))</f>
        <v/>
      </c>
    </row>
    <row r="1253" spans="1:11" x14ac:dyDescent="0.3">
      <c r="A1253" s="40">
        <f>A1252+'1.설계입력'!$C$12</f>
        <v>249.39999999999438</v>
      </c>
      <c r="B1253" s="40">
        <f t="shared" si="57"/>
        <v>4.3528511544737594</v>
      </c>
      <c r="C1253" s="40">
        <f>ATAN2('1.설계입력'!$C$6/('1.설계입력'!$C$8*'1.설계입력'!$C$15)-COS((1-'1.설계입력'!$C$15)*B1253),SIN((1-'1.설계입력'!$C$15)*B1253))</f>
        <v>-0.29868854832760966</v>
      </c>
      <c r="D1253" s="40">
        <f>'1.설계입력'!$C$6*COS(B1253)-'1.설계입력'!$C$7*COS(B1253+C1253)-'1.설계입력'!$C$8*COS('1.설계입력'!$C$15*B1253)</f>
        <v>-26.041273374669892</v>
      </c>
      <c r="E1253" s="40">
        <f>-'1.설계입력'!$C$6*SIN(B1253)+'1.설계입력'!$C$7*SIN(B1253+C1253)+'1.설계입력'!$C$8*SIN('1.설계입력'!$C$15*B1253)</f>
        <v>72.1371246283299</v>
      </c>
      <c r="F1253" s="40">
        <f>ATAN2(('1.설계입력'!$C$6+'1.설계입력'!$C$33)/('1.설계입력'!$C$8*'1.설계입력'!$C$15)-COS((1-'1.설계입력'!$C$15)*B1253),SIN((1-'1.설계입력'!$C$15)*B1253))</f>
        <v>-0.29872747867425903</v>
      </c>
      <c r="G1253" s="40">
        <f>('1.설계입력'!$C$6+'1.설계입력'!$C$33)*COS(B1253)-('1.설계입력'!$C$7+'1.설계입력'!$C$34)*COS(B1253+F1253)-'1.설계입력'!$C$8*COS('1.설계입력'!$C$15*B1253)</f>
        <v>-26.0351043407567</v>
      </c>
      <c r="H1253" s="40">
        <f>-('1.설계입력'!$C$6+'1.설계입력'!$C$33)*SIN(B1253)+('1.설계입력'!$C$7+'1.설계입력'!$C$34)*SIN(B1253+F1253)+'1.설계입력'!$C$8*SIN('1.설계입력'!$C$15*B1253)</f>
        <v>72.127910560866027</v>
      </c>
      <c r="I1253" s="40">
        <f t="shared" si="58"/>
        <v>76.693628605103115</v>
      </c>
      <c r="J1253" s="40">
        <f t="shared" si="59"/>
        <v>76.682867316698434</v>
      </c>
      <c r="K1253" s="38" t="str">
        <f>IF(OR(A1253&gt;180,'1.설계입력'!$C$39&gt;=1),"",'1.설계입력'!$C$34*(1-SIN(B1253)/SQRT(1+'1.설계입력'!$C$39^2-2*'1.설계입력'!$C$39*COS(B1253)))-'1.설계입력'!$C$33*(1-'1.설계입력'!$C$39*COS(B1253)-SQRT(MAX(0,1-'1.설계입력'!$C$39^2))*SIN(B1253))/SQRT(1+'1.설계입력'!$C$39^2-2*'1.설계입력'!$C$39*COS(B1253)))</f>
        <v/>
      </c>
    </row>
    <row r="1254" spans="1:11" x14ac:dyDescent="0.3">
      <c r="A1254" s="40">
        <f>A1253+'1.설계입력'!$C$12</f>
        <v>249.59999999999437</v>
      </c>
      <c r="B1254" s="40">
        <f t="shared" si="57"/>
        <v>4.3563418129777478</v>
      </c>
      <c r="C1254" s="40">
        <f>ATAN2('1.설계입력'!$C$6/('1.설계입력'!$C$8*'1.설계입력'!$C$15)-COS((1-'1.설계입력'!$C$15)*B1254),SIN((1-'1.설계입력'!$C$15)*B1254))</f>
        <v>-0.55839642316913396</v>
      </c>
      <c r="D1254" s="40">
        <f>'1.설계입력'!$C$6*COS(B1254)-'1.설계입력'!$C$7*COS(B1254+C1254)-'1.설계입력'!$C$8*COS('1.설계입력'!$C$15*B1254)</f>
        <v>-25.25722250155194</v>
      </c>
      <c r="E1254" s="40">
        <f>-'1.설계입력'!$C$6*SIN(B1254)+'1.설계입력'!$C$7*SIN(B1254+C1254)+'1.설계입력'!$C$8*SIN('1.설계입력'!$C$15*B1254)</f>
        <v>72.924414414044037</v>
      </c>
      <c r="F1254" s="40">
        <f>ATAN2(('1.설계입력'!$C$6+'1.설계입력'!$C$33)/('1.설계입력'!$C$8*'1.설계입력'!$C$15)-COS((1-'1.설계입력'!$C$15)*B1254),SIN((1-'1.설계입력'!$C$15)*B1254))</f>
        <v>-0.55845474898648895</v>
      </c>
      <c r="G1254" s="40">
        <f>('1.설계입력'!$C$6+'1.설계입력'!$C$33)*COS(B1254)-('1.설계입력'!$C$7+'1.설계입력'!$C$34)*COS(B1254+F1254)-'1.설계입력'!$C$8*COS('1.설계입력'!$C$15*B1254)</f>
        <v>-25.249582268627051</v>
      </c>
      <c r="H1254" s="40">
        <f>-('1.설계입력'!$C$6+'1.설계입력'!$C$33)*SIN(B1254)+('1.설계입력'!$C$7+'1.설계입력'!$C$34)*SIN(B1254+F1254)+'1.설계입력'!$C$8*SIN('1.설계입력'!$C$15*B1254)</f>
        <v>72.916751171660422</v>
      </c>
      <c r="I1254" s="40">
        <f t="shared" si="58"/>
        <v>77.174461489045299</v>
      </c>
      <c r="J1254" s="40">
        <f t="shared" si="59"/>
        <v>77.164719957827927</v>
      </c>
      <c r="K1254" s="38" t="str">
        <f>IF(OR(A1254&gt;180,'1.설계입력'!$C$39&gt;=1),"",'1.설계입력'!$C$34*(1-SIN(B1254)/SQRT(1+'1.설계입력'!$C$39^2-2*'1.설계입력'!$C$39*COS(B1254)))-'1.설계입력'!$C$33*(1-'1.설계입력'!$C$39*COS(B1254)-SQRT(MAX(0,1-'1.설계입력'!$C$39^2))*SIN(B1254))/SQRT(1+'1.설계입력'!$C$39^2-2*'1.설계입력'!$C$39*COS(B1254)))</f>
        <v/>
      </c>
    </row>
    <row r="1255" spans="1:11" x14ac:dyDescent="0.3">
      <c r="A1255" s="40">
        <f>A1254+'1.설계입력'!$C$12</f>
        <v>249.79999999999436</v>
      </c>
      <c r="B1255" s="40">
        <f t="shared" si="57"/>
        <v>4.3598324714817371</v>
      </c>
      <c r="C1255" s="40">
        <f>ATAN2('1.설계입력'!$C$6/('1.설계입력'!$C$8*'1.설계입력'!$C$15)-COS((1-'1.설계입력'!$C$15)*B1255),SIN((1-'1.설계입력'!$C$15)*B1255))</f>
        <v>-0.70864663909341319</v>
      </c>
      <c r="D1255" s="40">
        <f>'1.설계입력'!$C$6*COS(B1255)-'1.설계입력'!$C$7*COS(B1255+C1255)-'1.설계입력'!$C$8*COS('1.설계입력'!$C$15*B1255)</f>
        <v>-24.875029417842271</v>
      </c>
      <c r="E1255" s="40">
        <f>-'1.설계입력'!$C$6*SIN(B1255)+'1.설계입력'!$C$7*SIN(B1255+C1255)+'1.설계입력'!$C$8*SIN('1.설계입력'!$C$15*B1255)</f>
        <v>73.506053003647921</v>
      </c>
      <c r="F1255" s="40">
        <f>ATAN2(('1.설계입력'!$C$6+'1.설계입력'!$C$33)/('1.설계입력'!$C$8*'1.설계입력'!$C$15)-COS((1-'1.설계입력'!$C$15)*B1255),SIN((1-'1.설계입력'!$C$15)*B1255))</f>
        <v>-0.70870455997515069</v>
      </c>
      <c r="G1255" s="40">
        <f>('1.설계입력'!$C$6+'1.설계입력'!$C$33)*COS(B1255)-('1.설계입력'!$C$7+'1.설계입력'!$C$34)*COS(B1255+F1255)-'1.설계입력'!$C$8*COS('1.설계입력'!$C$15*B1255)</f>
        <v>-24.866774911476892</v>
      </c>
      <c r="H1255" s="40">
        <f>-('1.설계입력'!$C$6+'1.설계입력'!$C$33)*SIN(B1255)+('1.설계입력'!$C$7+'1.설계입력'!$C$34)*SIN(B1255+F1255)+'1.설계입력'!$C$8*SIN('1.설계입력'!$C$15*B1255)</f>
        <v>73.499394975167931</v>
      </c>
      <c r="I1255" s="40">
        <f t="shared" si="58"/>
        <v>77.600946622535574</v>
      </c>
      <c r="J1255" s="40">
        <f t="shared" si="59"/>
        <v>77.591994150258813</v>
      </c>
      <c r="K1255" s="38" t="str">
        <f>IF(OR(A1255&gt;180,'1.설계입력'!$C$39&gt;=1),"",'1.설계입력'!$C$34*(1-SIN(B1255)/SQRT(1+'1.설계입력'!$C$39^2-2*'1.설계입력'!$C$39*COS(B1255)))-'1.설계입력'!$C$33*(1-'1.설계입력'!$C$39*COS(B1255)-SQRT(MAX(0,1-'1.설계입력'!$C$39^2))*SIN(B1255))/SQRT(1+'1.설계입력'!$C$39^2-2*'1.설계입력'!$C$39*COS(B1255)))</f>
        <v/>
      </c>
    </row>
    <row r="1256" spans="1:11" x14ac:dyDescent="0.3">
      <c r="A1256" s="40">
        <f>A1255+'1.설계입력'!$C$12</f>
        <v>249.99999999999434</v>
      </c>
      <c r="B1256" s="40">
        <f t="shared" si="57"/>
        <v>4.3633231299857256</v>
      </c>
      <c r="C1256" s="40">
        <f>ATAN2('1.설계입력'!$C$6/('1.설계입력'!$C$8*'1.설계입력'!$C$15)-COS((1-'1.설계입력'!$C$15)*B1256),SIN((1-'1.설계입력'!$C$15)*B1256))</f>
        <v>-0.78475731155609962</v>
      </c>
      <c r="D1256" s="40">
        <f>'1.설계입력'!$C$6*COS(B1256)-'1.설계입력'!$C$7*COS(B1256+C1256)-'1.설계입력'!$C$8*COS('1.설계입력'!$C$15*B1256)</f>
        <v>-24.681976958176012</v>
      </c>
      <c r="E1256" s="40">
        <f>-'1.설계입력'!$C$6*SIN(B1256)+'1.설계입력'!$C$7*SIN(B1256+C1256)+'1.설계입력'!$C$8*SIN('1.설계입력'!$C$15*B1256)</f>
        <v>73.884787339193466</v>
      </c>
      <c r="F1256" s="40">
        <f>ATAN2(('1.설계입력'!$C$6+'1.설계입력'!$C$33)/('1.설계입력'!$C$8*'1.설계입력'!$C$15)-COS((1-'1.설계입력'!$C$15)*B1256),SIN((1-'1.설계입력'!$C$15)*B1256))</f>
        <v>-0.78480891466754066</v>
      </c>
      <c r="G1256" s="40">
        <f>('1.설계입력'!$C$6+'1.설계입력'!$C$33)*COS(B1256)-('1.설계입력'!$C$7+'1.설계입력'!$C$34)*COS(B1256+F1256)-'1.설계입력'!$C$8*COS('1.설계입력'!$C$15*B1256)</f>
        <v>-24.673490272340032</v>
      </c>
      <c r="H1256" s="40">
        <f>-('1.설계입력'!$C$6+'1.설계입력'!$C$33)*SIN(B1256)+('1.설계입력'!$C$7+'1.설계입력'!$C$34)*SIN(B1256+F1256)+'1.설계입력'!$C$8*SIN('1.설계입력'!$C$15*B1256)</f>
        <v>73.878633778532148</v>
      </c>
      <c r="I1256" s="40">
        <f t="shared" si="58"/>
        <v>77.898406830446632</v>
      </c>
      <c r="J1256" s="40">
        <f t="shared" si="59"/>
        <v>77.88988157136798</v>
      </c>
      <c r="K1256" s="38" t="str">
        <f>IF(OR(A1256&gt;180,'1.설계입력'!$C$39&gt;=1),"",'1.설계입력'!$C$34*(1-SIN(B1256)/SQRT(1+'1.설계입력'!$C$39^2-2*'1.설계입력'!$C$39*COS(B1256)))-'1.설계입력'!$C$33*(1-'1.설계입력'!$C$39*COS(B1256)-SQRT(MAX(0,1-'1.설계입력'!$C$39^2))*SIN(B1256))/SQRT(1+'1.설계입력'!$C$39^2-2*'1.설계입력'!$C$39*COS(B1256)))</f>
        <v/>
      </c>
    </row>
    <row r="1257" spans="1:11" x14ac:dyDescent="0.3">
      <c r="A1257" s="40">
        <f>A1256+'1.설계입력'!$C$12</f>
        <v>250.19999999999433</v>
      </c>
      <c r="B1257" s="40">
        <f t="shared" si="57"/>
        <v>4.366813788489714</v>
      </c>
      <c r="C1257" s="40">
        <f>ATAN2('1.설계입력'!$C$6/('1.설계입력'!$C$8*'1.설계입력'!$C$15)-COS((1-'1.설계입력'!$C$15)*B1257),SIN((1-'1.설계입력'!$C$15)*B1257))</f>
        <v>-0.81598793491460264</v>
      </c>
      <c r="D1257" s="40">
        <f>'1.설계입력'!$C$6*COS(B1257)-'1.설계입력'!$C$7*COS(B1257+C1257)-'1.설계입력'!$C$8*COS('1.설계입력'!$C$15*B1257)</f>
        <v>-24.570330124478993</v>
      </c>
      <c r="E1257" s="40">
        <f>-'1.설계입력'!$C$6*SIN(B1257)+'1.설계입력'!$C$7*SIN(B1257+C1257)+'1.설계입력'!$C$8*SIN('1.설계입력'!$C$15*B1257)</f>
        <v>74.134014429377856</v>
      </c>
      <c r="F1257" s="40">
        <f>ATAN2(('1.설계입력'!$C$6+'1.설계입력'!$C$33)/('1.설계입력'!$C$8*'1.설계입력'!$C$15)-COS((1-'1.설계입력'!$C$15)*B1257),SIN((1-'1.설계입력'!$C$15)*B1257))</f>
        <v>-0.8160326626954898</v>
      </c>
      <c r="G1257" s="40">
        <f>('1.설계입력'!$C$6+'1.설계입력'!$C$33)*COS(B1257)-('1.설계입력'!$C$7+'1.설계입력'!$C$34)*COS(B1257+F1257)-'1.설계입력'!$C$8*COS('1.설계입력'!$C$15*B1257)</f>
        <v>-24.561777554367179</v>
      </c>
      <c r="H1257" s="40">
        <f>-('1.설계입력'!$C$6+'1.설계입력'!$C$33)*SIN(B1257)+('1.설계입력'!$C$7+'1.설계입력'!$C$34)*SIN(B1257+F1257)+'1.설계입력'!$C$8*SIN('1.설계입력'!$C$15*B1257)</f>
        <v>74.128039132424618</v>
      </c>
      <c r="I1257" s="40">
        <f t="shared" si="58"/>
        <v>78.099636477009824</v>
      </c>
      <c r="J1257" s="40">
        <f t="shared" si="59"/>
        <v>78.091274174830133</v>
      </c>
      <c r="K1257" s="38" t="str">
        <f>IF(OR(A1257&gt;180,'1.설계입력'!$C$39&gt;=1),"",'1.설계입력'!$C$34*(1-SIN(B1257)/SQRT(1+'1.설계입력'!$C$39^2-2*'1.설계입력'!$C$39*COS(B1257)))-'1.설계입력'!$C$33*(1-'1.설계입력'!$C$39*COS(B1257)-SQRT(MAX(0,1-'1.설계입력'!$C$39^2))*SIN(B1257))/SQRT(1+'1.설계입력'!$C$39^2-2*'1.설계입력'!$C$39*COS(B1257)))</f>
        <v/>
      </c>
    </row>
    <row r="1258" spans="1:11" x14ac:dyDescent="0.3">
      <c r="A1258" s="40">
        <f>A1257+'1.설계입력'!$C$12</f>
        <v>250.39999999999432</v>
      </c>
      <c r="B1258" s="40">
        <f t="shared" si="57"/>
        <v>4.3703044469937025</v>
      </c>
      <c r="C1258" s="40">
        <f>ATAN2('1.설계입력'!$C$6/('1.설계입력'!$C$8*'1.설계입력'!$C$15)-COS((1-'1.설계입력'!$C$15)*B1258),SIN((1-'1.설계입력'!$C$15)*B1258))</f>
        <v>-0.81974597988746489</v>
      </c>
      <c r="D1258" s="40">
        <f>'1.설계입력'!$C$6*COS(B1258)-'1.설계입력'!$C$7*COS(B1258+C1258)-'1.설계입력'!$C$8*COS('1.설계입력'!$C$15*B1258)</f>
        <v>-24.494455165015196</v>
      </c>
      <c r="E1258" s="40">
        <f>-'1.설계입력'!$C$6*SIN(B1258)+'1.설계입력'!$C$7*SIN(B1258+C1258)+'1.설계입력'!$C$8*SIN('1.설계입력'!$C$15*B1258)</f>
        <v>74.309877494983766</v>
      </c>
      <c r="F1258" s="40">
        <f>ATAN2(('1.설계입력'!$C$6+'1.설계입력'!$C$33)/('1.설계입력'!$C$8*'1.설계입력'!$C$15)-COS((1-'1.설계입력'!$C$15)*B1258),SIN((1-'1.설계입력'!$C$15)*B1258))</f>
        <v>-0.81978462037253974</v>
      </c>
      <c r="G1258" s="40">
        <f>('1.설계입력'!$C$6+'1.설계입력'!$C$33)*COS(B1258)-('1.설계입력'!$C$7+'1.설계입력'!$C$34)*COS(B1258+F1258)-'1.설계입력'!$C$8*COS('1.설계입력'!$C$15*B1258)</f>
        <v>-24.485921666424954</v>
      </c>
      <c r="H1258" s="40">
        <f>-('1.설계입력'!$C$6+'1.설계입력'!$C$33)*SIN(B1258)+('1.설계입력'!$C$7+'1.설계입력'!$C$34)*SIN(B1258+F1258)+'1.설계입력'!$C$8*SIN('1.설계입력'!$C$15*B1258)</f>
        <v>74.303878169668366</v>
      </c>
      <c r="I1258" s="40">
        <f t="shared" si="58"/>
        <v>78.242803037406802</v>
      </c>
      <c r="J1258" s="40">
        <f t="shared" si="59"/>
        <v>78.234434048615825</v>
      </c>
      <c r="K1258" s="38" t="str">
        <f>IF(OR(A1258&gt;180,'1.설계입력'!$C$39&gt;=1),"",'1.설계입력'!$C$34*(1-SIN(B1258)/SQRT(1+'1.설계입력'!$C$39^2-2*'1.설계입력'!$C$39*COS(B1258)))-'1.설계입력'!$C$33*(1-'1.설계입력'!$C$39*COS(B1258)-SQRT(MAX(0,1-'1.설계입력'!$C$39^2))*SIN(B1258))/SQRT(1+'1.설계입력'!$C$39^2-2*'1.설계입력'!$C$39*COS(B1258)))</f>
        <v/>
      </c>
    </row>
    <row r="1259" spans="1:11" x14ac:dyDescent="0.3">
      <c r="A1259" s="40">
        <f>A1258+'1.설계입력'!$C$12</f>
        <v>250.59999999999431</v>
      </c>
      <c r="B1259" s="40">
        <f t="shared" si="57"/>
        <v>4.3737951054976909</v>
      </c>
      <c r="C1259" s="40">
        <f>ATAN2('1.설계입력'!$C$6/('1.설계입력'!$C$8*'1.설계입력'!$C$15)-COS((1-'1.설계입력'!$C$15)*B1259),SIN((1-'1.설계입력'!$C$15)*B1259))</f>
        <v>-0.8059739929097276</v>
      </c>
      <c r="D1259" s="40">
        <f>'1.설계입력'!$C$6*COS(B1259)-'1.설계입력'!$C$7*COS(B1259+C1259)-'1.설계입력'!$C$8*COS('1.설계입력'!$C$15*B1259)</f>
        <v>-24.433876063762394</v>
      </c>
      <c r="E1259" s="40">
        <f>-'1.설계입력'!$C$6*SIN(B1259)+'1.설계입력'!$C$7*SIN(B1259+C1259)+'1.설계입력'!$C$8*SIN('1.설계입력'!$C$15*B1259)</f>
        <v>74.446943016576185</v>
      </c>
      <c r="F1259" s="40">
        <f>ATAN2(('1.설계입력'!$C$6+'1.설계입력'!$C$33)/('1.설계입력'!$C$8*'1.설계입력'!$C$15)-COS((1-'1.설계입력'!$C$15)*B1259),SIN((1-'1.설계입력'!$C$15)*B1259))</f>
        <v>-0.80600749614480149</v>
      </c>
      <c r="G1259" s="40">
        <f>('1.설계입력'!$C$6+'1.설계입력'!$C$33)*COS(B1259)-('1.설계입력'!$C$7+'1.설계입력'!$C$34)*COS(B1259+F1259)-'1.설계입력'!$C$8*COS('1.설계입력'!$C$15*B1259)</f>
        <v>-24.4254155424773</v>
      </c>
      <c r="H1259" s="40">
        <f>-('1.설계입력'!$C$6+'1.설계입력'!$C$33)*SIN(B1259)+('1.설계입력'!$C$7+'1.설계입력'!$C$34)*SIN(B1259+F1259)+'1.설계입력'!$C$8*SIN('1.설계입력'!$C$15*B1259)</f>
        <v>74.440792436253247</v>
      </c>
      <c r="I1259" s="40">
        <f t="shared" si="58"/>
        <v>78.354078541021991</v>
      </c>
      <c r="J1259" s="40">
        <f t="shared" si="59"/>
        <v>78.345596576706399</v>
      </c>
      <c r="K1259" s="38" t="str">
        <f>IF(OR(A1259&gt;180,'1.설계입력'!$C$39&gt;=1),"",'1.설계입력'!$C$34*(1-SIN(B1259)/SQRT(1+'1.설계입력'!$C$39^2-2*'1.설계입력'!$C$39*COS(B1259)))-'1.설계입력'!$C$33*(1-'1.설계입력'!$C$39*COS(B1259)-SQRT(MAX(0,1-'1.설계입력'!$C$39^2))*SIN(B1259))/SQRT(1+'1.설계입력'!$C$39^2-2*'1.설계입력'!$C$39*COS(B1259)))</f>
        <v/>
      </c>
    </row>
    <row r="1260" spans="1:11" x14ac:dyDescent="0.3">
      <c r="A1260" s="40">
        <f>A1259+'1.설계입력'!$C$12</f>
        <v>250.7999999999943</v>
      </c>
      <c r="B1260" s="40">
        <f t="shared" si="57"/>
        <v>4.3772857640016793</v>
      </c>
      <c r="C1260" s="40">
        <f>ATAN2('1.설계입력'!$C$6/('1.설계입력'!$C$8*'1.설계입력'!$C$15)-COS((1-'1.설계입력'!$C$15)*B1260),SIN((1-'1.설계입력'!$C$15)*B1260))</f>
        <v>-0.78051163836457105</v>
      </c>
      <c r="D1260" s="40">
        <f>'1.설계입력'!$C$6*COS(B1260)-'1.설계입력'!$C$7*COS(B1260+C1260)-'1.설계입력'!$C$8*COS('1.설계입력'!$C$15*B1260)</f>
        <v>-24.378035889055852</v>
      </c>
      <c r="E1260" s="40">
        <f>-'1.설계입력'!$C$6*SIN(B1260)+'1.설계입력'!$C$7*SIN(B1260+C1260)+'1.설계입력'!$C$8*SIN('1.설계입력'!$C$15*B1260)</f>
        <v>74.56564385790449</v>
      </c>
      <c r="F1260" s="40">
        <f>ATAN2(('1.설계입력'!$C$6+'1.설계입력'!$C$33)/('1.설계입력'!$C$8*'1.설계입력'!$C$15)-COS((1-'1.설계입력'!$C$15)*B1260),SIN((1-'1.설계입력'!$C$15)*B1260))</f>
        <v>-0.78054083090820037</v>
      </c>
      <c r="G1260" s="40">
        <f>('1.설계입력'!$C$6+'1.설계입력'!$C$33)*COS(B1260)-('1.설계입력'!$C$7+'1.설계입력'!$C$34)*COS(B1260+F1260)-'1.설계입력'!$C$8*COS('1.설계입력'!$C$15*B1260)</f>
        <v>-24.369689696674033</v>
      </c>
      <c r="H1260" s="40">
        <f>-('1.설계입력'!$C$6+'1.설계입력'!$C$33)*SIN(B1260)+('1.설계입력'!$C$7+'1.설계입력'!$C$34)*SIN(B1260+F1260)+'1.설계입력'!$C$8*SIN('1.설계입력'!$C$15*B1260)</f>
        <v>74.559260420015718</v>
      </c>
      <c r="I1260" s="40">
        <f t="shared" si="58"/>
        <v>78.449498900578988</v>
      </c>
      <c r="J1260" s="40">
        <f t="shared" si="59"/>
        <v>78.440838153935502</v>
      </c>
      <c r="K1260" s="38" t="str">
        <f>IF(OR(A1260&gt;180,'1.설계입력'!$C$39&gt;=1),"",'1.설계입력'!$C$34*(1-SIN(B1260)/SQRT(1+'1.설계입력'!$C$39^2-2*'1.설계입력'!$C$39*COS(B1260)))-'1.설계입력'!$C$33*(1-'1.설계입력'!$C$39*COS(B1260)-SQRT(MAX(0,1-'1.설계입력'!$C$39^2))*SIN(B1260))/SQRT(1+'1.설계입력'!$C$39^2-2*'1.설계입력'!$C$39*COS(B1260)))</f>
        <v/>
      </c>
    </row>
    <row r="1261" spans="1:11" x14ac:dyDescent="0.3">
      <c r="A1261" s="40">
        <f>A1260+'1.설계입력'!$C$12</f>
        <v>250.99999999999429</v>
      </c>
      <c r="B1261" s="40">
        <f t="shared" si="57"/>
        <v>4.3807764225056678</v>
      </c>
      <c r="C1261" s="40">
        <f>ATAN2('1.설계입력'!$C$6/('1.설계입력'!$C$8*'1.설계입력'!$C$15)-COS((1-'1.설계입력'!$C$15)*B1261),SIN((1-'1.설계입력'!$C$15)*B1261))</f>
        <v>-0.74693982265965253</v>
      </c>
      <c r="D1261" s="40">
        <f>'1.설계입력'!$C$6*COS(B1261)-'1.설계입력'!$C$7*COS(B1261+C1261)-'1.설계입력'!$C$8*COS('1.설계입력'!$C$15*B1261)</f>
        <v>-24.320557014591415</v>
      </c>
      <c r="E1261" s="40">
        <f>-'1.설계입력'!$C$6*SIN(B1261)+'1.설계입력'!$C$7*SIN(B1261+C1261)+'1.설계입력'!$C$8*SIN('1.설계입력'!$C$15*B1261)</f>
        <v>74.677923347987516</v>
      </c>
      <c r="F1261" s="40">
        <f>ATAN2(('1.설계입력'!$C$6+'1.설계입력'!$C$33)/('1.설계입력'!$C$8*'1.설계입력'!$C$15)-COS((1-'1.설계입력'!$C$15)*B1261),SIN((1-'1.설계입력'!$C$15)*B1261))</f>
        <v>-0.74696536832774207</v>
      </c>
      <c r="G1261" s="40">
        <f>('1.설계입력'!$C$6+'1.설계입력'!$C$33)*COS(B1261)-('1.설계입력'!$C$7+'1.설계입력'!$C$34)*COS(B1261+F1261)-'1.설계입력'!$C$8*COS('1.설계입력'!$C$15*B1261)</f>
        <v>-24.312361040582861</v>
      </c>
      <c r="H1261" s="40">
        <f>-('1.설계입력'!$C$6+'1.설계입력'!$C$33)*SIN(B1261)+('1.설계입력'!$C$7+'1.설계입력'!$C$34)*SIN(B1261+F1261)+'1.설계입력'!$C$8*SIN('1.설계입력'!$C$15*B1261)</f>
        <v>74.671254377031872</v>
      </c>
      <c r="I1261" s="40">
        <f t="shared" si="58"/>
        <v>78.538409259851264</v>
      </c>
      <c r="J1261" s="40">
        <f t="shared" si="59"/>
        <v>78.529530302982536</v>
      </c>
      <c r="K1261" s="38" t="str">
        <f>IF(OR(A1261&gt;180,'1.설계입력'!$C$39&gt;=1),"",'1.설계입력'!$C$34*(1-SIN(B1261)/SQRT(1+'1.설계입력'!$C$39^2-2*'1.설계입력'!$C$39*COS(B1261)))-'1.설계입력'!$C$33*(1-'1.설계입력'!$C$39*COS(B1261)-SQRT(MAX(0,1-'1.설계입력'!$C$39^2))*SIN(B1261))/SQRT(1+'1.설계입력'!$C$39^2-2*'1.설계입력'!$C$39*COS(B1261)))</f>
        <v/>
      </c>
    </row>
    <row r="1262" spans="1:11" x14ac:dyDescent="0.3">
      <c r="A1262" s="40">
        <f>A1261+'1.설계입력'!$C$12</f>
        <v>251.19999999999428</v>
      </c>
      <c r="B1262" s="40">
        <f t="shared" si="57"/>
        <v>4.3842670810096562</v>
      </c>
      <c r="C1262" s="40">
        <f>ATAN2('1.설계입력'!$C$6/('1.설계입력'!$C$8*'1.설계입력'!$C$15)-COS((1-'1.설계입력'!$C$15)*B1262),SIN((1-'1.설계입력'!$C$15)*B1262))</f>
        <v>-0.70755148623830832</v>
      </c>
      <c r="D1262" s="40">
        <f>'1.설계입력'!$C$6*COS(B1262)-'1.설계입력'!$C$7*COS(B1262+C1262)-'1.설계입력'!$C$8*COS('1.설계입력'!$C$15*B1262)</f>
        <v>-24.257035383885757</v>
      </c>
      <c r="E1262" s="40">
        <f>-'1.설계입력'!$C$6*SIN(B1262)+'1.설계입력'!$C$7*SIN(B1262+C1262)+'1.설계입력'!$C$8*SIN('1.설계입력'!$C$15*B1262)</f>
        <v>74.79057324106094</v>
      </c>
      <c r="F1262" s="40">
        <f>ATAN2(('1.설계입력'!$C$6+'1.설계입력'!$C$33)/('1.설계입력'!$C$8*'1.설계입력'!$C$15)-COS((1-'1.설계입력'!$C$15)*B1262),SIN((1-'1.설계입력'!$C$15)*B1262))</f>
        <v>-0.70757390666764286</v>
      </c>
      <c r="G1262" s="40">
        <f>('1.설계입력'!$C$6+'1.설계입력'!$C$33)*COS(B1262)-('1.설계입력'!$C$7+'1.설계입력'!$C$34)*COS(B1262+F1262)-'1.설계입력'!$C$8*COS('1.설계입력'!$C$15*B1262)</f>
        <v>-24.249022867450634</v>
      </c>
      <c r="H1262" s="40">
        <f>-('1.설계입력'!$C$6+'1.설계입력'!$C$33)*SIN(B1262)+('1.설계입력'!$C$7+'1.설계입력'!$C$34)*SIN(B1262+F1262)+'1.설계입력'!$C$8*SIN('1.설계입력'!$C$15*B1262)</f>
        <v>74.783585360768626</v>
      </c>
      <c r="I1262" s="40">
        <f t="shared" si="58"/>
        <v>78.625909287852352</v>
      </c>
      <c r="J1262" s="40">
        <f t="shared" si="59"/>
        <v>78.616790505829684</v>
      </c>
      <c r="K1262" s="38" t="str">
        <f>IF(OR(A1262&gt;180,'1.설계입력'!$C$39&gt;=1),"",'1.설계입력'!$C$34*(1-SIN(B1262)/SQRT(1+'1.설계입력'!$C$39^2-2*'1.설계입력'!$C$39*COS(B1262)))-'1.설계입력'!$C$33*(1-'1.설계입력'!$C$39*COS(B1262)-SQRT(MAX(0,1-'1.설계입력'!$C$39^2))*SIN(B1262))/SQRT(1+'1.설계입력'!$C$39^2-2*'1.설계입력'!$C$39*COS(B1262)))</f>
        <v/>
      </c>
    </row>
    <row r="1263" spans="1:11" x14ac:dyDescent="0.3">
      <c r="A1263" s="40">
        <f>A1262+'1.설계입력'!$C$12</f>
        <v>251.39999999999426</v>
      </c>
      <c r="B1263" s="40">
        <f t="shared" si="57"/>
        <v>4.3877577395136447</v>
      </c>
      <c r="C1263" s="40">
        <f>ATAN2('1.설계입력'!$C$6/('1.설계입력'!$C$8*'1.설계입력'!$C$15)-COS((1-'1.설계입력'!$C$15)*B1263),SIN((1-'1.설계입력'!$C$15)*B1263))</f>
        <v>-0.66387397902169454</v>
      </c>
      <c r="D1263" s="40">
        <f>'1.설계입력'!$C$6*COS(B1263)-'1.설계입력'!$C$7*COS(B1263+C1263)-'1.설계입력'!$C$8*COS('1.설계입력'!$C$15*B1263)</f>
        <v>-24.184162052019762</v>
      </c>
      <c r="E1263" s="40">
        <f>-'1.설계입력'!$C$6*SIN(B1263)+'1.설계입력'!$C$7*SIN(B1263+C1263)+'1.설계입력'!$C$8*SIN('1.설계입력'!$C$15*B1263)</f>
        <v>74.907148967640723</v>
      </c>
      <c r="F1263" s="40">
        <f>ATAN2(('1.설계입력'!$C$6+'1.설계입력'!$C$33)/('1.설계입력'!$C$8*'1.설계입력'!$C$15)-COS((1-'1.설계입력'!$C$15)*B1263),SIN((1-'1.설계입력'!$C$15)*B1263))</f>
        <v>-0.663893683181911</v>
      </c>
      <c r="G1263" s="40">
        <f>('1.설계입력'!$C$6+'1.설계입력'!$C$33)*COS(B1263)-('1.설계입력'!$C$7+'1.설계입력'!$C$34)*COS(B1263+F1263)-'1.설계입력'!$C$8*COS('1.설계입력'!$C$15*B1263)</f>
        <v>-24.176364687218779</v>
      </c>
      <c r="H1263" s="40">
        <f>-('1.설계입력'!$C$6+'1.설계입력'!$C$33)*SIN(B1263)+('1.설계입력'!$C$7+'1.설계입력'!$C$34)*SIN(B1263+F1263)+'1.설계입력'!$C$8*SIN('1.설계입력'!$C$15*B1263)</f>
        <v>74.899822342072724</v>
      </c>
      <c r="I1263" s="40">
        <f t="shared" si="58"/>
        <v>78.714386617813844</v>
      </c>
      <c r="J1263" s="40">
        <f t="shared" si="59"/>
        <v>78.705018876584077</v>
      </c>
      <c r="K1263" s="38" t="str">
        <f>IF(OR(A1263&gt;180,'1.설계입력'!$C$39&gt;=1),"",'1.설계입력'!$C$34*(1-SIN(B1263)/SQRT(1+'1.설계입력'!$C$39^2-2*'1.설계입력'!$C$39*COS(B1263)))-'1.설계입력'!$C$33*(1-'1.설계입력'!$C$39*COS(B1263)-SQRT(MAX(0,1-'1.설계입력'!$C$39^2))*SIN(B1263))/SQRT(1+'1.설계입력'!$C$39^2-2*'1.설계입력'!$C$39*COS(B1263)))</f>
        <v/>
      </c>
    </row>
    <row r="1264" spans="1:11" x14ac:dyDescent="0.3">
      <c r="A1264" s="40">
        <f>A1263+'1.설계입력'!$C$12</f>
        <v>251.59999999999425</v>
      </c>
      <c r="B1264" s="40">
        <f t="shared" si="57"/>
        <v>4.3912483980176331</v>
      </c>
      <c r="C1264" s="40">
        <f>ATAN2('1.설계입력'!$C$6/('1.설계입력'!$C$8*'1.설계입력'!$C$15)-COS((1-'1.설계입력'!$C$15)*B1264),SIN((1-'1.설계입력'!$C$15)*B1264))</f>
        <v>-0.61696101303740292</v>
      </c>
      <c r="D1264" s="40">
        <f>'1.설계입력'!$C$6*COS(B1264)-'1.설계입력'!$C$7*COS(B1264+C1264)-'1.설계입력'!$C$8*COS('1.설계입력'!$C$15*B1264)</f>
        <v>-24.099365615234042</v>
      </c>
      <c r="E1264" s="40">
        <f>-'1.설계입력'!$C$6*SIN(B1264)+'1.설계입력'!$C$7*SIN(B1264+C1264)+'1.설계입력'!$C$8*SIN('1.설계입력'!$C$15*B1264)</f>
        <v>75.029096787758021</v>
      </c>
      <c r="F1264" s="40">
        <f>ATAN2(('1.설계입력'!$C$6+'1.설계입력'!$C$33)/('1.설계입력'!$C$8*'1.설계입력'!$C$15)-COS((1-'1.설계입력'!$C$15)*B1264),SIN((1-'1.설계입력'!$C$15)*B1264))</f>
        <v>-0.61697832306018263</v>
      </c>
      <c r="G1264" s="40">
        <f>('1.설계입력'!$C$6+'1.설계입력'!$C$33)*COS(B1264)-('1.설계입력'!$C$7+'1.설계입력'!$C$34)*COS(B1264+F1264)-'1.설계입력'!$C$8*COS('1.설계입력'!$C$15*B1264)</f>
        <v>-24.091813938125451</v>
      </c>
      <c r="H1264" s="40">
        <f>-('1.설계입력'!$C$6+'1.설계입력'!$C$33)*SIN(B1264)+('1.설계입력'!$C$7+'1.설계입력'!$C$34)*SIN(B1264+F1264)+'1.설계입력'!$C$8*SIN('1.설계입력'!$C$15*B1264)</f>
        <v>75.021421531049072</v>
      </c>
      <c r="I1264" s="40">
        <f t="shared" si="58"/>
        <v>78.804471877194175</v>
      </c>
      <c r="J1264" s="40">
        <f t="shared" si="59"/>
        <v>78.794855081842798</v>
      </c>
      <c r="K1264" s="38" t="str">
        <f>IF(OR(A1264&gt;180,'1.설계입력'!$C$39&gt;=1),"",'1.설계입력'!$C$34*(1-SIN(B1264)/SQRT(1+'1.설계입력'!$C$39^2-2*'1.설계입력'!$C$39*COS(B1264)))-'1.설계입력'!$C$33*(1-'1.설계입력'!$C$39*COS(B1264)-SQRT(MAX(0,1-'1.설계입력'!$C$39^2))*SIN(B1264))/SQRT(1+'1.설계입력'!$C$39^2-2*'1.설계입력'!$C$39*COS(B1264)))</f>
        <v/>
      </c>
    </row>
    <row r="1265" spans="1:11" x14ac:dyDescent="0.3">
      <c r="A1265" s="40">
        <f>A1264+'1.설계입력'!$C$12</f>
        <v>251.79999999999424</v>
      </c>
      <c r="B1265" s="40">
        <f t="shared" si="57"/>
        <v>4.3947390565216216</v>
      </c>
      <c r="C1265" s="40">
        <f>ATAN2('1.설계입력'!$C$6/('1.설계입력'!$C$8*'1.설계입력'!$C$15)-COS((1-'1.설계입력'!$C$15)*B1265),SIN((1-'1.설계입력'!$C$15)*B1265))</f>
        <v>-0.56756253571595394</v>
      </c>
      <c r="D1265" s="40">
        <f>'1.설계입력'!$C$6*COS(B1265)-'1.설계입력'!$C$7*COS(B1265+C1265)-'1.설계입력'!$C$8*COS('1.설계입력'!$C$15*B1265)</f>
        <v>-24.000667348790188</v>
      </c>
      <c r="E1265" s="40">
        <f>-'1.설계입력'!$C$6*SIN(B1265)+'1.설계입력'!$C$7*SIN(B1265+C1265)+'1.설계입력'!$C$8*SIN('1.설계입력'!$C$15*B1265)</f>
        <v>75.156448327395935</v>
      </c>
      <c r="F1265" s="40">
        <f>ATAN2(('1.설계입력'!$C$6+'1.설계입력'!$C$33)/('1.설계입력'!$C$8*'1.설계입력'!$C$15)-COS((1-'1.설계입력'!$C$15)*B1265),SIN((1-'1.설계입력'!$C$15)*B1265))</f>
        <v>-0.56757770701908916</v>
      </c>
      <c r="G1265" s="40">
        <f>('1.설계입력'!$C$6+'1.설계입력'!$C$33)*COS(B1265)-('1.설계입력'!$C$7+'1.설계입력'!$C$34)*COS(B1265+F1265)-'1.설계입력'!$C$8*COS('1.설계입력'!$C$15*B1265)</f>
        <v>-23.993390810671258</v>
      </c>
      <c r="H1265" s="40">
        <f>-('1.설계입력'!$C$6+'1.설계입력'!$C$33)*SIN(B1265)+('1.설계입력'!$C$7+'1.설계입력'!$C$34)*SIN(B1265+F1265)+'1.설계입력'!$C$8*SIN('1.설계입력'!$C$15*B1265)</f>
        <v>75.148422169810317</v>
      </c>
      <c r="I1265" s="40">
        <f t="shared" si="58"/>
        <v>78.895651073907857</v>
      </c>
      <c r="J1265" s="40">
        <f t="shared" si="59"/>
        <v>78.88579185889968</v>
      </c>
      <c r="K1265" s="38" t="str">
        <f>IF(OR(A1265&gt;180,'1.설계입력'!$C$39&gt;=1),"",'1.설계입력'!$C$34*(1-SIN(B1265)/SQRT(1+'1.설계입력'!$C$39^2-2*'1.설계입력'!$C$39*COS(B1265)))-'1.설계입력'!$C$33*(1-'1.설계입력'!$C$39*COS(B1265)-SQRT(MAX(0,1-'1.설계입력'!$C$39^2))*SIN(B1265))/SQRT(1+'1.설계입력'!$C$39^2-2*'1.설계입력'!$C$39*COS(B1265)))</f>
        <v/>
      </c>
    </row>
    <row r="1266" spans="1:11" x14ac:dyDescent="0.3">
      <c r="A1266" s="40">
        <f>A1265+'1.설계입력'!$C$12</f>
        <v>251.99999999999423</v>
      </c>
      <c r="B1266" s="40">
        <f t="shared" si="57"/>
        <v>4.39822971502561</v>
      </c>
      <c r="C1266" s="40">
        <f>ATAN2('1.설계입력'!$C$6/('1.설계입력'!$C$8*'1.설계입력'!$C$15)-COS((1-'1.설계입력'!$C$15)*B1266),SIN((1-'1.설계입력'!$C$15)*B1266))</f>
        <v>-0.51622742831845048</v>
      </c>
      <c r="D1266" s="40">
        <f>'1.설계입력'!$C$6*COS(B1266)-'1.설계입력'!$C$7*COS(B1266+C1266)-'1.설계입력'!$C$8*COS('1.설계입력'!$C$15*B1266)</f>
        <v>-23.886624394270246</v>
      </c>
      <c r="E1266" s="40">
        <f>-'1.설계입력'!$C$6*SIN(B1266)+'1.설계입력'!$C$7*SIN(B1266+C1266)+'1.설계입력'!$C$8*SIN('1.설계입력'!$C$15*B1266)</f>
        <v>75.2882729112942</v>
      </c>
      <c r="F1266" s="40">
        <f>ATAN2(('1.설계입력'!$C$6+'1.설계입력'!$C$33)/('1.설계입력'!$C$8*'1.설계입력'!$C$15)-COS((1-'1.설계입력'!$C$15)*B1266),SIN((1-'1.설계입력'!$C$15)*B1266))</f>
        <v>-0.516240664700647</v>
      </c>
      <c r="G1266" s="40">
        <f>('1.설계입력'!$C$6+'1.설계입력'!$C$33)*COS(B1266)-('1.설계입력'!$C$7+'1.설계입력'!$C$34)*COS(B1266+F1266)-'1.설계입력'!$C$8*COS('1.설계입력'!$C$15*B1266)</f>
        <v>-23.879651295460171</v>
      </c>
      <c r="H1266" s="40">
        <f>-('1.설계입력'!$C$6+'1.설계입력'!$C$33)*SIN(B1266)+('1.설계입력'!$C$7+'1.설계입력'!$C$34)*SIN(B1266+F1266)+'1.설계입력'!$C$8*SIN('1.설계입력'!$C$15*B1266)</f>
        <v>75.279899617571104</v>
      </c>
      <c r="I1266" s="40">
        <f t="shared" si="58"/>
        <v>78.986675223853183</v>
      </c>
      <c r="J1266" s="40">
        <f t="shared" si="59"/>
        <v>78.976585342899924</v>
      </c>
      <c r="K1266" s="38" t="str">
        <f>IF(OR(A1266&gt;180,'1.설계입력'!$C$39&gt;=1),"",'1.설계입력'!$C$34*(1-SIN(B1266)/SQRT(1+'1.설계입력'!$C$39^2-2*'1.설계입력'!$C$39*COS(B1266)))-'1.설계입력'!$C$33*(1-'1.설계입력'!$C$39*COS(B1266)-SQRT(MAX(0,1-'1.설계입력'!$C$39^2))*SIN(B1266))/SQRT(1+'1.설계입력'!$C$39^2-2*'1.설계입력'!$C$39*COS(B1266)))</f>
        <v/>
      </c>
    </row>
    <row r="1267" spans="1:11" x14ac:dyDescent="0.3">
      <c r="A1267" s="40">
        <f>A1266+'1.설계입력'!$C$12</f>
        <v>252.19999999999422</v>
      </c>
      <c r="B1267" s="40">
        <f t="shared" si="57"/>
        <v>4.4017203735295984</v>
      </c>
      <c r="C1267" s="40">
        <f>ATAN2('1.설계입력'!$C$6/('1.설계입력'!$C$8*'1.설계입력'!$C$15)-COS((1-'1.설계입력'!$C$15)*B1267),SIN((1-'1.설계입력'!$C$15)*B1267))</f>
        <v>-0.46336781521453335</v>
      </c>
      <c r="D1267" s="40">
        <f>'1.설계입력'!$C$6*COS(B1267)-'1.설계입력'!$C$7*COS(B1267+C1267)-'1.설계입력'!$C$8*COS('1.설계입력'!$C$15*B1267)</f>
        <v>-23.756307708996911</v>
      </c>
      <c r="E1267" s="40">
        <f>-'1.설계입력'!$C$6*SIN(B1267)+'1.설계입력'!$C$7*SIN(B1267+C1267)+'1.설계입력'!$C$8*SIN('1.설계입력'!$C$15*B1267)</f>
        <v>75.422990123264299</v>
      </c>
      <c r="F1267" s="40">
        <f>ATAN2(('1.설계입력'!$C$6+'1.설계입력'!$C$33)/('1.설계입력'!$C$8*'1.설계입력'!$C$15)-COS((1-'1.설계입력'!$C$15)*B1267),SIN((1-'1.설계입력'!$C$15)*B1267))</f>
        <v>-0.46337928005134321</v>
      </c>
      <c r="G1267" s="40">
        <f>('1.설계입력'!$C$6+'1.설계입력'!$C$33)*COS(B1267)-('1.설계입력'!$C$7+'1.설계입력'!$C$34)*COS(B1267+F1267)-'1.설계입력'!$C$8*COS('1.설계입력'!$C$15*B1267)</f>
        <v>-23.749665072004163</v>
      </c>
      <c r="H1267" s="40">
        <f>-('1.설계입력'!$C$6+'1.설계입력'!$C$33)*SIN(B1267)+('1.설계입력'!$C$7+'1.설계입력'!$C$34)*SIN(B1267+F1267)+'1.설계입력'!$C$8*SIN('1.설계입력'!$C$15*B1267)</f>
        <v>75.414278375229088</v>
      </c>
      <c r="I1267" s="40">
        <f t="shared" si="58"/>
        <v>79.075847103262632</v>
      </c>
      <c r="J1267" s="40">
        <f t="shared" si="59"/>
        <v>79.065542266457143</v>
      </c>
      <c r="K1267" s="38" t="str">
        <f>IF(OR(A1267&gt;180,'1.설계입력'!$C$39&gt;=1),"",'1.설계입력'!$C$34*(1-SIN(B1267)/SQRT(1+'1.설계입력'!$C$39^2-2*'1.설계입력'!$C$39*COS(B1267)))-'1.설계입력'!$C$33*(1-'1.설계입력'!$C$39*COS(B1267)-SQRT(MAX(0,1-'1.설계입력'!$C$39^2))*SIN(B1267))/SQRT(1+'1.설계입력'!$C$39^2-2*'1.설계입력'!$C$39*COS(B1267)))</f>
        <v/>
      </c>
    </row>
    <row r="1268" spans="1:11" x14ac:dyDescent="0.3">
      <c r="A1268" s="40">
        <f>A1267+'1.설계입력'!$C$12</f>
        <v>252.39999999999421</v>
      </c>
      <c r="B1268" s="40">
        <f t="shared" si="57"/>
        <v>4.4052110320335869</v>
      </c>
      <c r="C1268" s="40">
        <f>ATAN2('1.설계입력'!$C$6/('1.설계입력'!$C$8*'1.설계입력'!$C$15)-COS((1-'1.설계입력'!$C$15)*B1268),SIN((1-'1.설계입력'!$C$15)*B1268))</f>
        <v>-0.40930064675252842</v>
      </c>
      <c r="D1268" s="40">
        <f>'1.설계입력'!$C$6*COS(B1268)-'1.설계입력'!$C$7*COS(B1268+C1268)-'1.설계입력'!$C$8*COS('1.설계입력'!$C$15*B1268)</f>
        <v>-23.609290878293308</v>
      </c>
      <c r="E1268" s="40">
        <f>-'1.설계입력'!$C$6*SIN(B1268)+'1.설계입력'!$C$7*SIN(B1268+C1268)+'1.설계입력'!$C$8*SIN('1.설계입력'!$C$15*B1268)</f>
        <v>75.55859869892322</v>
      </c>
      <c r="F1268" s="40">
        <f>ATAN2(('1.설계입력'!$C$6+'1.설계입력'!$C$33)/('1.설계입력'!$C$8*'1.설계입력'!$C$15)-COS((1-'1.설계입력'!$C$15)*B1268),SIN((1-'1.설계입력'!$C$15)*B1268))</f>
        <v>-0.4093104712941219</v>
      </c>
      <c r="G1268" s="40">
        <f>('1.설계입력'!$C$6+'1.설계입력'!$C$33)*COS(B1268)-('1.설계입력'!$C$7+'1.설계입력'!$C$34)*COS(B1268+F1268)-'1.설계입력'!$C$8*COS('1.설계입력'!$C$15*B1268)</f>
        <v>-23.603004297362776</v>
      </c>
      <c r="H1268" s="40">
        <f>-('1.설계입력'!$C$6+'1.설계입력'!$C$33)*SIN(B1268)+('1.설계입력'!$C$7+'1.설계입력'!$C$34)*SIN(B1268+F1268)+'1.설계입력'!$C$8*SIN('1.설계입력'!$C$15*B1268)</f>
        <v>75.54956127218064</v>
      </c>
      <c r="I1268" s="40">
        <f t="shared" si="58"/>
        <v>79.161230745364136</v>
      </c>
      <c r="J1268" s="40">
        <f t="shared" si="59"/>
        <v>79.150729752038941</v>
      </c>
      <c r="K1268" s="38" t="str">
        <f>IF(OR(A1268&gt;180,'1.설계입력'!$C$39&gt;=1),"",'1.설계입력'!$C$34*(1-SIN(B1268)/SQRT(1+'1.설계입력'!$C$39^2-2*'1.설계입력'!$C$39*COS(B1268)))-'1.설계입력'!$C$33*(1-'1.설계입력'!$C$39*COS(B1268)-SQRT(MAX(0,1-'1.설계입력'!$C$39^2))*SIN(B1268))/SQRT(1+'1.설계입력'!$C$39^2-2*'1.설계입력'!$C$39*COS(B1268)))</f>
        <v/>
      </c>
    </row>
    <row r="1269" spans="1:11" x14ac:dyDescent="0.3">
      <c r="A1269" s="40">
        <f>A1268+'1.설계입력'!$C$12</f>
        <v>252.5999999999942</v>
      </c>
      <c r="B1269" s="40">
        <f t="shared" si="57"/>
        <v>4.4087016905375753</v>
      </c>
      <c r="C1269" s="40">
        <f>ATAN2('1.설계입력'!$C$6/('1.설계입력'!$C$8*'1.설계입력'!$C$15)-COS((1-'1.설계입력'!$C$15)*B1269),SIN((1-'1.설계입력'!$C$15)*B1269))</f>
        <v>-0.35427539292532001</v>
      </c>
      <c r="D1269" s="40">
        <f>'1.설계입력'!$C$6*COS(B1269)-'1.설계입력'!$C$7*COS(B1269+C1269)-'1.설계입력'!$C$8*COS('1.설계입력'!$C$15*B1269)</f>
        <v>-23.445638687936832</v>
      </c>
      <c r="E1269" s="40">
        <f>-'1.설계입력'!$C$6*SIN(B1269)+'1.설계입력'!$C$7*SIN(B1269+C1269)+'1.설계입력'!$C$8*SIN('1.설계입력'!$C$15*B1269)</f>
        <v>75.692853084285616</v>
      </c>
      <c r="F1269" s="40">
        <f>ATAN2(('1.설계입력'!$C$6+'1.설계입력'!$C$33)/('1.설계입력'!$C$8*'1.설계입력'!$C$15)-COS((1-'1.설계입력'!$C$15)*B1269),SIN((1-'1.설계입력'!$C$15)*B1269))</f>
        <v>-0.35428368246404979</v>
      </c>
      <c r="G1269" s="40">
        <f>('1.설계입력'!$C$6+'1.설계입력'!$C$33)*COS(B1269)-('1.설계입력'!$C$7+'1.설계입력'!$C$34)*COS(B1269+F1269)-'1.설계입력'!$C$8*COS('1.설계입력'!$C$15*B1269)</f>
        <v>-23.439732172849684</v>
      </c>
      <c r="H1269" s="40">
        <f>-('1.설계입력'!$C$6+'1.설계입력'!$C$33)*SIN(B1269)+('1.설계입력'!$C$7+'1.설계입력'!$C$34)*SIN(B1269+F1269)+'1.설계입력'!$C$8*SIN('1.설계입력'!$C$15*B1269)</f>
        <v>75.683506215242659</v>
      </c>
      <c r="I1269" s="40">
        <f t="shared" si="58"/>
        <v>79.240810076150325</v>
      </c>
      <c r="J1269" s="40">
        <f t="shared" si="59"/>
        <v>79.230134149625158</v>
      </c>
      <c r="K1269" s="38" t="str">
        <f>IF(OR(A1269&gt;180,'1.설계입력'!$C$39&gt;=1),"",'1.설계입력'!$C$34*(1-SIN(B1269)/SQRT(1+'1.설계입력'!$C$39^2-2*'1.설계입력'!$C$39*COS(B1269)))-'1.설계입력'!$C$33*(1-'1.설계입력'!$C$39*COS(B1269)-SQRT(MAX(0,1-'1.설계입력'!$C$39^2))*SIN(B1269))/SQRT(1+'1.설계입력'!$C$39^2-2*'1.설계입력'!$C$39*COS(B1269)))</f>
        <v/>
      </c>
    </row>
    <row r="1270" spans="1:11" x14ac:dyDescent="0.3">
      <c r="A1270" s="40">
        <f>A1269+'1.설계입력'!$C$12</f>
        <v>252.79999999999418</v>
      </c>
      <c r="B1270" s="40">
        <f t="shared" si="57"/>
        <v>4.4121923490415638</v>
      </c>
      <c r="C1270" s="40">
        <f>ATAN2('1.설계입력'!$C$6/('1.설계입력'!$C$8*'1.설계입력'!$C$15)-COS((1-'1.설계입력'!$C$15)*B1270),SIN((1-'1.설계입력'!$C$15)*B1270))</f>
        <v>-0.29849300737235662</v>
      </c>
      <c r="D1270" s="40">
        <f>'1.설계입력'!$C$6*COS(B1270)-'1.설계입력'!$C$7*COS(B1270+C1270)-'1.설계입력'!$C$8*COS('1.설계입력'!$C$15*B1270)</f>
        <v>-23.265890243420266</v>
      </c>
      <c r="E1270" s="40">
        <f>-'1.설계입력'!$C$6*SIN(B1270)+'1.설계입력'!$C$7*SIN(B1270+C1270)+'1.설계입력'!$C$8*SIN('1.설계입력'!$C$15*B1270)</f>
        <v>75.823405423314867</v>
      </c>
      <c r="F1270" s="40">
        <f>ATAN2(('1.설계입력'!$C$6+'1.설계입력'!$C$33)/('1.설계입력'!$C$8*'1.설계입력'!$C$15)-COS((1-'1.설계입력'!$C$15)*B1270),SIN((1-'1.설계입력'!$C$15)*B1270))</f>
        <v>-0.2984998458400811</v>
      </c>
      <c r="G1270" s="40">
        <f>('1.설계입력'!$C$6+'1.설계입력'!$C$33)*COS(B1270)-('1.설계입력'!$C$7+'1.설계입력'!$C$34)*COS(B1270+F1270)-'1.설계입력'!$C$8*COS('1.설계입력'!$C$15*B1270)</f>
        <v>-23.260386066358155</v>
      </c>
      <c r="H1270" s="40">
        <f>-('1.설계입력'!$C$6+'1.설계입력'!$C$33)*SIN(B1270)+('1.설계입력'!$C$7+'1.설계입력'!$C$34)*SIN(B1270+F1270)+'1.설계입력'!$C$8*SIN('1.설계입력'!$C$15*B1270)</f>
        <v>75.813768301434095</v>
      </c>
      <c r="I1270" s="40">
        <f t="shared" si="58"/>
        <v>79.312612230383976</v>
      </c>
      <c r="J1270" s="40">
        <f t="shared" si="59"/>
        <v>79.301784494546908</v>
      </c>
      <c r="K1270" s="38" t="str">
        <f>IF(OR(A1270&gt;180,'1.설계입력'!$C$39&gt;=1),"",'1.설계입력'!$C$34*(1-SIN(B1270)/SQRT(1+'1.설계입력'!$C$39^2-2*'1.설계입력'!$C$39*COS(B1270)))-'1.설계입력'!$C$33*(1-'1.설계입력'!$C$39*COS(B1270)-SQRT(MAX(0,1-'1.설계입력'!$C$39^2))*SIN(B1270))/SQRT(1+'1.설계입력'!$C$39^2-2*'1.설계입력'!$C$39*COS(B1270)))</f>
        <v/>
      </c>
    </row>
    <row r="1271" spans="1:11" x14ac:dyDescent="0.3">
      <c r="A1271" s="40">
        <f>A1270+'1.설계입력'!$C$12</f>
        <v>252.99999999999417</v>
      </c>
      <c r="B1271" s="40">
        <f t="shared" si="57"/>
        <v>4.4156830075455522</v>
      </c>
      <c r="C1271" s="40">
        <f>ATAN2('1.설계입력'!$C$6/('1.설계입력'!$C$8*'1.설계입력'!$C$15)-COS((1-'1.설계입력'!$C$15)*B1271),SIN((1-'1.설계입력'!$C$15)*B1271))</f>
        <v>-0.24211927214495182</v>
      </c>
      <c r="D1271" s="40">
        <f>'1.설계입력'!$C$6*COS(B1271)-'1.설계입력'!$C$7*COS(B1271+C1271)-'1.설계입력'!$C$8*COS('1.설계입력'!$C$15*B1271)</f>
        <v>-23.07103429378369</v>
      </c>
      <c r="E1271" s="40">
        <f>-'1.설계입력'!$C$6*SIN(B1271)+'1.설계입력'!$C$7*SIN(B1271+C1271)+'1.설계입력'!$C$8*SIN('1.설계입력'!$C$15*B1271)</f>
        <v>75.947923110612123</v>
      </c>
      <c r="F1271" s="40">
        <f>ATAN2(('1.설계입력'!$C$6+'1.설계입력'!$C$33)/('1.설계입력'!$C$8*'1.설계입력'!$C$15)-COS((1-'1.설계입력'!$C$15)*B1271),SIN((1-'1.설계입력'!$C$15)*B1271))</f>
        <v>-0.24212472554021869</v>
      </c>
      <c r="G1271" s="40">
        <f>('1.설계입력'!$C$6+'1.설계입력'!$C$33)*COS(B1271)-('1.설계입력'!$C$7+'1.설계입력'!$C$34)*COS(B1271+F1271)-'1.설계입력'!$C$8*COS('1.설계입력'!$C$15*B1271)</f>
        <v>-23.06595284363555</v>
      </c>
      <c r="H1271" s="40">
        <f>-('1.설계입력'!$C$6+'1.설계입력'!$C$33)*SIN(B1271)+('1.설계입력'!$C$7+'1.설계입력'!$C$34)*SIN(B1271+F1271)+'1.설계입력'!$C$8*SIN('1.설계입력'!$C$15*B1271)</f>
        <v>75.938017453952952</v>
      </c>
      <c r="I1271" s="40">
        <f t="shared" si="58"/>
        <v>79.374804870313824</v>
      </c>
      <c r="J1271" s="40">
        <f t="shared" si="59"/>
        <v>79.363849928173735</v>
      </c>
      <c r="K1271" s="38" t="str">
        <f>IF(OR(A1271&gt;180,'1.설계입력'!$C$39&gt;=1),"",'1.설계입력'!$C$34*(1-SIN(B1271)/SQRT(1+'1.설계입력'!$C$39^2-2*'1.설계입력'!$C$39*COS(B1271)))-'1.설계입력'!$C$33*(1-'1.설계입력'!$C$39*COS(B1271)-SQRT(MAX(0,1-'1.설계입력'!$C$39^2))*SIN(B1271))/SQRT(1+'1.설계입력'!$C$39^2-2*'1.설계입력'!$C$39*COS(B1271)))</f>
        <v/>
      </c>
    </row>
    <row r="1272" spans="1:11" x14ac:dyDescent="0.3">
      <c r="A1272" s="40">
        <f>A1271+'1.설계입력'!$C$12</f>
        <v>253.19999999999416</v>
      </c>
      <c r="B1272" s="40">
        <f t="shared" si="57"/>
        <v>4.4191736660495406</v>
      </c>
      <c r="C1272" s="40">
        <f>ATAN2('1.설계입력'!$C$6/('1.설계입력'!$C$8*'1.설계입력'!$C$15)-COS((1-'1.설계입력'!$C$15)*B1272),SIN((1-'1.설계입력'!$C$15)*B1272))</f>
        <v>-0.18529445647893253</v>
      </c>
      <c r="D1272" s="40">
        <f>'1.설계입력'!$C$6*COS(B1272)-'1.설계입력'!$C$7*COS(B1272+C1272)-'1.설계입력'!$C$8*COS('1.설계입력'!$C$15*B1272)</f>
        <v>-22.862475908783644</v>
      </c>
      <c r="E1272" s="40">
        <f>-'1.설계입력'!$C$6*SIN(B1272)+'1.설계입력'!$C$7*SIN(B1272+C1272)+'1.설계입력'!$C$8*SIN('1.설계입력'!$C$15*B1272)</f>
        <v>76.064187658167256</v>
      </c>
      <c r="F1272" s="40">
        <f>ATAN2(('1.설계입력'!$C$6+'1.설계입력'!$C$33)/('1.설계입력'!$C$8*'1.설계입력'!$C$15)-COS((1-'1.설계입력'!$C$15)*B1272),SIN((1-'1.설계입력'!$C$15)*B1272))</f>
        <v>-0.18529857540733713</v>
      </c>
      <c r="G1272" s="40">
        <f>('1.설계입력'!$C$6+'1.설계입력'!$C$33)*COS(B1272)-('1.설계입력'!$C$7+'1.설계입력'!$C$34)*COS(B1272+F1272)-'1.설계입력'!$C$8*COS('1.설계입력'!$C$15*B1272)</f>
        <v>-22.85783555503259</v>
      </c>
      <c r="H1272" s="40">
        <f>-('1.설계입력'!$C$6+'1.설계입력'!$C$33)*SIN(B1272)+('1.설계입력'!$C$7+'1.설계입력'!$C$34)*SIN(B1272+F1272)+'1.설계입력'!$C$8*SIN('1.설계입력'!$C$15*B1272)</f>
        <v>76.054037344507648</v>
      </c>
      <c r="I1272" s="40">
        <f t="shared" si="58"/>
        <v>79.425773202258441</v>
      </c>
      <c r="J1272" s="40">
        <f t="shared" si="59"/>
        <v>79.414716788896726</v>
      </c>
      <c r="K1272" s="38" t="str">
        <f>IF(OR(A1272&gt;180,'1.설계입력'!$C$39&gt;=1),"",'1.설계입력'!$C$34*(1-SIN(B1272)/SQRT(1+'1.설계입력'!$C$39^2-2*'1.설계입력'!$C$39*COS(B1272)))-'1.설계입력'!$C$33*(1-'1.설계입력'!$C$39*COS(B1272)-SQRT(MAX(0,1-'1.설계입력'!$C$39^2))*SIN(B1272))/SQRT(1+'1.설계입력'!$C$39^2-2*'1.설계입력'!$C$39*COS(B1272)))</f>
        <v/>
      </c>
    </row>
    <row r="1273" spans="1:11" x14ac:dyDescent="0.3">
      <c r="A1273" s="40">
        <f>A1272+'1.설계입력'!$C$12</f>
        <v>253.39999999999415</v>
      </c>
      <c r="B1273" s="40">
        <f t="shared" si="57"/>
        <v>4.4226643245535291</v>
      </c>
      <c r="C1273" s="40">
        <f>ATAN2('1.설계입력'!$C$6/('1.설계입력'!$C$8*'1.설계입력'!$C$15)-COS((1-'1.설계입력'!$C$15)*B1273),SIN((1-'1.설계입력'!$C$15)*B1273))</f>
        <v>-0.12814052822496591</v>
      </c>
      <c r="D1273" s="40">
        <f>'1.설계입력'!$C$6*COS(B1273)-'1.설계입력'!$C$7*COS(B1273+C1273)-'1.설계입력'!$C$8*COS('1.설계입력'!$C$15*B1273)</f>
        <v>-22.64199448826356</v>
      </c>
      <c r="E1273" s="40">
        <f>-'1.설계입력'!$C$6*SIN(B1273)+'1.설계입력'!$C$7*SIN(B1273+C1273)+'1.설계입력'!$C$8*SIN('1.설계입력'!$C$15*B1273)</f>
        <v>76.17017805498871</v>
      </c>
      <c r="F1273" s="40">
        <f>ATAN2(('1.설계입력'!$C$6+'1.설계입력'!$C$33)/('1.설계입력'!$C$8*'1.설계입력'!$C$15)-COS((1-'1.설계입력'!$C$15)*B1273),SIN((1-'1.설계입력'!$C$15)*B1273))</f>
        <v>-0.12814334975188962</v>
      </c>
      <c r="G1273" s="40">
        <f>('1.설계입력'!$C$6+'1.설계입력'!$C$33)*COS(B1273)-('1.설계입력'!$C$7+'1.설계입력'!$C$34)*COS(B1273+F1273)-'1.설계입력'!$C$8*COS('1.설계입력'!$C$15*B1273)</f>
        <v>-22.637811455408873</v>
      </c>
      <c r="H1273" s="40">
        <f>-('1.설계입력'!$C$6+'1.설계입력'!$C$33)*SIN(B1273)+('1.설계입력'!$C$7+'1.설계입력'!$C$34)*SIN(B1273+F1273)+'1.설계입력'!$C$8*SIN('1.설계입력'!$C$15*B1273)</f>
        <v>76.159808789759936</v>
      </c>
      <c r="I1273" s="40">
        <f t="shared" si="58"/>
        <v>79.464180228170989</v>
      </c>
      <c r="J1273" s="40">
        <f t="shared" si="59"/>
        <v>79.45304891810909</v>
      </c>
      <c r="K1273" s="38" t="str">
        <f>IF(OR(A1273&gt;180,'1.설계입력'!$C$39&gt;=1),"",'1.설계입력'!$C$34*(1-SIN(B1273)/SQRT(1+'1.설계입력'!$C$39^2-2*'1.설계입력'!$C$39*COS(B1273)))-'1.설계입력'!$C$33*(1-'1.설계입력'!$C$39*COS(B1273)-SQRT(MAX(0,1-'1.설계입력'!$C$39^2))*SIN(B1273))/SQRT(1+'1.설계입력'!$C$39^2-2*'1.설계입력'!$C$39*COS(B1273)))</f>
        <v/>
      </c>
    </row>
    <row r="1274" spans="1:11" x14ac:dyDescent="0.3">
      <c r="A1274" s="40">
        <f>A1273+'1.설계입력'!$C$12</f>
        <v>253.59999999999414</v>
      </c>
      <c r="B1274" s="40">
        <f t="shared" si="57"/>
        <v>4.4261549830575175</v>
      </c>
      <c r="C1274" s="40">
        <f>ATAN2('1.설계입력'!$C$6/('1.설계입력'!$C$8*'1.설계입력'!$C$15)-COS((1-'1.설계입력'!$C$15)*B1274),SIN((1-'1.설계입력'!$C$15)*B1274))</f>
        <v>-7.0766737902919236E-2</v>
      </c>
      <c r="D1274" s="40">
        <f>'1.설계입력'!$C$6*COS(B1274)-'1.설계입력'!$C$7*COS(B1274+C1274)-'1.설계입력'!$C$8*COS('1.설계입력'!$C$15*B1274)</f>
        <v>-22.411693578688826</v>
      </c>
      <c r="E1274" s="40">
        <f>-'1.설계입력'!$C$6*SIN(B1274)+'1.설계입력'!$C$7*SIN(B1274+C1274)+'1.설계입력'!$C$8*SIN('1.설계입력'!$C$15*B1274)</f>
        <v>76.264140276438127</v>
      </c>
      <c r="F1274" s="40">
        <f>ATAN2(('1.설계입력'!$C$6+'1.설계입력'!$C$33)/('1.설계입력'!$C$8*'1.설계입력'!$C$15)-COS((1-'1.설계입력'!$C$15)*B1274),SIN((1-'1.설계입력'!$C$15)*B1274))</f>
        <v>-7.0768286856946888E-2</v>
      </c>
      <c r="G1274" s="40">
        <f>('1.설계입력'!$C$6+'1.설계입력'!$C$33)*COS(B1274)-('1.설계입력'!$C$7+'1.설계입력'!$C$34)*COS(B1274+F1274)-'1.설계입력'!$C$8*COS('1.설계입력'!$C$15*B1274)</f>
        <v>-22.407981831483717</v>
      </c>
      <c r="H1274" s="40">
        <f>-('1.설계입력'!$C$6+'1.설계입력'!$C$33)*SIN(B1274)+('1.설계입력'!$C$7+'1.설계입력'!$C$34)*SIN(B1274+F1274)+'1.설계입력'!$C$8*SIN('1.설계입력'!$C$15*B1274)</f>
        <v>76.253579284402832</v>
      </c>
      <c r="I1274" s="40">
        <f t="shared" si="58"/>
        <v>79.489012455617242</v>
      </c>
      <c r="J1274" s="40">
        <f t="shared" si="59"/>
        <v>79.477833409340079</v>
      </c>
      <c r="K1274" s="38" t="str">
        <f>IF(OR(A1274&gt;180,'1.설계입력'!$C$39&gt;=1),"",'1.설계입력'!$C$34*(1-SIN(B1274)/SQRT(1+'1.설계입력'!$C$39^2-2*'1.설계입력'!$C$39*COS(B1274)))-'1.설계입력'!$C$33*(1-'1.설계입력'!$C$39*COS(B1274)-SQRT(MAX(0,1-'1.설계입력'!$C$39^2))*SIN(B1274))/SQRT(1+'1.설계입력'!$C$39^2-2*'1.설계입력'!$C$39*COS(B1274)))</f>
        <v/>
      </c>
    </row>
    <row r="1275" spans="1:11" x14ac:dyDescent="0.3">
      <c r="A1275" s="40">
        <f>A1274+'1.설계입력'!$C$12</f>
        <v>253.79999999999413</v>
      </c>
      <c r="B1275" s="40">
        <f t="shared" si="57"/>
        <v>4.429645641561506</v>
      </c>
      <c r="C1275" s="40">
        <f>ATAN2('1.설계입력'!$C$6/('1.설계입력'!$C$8*'1.설계입력'!$C$15)-COS((1-'1.설계입력'!$C$15)*B1275),SIN((1-'1.설계입력'!$C$15)*B1275))</f>
        <v>-1.3274139785646531E-2</v>
      </c>
      <c r="D1275" s="40">
        <f>'1.설계입력'!$C$6*COS(B1275)-'1.설계입력'!$C$7*COS(B1275+C1275)-'1.설계입력'!$C$8*COS('1.설계입력'!$C$15*B1275)</f>
        <v>-22.173943286103889</v>
      </c>
      <c r="E1275" s="40">
        <f>-'1.설계입력'!$C$6*SIN(B1275)+'1.설계입력'!$C$7*SIN(B1275+C1275)+'1.설계입력'!$C$8*SIN('1.설계입력'!$C$15*B1275)</f>
        <v>76.344643697855531</v>
      </c>
      <c r="F1275" s="40">
        <f>ATAN2(('1.설계입력'!$C$6+'1.설계입력'!$C$33)/('1.설계입력'!$C$8*'1.설계입력'!$C$15)-COS((1-'1.설계입력'!$C$15)*B1275),SIN((1-'1.설계입력'!$C$15)*B1275))</f>
        <v>-1.327442960591772E-2</v>
      </c>
      <c r="G1275" s="40">
        <f>('1.설계입력'!$C$6+'1.설계입력'!$C$33)*COS(B1275)-('1.설계입력'!$C$7+'1.설계입력'!$C$34)*COS(B1275+F1275)-'1.설계입력'!$C$8*COS('1.설계입력'!$C$15*B1275)</f>
        <v>-22.170714425446764</v>
      </c>
      <c r="H1275" s="40">
        <f>-('1.설계입력'!$C$6+'1.설계입력'!$C$33)*SIN(B1275)+('1.설계입력'!$C$7+'1.설계입력'!$C$34)*SIN(B1275+F1275)+'1.설계입력'!$C$8*SIN('1.설계입력'!$C$15*B1275)</f>
        <v>76.333919429105805</v>
      </c>
      <c r="I1275" s="40">
        <f t="shared" si="58"/>
        <v>79.499612465771577</v>
      </c>
      <c r="J1275" s="40">
        <f t="shared" si="59"/>
        <v>79.488413203082189</v>
      </c>
      <c r="K1275" s="38" t="str">
        <f>IF(OR(A1275&gt;180,'1.설계입력'!$C$39&gt;=1),"",'1.설계입력'!$C$34*(1-SIN(B1275)/SQRT(1+'1.설계입력'!$C$39^2-2*'1.설계입력'!$C$39*COS(B1275)))-'1.설계입력'!$C$33*(1-'1.설계입력'!$C$39*COS(B1275)-SQRT(MAX(0,1-'1.설계입력'!$C$39^2))*SIN(B1275))/SQRT(1+'1.설계입력'!$C$39^2-2*'1.설계입력'!$C$39*COS(B1275)))</f>
        <v/>
      </c>
    </row>
    <row r="1276" spans="1:11" x14ac:dyDescent="0.3">
      <c r="A1276" s="40">
        <f>A1275+'1.설계입력'!$C$12</f>
        <v>253.99999999999412</v>
      </c>
      <c r="B1276" s="40">
        <f t="shared" si="57"/>
        <v>4.4331363000654944</v>
      </c>
      <c r="C1276" s="40">
        <f>ATAN2('1.설계입력'!$C$6/('1.설계입력'!$C$8*'1.설계입력'!$C$15)-COS((1-'1.설계입력'!$C$15)*B1276),SIN((1-'1.설계입력'!$C$15)*B1276))</f>
        <v>4.4240540881359196E-2</v>
      </c>
      <c r="D1276" s="40">
        <f>'1.설계입력'!$C$6*COS(B1276)-'1.설계입력'!$C$7*COS(B1276+C1276)-'1.설계입력'!$C$8*COS('1.설계입력'!$C$15*B1276)</f>
        <v>-21.931316278417881</v>
      </c>
      <c r="E1276" s="40">
        <f>-'1.설계입력'!$C$6*SIN(B1276)+'1.설계입력'!$C$7*SIN(B1276+C1276)+'1.설계입력'!$C$8*SIN('1.설계입력'!$C$15*B1276)</f>
        <v>76.410624637744931</v>
      </c>
      <c r="F1276" s="40">
        <f>ATAN2(('1.설계입력'!$C$6+'1.설계입력'!$C$33)/('1.설계입력'!$C$8*'1.설계입력'!$C$15)-COS((1-'1.설계입력'!$C$15)*B1276),SIN((1-'1.설계입력'!$C$15)*B1276))</f>
        <v>4.4241507695207564E-2</v>
      </c>
      <c r="G1276" s="40">
        <f>('1.설계입력'!$C$6+'1.설계입력'!$C$33)*COS(B1276)-('1.설계입력'!$C$7+'1.설계입력'!$C$34)*COS(B1276+F1276)-'1.설계입력'!$C$8*COS('1.설계입력'!$C$15*B1276)</f>
        <v>-21.928579447372297</v>
      </c>
      <c r="H1276" s="40">
        <f>-('1.설계입력'!$C$6+'1.설계입력'!$C$33)*SIN(B1276)+('1.설계입력'!$C$7+'1.설계입력'!$C$34)*SIN(B1276+F1276)+'1.설계입력'!$C$8*SIN('1.설계입력'!$C$15*B1276)</f>
        <v>76.399766480887962</v>
      </c>
      <c r="I1276" s="40">
        <f t="shared" si="58"/>
        <v>79.495699199606705</v>
      </c>
      <c r="J1276" s="40">
        <f t="shared" si="59"/>
        <v>79.484507389263783</v>
      </c>
      <c r="K1276" s="38" t="str">
        <f>IF(OR(A1276&gt;180,'1.설계입력'!$C$39&gt;=1),"",'1.설계입력'!$C$34*(1-SIN(B1276)/SQRT(1+'1.설계입력'!$C$39^2-2*'1.설계입력'!$C$39*COS(B1276)))-'1.설계입력'!$C$33*(1-'1.설계입력'!$C$39*COS(B1276)-SQRT(MAX(0,1-'1.설계입력'!$C$39^2))*SIN(B1276))/SQRT(1+'1.설계입력'!$C$39^2-2*'1.설계입력'!$C$39*COS(B1276)))</f>
        <v/>
      </c>
    </row>
    <row r="1277" spans="1:11" x14ac:dyDescent="0.3">
      <c r="A1277" s="40">
        <f>A1276+'1.설계입력'!$C$12</f>
        <v>254.19999999999411</v>
      </c>
      <c r="B1277" s="40">
        <f t="shared" si="57"/>
        <v>4.4366269585694829</v>
      </c>
      <c r="C1277" s="40">
        <f>ATAN2('1.설계입력'!$C$6/('1.설계입력'!$C$8*'1.설계입력'!$C$15)-COS((1-'1.설계입력'!$C$15)*B1277),SIN((1-'1.설계입력'!$C$15)*B1277))</f>
        <v>0.10168137573929818</v>
      </c>
      <c r="D1277" s="40">
        <f>'1.설계입력'!$C$6*COS(B1277)-'1.설계입력'!$C$7*COS(B1277+C1277)-'1.설계입력'!$C$8*COS('1.설계입력'!$C$15*B1277)</f>
        <v>-21.68651849465785</v>
      </c>
      <c r="E1277" s="40">
        <f>-'1.설계입력'!$C$6*SIN(B1277)+'1.설계입력'!$C$7*SIN(B1277+C1277)+'1.설계입력'!$C$8*SIN('1.설계입력'!$C$15*B1277)</f>
        <v>76.46141695100448</v>
      </c>
      <c r="F1277" s="40">
        <f>ATAN2(('1.설계입력'!$C$6+'1.설계입력'!$C$33)/('1.설계입력'!$C$8*'1.설계입력'!$C$15)-COS((1-'1.설계입력'!$C$15)*B1277),SIN((1-'1.설계입력'!$C$15)*B1277))</f>
        <v>0.10168360754412241</v>
      </c>
      <c r="G1277" s="40">
        <f>('1.설계입력'!$C$6+'1.설계입력'!$C$33)*COS(B1277)-('1.설계입력'!$C$7+'1.설계입력'!$C$34)*COS(B1277+F1277)-'1.설계입력'!$C$8*COS('1.설계입력'!$C$15*B1277)</f>
        <v>-21.684280293702475</v>
      </c>
      <c r="H1277" s="40">
        <f>-('1.설계입력'!$C$6+'1.설계입력'!$C$33)*SIN(B1277)+('1.설계입력'!$C$7+'1.설계입력'!$C$34)*SIN(B1277+F1277)+'1.설계입력'!$C$8*SIN('1.설계입력'!$C$15*B1277)</f>
        <v>76.450454947747502</v>
      </c>
      <c r="I1277" s="40">
        <f t="shared" si="58"/>
        <v>79.477376444963838</v>
      </c>
      <c r="J1277" s="40">
        <f t="shared" si="59"/>
        <v>79.466219701036636</v>
      </c>
      <c r="K1277" s="38" t="str">
        <f>IF(OR(A1277&gt;180,'1.설계입력'!$C$39&gt;=1),"",'1.설계입력'!$C$34*(1-SIN(B1277)/SQRT(1+'1.설계입력'!$C$39^2-2*'1.설계입력'!$C$39*COS(B1277)))-'1.설계입력'!$C$33*(1-'1.설계입력'!$C$39*COS(B1277)-SQRT(MAX(0,1-'1.설계입력'!$C$39^2))*SIN(B1277))/SQRT(1+'1.설계입력'!$C$39^2-2*'1.설계입력'!$C$39*COS(B1277)))</f>
        <v/>
      </c>
    </row>
    <row r="1278" spans="1:11" x14ac:dyDescent="0.3">
      <c r="A1278" s="40">
        <f>A1277+'1.설계입력'!$C$12</f>
        <v>254.39999999999409</v>
      </c>
      <c r="B1278" s="40">
        <f t="shared" si="57"/>
        <v>4.4401176170734713</v>
      </c>
      <c r="C1278" s="40">
        <f>ATAN2('1.설계입력'!$C$6/('1.설계입력'!$C$8*'1.설계입력'!$C$15)-COS((1-'1.설계입력'!$C$15)*B1278),SIN((1-'1.설계입력'!$C$15)*B1278))</f>
        <v>0.1589497620651962</v>
      </c>
      <c r="D1278" s="40">
        <f>'1.설계입력'!$C$6*COS(B1278)-'1.설계입력'!$C$7*COS(B1278+C1278)-'1.설계입력'!$C$8*COS('1.설계입력'!$C$15*B1278)</f>
        <v>-21.442315735619335</v>
      </c>
      <c r="E1278" s="40">
        <f>-'1.설계입력'!$C$6*SIN(B1278)+'1.설계입력'!$C$7*SIN(B1278+C1278)+'1.설계입력'!$C$8*SIN('1.설계입력'!$C$15*B1278)</f>
        <v>76.496769417597648</v>
      </c>
      <c r="F1278" s="40">
        <f>ATAN2(('1.설계입력'!$C$6+'1.설계입력'!$C$33)/('1.설계입력'!$C$8*'1.설계입력'!$C$15)-COS((1-'1.설계입력'!$C$15)*B1278),SIN((1-'1.설계입력'!$C$15)*B1278))</f>
        <v>0.15895327835269971</v>
      </c>
      <c r="G1278" s="40">
        <f>('1.설계입력'!$C$6+'1.설계입력'!$C$33)*COS(B1278)-('1.설계입력'!$C$7+'1.설계입력'!$C$34)*COS(B1278+F1278)-'1.설계입력'!$C$8*COS('1.설계입력'!$C$15*B1278)</f>
        <v>-21.440580145771882</v>
      </c>
      <c r="H1278" s="40">
        <f>-('1.설계입력'!$C$6+'1.설계입력'!$C$33)*SIN(B1278)+('1.설계입력'!$C$7+'1.설계입력'!$C$34)*SIN(B1278+F1278)+'1.설계입력'!$C$8*SIN('1.설계입력'!$C$15*B1278)</f>
        <v>76.485733973565061</v>
      </c>
      <c r="I1278" s="40">
        <f t="shared" si="58"/>
        <v>79.445129715012058</v>
      </c>
      <c r="J1278" s="40">
        <f t="shared" si="59"/>
        <v>79.434035390770831</v>
      </c>
      <c r="K1278" s="38" t="str">
        <f>IF(OR(A1278&gt;180,'1.설계입력'!$C$39&gt;=1),"",'1.설계입력'!$C$34*(1-SIN(B1278)/SQRT(1+'1.설계입력'!$C$39^2-2*'1.설계입력'!$C$39*COS(B1278)))-'1.설계입력'!$C$33*(1-'1.설계입력'!$C$39*COS(B1278)-SQRT(MAX(0,1-'1.설계입력'!$C$39^2))*SIN(B1278))/SQRT(1+'1.설계입력'!$C$39^2-2*'1.설계입력'!$C$39*COS(B1278)))</f>
        <v/>
      </c>
    </row>
    <row r="1279" spans="1:11" x14ac:dyDescent="0.3">
      <c r="A1279" s="40">
        <f>A1278+'1.설계입력'!$C$12</f>
        <v>254.59999999999408</v>
      </c>
      <c r="B1279" s="40">
        <f t="shared" si="57"/>
        <v>4.4436082755774597</v>
      </c>
      <c r="C1279" s="40">
        <f>ATAN2('1.설계입력'!$C$6/('1.설계입력'!$C$8*'1.설계입력'!$C$15)-COS((1-'1.설계입력'!$C$15)*B1279),SIN((1-'1.설계입력'!$C$15)*B1279))</f>
        <v>0.21594074619672962</v>
      </c>
      <c r="D1279" s="40">
        <f>'1.설계입력'!$C$6*COS(B1279)-'1.설계입력'!$C$7*COS(B1279+C1279)-'1.설계입력'!$C$8*COS('1.설계입력'!$C$15*B1279)</f>
        <v>-21.201457297294336</v>
      </c>
      <c r="E1279" s="40">
        <f>-'1.설계입력'!$C$6*SIN(B1279)+'1.설계입력'!$C$7*SIN(B1279+C1279)+'1.설계입력'!$C$8*SIN('1.설계입력'!$C$15*B1279)</f>
        <v>76.516849559915471</v>
      </c>
      <c r="F1279" s="40">
        <f>ATAN2(('1.설계입력'!$C$6+'1.설계입력'!$C$33)/('1.설계입력'!$C$8*'1.설계입력'!$C$15)-COS((1-'1.설계입력'!$C$15)*B1279),SIN((1-'1.설계입력'!$C$15)*B1279))</f>
        <v>0.21594557825192229</v>
      </c>
      <c r="G1279" s="40">
        <f>('1.설계입력'!$C$6+'1.설계입력'!$C$33)*COS(B1279)-('1.설계입력'!$C$7+'1.설계입력'!$C$34)*COS(B1279+F1279)-'1.설계입력'!$C$8*COS('1.설계입력'!$C$15*B1279)</f>
        <v>-21.200225609138066</v>
      </c>
      <c r="H1279" s="40">
        <f>-('1.설계입력'!$C$6+'1.설계입력'!$C$33)*SIN(B1279)+('1.설계입력'!$C$7+'1.설계입력'!$C$34)*SIN(B1279+F1279)+'1.설계입력'!$C$8*SIN('1.설계입력'!$C$15*B1279)</f>
        <v>76.505771146531885</v>
      </c>
      <c r="I1279" s="40">
        <f t="shared" si="58"/>
        <v>79.399811448792065</v>
      </c>
      <c r="J1279" s="40">
        <f t="shared" si="59"/>
        <v>79.38880641881363</v>
      </c>
      <c r="K1279" s="38" t="str">
        <f>IF(OR(A1279&gt;180,'1.설계입력'!$C$39&gt;=1),"",'1.설계입력'!$C$34*(1-SIN(B1279)/SQRT(1+'1.설계입력'!$C$39^2-2*'1.설계입력'!$C$39*COS(B1279)))-'1.설계입력'!$C$33*(1-'1.설계입력'!$C$39*COS(B1279)-SQRT(MAX(0,1-'1.설계입력'!$C$39^2))*SIN(B1279))/SQRT(1+'1.설계입력'!$C$39^2-2*'1.설계입력'!$C$39*COS(B1279)))</f>
        <v/>
      </c>
    </row>
    <row r="1280" spans="1:11" x14ac:dyDescent="0.3">
      <c r="A1280" s="40">
        <f>A1279+'1.설계입력'!$C$12</f>
        <v>254.79999999999407</v>
      </c>
      <c r="B1280" s="40">
        <f t="shared" si="57"/>
        <v>4.4470989340814482</v>
      </c>
      <c r="C1280" s="40">
        <f>ATAN2('1.설계입력'!$C$6/('1.설계입력'!$C$8*'1.설계입력'!$C$15)-COS((1-'1.설계입력'!$C$15)*B1280),SIN((1-'1.설계입력'!$C$15)*B1280))</f>
        <v>0.27253884836700137</v>
      </c>
      <c r="D1280" s="40">
        <f>'1.설계입력'!$C$6*COS(B1280)-'1.설계입력'!$C$7*COS(B1280+C1280)-'1.설계입력'!$C$8*COS('1.설계입력'!$C$15*B1280)</f>
        <v>-20.966597712770522</v>
      </c>
      <c r="E1280" s="40">
        <f>-'1.설계입력'!$C$6*SIN(B1280)+'1.설계입력'!$C$7*SIN(B1280+C1280)+'1.설계입력'!$C$8*SIN('1.설계입력'!$C$15*B1280)</f>
        <v>76.522233418382385</v>
      </c>
      <c r="F1280" s="40">
        <f>ATAN2(('1.설계입력'!$C$6+'1.설계입력'!$C$33)/('1.설계입력'!$C$8*'1.설계입력'!$C$15)-COS((1-'1.설계입력'!$C$15)*B1280),SIN((1-'1.설계입력'!$C$15)*B1280))</f>
        <v>0.27254504035182298</v>
      </c>
      <c r="G1280" s="40">
        <f>('1.설계입력'!$C$6+'1.설계입력'!$C$33)*COS(B1280)-('1.설계입력'!$C$7+'1.설계입력'!$C$34)*COS(B1280+F1280)-'1.설계입력'!$C$8*COS('1.설계입력'!$C$15*B1280)</f>
        <v>-20.965868458541028</v>
      </c>
      <c r="H1280" s="40">
        <f>-('1.설계입력'!$C$6+'1.설계입력'!$C$33)*SIN(B1280)+('1.설계입력'!$C$7+'1.설계입력'!$C$34)*SIN(B1280+F1280)+'1.설계입력'!$C$8*SIN('1.설계입력'!$C$15*B1280)</f>
        <v>76.511142260033083</v>
      </c>
      <c r="I1280" s="40">
        <f t="shared" si="58"/>
        <v>79.342614193046046</v>
      </c>
      <c r="J1280" s="40">
        <f t="shared" si="59"/>
        <v>79.331724613523093</v>
      </c>
      <c r="K1280" s="38" t="str">
        <f>IF(OR(A1280&gt;180,'1.설계입력'!$C$39&gt;=1),"",'1.설계입력'!$C$34*(1-SIN(B1280)/SQRT(1+'1.설계입력'!$C$39^2-2*'1.설계입력'!$C$39*COS(B1280)))-'1.설계입력'!$C$33*(1-'1.설계입력'!$C$39*COS(B1280)-SQRT(MAX(0,1-'1.설계입력'!$C$39^2))*SIN(B1280))/SQRT(1+'1.설계입력'!$C$39^2-2*'1.설계입력'!$C$39*COS(B1280)))</f>
        <v/>
      </c>
    </row>
    <row r="1281" spans="1:11" x14ac:dyDescent="0.3">
      <c r="A1281" s="40">
        <f>A1280+'1.설계입력'!$C$12</f>
        <v>254.99999999999406</v>
      </c>
      <c r="B1281" s="40">
        <f t="shared" si="57"/>
        <v>4.4505895925854366</v>
      </c>
      <c r="C1281" s="40">
        <f>ATAN2('1.설계입력'!$C$6/('1.설계입력'!$C$8*'1.설계입력'!$C$15)-COS((1-'1.설계입력'!$C$15)*B1281),SIN((1-'1.설계입력'!$C$15)*B1281))</f>
        <v>0.32861302815188176</v>
      </c>
      <c r="D1281" s="40">
        <f>'1.설계입력'!$C$6*COS(B1281)-'1.설계입력'!$C$7*COS(B1281+C1281)-'1.설계입력'!$C$8*COS('1.설계입력'!$C$15*B1281)</f>
        <v>-20.740217464028603</v>
      </c>
      <c r="E1281" s="40">
        <f>-'1.설계입력'!$C$6*SIN(B1281)+'1.설계입력'!$C$7*SIN(B1281+C1281)+'1.설계입력'!$C$8*SIN('1.설계입력'!$C$15*B1281)</f>
        <v>76.513880665640627</v>
      </c>
      <c r="F1281" s="40">
        <f>ATAN2(('1.설계입력'!$C$6+'1.설계입력'!$C$33)/('1.설계입력'!$C$8*'1.설계입력'!$C$15)-COS((1-'1.설계입력'!$C$15)*B1281),SIN((1-'1.설계입력'!$C$15)*B1281))</f>
        <v>0.32862063869024855</v>
      </c>
      <c r="G1281" s="40">
        <f>('1.설계입력'!$C$6+'1.설계입력'!$C$33)*COS(B1281)-('1.설계입력'!$C$7+'1.설계입력'!$C$34)*COS(B1281+F1281)-'1.설계입력'!$C$8*COS('1.설계입력'!$C$15*B1281)</f>
        <v>-20.739986348645111</v>
      </c>
      <c r="H1281" s="40">
        <f>-('1.설계입력'!$C$6+'1.설계입력'!$C$33)*SIN(B1281)+('1.설계입력'!$C$7+'1.설계입력'!$C$34)*SIN(B1281+F1281)+'1.설계입력'!$C$8*SIN('1.설계입력'!$C$15*B1281)</f>
        <v>76.50280640497742</v>
      </c>
      <c r="I1281" s="40">
        <f t="shared" si="58"/>
        <v>79.275031094103596</v>
      </c>
      <c r="J1281" s="40">
        <f t="shared" si="59"/>
        <v>79.264282129969743</v>
      </c>
      <c r="K1281" s="38" t="str">
        <f>IF(OR(A1281&gt;180,'1.설계입력'!$C$39&gt;=1),"",'1.설계입력'!$C$34*(1-SIN(B1281)/SQRT(1+'1.설계입력'!$C$39^2-2*'1.설계입력'!$C$39*COS(B1281)))-'1.설계입력'!$C$33*(1-'1.설계입력'!$C$39*COS(B1281)-SQRT(MAX(0,1-'1.설계입력'!$C$39^2))*SIN(B1281))/SQRT(1+'1.설계입력'!$C$39^2-2*'1.설계입력'!$C$39*COS(B1281)))</f>
        <v/>
      </c>
    </row>
    <row r="1282" spans="1:11" x14ac:dyDescent="0.3">
      <c r="A1282" s="40">
        <f>A1281+'1.설계입력'!$C$12</f>
        <v>255.19999999999405</v>
      </c>
      <c r="B1282" s="40">
        <f t="shared" si="57"/>
        <v>4.4540802510894251</v>
      </c>
      <c r="C1282" s="40">
        <f>ATAN2('1.설계입력'!$C$6/('1.설계입력'!$C$8*'1.설계입력'!$C$15)-COS((1-'1.설계입력'!$C$15)*B1282),SIN((1-'1.설계입력'!$C$15)*B1282))</f>
        <v>0.38401030765037381</v>
      </c>
      <c r="D1282" s="40">
        <f>'1.설계입력'!$C$6*COS(B1282)-'1.설계입력'!$C$7*COS(B1282+C1282)-'1.설계입력'!$C$8*COS('1.설계입력'!$C$15*B1282)</f>
        <v>-20.52454316596841</v>
      </c>
      <c r="E1282" s="40">
        <f>-'1.설계입력'!$C$6*SIN(B1282)+'1.설계입력'!$C$7*SIN(B1282+C1282)+'1.설계입력'!$C$8*SIN('1.설계입력'!$C$15*B1282)</f>
        <v>76.493094180152411</v>
      </c>
      <c r="F1282" s="40">
        <f>ATAN2(('1.설계입력'!$C$6+'1.설계입력'!$C$33)/('1.설계입력'!$C$8*'1.설계입력'!$C$15)-COS((1-'1.설계입력'!$C$15)*B1282),SIN((1-'1.설계입력'!$C$15)*B1282))</f>
        <v>0.38401941203055318</v>
      </c>
      <c r="G1282" s="40">
        <f>('1.설계입력'!$C$6+'1.설계입력'!$C$33)*COS(B1282)-('1.설계입력'!$C$7+'1.설계입력'!$C$34)*COS(B1282+F1282)-'1.설계입력'!$C$8*COS('1.설계입력'!$C$15*B1282)</f>
        <v>-20.524802990983527</v>
      </c>
      <c r="H1282" s="40">
        <f>-('1.설계입력'!$C$6+'1.설계입력'!$C$33)*SIN(B1282)+('1.설계입력'!$C$7+'1.설계입력'!$C$34)*SIN(B1282+F1282)+'1.설계입력'!$C$8*SIN('1.설계입력'!$C$15*B1282)</f>
        <v>76.482065512124976</v>
      </c>
      <c r="I1282" s="40">
        <f t="shared" si="58"/>
        <v>79.198802575704178</v>
      </c>
      <c r="J1282" s="40">
        <f t="shared" si="59"/>
        <v>79.188218080846241</v>
      </c>
      <c r="K1282" s="38" t="str">
        <f>IF(OR(A1282&gt;180,'1.설계입력'!$C$39&gt;=1),"",'1.설계입력'!$C$34*(1-SIN(B1282)/SQRT(1+'1.설계입력'!$C$39^2-2*'1.설계입력'!$C$39*COS(B1282)))-'1.설계입력'!$C$33*(1-'1.설계입력'!$C$39*COS(B1282)-SQRT(MAX(0,1-'1.설계입력'!$C$39^2))*SIN(B1282))/SQRT(1+'1.설계입력'!$C$39^2-2*'1.설계입력'!$C$39*COS(B1282)))</f>
        <v/>
      </c>
    </row>
    <row r="1283" spans="1:11" x14ac:dyDescent="0.3">
      <c r="A1283" s="40">
        <f>A1282+'1.설계입력'!$C$12</f>
        <v>255.39999999999404</v>
      </c>
      <c r="B1283" s="40">
        <f t="shared" si="57"/>
        <v>4.4575709095934135</v>
      </c>
      <c r="C1283" s="40">
        <f>ATAN2('1.설계입력'!$C$6/('1.설계입력'!$C$8*'1.설계입력'!$C$15)-COS((1-'1.설계입력'!$C$15)*B1283),SIN((1-'1.설계입력'!$C$15)*B1283))</f>
        <v>0.43854736601124777</v>
      </c>
      <c r="D1283" s="40">
        <f>'1.설계입력'!$C$6*COS(B1283)-'1.설계입력'!$C$7*COS(B1283+C1283)-'1.설계입력'!$C$8*COS('1.설계입력'!$C$15*B1283)</f>
        <v>-20.321467129694671</v>
      </c>
      <c r="E1283" s="40">
        <f>-'1.설계입력'!$C$6*SIN(B1283)+'1.설계입력'!$C$7*SIN(B1283+C1283)+'1.설계입력'!$C$8*SIN('1.설계입력'!$C$15*B1283)</f>
        <v>76.46146274026097</v>
      </c>
      <c r="F1283" s="40">
        <f>ATAN2(('1.설계입력'!$C$6+'1.설계입력'!$C$33)/('1.설계입력'!$C$8*'1.설계입력'!$C$15)-COS((1-'1.설계입력'!$C$15)*B1283),SIN((1-'1.설계입력'!$C$15)*B1283))</f>
        <v>0.43855805917426716</v>
      </c>
      <c r="G1283" s="40">
        <f>('1.설계입력'!$C$6+'1.설계입력'!$C$33)*COS(B1283)-('1.설계입력'!$C$7+'1.설계입력'!$C$34)*COS(B1283+F1283)-'1.설계입력'!$C$8*COS('1.설계입력'!$C$15*B1283)</f>
        <v>-20.32220770119801</v>
      </c>
      <c r="H1283" s="40">
        <f>-('1.설계입력'!$C$6+'1.설계입력'!$C$33)*SIN(B1283)+('1.설계입력'!$C$7+'1.설계입력'!$C$34)*SIN(B1283+F1283)+'1.설계입력'!$C$8*SIN('1.설계입력'!$C$15*B1283)</f>
        <v>76.450507001823013</v>
      </c>
      <c r="I1283" s="40">
        <f t="shared" si="58"/>
        <v>79.115847405457131</v>
      </c>
      <c r="J1283" s="40">
        <f t="shared" si="59"/>
        <v>79.105449538488955</v>
      </c>
      <c r="K1283" s="38" t="str">
        <f>IF(OR(A1283&gt;180,'1.설계입력'!$C$39&gt;=1),"",'1.설계입력'!$C$34*(1-SIN(B1283)/SQRT(1+'1.설계입력'!$C$39^2-2*'1.설계입력'!$C$39*COS(B1283)))-'1.설계입력'!$C$33*(1-'1.설계입력'!$C$39*COS(B1283)-SQRT(MAX(0,1-'1.설계입력'!$C$39^2))*SIN(B1283))/SQRT(1+'1.설계입력'!$C$39^2-2*'1.설계입력'!$C$39*COS(B1283)))</f>
        <v/>
      </c>
    </row>
    <row r="1284" spans="1:11" x14ac:dyDescent="0.3">
      <c r="A1284" s="40">
        <f>A1283+'1.설계입력'!$C$12</f>
        <v>255.59999999999403</v>
      </c>
      <c r="B1284" s="40">
        <f t="shared" si="57"/>
        <v>4.461061568097402</v>
      </c>
      <c r="C1284" s="40">
        <f>ATAN2('1.설계입력'!$C$6/('1.설계입력'!$C$8*'1.설계입력'!$C$15)-COS((1-'1.설계입력'!$C$15)*B1284),SIN((1-'1.설계입력'!$C$15)*B1284))</f>
        <v>0.49199908581210833</v>
      </c>
      <c r="D1284" s="40">
        <f>'1.설계입력'!$C$6*COS(B1284)-'1.설계입력'!$C$7*COS(B1284+C1284)-'1.설계입력'!$C$8*COS('1.설계입력'!$C$15*B1284)</f>
        <v>-20.132465235008553</v>
      </c>
      <c r="E1284" s="40">
        <f>-'1.설계입력'!$C$6*SIN(B1284)+'1.설계입력'!$C$7*SIN(B1284+C1284)+'1.설계입력'!$C$8*SIN('1.설계입력'!$C$15*B1284)</f>
        <v>76.420784702206191</v>
      </c>
      <c r="F1284" s="40">
        <f>ATAN2(('1.설계입력'!$C$6+'1.설계입력'!$C$33)/('1.설계입력'!$C$8*'1.설계입력'!$C$15)-COS((1-'1.설계입력'!$C$15)*B1284),SIN((1-'1.설계입력'!$C$15)*B1284))</f>
        <v>0.4920114863672535</v>
      </c>
      <c r="G1284" s="40">
        <f>('1.설계입력'!$C$6+'1.설계입력'!$C$33)*COS(B1284)-('1.설계입력'!$C$7+'1.설계입력'!$C$34)*COS(B1284+F1284)-'1.설계입력'!$C$8*COS('1.설계입력'!$C$15*B1284)</f>
        <v>-20.133673241882139</v>
      </c>
      <c r="H1284" s="40">
        <f>-('1.설계입력'!$C$6+'1.설계입력'!$C$33)*SIN(B1284)+('1.설계입력'!$C$7+'1.설계입력'!$C$34)*SIN(B1284+F1284)+'1.설계입력'!$C$8*SIN('1.설계입력'!$C$15*B1284)</f>
        <v>76.409927398997169</v>
      </c>
      <c r="I1284" s="40">
        <f t="shared" si="58"/>
        <v>79.028175298052915</v>
      </c>
      <c r="J1284" s="40">
        <f t="shared" si="59"/>
        <v>79.017984050030648</v>
      </c>
      <c r="K1284" s="38" t="str">
        <f>IF(OR(A1284&gt;180,'1.설계입력'!$C$39&gt;=1),"",'1.설계입력'!$C$34*(1-SIN(B1284)/SQRT(1+'1.설계입력'!$C$39^2-2*'1.설계입력'!$C$39*COS(B1284)))-'1.설계입력'!$C$33*(1-'1.설계입력'!$C$39*COS(B1284)-SQRT(MAX(0,1-'1.설계입력'!$C$39^2))*SIN(B1284))/SQRT(1+'1.설계입력'!$C$39^2-2*'1.설계입력'!$C$39*COS(B1284)))</f>
        <v/>
      </c>
    </row>
    <row r="1285" spans="1:11" x14ac:dyDescent="0.3">
      <c r="A1285" s="40">
        <f>A1284+'1.설계입력'!$C$12</f>
        <v>255.79999999999401</v>
      </c>
      <c r="B1285" s="40">
        <f t="shared" si="57"/>
        <v>4.4645522266013904</v>
      </c>
      <c r="C1285" s="40">
        <f>ATAN2('1.설계입력'!$C$6/('1.설계입력'!$C$8*'1.설계입력'!$C$15)-COS((1-'1.설계입력'!$C$15)*B1285),SIN((1-'1.설계입력'!$C$15)*B1285))</f>
        <v>0.54408248314908925</v>
      </c>
      <c r="D1285" s="40">
        <f>'1.설계입력'!$C$6*COS(B1285)-'1.설계입력'!$C$7*COS(B1285+C1285)-'1.설계입력'!$C$8*COS('1.설계입력'!$C$15*B1285)</f>
        <v>-19.958510415785604</v>
      </c>
      <c r="E1285" s="40">
        <f>-'1.설계입력'!$C$6*SIN(B1285)+'1.설계입력'!$C$7*SIN(B1285+C1285)+'1.설계입력'!$C$8*SIN('1.설계입력'!$C$15*B1285)</f>
        <v>76.372969168211753</v>
      </c>
      <c r="F1285" s="40">
        <f>ATAN2(('1.설계입력'!$C$6+'1.설계입력'!$C$33)/('1.설계입력'!$C$8*'1.설계입력'!$C$15)-COS((1-'1.설계입력'!$C$15)*B1285),SIN((1-'1.설계입력'!$C$15)*B1285))</f>
        <v>0.54409673875795495</v>
      </c>
      <c r="G1285" s="40">
        <f>('1.설계입력'!$C$6+'1.설계입력'!$C$33)*COS(B1285)-('1.설계입력'!$C$7+'1.설계입력'!$C$34)*COS(B1285+F1285)-'1.설계입력'!$C$8*COS('1.설계입력'!$C$15*B1285)</f>
        <v>-19.960169257184525</v>
      </c>
      <c r="H1285" s="40">
        <f>-('1.설계입력'!$C$6+'1.설계입력'!$C$33)*SIN(B1285)+('1.설계입력'!$C$7+'1.설계입력'!$C$34)*SIN(B1285+F1285)+'1.설계입력'!$C$8*SIN('1.설계입력'!$C$15*B1285)</f>
        <v>76.362233410717081</v>
      </c>
      <c r="I1285" s="40">
        <f t="shared" si="58"/>
        <v>78.937776492536486</v>
      </c>
      <c r="J1285" s="40">
        <f t="shared" si="59"/>
        <v>78.927809093172542</v>
      </c>
      <c r="K1285" s="38" t="str">
        <f>IF(OR(A1285&gt;180,'1.설계입력'!$C$39&gt;=1),"",'1.설계입력'!$C$34*(1-SIN(B1285)/SQRT(1+'1.설계입력'!$C$39^2-2*'1.설계입력'!$C$39*COS(B1285)))-'1.설계입력'!$C$33*(1-'1.설계입력'!$C$39*COS(B1285)-SQRT(MAX(0,1-'1.설계입력'!$C$39^2))*SIN(B1285))/SQRT(1+'1.설계입력'!$C$39^2-2*'1.설계입력'!$C$39*COS(B1285)))</f>
        <v/>
      </c>
    </row>
    <row r="1286" spans="1:11" x14ac:dyDescent="0.3">
      <c r="A1286" s="40">
        <f>A1285+'1.설계입력'!$C$12</f>
        <v>255.999999999994</v>
      </c>
      <c r="B1286" s="40">
        <f t="shared" ref="B1286:B1349" si="60">RADIANS(A1286)</f>
        <v>4.4680428851053788</v>
      </c>
      <c r="C1286" s="40">
        <f>ATAN2('1.설계입력'!$C$6/('1.설계입력'!$C$8*'1.설계입력'!$C$15)-COS((1-'1.설계입력'!$C$15)*B1286),SIN((1-'1.설계입력'!$C$15)*B1286))</f>
        <v>0.59443353331647375</v>
      </c>
      <c r="D1286" s="40">
        <f>'1.설계입력'!$C$6*COS(B1286)-'1.설계입력'!$C$7*COS(B1286+C1286)-'1.설계입력'!$C$8*COS('1.설계입력'!$C$15*B1286)</f>
        <v>-19.799976280207282</v>
      </c>
      <c r="E1286" s="40">
        <f>-'1.설계입력'!$C$6*SIN(B1286)+'1.설계입력'!$C$7*SIN(B1286+C1286)+'1.설계입력'!$C$8*SIN('1.설계입력'!$C$15*B1286)</f>
        <v>76.319908861843061</v>
      </c>
      <c r="F1286" s="40">
        <f>ATAN2(('1.설계입력'!$C$6+'1.설계입력'!$C$33)/('1.설계입력'!$C$8*'1.설계입력'!$C$15)-COS((1-'1.설계입력'!$C$15)*B1286),SIN((1-'1.설계입력'!$C$15)*B1286))</f>
        <v>0.59444982792580725</v>
      </c>
      <c r="G1286" s="40">
        <f>('1.설계입력'!$C$6+'1.설계입력'!$C$33)*COS(B1286)-('1.설계입력'!$C$7+'1.설계입력'!$C$34)*COS(B1286+F1286)-'1.설계입력'!$C$8*COS('1.설계입력'!$C$15*B1286)</f>
        <v>-19.802065808558602</v>
      </c>
      <c r="H1286" s="40">
        <f>-('1.설계입력'!$C$6+'1.설계입력'!$C$33)*SIN(B1286)+('1.설계입력'!$C$7+'1.설계입력'!$C$34)*SIN(B1286+F1286)+'1.설계입력'!$C$8*SIN('1.설계입력'!$C$15*B1286)</f>
        <v>76.309314669668566</v>
      </c>
      <c r="I1286" s="40">
        <f t="shared" ref="I1286:I1349" si="61">SQRT(D1286^2+E1286^2)</f>
        <v>78.846480894056413</v>
      </c>
      <c r="J1286" s="40">
        <f t="shared" ref="J1286:J1349" si="62">SQRT(G1286^2+H1286^2)</f>
        <v>78.836751046964011</v>
      </c>
      <c r="K1286" s="38" t="str">
        <f>IF(OR(A1286&gt;180,'1.설계입력'!$C$39&gt;=1),"",'1.설계입력'!$C$34*(1-SIN(B1286)/SQRT(1+'1.설계입력'!$C$39^2-2*'1.설계입력'!$C$39*COS(B1286)))-'1.설계입력'!$C$33*(1-'1.설계입력'!$C$39*COS(B1286)-SQRT(MAX(0,1-'1.설계입력'!$C$39^2))*SIN(B1286))/SQRT(1+'1.설계입력'!$C$39^2-2*'1.설계입력'!$C$39*COS(B1286)))</f>
        <v/>
      </c>
    </row>
    <row r="1287" spans="1:11" x14ac:dyDescent="0.3">
      <c r="A1287" s="40">
        <f>A1286+'1.설계입력'!$C$12</f>
        <v>256.19999999999402</v>
      </c>
      <c r="B1287" s="40">
        <f t="shared" si="60"/>
        <v>4.4715335436093682</v>
      </c>
      <c r="C1287" s="40">
        <f>ATAN2('1.설계입력'!$C$6/('1.설계입력'!$C$8*'1.설계입력'!$C$15)-COS((1-'1.설계입력'!$C$15)*B1287),SIN((1-'1.설계입력'!$C$15)*B1287))</f>
        <v>0.6425728230584874</v>
      </c>
      <c r="D1287" s="40">
        <f>'1.설계입력'!$C$6*COS(B1287)-'1.설계입력'!$C$7*COS(B1287+C1287)-'1.설계입력'!$C$8*COS('1.설계입력'!$C$15*B1287)</f>
        <v>-19.656520459432535</v>
      </c>
      <c r="E1287" s="40">
        <f>-'1.설계입력'!$C$6*SIN(B1287)+'1.설계입력'!$C$7*SIN(B1287+C1287)+'1.설계입력'!$C$8*SIN('1.설계입력'!$C$15*B1287)</f>
        <v>76.263315071554374</v>
      </c>
      <c r="F1287" s="40">
        <f>ATAN2(('1.설계입력'!$C$6+'1.설계입력'!$C$33)/('1.설계입력'!$C$8*'1.설계입력'!$C$15)-COS((1-'1.설계입력'!$C$15)*B1287),SIN((1-'1.설계입력'!$C$15)*B1287))</f>
        <v>0.6425913866481433</v>
      </c>
      <c r="G1287" s="40">
        <f>('1.설계입력'!$C$6+'1.설계입력'!$C$33)*COS(B1287)-('1.설계입력'!$C$7+'1.설계입력'!$C$34)*COS(B1287+F1287)-'1.설계입력'!$C$8*COS('1.설계입력'!$C$15*B1287)</f>
        <v>-19.659016583507857</v>
      </c>
      <c r="H1287" s="40">
        <f>-('1.설계입력'!$C$6+'1.설계입력'!$C$33)*SIN(B1287)+('1.설계입력'!$C$7+'1.설계입력'!$C$34)*SIN(B1287+F1287)+'1.설계입력'!$C$8*SIN('1.설계입력'!$C$15*B1287)</f>
        <v>76.252878482218392</v>
      </c>
      <c r="I1287" s="40">
        <f t="shared" si="61"/>
        <v>78.755774532889092</v>
      </c>
      <c r="J1287" s="40">
        <f t="shared" si="62"/>
        <v>78.746291403815334</v>
      </c>
      <c r="K1287" s="38" t="str">
        <f>IF(OR(A1287&gt;180,'1.설계입력'!$C$39&gt;=1),"",'1.설계입력'!$C$34*(1-SIN(B1287)/SQRT(1+'1.설계입력'!$C$39^2-2*'1.설계입력'!$C$39*COS(B1287)))-'1.설계입력'!$C$33*(1-'1.설계입력'!$C$39*COS(B1287)-SQRT(MAX(0,1-'1.설계입력'!$C$39^2))*SIN(B1287))/SQRT(1+'1.설계입력'!$C$39^2-2*'1.설계입력'!$C$39*COS(B1287)))</f>
        <v/>
      </c>
    </row>
    <row r="1288" spans="1:11" x14ac:dyDescent="0.3">
      <c r="A1288" s="40">
        <f>A1287+'1.설계입력'!$C$12</f>
        <v>256.39999999999401</v>
      </c>
      <c r="B1288" s="40">
        <f t="shared" si="60"/>
        <v>4.4750242021133566</v>
      </c>
      <c r="C1288" s="40">
        <f>ATAN2('1.설계입력'!$C$6/('1.설계입력'!$C$8*'1.설계입력'!$C$15)-COS((1-'1.설계입력'!$C$15)*B1288),SIN((1-'1.설계입력'!$C$15)*B1288))</f>
        <v>0.68785316398574381</v>
      </c>
      <c r="D1288" s="40">
        <f>'1.설계입력'!$C$6*COS(B1288)-'1.설계입력'!$C$7*COS(B1288+C1288)-'1.설계입력'!$C$8*COS('1.설계입력'!$C$15*B1288)</f>
        <v>-19.526928189915402</v>
      </c>
      <c r="E1288" s="40">
        <f>-'1.설계입력'!$C$6*SIN(B1288)+'1.설계입력'!$C$7*SIN(B1288+C1288)+'1.설계입력'!$C$8*SIN('1.설계입력'!$C$15*B1288)</f>
        <v>76.204498501979572</v>
      </c>
      <c r="F1288" s="40">
        <f>ATAN2(('1.설계입력'!$C$6+'1.설계입력'!$C$33)/('1.설계입력'!$C$8*'1.설계입력'!$C$15)-COS((1-'1.설계입력'!$C$15)*B1288),SIN((1-'1.설계입력'!$C$15)*B1288))</f>
        <v>0.68787428572606446</v>
      </c>
      <c r="G1288" s="40">
        <f>('1.설계입력'!$C$6+'1.설계입력'!$C$33)*COS(B1288)-('1.설계입력'!$C$7+'1.설계입력'!$C$34)*COS(B1288+F1288)-'1.설계입력'!$C$8*COS('1.설계입력'!$C$15*B1288)</f>
        <v>-19.529802243582409</v>
      </c>
      <c r="H1288" s="40">
        <f>-('1.설계입력'!$C$6+'1.설계입력'!$C$33)*SIN(B1288)+('1.설계입력'!$C$7+'1.설계입력'!$C$34)*SIN(B1288+F1288)+'1.설계입력'!$C$8*SIN('1.설계입력'!$C$15*B1288)</f>
        <v>76.194230384272174</v>
      </c>
      <c r="I1288" s="40">
        <f t="shared" si="61"/>
        <v>78.666552717608766</v>
      </c>
      <c r="J1288" s="40">
        <f t="shared" si="62"/>
        <v>78.657319554666884</v>
      </c>
      <c r="K1288" s="38" t="str">
        <f>IF(OR(A1288&gt;180,'1.설계입력'!$C$39&gt;=1),"",'1.설계입력'!$C$34*(1-SIN(B1288)/SQRT(1+'1.설계입력'!$C$39^2-2*'1.설계입력'!$C$39*COS(B1288)))-'1.설계입력'!$C$33*(1-'1.설계입력'!$C$39*COS(B1288)-SQRT(MAX(0,1-'1.설계입력'!$C$39^2))*SIN(B1288))/SQRT(1+'1.설계입력'!$C$39^2-2*'1.설계입력'!$C$39*COS(B1288)))</f>
        <v/>
      </c>
    </row>
    <row r="1289" spans="1:11" x14ac:dyDescent="0.3">
      <c r="A1289" s="40">
        <f>A1288+'1.설계입력'!$C$12</f>
        <v>256.599999999994</v>
      </c>
      <c r="B1289" s="40">
        <f t="shared" si="60"/>
        <v>4.4785148606173451</v>
      </c>
      <c r="C1289" s="40">
        <f>ATAN2('1.설계입력'!$C$6/('1.설계입력'!$C$8*'1.설계입력'!$C$15)-COS((1-'1.설계입력'!$C$15)*B1289),SIN((1-'1.설계입력'!$C$15)*B1289))</f>
        <v>0.72937719305213611</v>
      </c>
      <c r="D1289" s="40">
        <f>'1.설계입력'!$C$6*COS(B1289)-'1.설계입력'!$C$7*COS(B1289+C1289)-'1.설계입력'!$C$8*COS('1.설계입력'!$C$15*B1289)</f>
        <v>-19.40887913070106</v>
      </c>
      <c r="E1289" s="40">
        <f>-'1.설계입력'!$C$6*SIN(B1289)+'1.설계입력'!$C$7*SIN(B1289+C1289)+'1.설계입력'!$C$8*SIN('1.설계입력'!$C$15*B1289)</f>
        <v>76.144068811515965</v>
      </c>
      <c r="F1289" s="40">
        <f>ATAN2(('1.설계입력'!$C$6+'1.설계입력'!$C$33)/('1.설계입력'!$C$8*'1.설계입력'!$C$15)-COS((1-'1.설계입력'!$C$15)*B1289),SIN((1-'1.설계입력'!$C$15)*B1289))</f>
        <v>0.72940123897131082</v>
      </c>
      <c r="G1289" s="40">
        <f>('1.설계입력'!$C$6+'1.설계입력'!$C$33)*COS(B1289)-('1.설계입력'!$C$7+'1.설계입력'!$C$34)*COS(B1289+F1289)-'1.설계입력'!$C$8*COS('1.설계입력'!$C$15*B1289)</f>
        <v>-19.412096840292637</v>
      </c>
      <c r="H1289" s="40">
        <f>-('1.설계입력'!$C$6+'1.설계입력'!$C$33)*SIN(B1289)+('1.설계입력'!$C$7+'1.설계입력'!$C$34)*SIN(B1289+F1289)+'1.설계입력'!$C$8*SIN('1.설계입력'!$C$15*B1289)</f>
        <v>76.133973222842002</v>
      </c>
      <c r="I1289" s="40">
        <f t="shared" si="61"/>
        <v>78.578774515024364</v>
      </c>
      <c r="J1289" s="40">
        <f t="shared" si="62"/>
        <v>78.56978670222621</v>
      </c>
      <c r="K1289" s="38" t="str">
        <f>IF(OR(A1289&gt;180,'1.설계입력'!$C$39&gt;=1),"",'1.설계입력'!$C$34*(1-SIN(B1289)/SQRT(1+'1.설계입력'!$C$39^2-2*'1.설계입력'!$C$39*COS(B1289)))-'1.설계입력'!$C$33*(1-'1.설계입력'!$C$39*COS(B1289)-SQRT(MAX(0,1-'1.설계입력'!$C$39^2))*SIN(B1289))/SQRT(1+'1.설계입력'!$C$39^2-2*'1.설계입력'!$C$39*COS(B1289)))</f>
        <v/>
      </c>
    </row>
    <row r="1290" spans="1:11" x14ac:dyDescent="0.3">
      <c r="A1290" s="40">
        <f>A1289+'1.설계입력'!$C$12</f>
        <v>256.79999999999399</v>
      </c>
      <c r="B1290" s="40">
        <f t="shared" si="60"/>
        <v>4.4820055191213335</v>
      </c>
      <c r="C1290" s="40">
        <f>ATAN2('1.설계입력'!$C$6/('1.설계입력'!$C$8*'1.설계입력'!$C$15)-COS((1-'1.설계입력'!$C$15)*B1290),SIN((1-'1.설계입력'!$C$15)*B1290))</f>
        <v>0.76586332366850418</v>
      </c>
      <c r="D1290" s="40">
        <f>'1.설계입력'!$C$6*COS(B1290)-'1.설계입력'!$C$7*COS(B1290+C1290)-'1.설계입력'!$C$8*COS('1.설계입력'!$C$15*B1290)</f>
        <v>-19.29856511312553</v>
      </c>
      <c r="E1290" s="40">
        <f>-'1.설계입력'!$C$6*SIN(B1290)+'1.설계입력'!$C$7*SIN(B1290+C1290)+'1.설계입력'!$C$8*SIN('1.설계입력'!$C$15*B1290)</f>
        <v>76.081506992614337</v>
      </c>
      <c r="F1290" s="40">
        <f>ATAN2(('1.설계입력'!$C$6+'1.설계입력'!$C$33)/('1.설계입력'!$C$8*'1.설계입력'!$C$15)-COS((1-'1.설계입력'!$C$15)*B1290),SIN((1-'1.설계입력'!$C$15)*B1290))</f>
        <v>0.76589075984891786</v>
      </c>
      <c r="G1290" s="40">
        <f>('1.설계입력'!$C$6+'1.설계입력'!$C$33)*COS(B1290)-('1.설계입력'!$C$7+'1.설계입력'!$C$34)*COS(B1290+F1290)-'1.설계입력'!$C$8*COS('1.설계입력'!$C$15*B1290)</f>
        <v>-19.302084854574559</v>
      </c>
      <c r="H1290" s="40">
        <f>-('1.설계입력'!$C$6+'1.설계입력'!$C$33)*SIN(B1290)+('1.설계입력'!$C$7+'1.설계입력'!$C$34)*SIN(B1290+F1290)+'1.설계입력'!$C$8*SIN('1.설계입력'!$C$15*B1290)</f>
        <v>76.071578816967175</v>
      </c>
      <c r="I1290" s="40">
        <f t="shared" si="61"/>
        <v>78.49095694213932</v>
      </c>
      <c r="J1290" s="40">
        <f t="shared" si="62"/>
        <v>78.482199150120948</v>
      </c>
      <c r="K1290" s="38" t="str">
        <f>IF(OR(A1290&gt;180,'1.설계입력'!$C$39&gt;=1),"",'1.설계입력'!$C$34*(1-SIN(B1290)/SQRT(1+'1.설계입력'!$C$39^2-2*'1.설계입력'!$C$39*COS(B1290)))-'1.설계입력'!$C$33*(1-'1.설계입력'!$C$39*COS(B1290)-SQRT(MAX(0,1-'1.설계입력'!$C$39^2))*SIN(B1290))/SQRT(1+'1.설계입력'!$C$39^2-2*'1.설계입력'!$C$39*COS(B1290)))</f>
        <v/>
      </c>
    </row>
    <row r="1291" spans="1:11" x14ac:dyDescent="0.3">
      <c r="A1291" s="40">
        <f>A1290+'1.설계입력'!$C$12</f>
        <v>256.99999999999397</v>
      </c>
      <c r="B1291" s="40">
        <f t="shared" si="60"/>
        <v>4.4854961776253219</v>
      </c>
      <c r="C1291" s="40">
        <f>ATAN2('1.설계입력'!$C$6/('1.설계입력'!$C$8*'1.설계입력'!$C$15)-COS((1-'1.설계입력'!$C$15)*B1291),SIN((1-'1.설계입력'!$C$15)*B1291))</f>
        <v>0.79541947802333723</v>
      </c>
      <c r="D1291" s="40">
        <f>'1.설계입력'!$C$6*COS(B1291)-'1.설계입력'!$C$7*COS(B1291+C1291)-'1.설계입력'!$C$8*COS('1.설계입력'!$C$15*B1291)</f>
        <v>-19.190011804884406</v>
      </c>
      <c r="E1291" s="40">
        <f>-'1.설계입력'!$C$6*SIN(B1291)+'1.설계입력'!$C$7*SIN(B1291+C1291)+'1.설계입력'!$C$8*SIN('1.설계입력'!$C$15*B1291)</f>
        <v>76.014534639927504</v>
      </c>
      <c r="F1291" s="40">
        <f>ATAN2(('1.설계입력'!$C$6+'1.설계입력'!$C$33)/('1.설계입력'!$C$8*'1.설계입력'!$C$15)-COS((1-'1.설계입력'!$C$15)*B1291),SIN((1-'1.설계입력'!$C$15)*B1291))</f>
        <v>0.79545089903551547</v>
      </c>
      <c r="G1291" s="40">
        <f>('1.설계입력'!$C$6+'1.설계입력'!$C$33)*COS(B1291)-('1.설계입력'!$C$7+'1.설계입력'!$C$34)*COS(B1291+F1291)-'1.설계입력'!$C$8*COS('1.설계입력'!$C$15*B1291)</f>
        <v>-19.193781551025701</v>
      </c>
      <c r="H1291" s="40">
        <f>-('1.설계입력'!$C$6+'1.설계입력'!$C$33)*SIN(B1291)+('1.설계입력'!$C$7+'1.설계입력'!$C$34)*SIN(B1291+F1291)+'1.설계입력'!$C$8*SIN('1.설계입력'!$C$15*B1291)</f>
        <v>76.004756068163076</v>
      </c>
      <c r="I1291" s="40">
        <f t="shared" si="61"/>
        <v>78.399400696665666</v>
      </c>
      <c r="J1291" s="40">
        <f t="shared" si="62"/>
        <v>78.390842546878318</v>
      </c>
      <c r="K1291" s="38" t="str">
        <f>IF(OR(A1291&gt;180,'1.설계입력'!$C$39&gt;=1),"",'1.설계입력'!$C$34*(1-SIN(B1291)/SQRT(1+'1.설계입력'!$C$39^2-2*'1.설계입력'!$C$39*COS(B1291)))-'1.설계입력'!$C$33*(1-'1.설계입력'!$C$39*COS(B1291)-SQRT(MAX(0,1-'1.설계입력'!$C$39^2))*SIN(B1291))/SQRT(1+'1.설계입력'!$C$39^2-2*'1.설계입력'!$C$39*COS(B1291)))</f>
        <v/>
      </c>
    </row>
    <row r="1292" spans="1:11" x14ac:dyDescent="0.3">
      <c r="A1292" s="40">
        <f>A1291+'1.설계입력'!$C$12</f>
        <v>257.19999999999396</v>
      </c>
      <c r="B1292" s="40">
        <f t="shared" si="60"/>
        <v>4.4889868361293104</v>
      </c>
      <c r="C1292" s="40">
        <f>ATAN2('1.설계입력'!$C$6/('1.설계입력'!$C$8*'1.설계입력'!$C$15)-COS((1-'1.설계입력'!$C$15)*B1292),SIN((1-'1.설계입력'!$C$15)*B1292))</f>
        <v>0.81514572447418387</v>
      </c>
      <c r="D1292" s="40">
        <f>'1.설계입력'!$C$6*COS(B1292)-'1.설계입력'!$C$7*COS(B1292+C1292)-'1.설계입력'!$C$8*COS('1.설계입력'!$C$15*B1292)</f>
        <v>-19.073791368398254</v>
      </c>
      <c r="E1292" s="40">
        <f>-'1.설계입력'!$C$6*SIN(B1292)+'1.설계입력'!$C$7*SIN(B1292+C1292)+'1.설계입력'!$C$8*SIN('1.설계입력'!$C$15*B1292)</f>
        <v>75.938162283048257</v>
      </c>
      <c r="F1292" s="40">
        <f>ATAN2(('1.설계입력'!$C$6+'1.설계입력'!$C$33)/('1.설계입력'!$C$8*'1.설계입력'!$C$15)-COS((1-'1.설계입력'!$C$15)*B1292),SIN((1-'1.설계입력'!$C$15)*B1292))</f>
        <v>0.81518188100687283</v>
      </c>
      <c r="G1292" s="40">
        <f>('1.설계입력'!$C$6+'1.설계입력'!$C$33)*COS(B1292)-('1.설계입력'!$C$7+'1.설계입력'!$C$34)*COS(B1292+F1292)-'1.설계입력'!$C$8*COS('1.설계입력'!$C$15*B1292)</f>
        <v>-19.077743097726863</v>
      </c>
      <c r="H1292" s="40">
        <f>-('1.설계입력'!$C$6+'1.설계입력'!$C$33)*SIN(B1292)+('1.설계입력'!$C$7+'1.설계입력'!$C$34)*SIN(B1292+F1292)+'1.설계입력'!$C$8*SIN('1.설계입력'!$C$15*B1292)</f>
        <v>75.928497407557032</v>
      </c>
      <c r="I1292" s="40">
        <f t="shared" si="61"/>
        <v>78.29696040135758</v>
      </c>
      <c r="J1292" s="40">
        <f t="shared" si="62"/>
        <v>78.288549611499775</v>
      </c>
      <c r="K1292" s="38" t="str">
        <f>IF(OR(A1292&gt;180,'1.설계입력'!$C$39&gt;=1),"",'1.설계입력'!$C$34*(1-SIN(B1292)/SQRT(1+'1.설계입력'!$C$39^2-2*'1.설계입력'!$C$39*COS(B1292)))-'1.설계입력'!$C$33*(1-'1.설계입력'!$C$39*COS(B1292)-SQRT(MAX(0,1-'1.설계입력'!$C$39^2))*SIN(B1292))/SQRT(1+'1.설계입력'!$C$39^2-2*'1.설계입력'!$C$39*COS(B1292)))</f>
        <v/>
      </c>
    </row>
    <row r="1293" spans="1:11" x14ac:dyDescent="0.3">
      <c r="A1293" s="40">
        <f>A1292+'1.설계입력'!$C$12</f>
        <v>257.39999999999395</v>
      </c>
      <c r="B1293" s="40">
        <f t="shared" si="60"/>
        <v>4.4924774946332988</v>
      </c>
      <c r="C1293" s="40">
        <f>ATAN2('1.설계입력'!$C$6/('1.설계입력'!$C$8*'1.설계입력'!$C$15)-COS((1-'1.설계입력'!$C$15)*B1293),SIN((1-'1.설계입력'!$C$15)*B1293))</f>
        <v>0.820408039084909</v>
      </c>
      <c r="D1293" s="40">
        <f>'1.설계입력'!$C$6*COS(B1293)-'1.설계입력'!$C$7*COS(B1293+C1293)-'1.설계입력'!$C$8*COS('1.설계입력'!$C$15*B1293)</f>
        <v>-18.934429210632612</v>
      </c>
      <c r="E1293" s="40">
        <f>-'1.설계입력'!$C$6*SIN(B1293)+'1.설계입력'!$C$7*SIN(B1293+C1293)+'1.설계입력'!$C$8*SIN('1.설계입력'!$C$15*B1293)</f>
        <v>75.843276048264741</v>
      </c>
      <c r="F1293" s="40">
        <f>ATAN2(('1.설계입력'!$C$6+'1.설계입력'!$C$33)/('1.설계입력'!$C$8*'1.설계입력'!$C$15)-COS((1-'1.설계입력'!$C$15)*B1293),SIN((1-'1.설계입력'!$C$15)*B1293))</f>
        <v>0.82044983748260325</v>
      </c>
      <c r="G1293" s="40">
        <f>('1.설계입력'!$C$6+'1.설계입력'!$C$33)*COS(B1293)-('1.설계입력'!$C$7+'1.설계입력'!$C$34)*COS(B1293+F1293)-'1.설계입력'!$C$8*COS('1.설계입력'!$C$15*B1293)</f>
        <v>-18.938468110911451</v>
      </c>
      <c r="H1293" s="40">
        <f>-('1.설계입력'!$C$6+'1.설계입력'!$C$33)*SIN(B1293)+('1.설계입력'!$C$7+'1.설계입력'!$C$34)*SIN(B1293+F1293)+'1.설계입력'!$C$8*SIN('1.설계입력'!$C$15*B1293)</f>
        <v>75.833662426991935</v>
      </c>
      <c r="I1293" s="40">
        <f t="shared" si="61"/>
        <v>78.171063260427417</v>
      </c>
      <c r="J1293" s="40">
        <f t="shared" si="62"/>
        <v>78.162714458231164</v>
      </c>
      <c r="K1293" s="38" t="str">
        <f>IF(OR(A1293&gt;180,'1.설계입력'!$C$39&gt;=1),"",'1.설계입력'!$C$34*(1-SIN(B1293)/SQRT(1+'1.설계입력'!$C$39^2-2*'1.설계입력'!$C$39*COS(B1293)))-'1.설계입력'!$C$33*(1-'1.설계입력'!$C$39*COS(B1293)-SQRT(MAX(0,1-'1.설계입력'!$C$39^2))*SIN(B1293))/SQRT(1+'1.설계입력'!$C$39^2-2*'1.설계입력'!$C$39*COS(B1293)))</f>
        <v/>
      </c>
    </row>
    <row r="1294" spans="1:11" x14ac:dyDescent="0.3">
      <c r="A1294" s="40">
        <f>A1293+'1.설계입력'!$C$12</f>
        <v>257.59999999999394</v>
      </c>
      <c r="B1294" s="40">
        <f t="shared" si="60"/>
        <v>4.4959681531372873</v>
      </c>
      <c r="C1294" s="40">
        <f>ATAN2('1.설계입력'!$C$6/('1.설계입력'!$C$8*'1.설계입력'!$C$15)-COS((1-'1.설계입력'!$C$15)*B1294),SIN((1-'1.설계입력'!$C$15)*B1294))</f>
        <v>0.80346762980282593</v>
      </c>
      <c r="D1294" s="40">
        <f>'1.설계입력'!$C$6*COS(B1294)-'1.설계입력'!$C$7*COS(B1294+C1294)-'1.설계입력'!$C$8*COS('1.설계입력'!$C$15*B1294)</f>
        <v>-18.744905801094372</v>
      </c>
      <c r="E1294" s="40">
        <f>-'1.설계입력'!$C$6*SIN(B1294)+'1.설계입력'!$C$7*SIN(B1294+C1294)+'1.설계입력'!$C$8*SIN('1.설계입력'!$C$15*B1294)</f>
        <v>75.714818878944101</v>
      </c>
      <c r="F1294" s="40">
        <f>ATAN2(('1.설계입력'!$C$6+'1.설계입력'!$C$33)/('1.설계입력'!$C$8*'1.설계입력'!$C$15)-COS((1-'1.설계입력'!$C$15)*B1294),SIN((1-'1.설계입력'!$C$15)*B1294))</f>
        <v>0.80351600055949379</v>
      </c>
      <c r="G1294" s="40">
        <f>('1.설계입력'!$C$6+'1.설계입력'!$C$33)*COS(B1294)-('1.설계입력'!$C$7+'1.설계입력'!$C$34)*COS(B1294+F1294)-'1.설계입력'!$C$8*COS('1.설계입력'!$C$15*B1294)</f>
        <v>-18.74888816312215</v>
      </c>
      <c r="H1294" s="40">
        <f>-('1.설계입력'!$C$6+'1.설계입력'!$C$33)*SIN(B1294)+('1.설계입력'!$C$7+'1.설계입력'!$C$34)*SIN(B1294+F1294)+'1.설계입력'!$C$8*SIN('1.설계입력'!$C$15*B1294)</f>
        <v>75.70515468817122</v>
      </c>
      <c r="I1294" s="40">
        <f t="shared" si="61"/>
        <v>78.000674941715801</v>
      </c>
      <c r="J1294" s="40">
        <f t="shared" si="62"/>
        <v>77.992251241473951</v>
      </c>
      <c r="K1294" s="38" t="str">
        <f>IF(OR(A1294&gt;180,'1.설계입력'!$C$39&gt;=1),"",'1.설계입력'!$C$34*(1-SIN(B1294)/SQRT(1+'1.설계입력'!$C$39^2-2*'1.설계입력'!$C$39*COS(B1294)))-'1.설계입력'!$C$33*(1-'1.설계입력'!$C$39*COS(B1294)-SQRT(MAX(0,1-'1.설계입력'!$C$39^2))*SIN(B1294))/SQRT(1+'1.설계입력'!$C$39^2-2*'1.설계입력'!$C$39*COS(B1294)))</f>
        <v/>
      </c>
    </row>
    <row r="1295" spans="1:11" x14ac:dyDescent="0.3">
      <c r="A1295" s="40">
        <f>A1294+'1.설계입력'!$C$12</f>
        <v>257.79999999999393</v>
      </c>
      <c r="B1295" s="40">
        <f t="shared" si="60"/>
        <v>4.4994588116412757</v>
      </c>
      <c r="C1295" s="40">
        <f>ATAN2('1.설계입력'!$C$6/('1.설계입력'!$C$8*'1.설계입력'!$C$15)-COS((1-'1.설계입력'!$C$15)*B1295),SIN((1-'1.설계입력'!$C$15)*B1295))</f>
        <v>0.75089819220558507</v>
      </c>
      <c r="D1295" s="40">
        <f>'1.설계입력'!$C$6*COS(B1295)-'1.설계입력'!$C$7*COS(B1295+C1295)-'1.설계입력'!$C$8*COS('1.설계입력'!$C$15*B1295)</f>
        <v>-18.454709446439214</v>
      </c>
      <c r="E1295" s="40">
        <f>-'1.설계입력'!$C$6*SIN(B1295)+'1.설계입력'!$C$7*SIN(B1295+C1295)+'1.설계입력'!$C$8*SIN('1.설계입력'!$C$15*B1295)</f>
        <v>75.531080712216536</v>
      </c>
      <c r="F1295" s="40">
        <f>ATAN2(('1.설계입력'!$C$6+'1.설계입력'!$C$33)/('1.설계입력'!$C$8*'1.설계입력'!$C$15)-COS((1-'1.설계입력'!$C$15)*B1295),SIN((1-'1.설계입력'!$C$15)*B1295))</f>
        <v>0.75095345864501084</v>
      </c>
      <c r="G1295" s="40">
        <f>('1.설계입력'!$C$6+'1.설계입력'!$C$33)*COS(B1295)-('1.설계입력'!$C$7+'1.설계입력'!$C$34)*COS(B1295+F1295)-'1.설계입력'!$C$8*COS('1.설계입력'!$C$15*B1295)</f>
        <v>-18.458394937347816</v>
      </c>
      <c r="H1295" s="40">
        <f>-('1.설계입력'!$C$6+'1.설계입력'!$C$33)*SIN(B1295)+('1.설계입력'!$C$7+'1.설계입력'!$C$34)*SIN(B1295+F1295)+'1.설계입력'!$C$8*SIN('1.설계입력'!$C$15*B1295)</f>
        <v>75.521208341782412</v>
      </c>
      <c r="I1295" s="40">
        <f t="shared" si="61"/>
        <v>77.752944988005837</v>
      </c>
      <c r="J1295" s="40">
        <f t="shared" si="62"/>
        <v>77.744229709130266</v>
      </c>
      <c r="K1295" s="38" t="str">
        <f>IF(OR(A1295&gt;180,'1.설계입력'!$C$39&gt;=1),"",'1.설계입력'!$C$34*(1-SIN(B1295)/SQRT(1+'1.설계입력'!$C$39^2-2*'1.설계입력'!$C$39*COS(B1295)))-'1.설계입력'!$C$33*(1-'1.설계입력'!$C$39*COS(B1295)-SQRT(MAX(0,1-'1.설계입력'!$C$39^2))*SIN(B1295))/SQRT(1+'1.설계입력'!$C$39^2-2*'1.설계입력'!$C$39*COS(B1295)))</f>
        <v/>
      </c>
    </row>
    <row r="1296" spans="1:11" x14ac:dyDescent="0.3">
      <c r="A1296" s="40">
        <f>A1295+'1.설계입력'!$C$12</f>
        <v>257.99999999999392</v>
      </c>
      <c r="B1296" s="40">
        <f t="shared" si="60"/>
        <v>4.5029494701452641</v>
      </c>
      <c r="C1296" s="40">
        <f>ATAN2('1.설계입력'!$C$6/('1.설계입력'!$C$8*'1.설계입력'!$C$15)-COS((1-'1.설계입력'!$C$15)*B1296),SIN((1-'1.설계입력'!$C$15)*B1296))</f>
        <v>0.6393449216495567</v>
      </c>
      <c r="D1296" s="40">
        <f>'1.설계입력'!$C$6*COS(B1296)-'1.설계입력'!$C$7*COS(B1296+C1296)-'1.설계입력'!$C$8*COS('1.설계입력'!$C$15*B1296)</f>
        <v>-17.965897938163128</v>
      </c>
      <c r="E1296" s="40">
        <f>-'1.설계입력'!$C$6*SIN(B1296)+'1.설계입력'!$C$7*SIN(B1296+C1296)+'1.설계입력'!$C$8*SIN('1.설계입력'!$C$15*B1296)</f>
        <v>75.273044447177085</v>
      </c>
      <c r="F1296" s="40">
        <f>ATAN2(('1.설계입력'!$C$6+'1.설계입력'!$C$33)/('1.설계입력'!$C$8*'1.설계입력'!$C$15)-COS((1-'1.설계입력'!$C$15)*B1296),SIN((1-'1.설계입력'!$C$15)*B1296))</f>
        <v>0.63940445099064847</v>
      </c>
      <c r="G1296" s="40">
        <f>('1.설계입력'!$C$6+'1.설계입력'!$C$33)*COS(B1296)-('1.설계입력'!$C$7+'1.설계입력'!$C$34)*COS(B1296+F1296)-'1.설계입력'!$C$8*COS('1.설계입력'!$C$15*B1296)</f>
        <v>-17.968846254253993</v>
      </c>
      <c r="H1296" s="40">
        <f>-('1.설계입력'!$C$6+'1.설계입력'!$C$33)*SIN(B1296)+('1.설계입력'!$C$7+'1.설계입력'!$C$34)*SIN(B1296+F1296)+'1.설계입력'!$C$8*SIN('1.설계입력'!$C$15*B1296)</f>
        <v>75.262748698810029</v>
      </c>
      <c r="I1296" s="40">
        <f t="shared" si="61"/>
        <v>77.387367890833389</v>
      </c>
      <c r="J1296" s="40">
        <f t="shared" si="62"/>
        <v>77.378038081934122</v>
      </c>
      <c r="K1296" s="38" t="str">
        <f>IF(OR(A1296&gt;180,'1.설계입력'!$C$39&gt;=1),"",'1.설계입력'!$C$34*(1-SIN(B1296)/SQRT(1+'1.설계입력'!$C$39^2-2*'1.설계입력'!$C$39*COS(B1296)))-'1.설계입력'!$C$33*(1-'1.설계입력'!$C$39*COS(B1296)-SQRT(MAX(0,1-'1.설계입력'!$C$39^2))*SIN(B1296))/SQRT(1+'1.설계입력'!$C$39^2-2*'1.설계입력'!$C$39*COS(B1296)))</f>
        <v/>
      </c>
    </row>
    <row r="1297" spans="1:11" x14ac:dyDescent="0.3">
      <c r="A1297" s="40">
        <f>A1296+'1.설계입력'!$C$12</f>
        <v>258.19999999999391</v>
      </c>
      <c r="B1297" s="40">
        <f t="shared" si="60"/>
        <v>4.5064401286492526</v>
      </c>
      <c r="C1297" s="40">
        <f>ATAN2('1.설계입력'!$C$6/('1.설계입력'!$C$8*'1.설계입력'!$C$15)-COS((1-'1.설계입력'!$C$15)*B1297),SIN((1-'1.설계입력'!$C$15)*B1297))</f>
        <v>0.43361336163556058</v>
      </c>
      <c r="D1297" s="40">
        <f>'1.설계입력'!$C$6*COS(B1297)-'1.설계입력'!$C$7*COS(B1297+C1297)-'1.설계입력'!$C$8*COS('1.설계입력'!$C$15*B1297)</f>
        <v>-17.109578023398782</v>
      </c>
      <c r="E1297" s="40">
        <f>-'1.설계입력'!$C$6*SIN(B1297)+'1.설계입력'!$C$7*SIN(B1297+C1297)+'1.설계입력'!$C$8*SIN('1.설계입력'!$C$15*B1297)</f>
        <v>74.979565383275528</v>
      </c>
      <c r="F1297" s="40">
        <f>ATAN2(('1.설계입력'!$C$6+'1.설계입력'!$C$33)/('1.설계입력'!$C$8*'1.설계입력'!$C$15)-COS((1-'1.설계입력'!$C$15)*B1297),SIN((1-'1.설계입력'!$C$15)*B1297))</f>
        <v>0.43366487163120487</v>
      </c>
      <c r="G1297" s="40">
        <f>('1.설계입력'!$C$6+'1.설계입력'!$C$33)*COS(B1297)-('1.설계입력'!$C$7+'1.설계입력'!$C$34)*COS(B1297+F1297)-'1.설계입력'!$C$8*COS('1.설계입력'!$C$15*B1297)</f>
        <v>-17.11097340788282</v>
      </c>
      <c r="H1297" s="40">
        <f>-('1.설계입력'!$C$6+'1.설계입력'!$C$33)*SIN(B1297)+('1.설계입력'!$C$7+'1.설계입력'!$C$34)*SIN(B1297+F1297)+'1.설계입력'!$C$8*SIN('1.설계입력'!$C$15*B1297)</f>
        <v>74.968686508500994</v>
      </c>
      <c r="I1297" s="40">
        <f t="shared" si="61"/>
        <v>76.90691051656971</v>
      </c>
      <c r="J1297" s="40">
        <f t="shared" si="62"/>
        <v>76.89661480049152</v>
      </c>
      <c r="K1297" s="38" t="str">
        <f>IF(OR(A1297&gt;180,'1.설계입력'!$C$39&gt;=1),"",'1.설계입력'!$C$34*(1-SIN(B1297)/SQRT(1+'1.설계입력'!$C$39^2-2*'1.설계입력'!$C$39*COS(B1297)))-'1.설계입력'!$C$33*(1-'1.설계입력'!$C$39*COS(B1297)-SQRT(MAX(0,1-'1.설계입력'!$C$39^2))*SIN(B1297))/SQRT(1+'1.설계입력'!$C$39^2-2*'1.설계입력'!$C$39*COS(B1297)))</f>
        <v/>
      </c>
    </row>
    <row r="1298" spans="1:11" x14ac:dyDescent="0.3">
      <c r="A1298" s="40">
        <f>A1297+'1.설계입력'!$C$12</f>
        <v>258.3999999999939</v>
      </c>
      <c r="B1298" s="40">
        <f t="shared" si="60"/>
        <v>4.509930787153241</v>
      </c>
      <c r="C1298" s="40">
        <f>ATAN2('1.설계입력'!$C$6/('1.설계입력'!$C$8*'1.설계입력'!$C$15)-COS((1-'1.설계입력'!$C$15)*B1298),SIN((1-'1.설계입력'!$C$15)*B1298))</f>
        <v>0.11344458339326514</v>
      </c>
      <c r="D1298" s="40">
        <f>'1.설계입력'!$C$6*COS(B1298)-'1.설계입력'!$C$7*COS(B1298+C1298)-'1.설계입력'!$C$8*COS('1.설계입력'!$C$15*B1298)</f>
        <v>-15.76992225995005</v>
      </c>
      <c r="E1298" s="40">
        <f>-'1.설계입력'!$C$6*SIN(B1298)+'1.설계입력'!$C$7*SIN(B1298+C1298)+'1.설계입력'!$C$8*SIN('1.설계입력'!$C$15*B1298)</f>
        <v>74.885563262530027</v>
      </c>
      <c r="F1298" s="40">
        <f>ATAN2(('1.설계입력'!$C$6+'1.설계입력'!$C$33)/('1.설계입력'!$C$8*'1.설계입력'!$C$15)-COS((1-'1.설계입력'!$C$15)*B1298),SIN((1-'1.설계입력'!$C$15)*B1298))</f>
        <v>0.11346039633855914</v>
      </c>
      <c r="G1298" s="40">
        <f>('1.설계입력'!$C$6+'1.설계입력'!$C$33)*COS(B1298)-('1.설계입력'!$C$7+'1.설계입력'!$C$34)*COS(B1298+F1298)-'1.설계입력'!$C$8*COS('1.설계입력'!$C$15*B1298)</f>
        <v>-15.768641988906072</v>
      </c>
      <c r="H1298" s="40">
        <f>-('1.설계입력'!$C$6+'1.설계입력'!$C$33)*SIN(B1298)+('1.설계입력'!$C$7+'1.설계입력'!$C$34)*SIN(B1298+F1298)+'1.설계입력'!$C$8*SIN('1.설계입력'!$C$15*B1298)</f>
        <v>74.874453014211213</v>
      </c>
      <c r="I1298" s="40">
        <f t="shared" si="61"/>
        <v>76.528021229032547</v>
      </c>
      <c r="J1298" s="40">
        <f t="shared" si="62"/>
        <v>76.516885615866599</v>
      </c>
      <c r="K1298" s="38" t="str">
        <f>IF(OR(A1298&gt;180,'1.설계입력'!$C$39&gt;=1),"",'1.설계입력'!$C$34*(1-SIN(B1298)/SQRT(1+'1.설계입력'!$C$39^2-2*'1.설계입력'!$C$39*COS(B1298)))-'1.설계입력'!$C$33*(1-'1.설계입력'!$C$39*COS(B1298)-SQRT(MAX(0,1-'1.설계입력'!$C$39^2))*SIN(B1298))/SQRT(1+'1.설계입력'!$C$39^2-2*'1.설계입력'!$C$39*COS(B1298)))</f>
        <v/>
      </c>
    </row>
    <row r="1299" spans="1:11" x14ac:dyDescent="0.3">
      <c r="A1299" s="40">
        <f>A1298+'1.설계입력'!$C$12</f>
        <v>258.59999999999388</v>
      </c>
      <c r="B1299" s="40">
        <f t="shared" si="60"/>
        <v>4.5134214456572295</v>
      </c>
      <c r="C1299" s="40">
        <f>ATAN2('1.설계입력'!$C$6/('1.설계입력'!$C$8*'1.설계입력'!$C$15)-COS((1-'1.설계입력'!$C$15)*B1299),SIN((1-'1.설계입력'!$C$15)*B1299))</f>
        <v>-0.24835429784482477</v>
      </c>
      <c r="D1299" s="40">
        <f>'1.설계입력'!$C$6*COS(B1299)-'1.설계입력'!$C$7*COS(B1299+C1299)-'1.설계입력'!$C$8*COS('1.설계입력'!$C$15*B1299)</f>
        <v>-14.320899500259536</v>
      </c>
      <c r="E1299" s="40">
        <f>-'1.설계입력'!$C$6*SIN(B1299)+'1.설계입력'!$C$7*SIN(B1299+C1299)+'1.설계입력'!$C$8*SIN('1.설계입력'!$C$15*B1299)</f>
        <v>75.284018347036181</v>
      </c>
      <c r="F1299" s="40">
        <f>ATAN2(('1.설계입력'!$C$6+'1.설계입력'!$C$33)/('1.설계입력'!$C$8*'1.설계입력'!$C$15)-COS((1-'1.설계입력'!$C$15)*B1299),SIN((1-'1.설계입력'!$C$15)*B1299))</f>
        <v>-0.24838747469288577</v>
      </c>
      <c r="G1299" s="40">
        <f>('1.설계입력'!$C$6+'1.설계입력'!$C$33)*COS(B1299)-('1.설계입력'!$C$7+'1.설계입력'!$C$34)*COS(B1299+F1299)-'1.설계입력'!$C$8*COS('1.설계입력'!$C$15*B1299)</f>
        <v>-14.31666319634191</v>
      </c>
      <c r="H1299" s="40">
        <f>-('1.설계입력'!$C$6+'1.설계입력'!$C$33)*SIN(B1299)+('1.설계입력'!$C$7+'1.설계입력'!$C$34)*SIN(B1299+F1299)+'1.설계입력'!$C$8*SIN('1.설계입력'!$C$15*B1299)</f>
        <v>75.273733996393389</v>
      </c>
      <c r="I1299" s="40">
        <f t="shared" si="61"/>
        <v>76.634010602169411</v>
      </c>
      <c r="J1299" s="40">
        <f t="shared" si="62"/>
        <v>76.623115799589357</v>
      </c>
      <c r="K1299" s="38" t="str">
        <f>IF(OR(A1299&gt;180,'1.설계입력'!$C$39&gt;=1),"",'1.설계입력'!$C$34*(1-SIN(B1299)/SQRT(1+'1.설계입력'!$C$39^2-2*'1.설계입력'!$C$39*COS(B1299)))-'1.설계입력'!$C$33*(1-'1.설계입력'!$C$39*COS(B1299)-SQRT(MAX(0,1-'1.설계입력'!$C$39^2))*SIN(B1299))/SQRT(1+'1.설계입력'!$C$39^2-2*'1.설계입력'!$C$39*COS(B1299)))</f>
        <v/>
      </c>
    </row>
    <row r="1300" spans="1:11" x14ac:dyDescent="0.3">
      <c r="A1300" s="40">
        <f>A1299+'1.설계입력'!$C$12</f>
        <v>258.79999999999387</v>
      </c>
      <c r="B1300" s="40">
        <f t="shared" si="60"/>
        <v>4.5169121041612179</v>
      </c>
      <c r="C1300" s="40">
        <f>ATAN2('1.설계입력'!$C$6/('1.설계입력'!$C$8*'1.설계입력'!$C$15)-COS((1-'1.설계입력'!$C$15)*B1300),SIN((1-'1.설계입력'!$C$15)*B1300))</f>
        <v>-0.52626875193987799</v>
      </c>
      <c r="D1300" s="40">
        <f>'1.설계입력'!$C$6*COS(B1300)-'1.설계입력'!$C$7*COS(B1300+C1300)-'1.설계입력'!$C$8*COS('1.설계입력'!$C$15*B1300)</f>
        <v>-13.336781885433433</v>
      </c>
      <c r="E1300" s="40">
        <f>-'1.설계입력'!$C$6*SIN(B1300)+'1.설계입력'!$C$7*SIN(B1300+C1300)+'1.설계입력'!$C$8*SIN('1.설계입력'!$C$15*B1300)</f>
        <v>75.936622322847015</v>
      </c>
      <c r="F1300" s="40">
        <f>ATAN2(('1.설계입력'!$C$6+'1.설계입력'!$C$33)/('1.설계입력'!$C$8*'1.설계입력'!$C$15)-COS((1-'1.설계입력'!$C$15)*B1300),SIN((1-'1.설계입력'!$C$15)*B1300))</f>
        <v>-0.52632584652700376</v>
      </c>
      <c r="G1300" s="40">
        <f>('1.설계입력'!$C$6+'1.설계입력'!$C$33)*COS(B1300)-('1.설계입력'!$C$7+'1.설계입력'!$C$34)*COS(B1300+F1300)-'1.설계입력'!$C$8*COS('1.설계입력'!$C$15*B1300)</f>
        <v>-13.330656345169123</v>
      </c>
      <c r="H1300" s="40">
        <f>-('1.설계입력'!$C$6+'1.설계입력'!$C$33)*SIN(B1300)+('1.설계입력'!$C$7+'1.설계입력'!$C$34)*SIN(B1300+F1300)+'1.설계입력'!$C$8*SIN('1.설계입력'!$C$15*B1300)</f>
        <v>75.927652267284316</v>
      </c>
      <c r="I1300" s="40">
        <f t="shared" si="61"/>
        <v>77.098899868041784</v>
      </c>
      <c r="J1300" s="40">
        <f t="shared" si="62"/>
        <v>77.089005554713466</v>
      </c>
      <c r="K1300" s="38" t="str">
        <f>IF(OR(A1300&gt;180,'1.설계입력'!$C$39&gt;=1),"",'1.설계입력'!$C$34*(1-SIN(B1300)/SQRT(1+'1.설계입력'!$C$39^2-2*'1.설계입력'!$C$39*COS(B1300)))-'1.설계입력'!$C$33*(1-'1.설계입력'!$C$39*COS(B1300)-SQRT(MAX(0,1-'1.설계입력'!$C$39^2))*SIN(B1300))/SQRT(1+'1.설계입력'!$C$39^2-2*'1.설계입력'!$C$39*COS(B1300)))</f>
        <v/>
      </c>
    </row>
    <row r="1301" spans="1:11" x14ac:dyDescent="0.3">
      <c r="A1301" s="40">
        <f>A1300+'1.설계입력'!$C$12</f>
        <v>258.99999999999386</v>
      </c>
      <c r="B1301" s="40">
        <f t="shared" si="60"/>
        <v>4.5204027626652064</v>
      </c>
      <c r="C1301" s="40">
        <f>ATAN2('1.설계입력'!$C$6/('1.설계입력'!$C$8*'1.설계입력'!$C$15)-COS((1-'1.설계입력'!$C$15)*B1301),SIN((1-'1.설계입력'!$C$15)*B1301))</f>
        <v>-0.69127080375095629</v>
      </c>
      <c r="D1301" s="40">
        <f>'1.설계입력'!$C$6*COS(B1301)-'1.설계입력'!$C$7*COS(B1301+C1301)-'1.설계입력'!$C$8*COS('1.설계입력'!$C$15*B1301)</f>
        <v>-12.815569878906103</v>
      </c>
      <c r="E1301" s="40">
        <f>-'1.설계입력'!$C$6*SIN(B1301)+'1.설계입력'!$C$7*SIN(B1301+C1301)+'1.설계입력'!$C$8*SIN('1.설계입력'!$C$15*B1301)</f>
        <v>76.477667588973873</v>
      </c>
      <c r="F1301" s="40">
        <f>ATAN2(('1.설계입력'!$C$6+'1.설계입력'!$C$33)/('1.설계입력'!$C$8*'1.설계입력'!$C$15)-COS((1-'1.설계입력'!$C$15)*B1301),SIN((1-'1.설계입력'!$C$15)*B1301))</f>
        <v>-0.69132940343346261</v>
      </c>
      <c r="G1301" s="40">
        <f>('1.설계입력'!$C$6+'1.설계입력'!$C$33)*COS(B1301)-('1.설계입력'!$C$7+'1.설계입력'!$C$34)*COS(B1301+F1301)-'1.설계입력'!$C$8*COS('1.설계입력'!$C$15*B1301)</f>
        <v>-12.808569555872541</v>
      </c>
      <c r="H1301" s="40">
        <f>-('1.설계입력'!$C$6+'1.설계입력'!$C$33)*SIN(B1301)+('1.설계입력'!$C$7+'1.설계입력'!$C$34)*SIN(B1301+F1301)+'1.설계입력'!$C$8*SIN('1.설계입력'!$C$15*B1301)</f>
        <v>76.469665498181513</v>
      </c>
      <c r="I1301" s="40">
        <f t="shared" si="61"/>
        <v>77.544003450755042</v>
      </c>
      <c r="J1301" s="40">
        <f t="shared" si="62"/>
        <v>77.534954668661527</v>
      </c>
      <c r="K1301" s="38" t="str">
        <f>IF(OR(A1301&gt;180,'1.설계입력'!$C$39&gt;=1),"",'1.설계입력'!$C$34*(1-SIN(B1301)/SQRT(1+'1.설계입력'!$C$39^2-2*'1.설계입력'!$C$39*COS(B1301)))-'1.설계입력'!$C$33*(1-'1.설계입력'!$C$39*COS(B1301)-SQRT(MAX(0,1-'1.설계입력'!$C$39^2))*SIN(B1301))/SQRT(1+'1.설계입력'!$C$39^2-2*'1.설계입력'!$C$39*COS(B1301)))</f>
        <v/>
      </c>
    </row>
    <row r="1302" spans="1:11" x14ac:dyDescent="0.3">
      <c r="A1302" s="40">
        <f>A1301+'1.설계입력'!$C$12</f>
        <v>259.19999999999385</v>
      </c>
      <c r="B1302" s="40">
        <f t="shared" si="60"/>
        <v>4.5238934211691948</v>
      </c>
      <c r="C1302" s="40">
        <f>ATAN2('1.설계입력'!$C$6/('1.설계입력'!$C$8*'1.설계입력'!$C$15)-COS((1-'1.설계입력'!$C$15)*B1302),SIN((1-'1.설계입력'!$C$15)*B1302))</f>
        <v>-0.77654519894538476</v>
      </c>
      <c r="D1302" s="40">
        <f>'1.설계입력'!$C$6*COS(B1302)-'1.설계입력'!$C$7*COS(B1302+C1302)-'1.설계입력'!$C$8*COS('1.설계입력'!$C$15*B1302)</f>
        <v>-12.540504791147914</v>
      </c>
      <c r="E1302" s="40">
        <f>-'1.설계입력'!$C$6*SIN(B1302)+'1.설계입력'!$C$7*SIN(B1302+C1302)+'1.설계입력'!$C$8*SIN('1.설계입력'!$C$15*B1302)</f>
        <v>76.843436302755748</v>
      </c>
      <c r="F1302" s="40">
        <f>ATAN2(('1.설계입력'!$C$6+'1.설계입력'!$C$33)/('1.설계입력'!$C$8*'1.설계입력'!$C$15)-COS((1-'1.설계입력'!$C$15)*B1302),SIN((1-'1.설계입력'!$C$15)*B1302))</f>
        <v>-0.77659787589632023</v>
      </c>
      <c r="G1302" s="40">
        <f>('1.설계입력'!$C$6+'1.설계입력'!$C$33)*COS(B1302)-('1.설계입력'!$C$7+'1.설계입력'!$C$34)*COS(B1302+F1302)-'1.설계입력'!$C$8*COS('1.설계입력'!$C$15*B1302)</f>
        <v>-12.533144912973066</v>
      </c>
      <c r="H1302" s="40">
        <f>-('1.설계입력'!$C$6+'1.설계입력'!$C$33)*SIN(B1302)+('1.설계입력'!$C$7+'1.설계입력'!$C$34)*SIN(B1302+F1302)+'1.설계입력'!$C$8*SIN('1.설계입력'!$C$15*B1302)</f>
        <v>76.835952777918791</v>
      </c>
      <c r="I1302" s="40">
        <f t="shared" si="61"/>
        <v>77.859989489033993</v>
      </c>
      <c r="J1302" s="40">
        <f t="shared" si="62"/>
        <v>77.85141848868362</v>
      </c>
      <c r="K1302" s="38" t="str">
        <f>IF(OR(A1302&gt;180,'1.설계입력'!$C$39&gt;=1),"",'1.설계입력'!$C$34*(1-SIN(B1302)/SQRT(1+'1.설계입력'!$C$39^2-2*'1.설계입력'!$C$39*COS(B1302)))-'1.설계입력'!$C$33*(1-'1.설계입력'!$C$39*COS(B1302)-SQRT(MAX(0,1-'1.설계입력'!$C$39^2))*SIN(B1302))/SQRT(1+'1.설계입력'!$C$39^2-2*'1.설계입력'!$C$39*COS(B1302)))</f>
        <v/>
      </c>
    </row>
    <row r="1303" spans="1:11" x14ac:dyDescent="0.3">
      <c r="A1303" s="40">
        <f>A1302+'1.설계입력'!$C$12</f>
        <v>259.39999999999384</v>
      </c>
      <c r="B1303" s="40">
        <f t="shared" si="60"/>
        <v>4.5273840796731832</v>
      </c>
      <c r="C1303" s="40">
        <f>ATAN2('1.설계입력'!$C$6/('1.설계입력'!$C$8*'1.설계입력'!$C$15)-COS((1-'1.설계입력'!$C$15)*B1303),SIN((1-'1.설계입력'!$C$15)*B1303))</f>
        <v>-0.81329921113233861</v>
      </c>
      <c r="D1303" s="40">
        <f>'1.설계입력'!$C$6*COS(B1303)-'1.설계입력'!$C$7*COS(B1303+C1303)-'1.설계입력'!$C$8*COS('1.설계입력'!$C$15*B1303)</f>
        <v>-12.379353538767759</v>
      </c>
      <c r="E1303" s="40">
        <f>-'1.설계입력'!$C$6*SIN(B1303)+'1.설계입력'!$C$7*SIN(B1303+C1303)+'1.설계입력'!$C$8*SIN('1.설계입력'!$C$15*B1303)</f>
        <v>77.085593285223993</v>
      </c>
      <c r="F1303" s="40">
        <f>ATAN2(('1.설계입력'!$C$6+'1.설계입력'!$C$33)/('1.설계입력'!$C$8*'1.설계입력'!$C$15)-COS((1-'1.설계입력'!$C$15)*B1303),SIN((1-'1.설계입력'!$C$15)*B1303))</f>
        <v>-0.81334495783047744</v>
      </c>
      <c r="G1303" s="40">
        <f>('1.설계입력'!$C$6+'1.설계입력'!$C$33)*COS(B1303)-('1.설계입력'!$C$7+'1.설계입력'!$C$34)*COS(B1303+F1303)-'1.설계입력'!$C$8*COS('1.설계입력'!$C$15*B1303)</f>
        <v>-12.371875479984723</v>
      </c>
      <c r="H1303" s="40">
        <f>-('1.설계입력'!$C$6+'1.설계입력'!$C$33)*SIN(B1303)+('1.설계입력'!$C$7+'1.설계입력'!$C$34)*SIN(B1303+F1303)+'1.설계입력'!$C$8*SIN('1.설계입력'!$C$15*B1303)</f>
        <v>77.078312308156967</v>
      </c>
      <c r="I1303" s="40">
        <f t="shared" si="61"/>
        <v>78.073280231925523</v>
      </c>
      <c r="J1303" s="40">
        <f t="shared" si="62"/>
        <v>78.06490588712721</v>
      </c>
      <c r="K1303" s="38" t="str">
        <f>IF(OR(A1303&gt;180,'1.설계입력'!$C$39&gt;=1),"",'1.설계입력'!$C$34*(1-SIN(B1303)/SQRT(1+'1.설계입력'!$C$39^2-2*'1.설계입력'!$C$39*COS(B1303)))-'1.설계입력'!$C$33*(1-'1.설계입력'!$C$39*COS(B1303)-SQRT(MAX(0,1-'1.설계입력'!$C$39^2))*SIN(B1303))/SQRT(1+'1.설계입력'!$C$39^2-2*'1.설계입력'!$C$39*COS(B1303)))</f>
        <v/>
      </c>
    </row>
    <row r="1304" spans="1:11" x14ac:dyDescent="0.3">
      <c r="A1304" s="40">
        <f>A1303+'1.설계입력'!$C$12</f>
        <v>259.59999999999383</v>
      </c>
      <c r="B1304" s="40">
        <f t="shared" si="60"/>
        <v>4.5308747381771717</v>
      </c>
      <c r="C1304" s="40">
        <f>ATAN2('1.설계입력'!$C$6/('1.설계입력'!$C$8*'1.설계입력'!$C$15)-COS((1-'1.설계입력'!$C$15)*B1304),SIN((1-'1.설계입력'!$C$15)*B1304))</f>
        <v>-0.82049791612041834</v>
      </c>
      <c r="D1304" s="40">
        <f>'1.설계입력'!$C$6*COS(B1304)-'1.설계입력'!$C$7*COS(B1304+C1304)-'1.설계입력'!$C$8*COS('1.설계입력'!$C$15*B1304)</f>
        <v>-12.271133448182251</v>
      </c>
      <c r="E1304" s="40">
        <f>-'1.설계입력'!$C$6*SIN(B1304)+'1.설계입력'!$C$7*SIN(B1304+C1304)+'1.설계입력'!$C$8*SIN('1.설계입력'!$C$15*B1304)</f>
        <v>77.254872086346381</v>
      </c>
      <c r="F1304" s="40">
        <f>ATAN2(('1.설계입력'!$C$6+'1.설계입력'!$C$33)/('1.설계입력'!$C$8*'1.설계입력'!$C$15)-COS((1-'1.설계입력'!$C$15)*B1304),SIN((1-'1.설계입력'!$C$15)*B1304))</f>
        <v>-0.82053742990955014</v>
      </c>
      <c r="G1304" s="40">
        <f>('1.설계입력'!$C$6+'1.설계입력'!$C$33)*COS(B1304)-('1.설계입력'!$C$7+'1.설계입력'!$C$34)*COS(B1304+F1304)-'1.설계입력'!$C$8*COS('1.설계입력'!$C$15*B1304)</f>
        <v>-12.263663832021843</v>
      </c>
      <c r="H1304" s="40">
        <f>-('1.설계입력'!$C$6+'1.설계입력'!$C$33)*SIN(B1304)+('1.설계입력'!$C$7+'1.설계입력'!$C$34)*SIN(B1304+F1304)+'1.설계입력'!$C$8*SIN('1.설계입력'!$C$15*B1304)</f>
        <v>77.247593731407406</v>
      </c>
      <c r="I1304" s="40">
        <f t="shared" si="61"/>
        <v>78.223372320431437</v>
      </c>
      <c r="J1304" s="40">
        <f t="shared" si="62"/>
        <v>78.215012547959191</v>
      </c>
      <c r="K1304" s="38" t="str">
        <f>IF(OR(A1304&gt;180,'1.설계입력'!$C$39&gt;=1),"",'1.설계입력'!$C$34*(1-SIN(B1304)/SQRT(1+'1.설계입력'!$C$39^2-2*'1.설계입력'!$C$39*COS(B1304)))-'1.설계입력'!$C$33*(1-'1.설계입력'!$C$39*COS(B1304)-SQRT(MAX(0,1-'1.설계입력'!$C$39^2))*SIN(B1304))/SQRT(1+'1.설계입력'!$C$39^2-2*'1.설계입력'!$C$39*COS(B1304)))</f>
        <v/>
      </c>
    </row>
    <row r="1305" spans="1:11" x14ac:dyDescent="0.3">
      <c r="A1305" s="40">
        <f>A1304+'1.설계입력'!$C$12</f>
        <v>259.79999999999382</v>
      </c>
      <c r="B1305" s="40">
        <f t="shared" si="60"/>
        <v>4.5343653966811601</v>
      </c>
      <c r="C1305" s="40">
        <f>ATAN2('1.설계입력'!$C$6/('1.설계입력'!$C$8*'1.설계입력'!$C$15)-COS((1-'1.설계입력'!$C$15)*B1305),SIN((1-'1.설계입력'!$C$15)*B1305))</f>
        <v>-0.80896725153021876</v>
      </c>
      <c r="D1305" s="40">
        <f>'1.설계입력'!$C$6*COS(B1305)-'1.설계입력'!$C$7*COS(B1305+C1305)-'1.설계입력'!$C$8*COS('1.설계입력'!$C$15*B1305)</f>
        <v>-12.187160224703403</v>
      </c>
      <c r="E1305" s="40">
        <f>-'1.설계입력'!$C$6*SIN(B1305)+'1.설계입력'!$C$7*SIN(B1305+C1305)+'1.설계입력'!$C$8*SIN('1.설계입력'!$C$15*B1305)</f>
        <v>77.384510165287921</v>
      </c>
      <c r="F1305" s="40">
        <f>ATAN2(('1.설계입력'!$C$6+'1.설계입력'!$C$33)/('1.설계입력'!$C$8*'1.설계입력'!$C$15)-COS((1-'1.설계입력'!$C$15)*B1305),SIN((1-'1.설계입력'!$C$15)*B1305))</f>
        <v>-0.80900148722022791</v>
      </c>
      <c r="G1305" s="40">
        <f>('1.설계입력'!$C$6+'1.설계입력'!$C$33)*COS(B1305)-('1.설계입력'!$C$7+'1.설계입력'!$C$34)*COS(B1305+F1305)-'1.설계입력'!$C$8*COS('1.설계입력'!$C$15*B1305)</f>
        <v>-12.179777221947228</v>
      </c>
      <c r="H1305" s="40">
        <f>-('1.설계입력'!$C$6+'1.설계입력'!$C$33)*SIN(B1305)+('1.설계입력'!$C$7+'1.설계입력'!$C$34)*SIN(B1305+F1305)+'1.설계입력'!$C$8*SIN('1.설계입력'!$C$15*B1305)</f>
        <v>77.377108907446441</v>
      </c>
      <c r="I1305" s="40">
        <f t="shared" si="61"/>
        <v>78.338300261520487</v>
      </c>
      <c r="J1305" s="40">
        <f t="shared" si="62"/>
        <v>78.329840776367547</v>
      </c>
      <c r="K1305" s="38" t="str">
        <f>IF(OR(A1305&gt;180,'1.설계입력'!$C$39&gt;=1),"",'1.설계입력'!$C$34*(1-SIN(B1305)/SQRT(1+'1.설계입력'!$C$39^2-2*'1.설계입력'!$C$39*COS(B1305)))-'1.설계입력'!$C$33*(1-'1.설계입력'!$C$39*COS(B1305)-SQRT(MAX(0,1-'1.설계입력'!$C$39^2))*SIN(B1305))/SQRT(1+'1.설계입력'!$C$39^2-2*'1.설계입력'!$C$39*COS(B1305)))</f>
        <v/>
      </c>
    </row>
    <row r="1306" spans="1:11" x14ac:dyDescent="0.3">
      <c r="A1306" s="40">
        <f>A1305+'1.설계입력'!$C$12</f>
        <v>259.9999999999938</v>
      </c>
      <c r="B1306" s="40">
        <f t="shared" si="60"/>
        <v>4.5378560551851486</v>
      </c>
      <c r="C1306" s="40">
        <f>ATAN2('1.설계입력'!$C$6/('1.설계입력'!$C$8*'1.설계입력'!$C$15)-COS((1-'1.설계입력'!$C$15)*B1306),SIN((1-'1.설계입력'!$C$15)*B1306))</f>
        <v>-0.78502806713952833</v>
      </c>
      <c r="D1306" s="40">
        <f>'1.설계입력'!$C$6*COS(B1306)-'1.설계입력'!$C$7*COS(B1306+C1306)-'1.설계입력'!$C$8*COS('1.설계입력'!$C$15*B1306)</f>
        <v>-12.112458394567165</v>
      </c>
      <c r="E1306" s="40">
        <f>-'1.설계입력'!$C$6*SIN(B1306)+'1.설계입력'!$C$7*SIN(B1306+C1306)+'1.설계입력'!$C$8*SIN('1.설계입력'!$C$15*B1306)</f>
        <v>77.494536083790493</v>
      </c>
      <c r="F1306" s="40">
        <f>ATAN2(('1.설계입력'!$C$6+'1.설계입력'!$C$33)/('1.설계입력'!$C$8*'1.설계입력'!$C$15)-COS((1-'1.설계입력'!$C$15)*B1306),SIN((1-'1.설계입력'!$C$15)*B1306))</f>
        <v>-0.78505787571284424</v>
      </c>
      <c r="G1306" s="40">
        <f>('1.설계입력'!$C$6+'1.설계입력'!$C$33)*COS(B1306)-('1.설계입력'!$C$7+'1.설계입력'!$C$34)*COS(B1306+F1306)-'1.설계입력'!$C$8*COS('1.설계입력'!$C$15*B1306)</f>
        <v>-12.105218110339202</v>
      </c>
      <c r="H1306" s="40">
        <f>-('1.설계입력'!$C$6+'1.설계입력'!$C$33)*SIN(B1306)+('1.설계입력'!$C$7+'1.설계입력'!$C$34)*SIN(B1306+F1306)+'1.설계입력'!$C$8*SIN('1.설계입력'!$C$15*B1306)</f>
        <v>77.486932599754525</v>
      </c>
      <c r="I1306" s="40">
        <f t="shared" si="61"/>
        <v>78.435417836599981</v>
      </c>
      <c r="J1306" s="40">
        <f t="shared" si="62"/>
        <v>78.42678770176542</v>
      </c>
      <c r="K1306" s="38" t="str">
        <f>IF(OR(A1306&gt;180,'1.설계입력'!$C$39&gt;=1),"",'1.설계입력'!$C$34*(1-SIN(B1306)/SQRT(1+'1.설계입력'!$C$39^2-2*'1.설계입력'!$C$39*COS(B1306)))-'1.설계입력'!$C$33*(1-'1.설계입력'!$C$39*COS(B1306)-SQRT(MAX(0,1-'1.설계입력'!$C$39^2))*SIN(B1306))/SQRT(1+'1.설계입력'!$C$39^2-2*'1.설계입력'!$C$39*COS(B1306)))</f>
        <v/>
      </c>
    </row>
    <row r="1307" spans="1:11" x14ac:dyDescent="0.3">
      <c r="A1307" s="40">
        <f>A1306+'1.설계입력'!$C$12</f>
        <v>260.19999999999379</v>
      </c>
      <c r="B1307" s="40">
        <f t="shared" si="60"/>
        <v>4.541346713689137</v>
      </c>
      <c r="C1307" s="40">
        <f>ATAN2('1.설계입력'!$C$6/('1.설계입력'!$C$8*'1.설계입력'!$C$15)-COS((1-'1.설계입력'!$C$15)*B1307),SIN((1-'1.설계입력'!$C$15)*B1307))</f>
        <v>-0.75252996523871452</v>
      </c>
      <c r="D1307" s="40">
        <f>'1.설계입력'!$C$6*COS(B1307)-'1.설계입력'!$C$7*COS(B1307+C1307)-'1.설계입력'!$C$8*COS('1.설계입력'!$C$15*B1307)</f>
        <v>-12.038208398749902</v>
      </c>
      <c r="E1307" s="40">
        <f>-'1.설계입력'!$C$6*SIN(B1307)+'1.설계입력'!$C$7*SIN(B1307+C1307)+'1.설계입력'!$C$8*SIN('1.설계입력'!$C$15*B1307)</f>
        <v>77.596671884126479</v>
      </c>
      <c r="F1307" s="40">
        <f>ATAN2(('1.설계입력'!$C$6+'1.설계입력'!$C$33)/('1.설계입력'!$C$8*'1.설계입력'!$C$15)-COS((1-'1.설계입력'!$C$15)*B1307),SIN((1-'1.설계입력'!$C$15)*B1307))</f>
        <v>-0.75255603479777389</v>
      </c>
      <c r="G1307" s="40">
        <f>('1.설계입력'!$C$6+'1.설계입력'!$C$33)*COS(B1307)-('1.설계입력'!$C$7+'1.설계입력'!$C$34)*COS(B1307+F1307)-'1.설계입력'!$C$8*COS('1.설계입력'!$C$15*B1307)</f>
        <v>-12.031155884553245</v>
      </c>
      <c r="H1307" s="40">
        <f>-('1.설계입력'!$C$6+'1.설계입력'!$C$33)*SIN(B1307)+('1.설계입력'!$C$7+'1.설계입력'!$C$34)*SIN(B1307+F1307)+'1.설계입력'!$C$8*SIN('1.설계입력'!$C$15*B1307)</f>
        <v>77.588816386783122</v>
      </c>
      <c r="I1307" s="40">
        <f t="shared" si="61"/>
        <v>78.524912919050834</v>
      </c>
      <c r="J1307" s="40">
        <f t="shared" si="62"/>
        <v>78.516069312086458</v>
      </c>
      <c r="K1307" s="38" t="str">
        <f>IF(OR(A1307&gt;180,'1.설계입력'!$C$39&gt;=1),"",'1.설계입력'!$C$34*(1-SIN(B1307)/SQRT(1+'1.설계입력'!$C$39^2-2*'1.설계입력'!$C$39*COS(B1307)))-'1.설계입력'!$C$33*(1-'1.설계입력'!$C$39*COS(B1307)-SQRT(MAX(0,1-'1.설계입력'!$C$39^2))*SIN(B1307))/SQRT(1+'1.설계입력'!$C$39^2-2*'1.설계입력'!$C$39*COS(B1307)))</f>
        <v/>
      </c>
    </row>
    <row r="1308" spans="1:11" x14ac:dyDescent="0.3">
      <c r="A1308" s="40">
        <f>A1307+'1.설계입력'!$C$12</f>
        <v>260.39999999999378</v>
      </c>
      <c r="B1308" s="40">
        <f t="shared" si="60"/>
        <v>4.5448373721931254</v>
      </c>
      <c r="C1308" s="40">
        <f>ATAN2('1.설계입력'!$C$6/('1.설계입력'!$C$8*'1.설계입력'!$C$15)-COS((1-'1.설계입력'!$C$15)*B1308),SIN((1-'1.설계입력'!$C$15)*B1308))</f>
        <v>-0.71392208455751094</v>
      </c>
      <c r="D1308" s="40">
        <f>'1.설계입력'!$C$6*COS(B1308)-'1.설계입력'!$C$7*COS(B1308+C1308)-'1.설계입력'!$C$8*COS('1.설계입력'!$C$15*B1308)</f>
        <v>-11.958647390603982</v>
      </c>
      <c r="E1308" s="40">
        <f>-'1.설계입력'!$C$6*SIN(B1308)+'1.설계입력'!$C$7*SIN(B1308+C1308)+'1.설계입력'!$C$8*SIN('1.설계입력'!$C$15*B1308)</f>
        <v>77.69751159340187</v>
      </c>
      <c r="F1308" s="40">
        <f>ATAN2(('1.설계입력'!$C$6+'1.설계입력'!$C$33)/('1.설계입력'!$C$8*'1.설계입력'!$C$15)-COS((1-'1.설계입력'!$C$15)*B1308),SIN((1-'1.설계입력'!$C$15)*B1308))</f>
        <v>-0.71394495667956781</v>
      </c>
      <c r="G1308" s="40">
        <f>('1.설계입력'!$C$6+'1.설계입력'!$C$33)*COS(B1308)-('1.설계입력'!$C$7+'1.설계입력'!$C$34)*COS(B1308+F1308)-'1.설계입력'!$C$8*COS('1.설계입력'!$C$15*B1308)</f>
        <v>-11.951821518697498</v>
      </c>
      <c r="H1308" s="40">
        <f>-('1.설계입력'!$C$6+'1.설계입력'!$C$33)*SIN(B1308)+('1.설계입력'!$C$7+'1.설계입력'!$C$34)*SIN(B1308+F1308)+'1.설계입력'!$C$8*SIN('1.설계입력'!$C$15*B1308)</f>
        <v>77.689374030455014</v>
      </c>
      <c r="I1308" s="40">
        <f t="shared" si="61"/>
        <v>78.612419853478727</v>
      </c>
      <c r="J1308" s="40">
        <f t="shared" si="62"/>
        <v>78.603338827677916</v>
      </c>
      <c r="K1308" s="38" t="str">
        <f>IF(OR(A1308&gt;180,'1.설계입력'!$C$39&gt;=1),"",'1.설계입력'!$C$34*(1-SIN(B1308)/SQRT(1+'1.설계입력'!$C$39^2-2*'1.설계입력'!$C$39*COS(B1308)))-'1.설계입력'!$C$33*(1-'1.설계입력'!$C$39*COS(B1308)-SQRT(MAX(0,1-'1.설계입력'!$C$39^2))*SIN(B1308))/SQRT(1+'1.설계입력'!$C$39^2-2*'1.설계입력'!$C$39*COS(B1308)))</f>
        <v/>
      </c>
    </row>
    <row r="1309" spans="1:11" x14ac:dyDescent="0.3">
      <c r="A1309" s="40">
        <f>A1308+'1.설계입력'!$C$12</f>
        <v>260.59999999999377</v>
      </c>
      <c r="B1309" s="40">
        <f t="shared" si="60"/>
        <v>4.5483280306971139</v>
      </c>
      <c r="C1309" s="40">
        <f>ATAN2('1.설계입력'!$C$6/('1.설계입력'!$C$8*'1.설계입력'!$C$15)-COS((1-'1.설계입력'!$C$15)*B1309),SIN((1-'1.설계입력'!$C$15)*B1309))</f>
        <v>-0.67082641042488356</v>
      </c>
      <c r="D1309" s="40">
        <f>'1.설계입력'!$C$6*COS(B1309)-'1.설계입력'!$C$7*COS(B1309+C1309)-'1.설계입력'!$C$8*COS('1.설계입력'!$C$15*B1309)</f>
        <v>-11.869737825142407</v>
      </c>
      <c r="E1309" s="40">
        <f>-'1.설계입력'!$C$6*SIN(B1309)+'1.설계입력'!$C$7*SIN(B1309+C1309)+'1.설계입력'!$C$8*SIN('1.설계입력'!$C$15*B1309)</f>
        <v>77.80041650620818</v>
      </c>
      <c r="F1309" s="40">
        <f>ATAN2(('1.설계입력'!$C$6+'1.설계입력'!$C$33)/('1.설계입력'!$C$8*'1.설계입력'!$C$15)-COS((1-'1.설계입력'!$C$15)*B1309),SIN((1-'1.설계입력'!$C$15)*B1309))</f>
        <v>-0.67084650959199854</v>
      </c>
      <c r="G1309" s="40">
        <f>('1.설계입력'!$C$6+'1.설계입력'!$C$33)*COS(B1309)-('1.설계입력'!$C$7+'1.설계입력'!$C$34)*COS(B1309+F1309)-'1.설계입력'!$C$8*COS('1.설계입력'!$C$15*B1309)</f>
        <v>-11.863173549477931</v>
      </c>
      <c r="H1309" s="40">
        <f>-('1.설계입력'!$C$6+'1.설계입력'!$C$33)*SIN(B1309)+('1.설계입력'!$C$7+'1.설계입력'!$C$34)*SIN(B1309+F1309)+'1.설계입력'!$C$8*SIN('1.설계입력'!$C$15*B1309)</f>
        <v>77.791980629873763</v>
      </c>
      <c r="I1309" s="40">
        <f t="shared" si="61"/>
        <v>78.700670165997224</v>
      </c>
      <c r="J1309" s="40">
        <f t="shared" si="62"/>
        <v>78.691340927599441</v>
      </c>
      <c r="K1309" s="38" t="str">
        <f>IF(OR(A1309&gt;180,'1.설계입력'!$C$39&gt;=1),"",'1.설계입력'!$C$34*(1-SIN(B1309)/SQRT(1+'1.설계입력'!$C$39^2-2*'1.설계입력'!$C$39*COS(B1309)))-'1.설계입력'!$C$33*(1-'1.설계입력'!$C$39*COS(B1309)-SQRT(MAX(0,1-'1.설계입력'!$C$39^2))*SIN(B1309))/SQRT(1+'1.설계입력'!$C$39^2-2*'1.설계입력'!$C$39*COS(B1309)))</f>
        <v/>
      </c>
    </row>
    <row r="1310" spans="1:11" x14ac:dyDescent="0.3">
      <c r="A1310" s="40">
        <f>A1309+'1.설계입력'!$C$12</f>
        <v>260.79999999999376</v>
      </c>
      <c r="B1310" s="40">
        <f t="shared" si="60"/>
        <v>4.5518186892011023</v>
      </c>
      <c r="C1310" s="40">
        <f>ATAN2('1.설계입력'!$C$6/('1.설계입력'!$C$8*'1.설계입력'!$C$15)-COS((1-'1.설계입력'!$C$15)*B1310),SIN((1-'1.설계입력'!$C$15)*B1310))</f>
        <v>-0.62435622374868982</v>
      </c>
      <c r="D1310" s="40">
        <f>'1.설계입력'!$C$6*COS(B1310)-'1.설계입력'!$C$7*COS(B1310+C1310)-'1.설계입력'!$C$8*COS('1.설계입력'!$C$15*B1310)</f>
        <v>-11.768566706962346</v>
      </c>
      <c r="E1310" s="40">
        <f>-'1.설계입력'!$C$6*SIN(B1310)+'1.설계입력'!$C$7*SIN(B1310+C1310)+'1.설계입력'!$C$8*SIN('1.설계입력'!$C$15*B1310)</f>
        <v>77.906653251123046</v>
      </c>
      <c r="F1310" s="40">
        <f>ATAN2(('1.설계입력'!$C$6+'1.설계입력'!$C$33)/('1.설계입력'!$C$8*'1.설계입력'!$C$15)-COS((1-'1.설계입력'!$C$15)*B1310),SIN((1-'1.설계입력'!$C$15)*B1310))</f>
        <v>-0.62437388400212457</v>
      </c>
      <c r="G1310" s="40">
        <f>('1.설계입력'!$C$6+'1.설계입력'!$C$33)*COS(B1310)-('1.설계입력'!$C$7+'1.설계입력'!$C$34)*COS(B1310+F1310)-'1.설계입력'!$C$8*COS('1.설계입력'!$C$15*B1310)</f>
        <v>-11.762296137337389</v>
      </c>
      <c r="H1310" s="40">
        <f>-('1.설계입력'!$C$6+'1.설계입력'!$C$33)*SIN(B1310)+('1.설계입력'!$C$7+'1.설계입력'!$C$34)*SIN(B1310+F1310)+'1.설계입력'!$C$8*SIN('1.설계입력'!$C$15*B1310)</f>
        <v>77.897912891733455</v>
      </c>
      <c r="I1310" s="40">
        <f t="shared" si="61"/>
        <v>78.790518358029246</v>
      </c>
      <c r="J1310" s="40">
        <f t="shared" si="62"/>
        <v>78.780939593981202</v>
      </c>
      <c r="K1310" s="38" t="str">
        <f>IF(OR(A1310&gt;180,'1.설계입력'!$C$39&gt;=1),"",'1.설계입력'!$C$34*(1-SIN(B1310)/SQRT(1+'1.설계입력'!$C$39^2-2*'1.설계입력'!$C$39*COS(B1310)))-'1.설계입력'!$C$33*(1-'1.설계입력'!$C$39*COS(B1310)-SQRT(MAX(0,1-'1.설계입력'!$C$39^2))*SIN(B1310))/SQRT(1+'1.설계입력'!$C$39^2-2*'1.설계입력'!$C$39*COS(B1310)))</f>
        <v/>
      </c>
    </row>
    <row r="1311" spans="1:11" x14ac:dyDescent="0.3">
      <c r="A1311" s="40">
        <f>A1310+'1.설계입력'!$C$12</f>
        <v>260.99999999999375</v>
      </c>
      <c r="B1311" s="40">
        <f t="shared" si="60"/>
        <v>4.5553093477050908</v>
      </c>
      <c r="C1311" s="40">
        <f>ATAN2('1.설계입력'!$C$6/('1.설계입력'!$C$8*'1.설계입력'!$C$15)-COS((1-'1.설계입력'!$C$15)*B1311),SIN((1-'1.설계입력'!$C$15)*B1311))</f>
        <v>-0.57530026069563389</v>
      </c>
      <c r="D1311" s="40">
        <f>'1.설계입력'!$C$6*COS(B1311)-'1.설계입력'!$C$7*COS(B1311+C1311)-'1.설계입력'!$C$8*COS('1.설계입력'!$C$15*B1311)</f>
        <v>-11.653061411647483</v>
      </c>
      <c r="E1311" s="40">
        <f>-'1.설계입력'!$C$6*SIN(B1311)+'1.설계입력'!$C$7*SIN(B1311+C1311)+'1.설계입력'!$C$8*SIN('1.설계입력'!$C$15*B1311)</f>
        <v>78.016103069098506</v>
      </c>
      <c r="F1311" s="40">
        <f>ATAN2(('1.설계입력'!$C$6+'1.설계입력'!$C$33)/('1.설계입력'!$C$8*'1.설계입력'!$C$15)-COS((1-'1.설계입력'!$C$15)*B1311),SIN((1-'1.설계입력'!$C$15)*B1311))</f>
        <v>-0.57531574662147711</v>
      </c>
      <c r="G1311" s="40">
        <f>('1.설계입력'!$C$6+'1.설계입력'!$C$33)*COS(B1311)-('1.설계입력'!$C$7+'1.설계입력'!$C$34)*COS(B1311+F1311)-'1.설계입력'!$C$8*COS('1.설계입력'!$C$15*B1311)</f>
        <v>-11.647114317871505</v>
      </c>
      <c r="H1311" s="40">
        <f>-('1.설계입력'!$C$6+'1.설계입력'!$C$33)*SIN(B1311)+('1.설계입력'!$C$7+'1.설계입력'!$C$34)*SIN(B1311+F1311)+'1.설계입력'!$C$8*SIN('1.설계입력'!$C$15*B1311)</f>
        <v>78.007059697341759</v>
      </c>
      <c r="I1311" s="40">
        <f t="shared" si="61"/>
        <v>78.881595941967532</v>
      </c>
      <c r="J1311" s="40">
        <f t="shared" si="62"/>
        <v>78.871773370187441</v>
      </c>
      <c r="K1311" s="38" t="str">
        <f>IF(OR(A1311&gt;180,'1.설계입력'!$C$39&gt;=1),"",'1.설계입력'!$C$34*(1-SIN(B1311)/SQRT(1+'1.설계입력'!$C$39^2-2*'1.설계입력'!$C$39*COS(B1311)))-'1.설계입력'!$C$33*(1-'1.설계입력'!$C$39*COS(B1311)-SQRT(MAX(0,1-'1.설계입력'!$C$39^2))*SIN(B1311))/SQRT(1+'1.설계입력'!$C$39^2-2*'1.설계입력'!$C$39*COS(B1311)))</f>
        <v/>
      </c>
    </row>
    <row r="1312" spans="1:11" x14ac:dyDescent="0.3">
      <c r="A1312" s="40">
        <f>A1311+'1.설계입력'!$C$12</f>
        <v>261.19999999999374</v>
      </c>
      <c r="B1312" s="40">
        <f t="shared" si="60"/>
        <v>4.5588000062090792</v>
      </c>
      <c r="C1312" s="40">
        <f>ATAN2('1.설계입력'!$C$6/('1.설계입력'!$C$8*'1.설계입력'!$C$15)-COS((1-'1.설계입력'!$C$15)*B1312),SIN((1-'1.설계입력'!$C$15)*B1312))</f>
        <v>-0.52423341568059534</v>
      </c>
      <c r="D1312" s="40">
        <f>'1.설계입력'!$C$6*COS(B1312)-'1.설계입력'!$C$7*COS(B1312+C1312)-'1.설계입력'!$C$8*COS('1.설계입력'!$C$15*B1312)</f>
        <v>-11.521847541399049</v>
      </c>
      <c r="E1312" s="40">
        <f>-'1.설계입력'!$C$6*SIN(B1312)+'1.설계입력'!$C$7*SIN(B1312+C1312)+'1.설계입력'!$C$8*SIN('1.설계입력'!$C$15*B1312)</f>
        <v>78.127726369579591</v>
      </c>
      <c r="F1312" s="40">
        <f>ATAN2(('1.설계입력'!$C$6+'1.설계입력'!$C$33)/('1.설계입력'!$C$8*'1.설계입력'!$C$15)-COS((1-'1.설계입력'!$C$15)*B1312),SIN((1-'1.설계입력'!$C$15)*B1312))</f>
        <v>-0.5242469382053051</v>
      </c>
      <c r="G1312" s="40">
        <f>('1.설계입력'!$C$6+'1.설계입력'!$C$33)*COS(B1312)-('1.설계입력'!$C$7+'1.설계입력'!$C$34)*COS(B1312+F1312)-'1.설계입력'!$C$8*COS('1.설계입력'!$C$15*B1312)</f>
        <v>-11.51625157116553</v>
      </c>
      <c r="H1312" s="40">
        <f>-('1.설계입력'!$C$6+'1.설계입력'!$C$33)*SIN(B1312)+('1.설계입력'!$C$7+'1.설계입력'!$C$34)*SIN(B1312+F1312)+'1.설계입력'!$C$8*SIN('1.설계입력'!$C$15*B1312)</f>
        <v>78.118387435243406</v>
      </c>
      <c r="I1312" s="40">
        <f t="shared" si="61"/>
        <v>78.972745921913756</v>
      </c>
      <c r="J1312" s="40">
        <f t="shared" si="62"/>
        <v>78.962690593299612</v>
      </c>
      <c r="K1312" s="38" t="str">
        <f>IF(OR(A1312&gt;180,'1.설계입력'!$C$39&gt;=1),"",'1.설계입력'!$C$34*(1-SIN(B1312)/SQRT(1+'1.설계입력'!$C$39^2-2*'1.설계입력'!$C$39*COS(B1312)))-'1.설계입력'!$C$33*(1-'1.설계입력'!$C$39*COS(B1312)-SQRT(MAX(0,1-'1.설계입력'!$C$39^2))*SIN(B1312))/SQRT(1+'1.설계입력'!$C$39^2-2*'1.설계입력'!$C$39*COS(B1312)))</f>
        <v/>
      </c>
    </row>
    <row r="1313" spans="1:11" x14ac:dyDescent="0.3">
      <c r="A1313" s="40">
        <f>A1312+'1.설계입력'!$C$12</f>
        <v>261.39999999999372</v>
      </c>
      <c r="B1313" s="40">
        <f t="shared" si="60"/>
        <v>4.5622906647130677</v>
      </c>
      <c r="C1313" s="40">
        <f>ATAN2('1.설계입력'!$C$6/('1.설계입력'!$C$8*'1.설계입력'!$C$15)-COS((1-'1.설계입력'!$C$15)*B1313),SIN((1-'1.설계입력'!$C$15)*B1313))</f>
        <v>-0.47158570350126389</v>
      </c>
      <c r="D1313" s="40">
        <f>'1.설계입력'!$C$6*COS(B1313)-'1.설계입력'!$C$7*COS(B1313+C1313)-'1.설계입력'!$C$8*COS('1.설계입력'!$C$15*B1313)</f>
        <v>-11.374171014581096</v>
      </c>
      <c r="E1313" s="40">
        <f>-'1.설계입력'!$C$6*SIN(B1313)+'1.설계입력'!$C$7*SIN(B1313+C1313)+'1.설계입력'!$C$8*SIN('1.설계입력'!$C$15*B1313)</f>
        <v>78.239883964662326</v>
      </c>
      <c r="F1313" s="40">
        <f>ATAN2(('1.설계입력'!$C$6+'1.설계입력'!$C$33)/('1.설계입력'!$C$8*'1.설계입력'!$C$15)-COS((1-'1.설계입력'!$C$15)*B1313),SIN((1-'1.설계입력'!$C$15)*B1313))</f>
        <v>-0.47159743161672102</v>
      </c>
      <c r="G1313" s="40">
        <f>('1.설계입력'!$C$6+'1.설계입력'!$C$33)*COS(B1313)-('1.설계입력'!$C$7+'1.설계입력'!$C$34)*COS(B1313+F1313)-'1.설계입력'!$C$8*COS('1.설계입력'!$C$15*B1313)</f>
        <v>-11.368951762992404</v>
      </c>
      <c r="H1313" s="40">
        <f>-('1.설계입력'!$C$6+'1.설계입력'!$C$33)*SIN(B1313)+('1.설계입력'!$C$7+'1.설계입력'!$C$34)*SIN(B1313+F1313)+'1.설계입력'!$C$8*SIN('1.설계입력'!$C$15*B1313)</f>
        <v>78.230261716968329</v>
      </c>
      <c r="I1313" s="40">
        <f t="shared" si="61"/>
        <v>79.062324839791813</v>
      </c>
      <c r="J1313" s="40">
        <f t="shared" si="62"/>
        <v>79.05205191830639</v>
      </c>
      <c r="K1313" s="38" t="str">
        <f>IF(OR(A1313&gt;180,'1.설계입력'!$C$39&gt;=1),"",'1.설계입력'!$C$34*(1-SIN(B1313)/SQRT(1+'1.설계입력'!$C$39^2-2*'1.설계입력'!$C$39*COS(B1313)))-'1.설계입력'!$C$33*(1-'1.설계입력'!$C$39*COS(B1313)-SQRT(MAX(0,1-'1.설계입력'!$C$39^2))*SIN(B1313))/SQRT(1+'1.설계입력'!$C$39^2-2*'1.설계입력'!$C$39*COS(B1313)))</f>
        <v/>
      </c>
    </row>
    <row r="1314" spans="1:11" x14ac:dyDescent="0.3">
      <c r="A1314" s="40">
        <f>A1313+'1.설계입력'!$C$12</f>
        <v>261.59999999999371</v>
      </c>
      <c r="B1314" s="40">
        <f t="shared" si="60"/>
        <v>4.5657813232170561</v>
      </c>
      <c r="C1314" s="40">
        <f>ATAN2('1.설계입력'!$C$6/('1.설계입력'!$C$8*'1.설계입력'!$C$15)-COS((1-'1.설계입력'!$C$15)*B1314),SIN((1-'1.설계입력'!$C$15)*B1314))</f>
        <v>-0.41768663939125528</v>
      </c>
      <c r="D1314" s="40">
        <f>'1.설계입력'!$C$6*COS(B1314)-'1.설계입력'!$C$7*COS(B1314+C1314)-'1.설계입력'!$C$8*COS('1.설계입력'!$C$15*B1314)</f>
        <v>-11.20984791396992</v>
      </c>
      <c r="E1314" s="40">
        <f>-'1.설계입력'!$C$6*SIN(B1314)+'1.설계입력'!$C$7*SIN(B1314+C1314)+'1.설계입력'!$C$8*SIN('1.설계입력'!$C$15*B1314)</f>
        <v>78.350571328107804</v>
      </c>
      <c r="F1314" s="40">
        <f>ATAN2(('1.설계입력'!$C$6+'1.설계입력'!$C$33)/('1.설계입력'!$C$8*'1.설계입력'!$C$15)-COS((1-'1.설계입력'!$C$15)*B1314),SIN((1-'1.설계입력'!$C$15)*B1314))</f>
        <v>-0.41769670884262261</v>
      </c>
      <c r="G1314" s="40">
        <f>('1.설계입력'!$C$6+'1.설계입력'!$C$33)*COS(B1314)-('1.설계입력'!$C$7+'1.설계입력'!$C$34)*COS(B1314+F1314)-'1.설계입력'!$C$8*COS('1.설계입력'!$C$15*B1314)</f>
        <v>-11.205028915192198</v>
      </c>
      <c r="H1314" s="40">
        <f>-('1.설계입력'!$C$6+'1.설계입력'!$C$33)*SIN(B1314)+('1.설계입력'!$C$7+'1.설계입력'!$C$34)*SIN(B1314+F1314)+'1.설계입력'!$C$8*SIN('1.설계입력'!$C$15*B1314)</f>
        <v>78.340681942528121</v>
      </c>
      <c r="I1314" s="40">
        <f t="shared" si="61"/>
        <v>79.148422079629881</v>
      </c>
      <c r="J1314" s="40">
        <f t="shared" si="62"/>
        <v>79.13794993687064</v>
      </c>
      <c r="K1314" s="38" t="str">
        <f>IF(OR(A1314&gt;180,'1.설계입력'!$C$39&gt;=1),"",'1.설계입력'!$C$34*(1-SIN(B1314)/SQRT(1+'1.설계입력'!$C$39^2-2*'1.설계입력'!$C$39*COS(B1314)))-'1.설계입력'!$C$33*(1-'1.설계입력'!$C$39*COS(B1314)-SQRT(MAX(0,1-'1.설계입력'!$C$39^2))*SIN(B1314))/SQRT(1+'1.설계입력'!$C$39^2-2*'1.설계입력'!$C$39*COS(B1314)))</f>
        <v/>
      </c>
    </row>
    <row r="1315" spans="1:11" x14ac:dyDescent="0.3">
      <c r="A1315" s="40">
        <f>A1314+'1.설계입력'!$C$12</f>
        <v>261.7999999999937</v>
      </c>
      <c r="B1315" s="40">
        <f t="shared" si="60"/>
        <v>4.5692719817210445</v>
      </c>
      <c r="C1315" s="40">
        <f>ATAN2('1.설계입력'!$C$6/('1.설계입력'!$C$8*'1.설계입력'!$C$15)-COS((1-'1.설계입력'!$C$15)*B1315),SIN((1-'1.설계입력'!$C$15)*B1315))</f>
        <v>-0.36279466557591922</v>
      </c>
      <c r="D1315" s="40">
        <f>'1.설계입력'!$C$6*COS(B1315)-'1.설계입력'!$C$7*COS(B1315+C1315)-'1.설계입력'!$C$8*COS('1.설계입력'!$C$15*B1315)</f>
        <v>-11.029224290373778</v>
      </c>
      <c r="E1315" s="40">
        <f>-'1.설계입력'!$C$6*SIN(B1315)+'1.설계입력'!$C$7*SIN(B1315+C1315)+'1.설계입력'!$C$8*SIN('1.설계입력'!$C$15*B1315)</f>
        <v>78.457597667371488</v>
      </c>
      <c r="F1315" s="40">
        <f>ATAN2(('1.설계입력'!$C$6+'1.설계입력'!$C$33)/('1.설계입력'!$C$8*'1.설계입력'!$C$15)-COS((1-'1.설계입력'!$C$15)*B1315),SIN((1-'1.설계입력'!$C$15)*B1315))</f>
        <v>-0.36280318531582234</v>
      </c>
      <c r="G1315" s="40">
        <f>('1.설계입력'!$C$6+'1.설계입력'!$C$33)*COS(B1315)-('1.설계입력'!$C$7+'1.설계입력'!$C$34)*COS(B1315+F1315)-'1.설계입력'!$C$8*COS('1.설계입력'!$C$15*B1315)</f>
        <v>-11.024826969046682</v>
      </c>
      <c r="H1315" s="40">
        <f>-('1.설계입력'!$C$6+'1.설계입력'!$C$33)*SIN(B1315)+('1.설계입력'!$C$7+'1.설계입력'!$C$34)*SIN(B1315+F1315)+'1.설계입력'!$C$8*SIN('1.설계입력'!$C$15*B1315)</f>
        <v>78.447460571832352</v>
      </c>
      <c r="I1315" s="40">
        <f t="shared" si="61"/>
        <v>79.229025111902686</v>
      </c>
      <c r="J1315" s="40">
        <f t="shared" si="62"/>
        <v>79.218374635349662</v>
      </c>
      <c r="K1315" s="38" t="str">
        <f>IF(OR(A1315&gt;180,'1.설계입력'!$C$39&gt;=1),"",'1.설계입력'!$C$34*(1-SIN(B1315)/SQRT(1+'1.설계입력'!$C$39^2-2*'1.설계입력'!$C$39*COS(B1315)))-'1.설계입력'!$C$33*(1-'1.설계입력'!$C$39*COS(B1315)-SQRT(MAX(0,1-'1.설계입력'!$C$39^2))*SIN(B1315))/SQRT(1+'1.설계입력'!$C$39^2-2*'1.설계입력'!$C$39*COS(B1315)))</f>
        <v/>
      </c>
    </row>
    <row r="1316" spans="1:11" x14ac:dyDescent="0.3">
      <c r="A1316" s="40">
        <f>A1315+'1.설계입력'!$C$12</f>
        <v>261.99999999999369</v>
      </c>
      <c r="B1316" s="40">
        <f t="shared" si="60"/>
        <v>4.572762640225033</v>
      </c>
      <c r="C1316" s="40">
        <f>ATAN2('1.설계입력'!$C$6/('1.설계입력'!$C$8*'1.설계입력'!$C$15)-COS((1-'1.설계입력'!$C$15)*B1316),SIN((1-'1.설계입력'!$C$15)*B1316))</f>
        <v>-0.30711721724698066</v>
      </c>
      <c r="D1316" s="40">
        <f>'1.설계입력'!$C$6*COS(B1316)-'1.설계입력'!$C$7*COS(B1316+C1316)-'1.설계입력'!$C$8*COS('1.설계입력'!$C$15*B1316)</f>
        <v>-10.833137028535788</v>
      </c>
      <c r="E1316" s="40">
        <f>-'1.설계입력'!$C$6*SIN(B1316)+'1.설계입력'!$C$7*SIN(B1316+C1316)+'1.설계입력'!$C$8*SIN('1.설계입력'!$C$15*B1316)</f>
        <v>78.558727988186206</v>
      </c>
      <c r="F1316" s="40">
        <f>ATAN2(('1.설계입력'!$C$6+'1.설계입력'!$C$33)/('1.설계입력'!$C$8*'1.설계입력'!$C$15)-COS((1-'1.설계입력'!$C$15)*B1316),SIN((1-'1.설계입력'!$C$15)*B1316))</f>
        <v>-0.30712427424490968</v>
      </c>
      <c r="G1316" s="40">
        <f>('1.설계입력'!$C$6+'1.설계입력'!$C$33)*COS(B1316)-('1.설계입력'!$C$7+'1.설계입력'!$C$34)*COS(B1316+F1316)-'1.설계입력'!$C$8*COS('1.설계입력'!$C$15*B1316)</f>
        <v>-10.829180631824759</v>
      </c>
      <c r="H1316" s="40">
        <f>-('1.설계입력'!$C$6+'1.설계입력'!$C$33)*SIN(B1316)+('1.설계입력'!$C$7+'1.설계입력'!$C$34)*SIN(B1316+F1316)+'1.설계입력'!$C$8*SIN('1.설계입력'!$C$15*B1316)</f>
        <v>78.548365321322748</v>
      </c>
      <c r="I1316" s="40">
        <f t="shared" si="61"/>
        <v>79.302147518215818</v>
      </c>
      <c r="J1316" s="40">
        <f t="shared" si="62"/>
        <v>79.291341568980073</v>
      </c>
      <c r="K1316" s="38" t="str">
        <f>IF(OR(A1316&gt;180,'1.설계입력'!$C$39&gt;=1),"",'1.설계입력'!$C$34*(1-SIN(B1316)/SQRT(1+'1.설계입력'!$C$39^2-2*'1.설계입력'!$C$39*COS(B1316)))-'1.설계입력'!$C$33*(1-'1.설계입력'!$C$39*COS(B1316)-SQRT(MAX(0,1-'1.설계입력'!$C$39^2))*SIN(B1316))/SQRT(1+'1.설계입력'!$C$39^2-2*'1.설계입력'!$C$39*COS(B1316)))</f>
        <v/>
      </c>
    </row>
    <row r="1317" spans="1:11" x14ac:dyDescent="0.3">
      <c r="A1317" s="40">
        <f>A1316+'1.설계입력'!$C$12</f>
        <v>262.19999999999368</v>
      </c>
      <c r="B1317" s="40">
        <f t="shared" si="60"/>
        <v>4.5762532987290214</v>
      </c>
      <c r="C1317" s="40">
        <f>ATAN2('1.설계입력'!$C$6/('1.설계입력'!$C$8*'1.설계입력'!$C$15)-COS((1-'1.설계입력'!$C$15)*B1317),SIN((1-'1.설계입력'!$C$15)*B1317))</f>
        <v>-0.25082478347575843</v>
      </c>
      <c r="D1317" s="40">
        <f>'1.설계입력'!$C$6*COS(B1317)-'1.설계입력'!$C$7*COS(B1317+C1317)-'1.설계입력'!$C$8*COS('1.설계입력'!$C$15*B1317)</f>
        <v>-10.622871369650984</v>
      </c>
      <c r="E1317" s="40">
        <f>-'1.설계입력'!$C$6*SIN(B1317)+'1.설계입력'!$C$7*SIN(B1317+C1317)+'1.설계입력'!$C$8*SIN('1.설계입력'!$C$15*B1317)</f>
        <v>78.651798630814568</v>
      </c>
      <c r="F1317" s="40">
        <f>ATAN2(('1.설계입력'!$C$6+'1.설계입력'!$C$33)/('1.설계입력'!$C$8*'1.설계입력'!$C$15)-COS((1-'1.설계입력'!$C$15)*B1317),SIN((1-'1.설계입력'!$C$15)*B1317))</f>
        <v>-0.25083044630433876</v>
      </c>
      <c r="G1317" s="40">
        <f>('1.설계입력'!$C$6+'1.설계입력'!$C$33)*COS(B1317)-('1.설계입력'!$C$7+'1.설계입력'!$C$34)*COS(B1317+F1317)-'1.설계입력'!$C$8*COS('1.설계입력'!$C$15*B1317)</f>
        <v>-10.619372891942509</v>
      </c>
      <c r="H1317" s="40">
        <f>-('1.설계입력'!$C$6+'1.설계입력'!$C$33)*SIN(B1317)+('1.설계입력'!$C$7+'1.설계입력'!$C$34)*SIN(B1317+F1317)+'1.설계입력'!$C$8*SIN('1.설계입력'!$C$15*B1317)</f>
        <v>78.641234788836272</v>
      </c>
      <c r="I1317" s="40">
        <f t="shared" si="61"/>
        <v>79.365929869172163</v>
      </c>
      <c r="J1317" s="40">
        <f t="shared" si="62"/>
        <v>79.354992846896508</v>
      </c>
      <c r="K1317" s="38" t="str">
        <f>IF(OR(A1317&gt;180,'1.설계입력'!$C$39&gt;=1),"",'1.설계입력'!$C$34*(1-SIN(B1317)/SQRT(1+'1.설계입력'!$C$39^2-2*'1.설계입력'!$C$39*COS(B1317)))-'1.설계입력'!$C$33*(1-'1.설계입력'!$C$39*COS(B1317)-SQRT(MAX(0,1-'1.설계입력'!$C$39^2))*SIN(B1317))/SQRT(1+'1.설계입력'!$C$39^2-2*'1.설계입력'!$C$39*COS(B1317)))</f>
        <v/>
      </c>
    </row>
    <row r="1318" spans="1:11" x14ac:dyDescent="0.3">
      <c r="A1318" s="40">
        <f>A1317+'1.설계입력'!$C$12</f>
        <v>262.39999999999367</v>
      </c>
      <c r="B1318" s="40">
        <f t="shared" si="60"/>
        <v>4.5797439572330099</v>
      </c>
      <c r="C1318" s="40">
        <f>ATAN2('1.설계입력'!$C$6/('1.설계입력'!$C$8*'1.설계입력'!$C$15)-COS((1-'1.설계입력'!$C$15)*B1318),SIN((1-'1.설계입력'!$C$15)*B1318))</f>
        <v>-0.19406103898194524</v>
      </c>
      <c r="D1318" s="40">
        <f>'1.설계입력'!$C$6*COS(B1318)-'1.설계입력'!$C$7*COS(B1318+C1318)-'1.설계입력'!$C$8*COS('1.설계입력'!$C$15*B1318)</f>
        <v>-10.400113070723442</v>
      </c>
      <c r="E1318" s="40">
        <f>-'1.설계입력'!$C$6*SIN(B1318)+'1.설계입력'!$C$7*SIN(B1318+C1318)+'1.설계입력'!$C$8*SIN('1.설계입력'!$C$15*B1318)</f>
        <v>78.734812311805712</v>
      </c>
      <c r="F1318" s="40">
        <f>ATAN2(('1.설계입력'!$C$6+'1.설계입력'!$C$33)/('1.설계입력'!$C$8*'1.설계입력'!$C$15)-COS((1-'1.설계입력'!$C$15)*B1318),SIN((1-'1.설계입력'!$C$15)*B1318))</f>
        <v>-0.19406536047896925</v>
      </c>
      <c r="G1318" s="40">
        <f>('1.설계입력'!$C$6+'1.설계입력'!$C$33)*COS(B1318)-('1.설계입력'!$C$7+'1.설계입력'!$C$34)*COS(B1318+F1318)-'1.설계입력'!$C$8*COS('1.설계입력'!$C$15*B1318)</f>
        <v>-10.397087178056168</v>
      </c>
      <c r="H1318" s="40">
        <f>-('1.설계입력'!$C$6+'1.설계입력'!$C$33)*SIN(B1318)+('1.설계입력'!$C$7+'1.설계입력'!$C$34)*SIN(B1318+F1318)+'1.설계입력'!$C$8*SIN('1.설계입력'!$C$15*B1318)</f>
        <v>78.724073555253057</v>
      </c>
      <c r="I1318" s="40">
        <f t="shared" si="61"/>
        <v>79.418719592166084</v>
      </c>
      <c r="J1318" s="40">
        <f t="shared" si="62"/>
        <v>79.407677077981532</v>
      </c>
      <c r="K1318" s="38" t="str">
        <f>IF(OR(A1318&gt;180,'1.설계입력'!$C$39&gt;=1),"",'1.설계입력'!$C$34*(1-SIN(B1318)/SQRT(1+'1.설계입력'!$C$39^2-2*'1.설계입력'!$C$39*COS(B1318)))-'1.설계입력'!$C$33*(1-'1.설계입력'!$C$39*COS(B1318)-SQRT(MAX(0,1-'1.설계입력'!$C$39^2))*SIN(B1318))/SQRT(1+'1.설계입력'!$C$39^2-2*'1.설계입력'!$C$39*COS(B1318)))</f>
        <v/>
      </c>
    </row>
    <row r="1319" spans="1:11" x14ac:dyDescent="0.3">
      <c r="A1319" s="40">
        <f>A1318+'1.설계입력'!$C$12</f>
        <v>262.59999999999366</v>
      </c>
      <c r="B1319" s="40">
        <f t="shared" si="60"/>
        <v>4.5832346157369983</v>
      </c>
      <c r="C1319" s="40">
        <f>ATAN2('1.설계입력'!$C$6/('1.설계입력'!$C$8*'1.설계입력'!$C$15)-COS((1-'1.설계입력'!$C$15)*B1319),SIN((1-'1.설계입력'!$C$15)*B1319))</f>
        <v>-0.13695037052225012</v>
      </c>
      <c r="D1319" s="40">
        <f>'1.설계입력'!$C$6*COS(B1319)-'1.설계입력'!$C$7*COS(B1319+C1319)-'1.설계입력'!$C$8*COS('1.설계입력'!$C$15*B1319)</f>
        <v>-10.166894520605208</v>
      </c>
      <c r="E1319" s="40">
        <f>-'1.설계입력'!$C$6*SIN(B1319)+'1.설계입력'!$C$7*SIN(B1319+C1319)+'1.설계입력'!$C$8*SIN('1.설계입력'!$C$15*B1319)</f>
        <v>78.806016098291124</v>
      </c>
      <c r="F1319" s="40">
        <f>ATAN2(('1.설계입력'!$C$6+'1.설계입력'!$C$33)/('1.설계입력'!$C$8*'1.설계입력'!$C$15)-COS((1-'1.설계입력'!$C$15)*B1319),SIN((1-'1.설계입력'!$C$15)*B1319))</f>
        <v>-0.13695338973889148</v>
      </c>
      <c r="G1319" s="40">
        <f>('1.설계입력'!$C$6+'1.설계입력'!$C$33)*COS(B1319)-('1.설계입력'!$C$7+'1.설계입력'!$C$34)*COS(B1319+F1319)-'1.설계입력'!$C$8*COS('1.설계입력'!$C$15*B1319)</f>
        <v>-10.164353479107939</v>
      </c>
      <c r="H1319" s="40">
        <f>-('1.설계입력'!$C$6+'1.설계입력'!$C$33)*SIN(B1319)+('1.설계입력'!$C$7+'1.설계입력'!$C$34)*SIN(B1319+F1319)+'1.설계입력'!$C$8*SIN('1.설계입력'!$C$15*B1319)</f>
        <v>78.795130199223649</v>
      </c>
      <c r="I1319" s="40">
        <f t="shared" si="61"/>
        <v>79.459133631554479</v>
      </c>
      <c r="J1319" s="40">
        <f t="shared" si="62"/>
        <v>79.448012088162784</v>
      </c>
      <c r="K1319" s="38" t="str">
        <f>IF(OR(A1319&gt;180,'1.설계입력'!$C$39&gt;=1),"",'1.설계입력'!$C$34*(1-SIN(B1319)/SQRT(1+'1.설계입력'!$C$39^2-2*'1.설계입력'!$C$39*COS(B1319)))-'1.설계입력'!$C$33*(1-'1.설계입력'!$C$39*COS(B1319)-SQRT(MAX(0,1-'1.설계입력'!$C$39^2))*SIN(B1319))/SQRT(1+'1.설계입력'!$C$39^2-2*'1.설계입력'!$C$39*COS(B1319)))</f>
        <v/>
      </c>
    </row>
    <row r="1320" spans="1:11" x14ac:dyDescent="0.3">
      <c r="A1320" s="40">
        <f>A1319+'1.설계입력'!$C$12</f>
        <v>262.79999999999364</v>
      </c>
      <c r="B1320" s="40">
        <f t="shared" si="60"/>
        <v>4.5867252742409867</v>
      </c>
      <c r="C1320" s="40">
        <f>ATAN2('1.설계입력'!$C$6/('1.설계입력'!$C$8*'1.설계입력'!$C$15)-COS((1-'1.설계입력'!$C$15)*B1320),SIN((1-'1.설계입력'!$C$15)*B1320))</f>
        <v>-7.9603669565661214E-2</v>
      </c>
      <c r="D1320" s="40">
        <f>'1.설계입력'!$C$6*COS(B1320)-'1.설계입력'!$C$7*COS(B1320+C1320)-'1.설계입력'!$C$8*COS('1.설계입력'!$C$15*B1320)</f>
        <v>-9.9255349248491029</v>
      </c>
      <c r="E1320" s="40">
        <f>-'1.설계입력'!$C$6*SIN(B1320)+'1.설계입력'!$C$7*SIN(B1320+C1320)+'1.설계입력'!$C$8*SIN('1.설계입력'!$C$15*B1320)</f>
        <v>78.863964199786906</v>
      </c>
      <c r="F1320" s="40">
        <f>ATAN2(('1.설계입력'!$C$6+'1.설계입력'!$C$33)/('1.설계입력'!$C$8*'1.설계입력'!$C$15)-COS((1-'1.설계입력'!$C$15)*B1320),SIN((1-'1.설계입력'!$C$15)*B1320))</f>
        <v>-7.9605413147349702E-2</v>
      </c>
      <c r="G1320" s="40">
        <f>('1.설계입력'!$C$6+'1.설계입력'!$C$33)*COS(B1320)-('1.설계입력'!$C$7+'1.설계입력'!$C$34)*COS(B1320+F1320)-'1.설계입력'!$C$8*COS('1.설계입력'!$C$15*B1320)</f>
        <v>-9.923488535757425</v>
      </c>
      <c r="H1320" s="40">
        <f>-('1.설계입력'!$C$6+'1.설계입력'!$C$33)*SIN(B1320)+('1.설계입력'!$C$7+'1.설계입력'!$C$34)*SIN(B1320+F1320)+'1.설계입력'!$C$8*SIN('1.설계입력'!$C$15*B1320)</f>
        <v>78.852960115850095</v>
      </c>
      <c r="I1320" s="40">
        <f t="shared" si="61"/>
        <v>79.48610628814113</v>
      </c>
      <c r="J1320" s="40">
        <f t="shared" si="62"/>
        <v>79.474932801174205</v>
      </c>
      <c r="K1320" s="38" t="str">
        <f>IF(OR(A1320&gt;180,'1.설계입력'!$C$39&gt;=1),"",'1.설계입력'!$C$34*(1-SIN(B1320)/SQRT(1+'1.설계입력'!$C$39^2-2*'1.설계입력'!$C$39*COS(B1320)))-'1.설계입력'!$C$33*(1-'1.설계입력'!$C$39*COS(B1320)-SQRT(MAX(0,1-'1.설계입력'!$C$39^2))*SIN(B1320))/SQRT(1+'1.설계입력'!$C$39^2-2*'1.설계입력'!$C$39*COS(B1320)))</f>
        <v/>
      </c>
    </row>
    <row r="1321" spans="1:11" x14ac:dyDescent="0.3">
      <c r="A1321" s="40">
        <f>A1320+'1.설계입력'!$C$12</f>
        <v>262.99999999999363</v>
      </c>
      <c r="B1321" s="40">
        <f t="shared" si="60"/>
        <v>4.5902159327449752</v>
      </c>
      <c r="C1321" s="40">
        <f>ATAN2('1.설계입력'!$C$6/('1.설계입력'!$C$8*'1.설계입력'!$C$15)-COS((1-'1.설계입력'!$C$15)*B1321),SIN((1-'1.설계입력'!$C$15)*B1321))</f>
        <v>-2.2122987275249906E-2</v>
      </c>
      <c r="D1321" s="40">
        <f>'1.설계입력'!$C$6*COS(B1321)-'1.설계입력'!$C$7*COS(B1321+C1321)-'1.설계입력'!$C$8*COS('1.설계입력'!$C$15*B1321)</f>
        <v>-9.6785751603139172</v>
      </c>
      <c r="E1321" s="40">
        <f>-'1.설계입력'!$C$6*SIN(B1321)+'1.설계입력'!$C$7*SIN(B1321+C1321)+'1.설계입력'!$C$8*SIN('1.설계입력'!$C$15*B1321)</f>
        <v>78.907566550878784</v>
      </c>
      <c r="F1321" s="40">
        <f>ATAN2(('1.설계입력'!$C$6+'1.설계입력'!$C$33)/('1.설계입력'!$C$8*'1.설계입력'!$C$15)-COS((1-'1.설계입력'!$C$15)*B1321),SIN((1-'1.설계입력'!$C$15)*B1321))</f>
        <v>-2.2123470374594108E-2</v>
      </c>
      <c r="G1321" s="40">
        <f>('1.설계입력'!$C$6+'1.설계입력'!$C$33)*COS(B1321)-('1.설계입력'!$C$7+'1.설계입력'!$C$34)*COS(B1321+F1321)-'1.설계입력'!$C$8*COS('1.설계입력'!$C$15*B1321)</f>
        <v>-9.6770307030498035</v>
      </c>
      <c r="H1321" s="40">
        <f>-('1.설계입력'!$C$6+'1.설계입력'!$C$33)*SIN(B1321)+('1.설계입력'!$C$7+'1.설계입력'!$C$34)*SIN(B1321+F1321)+'1.설계입력'!$C$8*SIN('1.설계입력'!$C$15*B1321)</f>
        <v>78.896474116478217</v>
      </c>
      <c r="I1321" s="40">
        <f t="shared" si="61"/>
        <v>79.498923741867159</v>
      </c>
      <c r="J1321" s="40">
        <f t="shared" si="62"/>
        <v>79.487725789834272</v>
      </c>
      <c r="K1321" s="38" t="str">
        <f>IF(OR(A1321&gt;180,'1.설계입력'!$C$39&gt;=1),"",'1.설계입력'!$C$34*(1-SIN(B1321)/SQRT(1+'1.설계입력'!$C$39^2-2*'1.설계입력'!$C$39*COS(B1321)))-'1.설계입력'!$C$33*(1-'1.설계입력'!$C$39*COS(B1321)-SQRT(MAX(0,1-'1.설계입력'!$C$39^2))*SIN(B1321))/SQRT(1+'1.설계입력'!$C$39^2-2*'1.설계입력'!$C$39*COS(B1321)))</f>
        <v/>
      </c>
    </row>
    <row r="1322" spans="1:11" x14ac:dyDescent="0.3">
      <c r="A1322" s="40">
        <f>A1321+'1.설계입력'!$C$12</f>
        <v>263.19999999999362</v>
      </c>
      <c r="B1322" s="40">
        <f t="shared" si="60"/>
        <v>4.5937065912489636</v>
      </c>
      <c r="C1322" s="40">
        <f>ATAN2('1.설계입력'!$C$6/('1.설계입력'!$C$8*'1.설계입력'!$C$15)-COS((1-'1.설계입력'!$C$15)*B1322),SIN((1-'1.설계입력'!$C$15)*B1322))</f>
        <v>3.5394520092308417E-2</v>
      </c>
      <c r="D1322" s="40">
        <f>'1.설계입력'!$C$6*COS(B1322)-'1.설계입력'!$C$7*COS(B1322+C1322)-'1.설계입력'!$C$8*COS('1.설계입력'!$C$15*B1322)</f>
        <v>-9.4287082078219626</v>
      </c>
      <c r="E1322" s="40">
        <f>-'1.설계입력'!$C$6*SIN(B1322)+'1.설계입력'!$C$7*SIN(B1322+C1322)+'1.설계입력'!$C$8*SIN('1.설계입력'!$C$15*B1322)</f>
        <v>78.936123625351627</v>
      </c>
      <c r="F1322" s="40">
        <f>ATAN2(('1.설계입력'!$C$6+'1.설계입력'!$C$33)/('1.설계입력'!$C$8*'1.설계입력'!$C$15)-COS((1-'1.설계입력'!$C$15)*B1322),SIN((1-'1.설계입력'!$C$15)*B1322))</f>
        <v>3.5395293307075838E-2</v>
      </c>
      <c r="G1322" s="40">
        <f>('1.설계입력'!$C$6+'1.설계입력'!$C$33)*COS(B1322)-('1.설계입력'!$C$7+'1.설계입력'!$C$34)*COS(B1322+F1322)-'1.설계입력'!$C$8*COS('1.설계입력'!$C$15*B1322)</f>
        <v>-9.4276703918618114</v>
      </c>
      <c r="H1322" s="40">
        <f>-('1.설계입력'!$C$6+'1.설계입력'!$C$33)*SIN(B1322)+('1.설계입력'!$C$7+'1.설계입력'!$C$34)*SIN(B1322+F1322)+'1.설계입력'!$C$8*SIN('1.설계입력'!$C$15*B1322)</f>
        <v>78.9249732525399</v>
      </c>
      <c r="I1322" s="40">
        <f t="shared" si="61"/>
        <v>79.497246187934365</v>
      </c>
      <c r="J1322" s="40">
        <f t="shared" si="62"/>
        <v>79.486051429994475</v>
      </c>
      <c r="K1322" s="38" t="str">
        <f>IF(OR(A1322&gt;180,'1.설계입력'!$C$39&gt;=1),"",'1.설계입력'!$C$34*(1-SIN(B1322)/SQRT(1+'1.설계입력'!$C$39^2-2*'1.설계입력'!$C$39*COS(B1322)))-'1.설계입력'!$C$33*(1-'1.설계입력'!$C$39*COS(B1322)-SQRT(MAX(0,1-'1.설계입력'!$C$39^2))*SIN(B1322))/SQRT(1+'1.설계입력'!$C$39^2-2*'1.설계입력'!$C$39*COS(B1322)))</f>
        <v/>
      </c>
    </row>
    <row r="1323" spans="1:11" x14ac:dyDescent="0.3">
      <c r="A1323" s="40">
        <f>A1322+'1.설계입력'!$C$12</f>
        <v>263.39999999999361</v>
      </c>
      <c r="B1323" s="40">
        <f t="shared" si="60"/>
        <v>4.5971972497529521</v>
      </c>
      <c r="C1323" s="40">
        <f>ATAN2('1.설계입력'!$C$6/('1.설계입력'!$C$8*'1.설계입력'!$C$15)-COS((1-'1.설계입력'!$C$15)*B1323),SIN((1-'1.설계입력'!$C$15)*B1323))</f>
        <v>9.2853026009308254E-2</v>
      </c>
      <c r="D1323" s="40">
        <f>'1.설계입력'!$C$6*COS(B1323)-'1.설계입력'!$C$7*COS(B1323+C1323)-'1.설계입력'!$C$8*COS('1.설계입력'!$C$15*B1323)</f>
        <v>-9.1787062584606129</v>
      </c>
      <c r="E1323" s="40">
        <f>-'1.설계입력'!$C$6*SIN(B1323)+'1.설계입력'!$C$7*SIN(B1323+C1323)+'1.설계입력'!$C$8*SIN('1.설계입력'!$C$15*B1323)</f>
        <v>78.949347616230554</v>
      </c>
      <c r="F1323" s="40">
        <f>ATAN2(('1.설계입력'!$C$6+'1.설계입력'!$C$33)/('1.설계입력'!$C$8*'1.설계입력'!$C$15)-COS((1-'1.설계입력'!$C$15)*B1323),SIN((1-'1.설계입력'!$C$15)*B1323))</f>
        <v>9.2855062215836226E-2</v>
      </c>
      <c r="G1323" s="40">
        <f>('1.설계입력'!$C$6+'1.설계입력'!$C$33)*COS(B1323)-('1.설계입력'!$C$7+'1.설계입력'!$C$34)*COS(B1323+F1323)-'1.설계입력'!$C$8*COS('1.설계입력'!$C$15*B1323)</f>
        <v>-9.1781771841186028</v>
      </c>
      <c r="H1323" s="40">
        <f>-('1.설계입력'!$C$6+'1.설계입력'!$C$33)*SIN(B1323)+('1.설계입력'!$C$7+'1.설계입력'!$C$34)*SIN(B1323+F1323)+'1.설계입력'!$C$8*SIN('1.설계입력'!$C$15*B1323)</f>
        <v>78.938169999305117</v>
      </c>
      <c r="I1323" s="40">
        <f t="shared" si="61"/>
        <v>79.481118120013335</v>
      </c>
      <c r="J1323" s="40">
        <f t="shared" si="62"/>
        <v>79.469954191897386</v>
      </c>
      <c r="K1323" s="38" t="str">
        <f>IF(OR(A1323&gt;180,'1.설계입력'!$C$39&gt;=1),"",'1.설계입력'!$C$34*(1-SIN(B1323)/SQRT(1+'1.설계입력'!$C$39^2-2*'1.설계입력'!$C$39*COS(B1323)))-'1.설계입력'!$C$33*(1-'1.설계입력'!$C$39*COS(B1323)-SQRT(MAX(0,1-'1.설계입력'!$C$39^2))*SIN(B1323))/SQRT(1+'1.설계입력'!$C$39^2-2*'1.설계입력'!$C$39*COS(B1323)))</f>
        <v/>
      </c>
    </row>
    <row r="1324" spans="1:11" x14ac:dyDescent="0.3">
      <c r="A1324" s="40">
        <f>A1323+'1.설계입력'!$C$12</f>
        <v>263.5999999999936</v>
      </c>
      <c r="B1324" s="40">
        <f t="shared" si="60"/>
        <v>4.6006879082569414</v>
      </c>
      <c r="C1324" s="40">
        <f>ATAN2('1.설계입력'!$C$6/('1.설계입력'!$C$8*'1.설계입력'!$C$15)-COS((1-'1.설계입력'!$C$15)*B1324),SIN((1-'1.설계입력'!$C$15)*B1324))</f>
        <v>0.15015457018918046</v>
      </c>
      <c r="D1324" s="40">
        <f>'1.설계입력'!$C$6*COS(B1324)-'1.설계입력'!$C$7*COS(B1324+C1324)-'1.설계입력'!$C$8*COS('1.설계입력'!$C$15*B1324)</f>
        <v>-8.9313456858548559</v>
      </c>
      <c r="E1324" s="40">
        <f>-'1.설계입력'!$C$6*SIN(B1324)+'1.설계입력'!$C$7*SIN(B1324+C1324)+'1.설계입력'!$C$8*SIN('1.설계입력'!$C$15*B1324)</f>
        <v>78.947369939216202</v>
      </c>
      <c r="F1324" s="40">
        <f>ATAN2(('1.설계입력'!$C$6+'1.설계입력'!$C$33)/('1.설계입력'!$C$8*'1.설계입력'!$C$15)-COS((1-'1.설계입력'!$C$15)*B1324),SIN((1-'1.설계입력'!$C$15)*B1324))</f>
        <v>0.1501578871331577</v>
      </c>
      <c r="G1324" s="40">
        <f>('1.설계입력'!$C$6+'1.설계입력'!$C$33)*COS(B1324)-('1.설계입력'!$C$7+'1.설계입력'!$C$34)*COS(B1324+F1324)-'1.설계입력'!$C$8*COS('1.설계입력'!$C$15*B1324)</f>
        <v>-8.9313248135581755</v>
      </c>
      <c r="H1324" s="40">
        <f>-('1.설계입력'!$C$6+'1.설계입력'!$C$33)*SIN(B1324)+('1.설계입력'!$C$7+'1.설계입력'!$C$34)*SIN(B1324+F1324)+'1.설계입력'!$C$8*SIN('1.설계입력'!$C$15*B1324)</f>
        <v>78.93619575767012</v>
      </c>
      <c r="I1324" s="40">
        <f t="shared" si="61"/>
        <v>79.450966992728894</v>
      </c>
      <c r="J1324" s="40">
        <f t="shared" si="62"/>
        <v>79.439861301606626</v>
      </c>
      <c r="K1324" s="38" t="str">
        <f>IF(OR(A1324&gt;180,'1.설계입력'!$C$39&gt;=1),"",'1.설계입력'!$C$34*(1-SIN(B1324)/SQRT(1+'1.설계입력'!$C$39^2-2*'1.설계입력'!$C$39*COS(B1324)))-'1.설계입력'!$C$33*(1-'1.설계입력'!$C$39*COS(B1324)-SQRT(MAX(0,1-'1.설계입력'!$C$39^2))*SIN(B1324))/SQRT(1+'1.설계입력'!$C$39^2-2*'1.설계입력'!$C$39*COS(B1324)))</f>
        <v/>
      </c>
    </row>
    <row r="1325" spans="1:11" x14ac:dyDescent="0.3">
      <c r="A1325" s="40">
        <f>A1324+'1.설계입력'!$C$12</f>
        <v>263.79999999999359</v>
      </c>
      <c r="B1325" s="40">
        <f t="shared" si="60"/>
        <v>4.6041785667609298</v>
      </c>
      <c r="C1325" s="40">
        <f>ATAN2('1.설계입력'!$C$6/('1.설계입력'!$C$8*'1.설계입력'!$C$15)-COS((1-'1.설계입력'!$C$15)*B1325),SIN((1-'1.설계입력'!$C$15)*B1325))</f>
        <v>0.20719543158773882</v>
      </c>
      <c r="D1325" s="40">
        <f>'1.설계입력'!$C$6*COS(B1325)-'1.설계입력'!$C$7*COS(B1325+C1325)-'1.설계입력'!$C$8*COS('1.설계입력'!$C$15*B1325)</f>
        <v>-8.6893310939576711</v>
      </c>
      <c r="E1325" s="40">
        <f>-'1.설계입력'!$C$6*SIN(B1325)+'1.설계입력'!$C$7*SIN(B1325+C1325)+'1.설계입력'!$C$8*SIN('1.설계입력'!$C$15*B1325)</f>
        <v>78.930734900124676</v>
      </c>
      <c r="F1325" s="40">
        <f>ATAN2(('1.설계입력'!$C$6+'1.설계입력'!$C$33)/('1.설계입력'!$C$8*'1.설계입력'!$C$15)-COS((1-'1.설계입력'!$C$15)*B1325),SIN((1-'1.설계입력'!$C$15)*B1325))</f>
        <v>0.20720005868064248</v>
      </c>
      <c r="G1325" s="40">
        <f>('1.설계입력'!$C$6+'1.설계입력'!$C$33)*COS(B1325)-('1.설계입력'!$C$7+'1.설계입력'!$C$34)*COS(B1325+F1325)-'1.설계입력'!$C$8*COS('1.설계입력'!$C$15*B1325)</f>
        <v>-8.6898152209972821</v>
      </c>
      <c r="H1325" s="40">
        <f>-('1.설계입력'!$C$6+'1.설계입력'!$C$33)*SIN(B1325)+('1.설계입력'!$C$7+'1.설계입력'!$C$34)*SIN(B1325+F1325)+'1.설계입력'!$C$8*SIN('1.설계입력'!$C$15*B1325)</f>
        <v>78.919594514591026</v>
      </c>
      <c r="I1325" s="40">
        <f t="shared" si="61"/>
        <v>79.407590233769085</v>
      </c>
      <c r="J1325" s="40">
        <f t="shared" si="62"/>
        <v>79.396569742795194</v>
      </c>
      <c r="K1325" s="38" t="str">
        <f>IF(OR(A1325&gt;180,'1.설계입력'!$C$39&gt;=1),"",'1.설계입력'!$C$34*(1-SIN(B1325)/SQRT(1+'1.설계입력'!$C$39^2-2*'1.설계입력'!$C$39*COS(B1325)))-'1.설계입력'!$C$33*(1-'1.설계입력'!$C$39*COS(B1325)-SQRT(MAX(0,1-'1.설계입력'!$C$39^2))*SIN(B1325))/SQRT(1+'1.설계입력'!$C$39^2-2*'1.설계입력'!$C$39*COS(B1325)))</f>
        <v/>
      </c>
    </row>
    <row r="1326" spans="1:11" x14ac:dyDescent="0.3">
      <c r="A1326" s="40">
        <f>A1325+'1.설계입력'!$C$12</f>
        <v>263.99999999999358</v>
      </c>
      <c r="B1326" s="40">
        <f t="shared" si="60"/>
        <v>4.6076692252649183</v>
      </c>
      <c r="C1326" s="40">
        <f>ATAN2('1.설계입력'!$C$6/('1.설계입력'!$C$8*'1.설계입력'!$C$15)-COS((1-'1.설계입력'!$C$15)*B1326),SIN((1-'1.설계입력'!$C$15)*B1326))</f>
        <v>0.26386205120130296</v>
      </c>
      <c r="D1326" s="40">
        <f>'1.설계입력'!$C$6*COS(B1326)-'1.설계입력'!$C$7*COS(B1326+C1326)-'1.설계입력'!$C$8*COS('1.설계입력'!$C$15*B1326)</f>
        <v>-8.4552195855905214</v>
      </c>
      <c r="E1326" s="40">
        <f>-'1.설계입력'!$C$6*SIN(B1326)+'1.설계입력'!$C$7*SIN(B1326+C1326)+'1.설계입력'!$C$8*SIN('1.설계입력'!$C$15*B1326)</f>
        <v>78.900379253560885</v>
      </c>
      <c r="F1326" s="40">
        <f>ATAN2(('1.설계입력'!$C$6+'1.설계입력'!$C$33)/('1.설계입력'!$C$8*'1.설계입력'!$C$15)-COS((1-'1.설계입력'!$C$15)*B1326),SIN((1-'1.설계입력'!$C$15)*B1326))</f>
        <v>0.26386803053450714</v>
      </c>
      <c r="G1326" s="40">
        <f>('1.설계입력'!$C$6+'1.설계입력'!$C$33)*COS(B1326)-('1.설계입력'!$C$7+'1.설계입력'!$C$34)*COS(B1326+F1326)-'1.설계입력'!$C$8*COS('1.설계입력'!$C$15*B1326)</f>
        <v>-8.4562028286018851</v>
      </c>
      <c r="H1326" s="40">
        <f>-('1.설계입력'!$C$6+'1.설계입력'!$C$33)*SIN(B1326)+('1.설계입력'!$C$7+'1.설계입력'!$C$34)*SIN(B1326+F1326)+'1.설계입력'!$C$8*SIN('1.설계입력'!$C$15*B1326)</f>
        <v>78.889302388742905</v>
      </c>
      <c r="I1326" s="40">
        <f t="shared" si="61"/>
        <v>79.352130309124618</v>
      </c>
      <c r="J1326" s="40">
        <f t="shared" si="62"/>
        <v>79.341221301798541</v>
      </c>
      <c r="K1326" s="38" t="str">
        <f>IF(OR(A1326&gt;180,'1.설계입력'!$C$39&gt;=1),"",'1.설계입력'!$C$34*(1-SIN(B1326)/SQRT(1+'1.설계입력'!$C$39^2-2*'1.설계입력'!$C$39*COS(B1326)))-'1.설계입력'!$C$33*(1-'1.설계입력'!$C$39*COS(B1326)-SQRT(MAX(0,1-'1.설계입력'!$C$39^2))*SIN(B1326))/SQRT(1+'1.설계입력'!$C$39^2-2*'1.설계입력'!$C$39*COS(B1326)))</f>
        <v/>
      </c>
    </row>
    <row r="1327" spans="1:11" x14ac:dyDescent="0.3">
      <c r="A1327" s="40">
        <f>A1326+'1.설계입력'!$C$12</f>
        <v>264.19999999999357</v>
      </c>
      <c r="B1327" s="40">
        <f t="shared" si="60"/>
        <v>4.6111598837689067</v>
      </c>
      <c r="C1327" s="40">
        <f>ATAN2('1.설계입력'!$C$6/('1.설계입력'!$C$8*'1.설계입력'!$C$15)-COS((1-'1.설계입력'!$C$15)*B1327),SIN((1-'1.설계입력'!$C$15)*B1327))</f>
        <v>0.32002615733254824</v>
      </c>
      <c r="D1327" s="40">
        <f>'1.설계입력'!$C$6*COS(B1327)-'1.설계입력'!$C$7*COS(B1327+C1327)-'1.설계입력'!$C$8*COS('1.설계입력'!$C$15*B1327)</f>
        <v>-8.2313462363868002</v>
      </c>
      <c r="E1327" s="40">
        <f>-'1.설계입력'!$C$6*SIN(B1327)+'1.설계입력'!$C$7*SIN(B1327+C1327)+'1.설계입력'!$C$8*SIN('1.설계입력'!$C$15*B1327)</f>
        <v>78.857597213728965</v>
      </c>
      <c r="F1327" s="40">
        <f>ATAN2(('1.설계입력'!$C$6+'1.설계입력'!$C$33)/('1.설계입력'!$C$8*'1.설계입력'!$C$15)-COS((1-'1.설계입력'!$C$15)*B1327),SIN((1-'1.설계입력'!$C$15)*B1327))</f>
        <v>0.32003354517880228</v>
      </c>
      <c r="G1327" s="40">
        <f>('1.설계입력'!$C$6+'1.설계입력'!$C$33)*COS(B1327)-('1.설계입력'!$C$7+'1.설계입력'!$C$34)*COS(B1327+F1327)-'1.설계입력'!$C$8*COS('1.설계입력'!$C$15*B1327)</f>
        <v>-8.2328200168275387</v>
      </c>
      <c r="H1327" s="40">
        <f>-('1.설계입력'!$C$6+'1.설계입력'!$C$33)*SIN(B1327)+('1.설계입력'!$C$7+'1.설계입력'!$C$34)*SIN(B1327+F1327)+'1.설계입력'!$C$8*SIN('1.설계입력'!$C$15*B1327)</f>
        <v>78.846612620911245</v>
      </c>
      <c r="I1327" s="40">
        <f t="shared" si="61"/>
        <v>79.286037227156172</v>
      </c>
      <c r="J1327" s="40">
        <f t="shared" si="62"/>
        <v>79.275265040373824</v>
      </c>
      <c r="K1327" s="38" t="str">
        <f>IF(OR(A1327&gt;180,'1.설계입력'!$C$39&gt;=1),"",'1.설계입력'!$C$34*(1-SIN(B1327)/SQRT(1+'1.설계입력'!$C$39^2-2*'1.설계입력'!$C$39*COS(B1327)))-'1.설계입력'!$C$33*(1-'1.설계입력'!$C$39*COS(B1327)-SQRT(MAX(0,1-'1.설계입력'!$C$39^2))*SIN(B1327))/SQRT(1+'1.설계입력'!$C$39^2-2*'1.설계입력'!$C$39*COS(B1327)))</f>
        <v/>
      </c>
    </row>
    <row r="1328" spans="1:11" x14ac:dyDescent="0.3">
      <c r="A1328" s="40">
        <f>A1327+'1.설계입력'!$C$12</f>
        <v>264.39999999999355</v>
      </c>
      <c r="B1328" s="40">
        <f t="shared" si="60"/>
        <v>4.6146505422728952</v>
      </c>
      <c r="C1328" s="40">
        <f>ATAN2('1.설계입력'!$C$6/('1.설계입력'!$C$8*'1.설계입력'!$C$15)-COS((1-'1.설계입력'!$C$15)*B1328),SIN((1-'1.설계입력'!$C$15)*B1328))</f>
        <v>0.37553863366340923</v>
      </c>
      <c r="D1328" s="40">
        <f>'1.설계입력'!$C$6*COS(B1328)-'1.설계입력'!$C$7*COS(B1328+C1328)-'1.설계입력'!$C$8*COS('1.설계입력'!$C$15*B1328)</f>
        <v>-8.0197514700735546</v>
      </c>
      <c r="E1328" s="40">
        <f>-'1.설계입력'!$C$6*SIN(B1328)+'1.설계입력'!$C$7*SIN(B1328+C1328)+'1.설계입력'!$C$8*SIN('1.설계입력'!$C$15*B1328)</f>
        <v>78.803990190739697</v>
      </c>
      <c r="F1328" s="40">
        <f>ATAN2(('1.설계입력'!$C$6+'1.설계입력'!$C$33)/('1.설계입력'!$C$8*'1.설계입력'!$C$15)-COS((1-'1.설계입력'!$C$15)*B1328),SIN((1-'1.설계입력'!$C$15)*B1328))</f>
        <v>0.37554750257476927</v>
      </c>
      <c r="G1328" s="40">
        <f>('1.설계입력'!$C$6+'1.설계입력'!$C$33)*COS(B1328)-('1.설계입력'!$C$7+'1.설계입력'!$C$34)*COS(B1328+F1328)-'1.설계입력'!$C$8*COS('1.설계입력'!$C$15*B1328)</f>
        <v>-8.0217044985365629</v>
      </c>
      <c r="H1328" s="40">
        <f>-('1.설계입력'!$C$6+'1.설계입력'!$C$33)*SIN(B1328)+('1.설계입력'!$C$7+'1.설계입력'!$C$34)*SIN(B1328+F1328)+'1.설계입력'!$C$8*SIN('1.설계입력'!$C$15*B1328)</f>
        <v>78.793125280092369</v>
      </c>
      <c r="I1328" s="40">
        <f t="shared" si="61"/>
        <v>79.21101743838382</v>
      </c>
      <c r="J1328" s="40">
        <f t="shared" si="62"/>
        <v>79.200406150891496</v>
      </c>
      <c r="K1328" s="38" t="str">
        <f>IF(OR(A1328&gt;180,'1.설계입력'!$C$39&gt;=1),"",'1.설계입력'!$C$34*(1-SIN(B1328)/SQRT(1+'1.설계입력'!$C$39^2-2*'1.설계입력'!$C$39*COS(B1328)))-'1.설계입력'!$C$33*(1-'1.설계입력'!$C$39*COS(B1328)-SQRT(MAX(0,1-'1.설계입력'!$C$39^2))*SIN(B1328))/SQRT(1+'1.설계입력'!$C$39^2-2*'1.설계입력'!$C$39*COS(B1328)))</f>
        <v/>
      </c>
    </row>
    <row r="1329" spans="1:11" x14ac:dyDescent="0.3">
      <c r="A1329" s="40">
        <f>A1328+'1.설계입력'!$C$12</f>
        <v>264.59999999999354</v>
      </c>
      <c r="B1329" s="40">
        <f t="shared" si="60"/>
        <v>4.6181412007768836</v>
      </c>
      <c r="C1329" s="40">
        <f>ATAN2('1.설계입력'!$C$6/('1.설계입력'!$C$8*'1.설계입력'!$C$15)-COS((1-'1.설계입력'!$C$15)*B1329),SIN((1-'1.설계입력'!$C$15)*B1329))</f>
        <v>0.43022148195787152</v>
      </c>
      <c r="D1329" s="40">
        <f>'1.설계입력'!$C$6*COS(B1329)-'1.설계입력'!$C$7*COS(B1329+C1329)-'1.설계입력'!$C$8*COS('1.설계입력'!$C$15*B1329)</f>
        <v>-7.8221105542253504</v>
      </c>
      <c r="E1329" s="40">
        <f>-'1.설계입력'!$C$6*SIN(B1329)+'1.설계입력'!$C$7*SIN(B1329+C1329)+'1.설계입력'!$C$8*SIN('1.설계입력'!$C$15*B1329)</f>
        <v>78.741400021199937</v>
      </c>
      <c r="F1329" s="40">
        <f>ATAN2(('1.설계입력'!$C$6+'1.설계입력'!$C$33)/('1.설계입력'!$C$8*'1.설계입력'!$C$15)-COS((1-'1.설계입력'!$C$15)*B1329),SIN((1-'1.설계입력'!$C$15)*B1329))</f>
        <v>0.4302319236195784</v>
      </c>
      <c r="G1329" s="40">
        <f>('1.설계입력'!$C$6+'1.설계입력'!$C$33)*COS(B1329)-('1.설계입력'!$C$7+'1.설계입력'!$C$34)*COS(B1329+F1329)-'1.설계입력'!$C$8*COS('1.설계입력'!$C$15*B1329)</f>
        <v>-7.8245288072595791</v>
      </c>
      <c r="H1329" s="40">
        <f>-('1.설계입력'!$C$6+'1.설계입력'!$C$33)*SIN(B1329)+('1.설계입력'!$C$7+'1.설계입력'!$C$34)*SIN(B1329+F1329)+'1.설계입력'!$C$8*SIN('1.설계입력'!$C$15*B1329)</f>
        <v>78.730680450303737</v>
      </c>
      <c r="I1329" s="40">
        <f t="shared" si="61"/>
        <v>79.128967457064348</v>
      </c>
      <c r="J1329" s="40">
        <f t="shared" si="62"/>
        <v>79.118539516496853</v>
      </c>
      <c r="K1329" s="38" t="str">
        <f>IF(OR(A1329&gt;180,'1.설계입력'!$C$39&gt;=1),"",'1.설계입력'!$C$34*(1-SIN(B1329)/SQRT(1+'1.설계입력'!$C$39^2-2*'1.설계입력'!$C$39*COS(B1329)))-'1.설계입력'!$C$33*(1-'1.설계입력'!$C$39*COS(B1329)-SQRT(MAX(0,1-'1.설계입력'!$C$39^2))*SIN(B1329))/SQRT(1+'1.설계입력'!$C$39^2-2*'1.설계입력'!$C$39*COS(B1329)))</f>
        <v/>
      </c>
    </row>
    <row r="1330" spans="1:11" x14ac:dyDescent="0.3">
      <c r="A1330" s="40">
        <f>A1329+'1.설계입력'!$C$12</f>
        <v>264.79999999999353</v>
      </c>
      <c r="B1330" s="40">
        <f t="shared" si="60"/>
        <v>4.6216318592808721</v>
      </c>
      <c r="C1330" s="40">
        <f>ATAN2('1.설계입력'!$C$6/('1.설계입력'!$C$8*'1.설계입력'!$C$15)-COS((1-'1.설계입력'!$C$15)*B1330),SIN((1-'1.설계입력'!$C$15)*B1330))</f>
        <v>0.48385692243023432</v>
      </c>
      <c r="D1330" s="40">
        <f>'1.설계입력'!$C$6*COS(B1330)-'1.설계입력'!$C$7*COS(B1330+C1330)-'1.설계입력'!$C$8*COS('1.설계입력'!$C$15*B1330)</f>
        <v>-7.6396646601121754</v>
      </c>
      <c r="E1330" s="40">
        <f>-'1.설계입력'!$C$6*SIN(B1330)+'1.설계입력'!$C$7*SIN(B1330+C1330)+'1.설계입력'!$C$8*SIN('1.설계입력'!$C$15*B1330)</f>
        <v>78.671823592388307</v>
      </c>
      <c r="F1330" s="40">
        <f>ATAN2(('1.설계입력'!$C$6+'1.설계입력'!$C$33)/('1.설계입력'!$C$8*'1.설계입력'!$C$15)-COS((1-'1.설계입력'!$C$15)*B1330),SIN((1-'1.설계입력'!$C$15)*B1330))</f>
        <v>0.48386905149887621</v>
      </c>
      <c r="G1330" s="40">
        <f>('1.설계입력'!$C$6+'1.설계입력'!$C$33)*COS(B1330)-('1.설계입력'!$C$7+'1.설계입력'!$C$34)*COS(B1330+F1330)-'1.설계입력'!$C$8*COS('1.설계입력'!$C$15*B1330)</f>
        <v>-7.6425313398102466</v>
      </c>
      <c r="H1330" s="40">
        <f>-('1.설계입력'!$C$6+'1.설계입력'!$C$33)*SIN(B1330)+('1.설계입력'!$C$7+'1.설계입력'!$C$34)*SIN(B1330+F1330)+'1.설계입력'!$C$8*SIN('1.설계입력'!$C$15*B1330)</f>
        <v>78.661272791505155</v>
      </c>
      <c r="I1330" s="40">
        <f t="shared" si="61"/>
        <v>79.041889548965315</v>
      </c>
      <c r="J1330" s="40">
        <f t="shared" si="62"/>
        <v>79.031665314983542</v>
      </c>
      <c r="K1330" s="38" t="str">
        <f>IF(OR(A1330&gt;180,'1.설계입력'!$C$39&gt;=1),"",'1.설계입력'!$C$34*(1-SIN(B1330)/SQRT(1+'1.설계입력'!$C$39^2-2*'1.설계입력'!$C$39*COS(B1330)))-'1.설계입력'!$C$33*(1-'1.설계입력'!$C$39*COS(B1330)-SQRT(MAX(0,1-'1.설계입력'!$C$39^2))*SIN(B1330))/SQRT(1+'1.설계입력'!$C$39^2-2*'1.설계입력'!$C$39*COS(B1330)))</f>
        <v/>
      </c>
    </row>
    <row r="1331" spans="1:11" x14ac:dyDescent="0.3">
      <c r="A1331" s="40">
        <f>A1330+'1.설계입력'!$C$12</f>
        <v>264.99999999999352</v>
      </c>
      <c r="B1331" s="40">
        <f t="shared" si="60"/>
        <v>4.6251225177848605</v>
      </c>
      <c r="C1331" s="40">
        <f>ATAN2('1.설계입력'!$C$6/('1.설계입력'!$C$8*'1.설계입력'!$C$15)-COS((1-'1.설계입력'!$C$15)*B1331),SIN((1-'1.설계입력'!$C$15)*B1331))</f>
        <v>0.53617216719306759</v>
      </c>
      <c r="D1331" s="40">
        <f>'1.설계입력'!$C$6*COS(B1331)-'1.설계입력'!$C$7*COS(B1331+C1331)-'1.설계입력'!$C$8*COS('1.설계입력'!$C$15*B1331)</f>
        <v>-7.4731516491325829</v>
      </c>
      <c r="E1331" s="40">
        <f>-'1.설계입력'!$C$6*SIN(B1331)+'1.설계입력'!$C$7*SIN(B1331+C1331)+'1.설계입력'!$C$8*SIN('1.설계입력'!$C$15*B1331)</f>
        <v>78.597305282881138</v>
      </c>
      <c r="F1331" s="40">
        <f>ATAN2(('1.설계입력'!$C$6+'1.설계입력'!$C$33)/('1.설계입력'!$C$8*'1.설계입력'!$C$15)-COS((1-'1.설계입력'!$C$15)*B1331),SIN((1-'1.설계입력'!$C$15)*B1331))</f>
        <v>0.53618612644281349</v>
      </c>
      <c r="G1331" s="40">
        <f>('1.설계입력'!$C$6+'1.설계입력'!$C$33)*COS(B1331)-('1.설계입력'!$C$7+'1.설계입력'!$C$34)*COS(B1331+F1331)-'1.설계입력'!$C$8*COS('1.설계입력'!$C$15*B1331)</f>
        <v>-7.4764471101808576</v>
      </c>
      <c r="H1331" s="40">
        <f>-('1.설계입력'!$C$6+'1.설계입력'!$C$33)*SIN(B1331)+('1.설계입력'!$C$7+'1.설계입력'!$C$34)*SIN(B1331+F1331)+'1.설계입력'!$C$8*SIN('1.설계입력'!$C$15*B1331)</f>
        <v>78.586943888269559</v>
      </c>
      <c r="I1331" s="40">
        <f t="shared" si="61"/>
        <v>78.951785244548759</v>
      </c>
      <c r="J1331" s="40">
        <f t="shared" si="62"/>
        <v>78.941782416470431</v>
      </c>
      <c r="K1331" s="38" t="str">
        <f>IF(OR(A1331&gt;180,'1.설계입력'!$C$39&gt;=1),"",'1.설계입력'!$C$34*(1-SIN(B1331)/SQRT(1+'1.설계입력'!$C$39^2-2*'1.설계입력'!$C$39*COS(B1331)))-'1.설계입력'!$C$33*(1-'1.설계입력'!$C$39*COS(B1331)-SQRT(MAX(0,1-'1.설계입력'!$C$39^2))*SIN(B1331))/SQRT(1+'1.설계입력'!$C$39^2-2*'1.설계입력'!$C$39*COS(B1331)))</f>
        <v/>
      </c>
    </row>
    <row r="1332" spans="1:11" x14ac:dyDescent="0.3">
      <c r="A1332" s="40">
        <f>A1331+'1.설계입력'!$C$12</f>
        <v>265.19999999999351</v>
      </c>
      <c r="B1332" s="40">
        <f t="shared" si="60"/>
        <v>4.6286131762888489</v>
      </c>
      <c r="C1332" s="40">
        <f>ATAN2('1.설계입력'!$C$6/('1.설계입력'!$C$8*'1.설계입력'!$C$15)-COS((1-'1.설계입력'!$C$15)*B1332),SIN((1-'1.설계입력'!$C$15)*B1332))</f>
        <v>0.58681755378807587</v>
      </c>
      <c r="D1332" s="40">
        <f>'1.설계입력'!$C$6*COS(B1332)-'1.설계입력'!$C$7*COS(B1332+C1332)-'1.설계입력'!$C$8*COS('1.설계입력'!$C$15*B1332)</f>
        <v>-7.3227325645470023</v>
      </c>
      <c r="E1332" s="40">
        <f>-'1.설계입력'!$C$6*SIN(B1332)+'1.설계입력'!$C$7*SIN(B1332+C1332)+'1.설계입력'!$C$8*SIN('1.설계입력'!$C$15*B1332)</f>
        <v>78.519801147271934</v>
      </c>
      <c r="F1332" s="40">
        <f>ATAN2(('1.설계입력'!$C$6+'1.설계입력'!$C$33)/('1.설계입력'!$C$8*'1.설계입력'!$C$15)-COS((1-'1.설계입력'!$C$15)*B1332),SIN((1-'1.설계입력'!$C$15)*B1332))</f>
        <v>0.58683352102095432</v>
      </c>
      <c r="G1332" s="40">
        <f>('1.설계입력'!$C$6+'1.설계입력'!$C$33)*COS(B1332)-('1.설계입력'!$C$7+'1.설계입력'!$C$34)*COS(B1332+F1332)-'1.설계입력'!$C$8*COS('1.설계입력'!$C$15*B1332)</f>
        <v>-7.3264341840558869</v>
      </c>
      <c r="H1332" s="40">
        <f>-('1.설계입력'!$C$6+'1.설계입력'!$C$33)*SIN(B1332)+('1.설계입력'!$C$7+'1.설계입력'!$C$34)*SIN(B1332+F1332)+'1.설계입력'!$C$8*SIN('1.설계입력'!$C$15*B1332)</f>
        <v>78.509646299236962</v>
      </c>
      <c r="I1332" s="40">
        <f t="shared" si="61"/>
        <v>78.860519808196827</v>
      </c>
      <c r="J1332" s="40">
        <f t="shared" si="62"/>
        <v>78.850752690666155</v>
      </c>
      <c r="K1332" s="38" t="str">
        <f>IF(OR(A1332&gt;180,'1.설계입력'!$C$39&gt;=1),"",'1.설계입력'!$C$34*(1-SIN(B1332)/SQRT(1+'1.설계입력'!$C$39^2-2*'1.설계입력'!$C$39*COS(B1332)))-'1.설계입력'!$C$33*(1-'1.설계입력'!$C$39*COS(B1332)-SQRT(MAX(0,1-'1.설계입력'!$C$39^2))*SIN(B1332))/SQRT(1+'1.설계입력'!$C$39^2-2*'1.설계입력'!$C$39*COS(B1332)))</f>
        <v/>
      </c>
    </row>
    <row r="1333" spans="1:11" x14ac:dyDescent="0.3">
      <c r="A1333" s="40">
        <f>A1332+'1.설계입력'!$C$12</f>
        <v>265.3999999999935</v>
      </c>
      <c r="B1333" s="40">
        <f t="shared" si="60"/>
        <v>4.6321038347928374</v>
      </c>
      <c r="C1333" s="40">
        <f>ATAN2('1.설계입력'!$C$6/('1.설계입력'!$C$8*'1.설계입력'!$C$15)-COS((1-'1.설계입력'!$C$15)*B1333),SIN((1-'1.설계입력'!$C$15)*B1333))</f>
        <v>0.63533427384529273</v>
      </c>
      <c r="D1333" s="40">
        <f>'1.설계입력'!$C$6*COS(B1333)-'1.설계입력'!$C$7*COS(B1333+C1333)-'1.설계입력'!$C$8*COS('1.설계입력'!$C$15*B1333)</f>
        <v>-7.1879059343528375</v>
      </c>
      <c r="E1333" s="40">
        <f>-'1.설계입력'!$C$6*SIN(B1333)+'1.설계입력'!$C$7*SIN(B1333+C1333)+'1.설계입력'!$C$8*SIN('1.설계입력'!$C$15*B1333)</f>
        <v>78.441004538273745</v>
      </c>
      <c r="F1333" s="40">
        <f>ATAN2(('1.설계입력'!$C$6+'1.설계입력'!$C$33)/('1.설계입력'!$C$8*'1.설계입력'!$C$15)-COS((1-'1.설계입력'!$C$15)*B1333),SIN((1-'1.설계입력'!$C$15)*B1333))</f>
        <v>0.63535247120001015</v>
      </c>
      <c r="G1333" s="40">
        <f>('1.설계입력'!$C$6+'1.설계입력'!$C$33)*COS(B1333)-('1.설계입력'!$C$7+'1.설계입력'!$C$34)*COS(B1333+F1333)-'1.설계입력'!$C$8*COS('1.설계입력'!$C$15*B1333)</f>
        <v>-7.1919878834176014</v>
      </c>
      <c r="H1333" s="40">
        <f>-('1.설계입력'!$C$6+'1.설계입력'!$C$33)*SIN(B1333)+('1.설계입력'!$C$7+'1.설계입력'!$C$34)*SIN(B1333+F1333)+'1.설계입력'!$C$8*SIN('1.설계입력'!$C$15*B1333)</f>
        <v>78.431068977060505</v>
      </c>
      <c r="I1333" s="40">
        <f t="shared" si="61"/>
        <v>78.769646341053146</v>
      </c>
      <c r="J1333" s="40">
        <f t="shared" si="62"/>
        <v>78.760124876739795</v>
      </c>
      <c r="K1333" s="38" t="str">
        <f>IF(OR(A1333&gt;180,'1.설계입력'!$C$39&gt;=1),"",'1.설계입력'!$C$34*(1-SIN(B1333)/SQRT(1+'1.설계입력'!$C$39^2-2*'1.설계입력'!$C$39*COS(B1333)))-'1.설계입력'!$C$33*(1-'1.설계입력'!$C$39*COS(B1333)-SQRT(MAX(0,1-'1.설계입력'!$C$39^2))*SIN(B1333))/SQRT(1+'1.설계입력'!$C$39^2-2*'1.설계입력'!$C$39*COS(B1333)))</f>
        <v/>
      </c>
    </row>
    <row r="1334" spans="1:11" x14ac:dyDescent="0.3">
      <c r="A1334" s="40">
        <f>A1333+'1.설계입력'!$C$12</f>
        <v>265.59999999999349</v>
      </c>
      <c r="B1334" s="40">
        <f t="shared" si="60"/>
        <v>4.6355944932968258</v>
      </c>
      <c r="C1334" s="40">
        <f>ATAN2('1.설계입력'!$C$6/('1.설계입력'!$C$8*'1.설계입력'!$C$15)-COS((1-'1.설계입력'!$C$15)*B1334),SIN((1-'1.설계입력'!$C$15)*B1334))</f>
        <v>0.68110537562426376</v>
      </c>
      <c r="D1334" s="40">
        <f>'1.설계입력'!$C$6*COS(B1334)-'1.설계입력'!$C$7*COS(B1334+C1334)-'1.설계입력'!$C$8*COS('1.설계입력'!$C$15*B1334)</f>
        <v>-7.0673948135546656</v>
      </c>
      <c r="E1334" s="40">
        <f>-'1.설계입력'!$C$6*SIN(B1334)+'1.설계입력'!$C$7*SIN(B1334+C1334)+'1.설계입력'!$C$8*SIN('1.설계입력'!$C$15*B1334)</f>
        <v>78.362115600895379</v>
      </c>
      <c r="F1334" s="40">
        <f>ATAN2(('1.설계입력'!$C$6+'1.설계입력'!$C$33)/('1.설계입력'!$C$8*'1.설계입력'!$C$15)-COS((1-'1.설계입력'!$C$15)*B1334),SIN((1-'1.설계입력'!$C$15)*B1334))</f>
        <v>0.68112608214139836</v>
      </c>
      <c r="G1334" s="40">
        <f>('1.설계입력'!$C$6+'1.설계입력'!$C$33)*COS(B1334)-('1.설계입력'!$C$7+'1.설계입력'!$C$34)*COS(B1334+F1334)-'1.설계입력'!$C$8*COS('1.설계입력'!$C$15*B1334)</f>
        <v>-7.0718276598387497</v>
      </c>
      <c r="H1334" s="40">
        <f>-('1.설계입력'!$C$6+'1.설계입력'!$C$33)*SIN(B1334)+('1.설계입력'!$C$7+'1.설계입력'!$C$34)*SIN(B1334+F1334)+'1.설계입력'!$C$8*SIN('1.설계입력'!$C$15*B1334)</f>
        <v>78.352406454613401</v>
      </c>
      <c r="I1334" s="40">
        <f t="shared" si="61"/>
        <v>78.680170506289258</v>
      </c>
      <c r="J1334" s="40">
        <f t="shared" si="62"/>
        <v>78.670898963208785</v>
      </c>
      <c r="K1334" s="38" t="str">
        <f>IF(OR(A1334&gt;180,'1.설계입력'!$C$39&gt;=1),"",'1.설계입력'!$C$34*(1-SIN(B1334)/SQRT(1+'1.설계입력'!$C$39^2-2*'1.설계입력'!$C$39*COS(B1334)))-'1.설계입력'!$C$33*(1-'1.설계입력'!$C$39*COS(B1334)-SQRT(MAX(0,1-'1.설계입력'!$C$39^2))*SIN(B1334))/SQRT(1+'1.설계입력'!$C$39^2-2*'1.설계입력'!$C$39*COS(B1334)))</f>
        <v/>
      </c>
    </row>
    <row r="1335" spans="1:11" x14ac:dyDescent="0.3">
      <c r="A1335" s="40">
        <f>A1334+'1.설계입력'!$C$12</f>
        <v>265.79999999999347</v>
      </c>
      <c r="B1335" s="40">
        <f t="shared" si="60"/>
        <v>4.6390851518008143</v>
      </c>
      <c r="C1335" s="40">
        <f>ATAN2('1.설계입력'!$C$6/('1.설계입력'!$C$8*'1.설계입력'!$C$15)-COS((1-'1.설계입력'!$C$15)*B1335),SIN((1-'1.설계입력'!$C$15)*B1335))</f>
        <v>0.72327907310913053</v>
      </c>
      <c r="D1335" s="40">
        <f>'1.설계입력'!$C$6*COS(B1335)-'1.설계입력'!$C$7*COS(B1335+C1335)-'1.설계입력'!$C$8*COS('1.설계입력'!$C$15*B1335)</f>
        <v>-6.9589775558458999</v>
      </c>
      <c r="E1335" s="40">
        <f>-'1.설계입력'!$C$6*SIN(B1335)+'1.설계입력'!$C$7*SIN(B1335+C1335)+'1.설계입력'!$C$8*SIN('1.설계입력'!$C$15*B1335)</f>
        <v>78.283524476257313</v>
      </c>
      <c r="F1335" s="40">
        <f>ATAN2(('1.설계입력'!$C$6+'1.설계입력'!$C$33)/('1.설계입력'!$C$8*'1.설계입력'!$C$15)-COS((1-'1.설계입력'!$C$15)*B1335),SIN((1-'1.설계입력'!$C$15)*B1335))</f>
        <v>0.72330264162946645</v>
      </c>
      <c r="G1335" s="40">
        <f>('1.설계입력'!$C$6+'1.설계입력'!$C$33)*COS(B1335)-('1.설계입력'!$C$7+'1.설계입력'!$C$34)*COS(B1335+F1335)-'1.설계입력'!$C$8*COS('1.설계입력'!$C$15*B1335)</f>
        <v>-6.9637275704762747</v>
      </c>
      <c r="H1335" s="40">
        <f>-('1.설계입력'!$C$6+'1.설계입력'!$C$33)*SIN(B1335)+('1.설계입력'!$C$7+'1.설계입력'!$C$34)*SIN(B1335+F1335)+'1.설계입력'!$C$8*SIN('1.설계입력'!$C$15*B1335)</f>
        <v>78.274041569210155</v>
      </c>
      <c r="I1335" s="40">
        <f t="shared" si="61"/>
        <v>78.592223362413819</v>
      </c>
      <c r="J1335" s="40">
        <f t="shared" si="62"/>
        <v>78.583198492134755</v>
      </c>
      <c r="K1335" s="38" t="str">
        <f>IF(OR(A1335&gt;180,'1.설계입력'!$C$39&gt;=1),"",'1.설계입력'!$C$34*(1-SIN(B1335)/SQRT(1+'1.설계입력'!$C$39^2-2*'1.설계입력'!$C$39*COS(B1335)))-'1.설계입력'!$C$33*(1-'1.설계입력'!$C$39*COS(B1335)-SQRT(MAX(0,1-'1.설계입력'!$C$39^2))*SIN(B1335))/SQRT(1+'1.설계입력'!$C$39^2-2*'1.설계입력'!$C$39*COS(B1335)))</f>
        <v/>
      </c>
    </row>
    <row r="1336" spans="1:11" x14ac:dyDescent="0.3">
      <c r="A1336" s="40">
        <f>A1335+'1.설계입력'!$C$12</f>
        <v>265.99999999999346</v>
      </c>
      <c r="B1336" s="40">
        <f t="shared" si="60"/>
        <v>4.6425758103048027</v>
      </c>
      <c r="C1336" s="40">
        <f>ATAN2('1.설계입력'!$C$6/('1.설계입력'!$C$8*'1.설계입력'!$C$15)-COS((1-'1.설계입력'!$C$15)*B1336),SIN((1-'1.설계입력'!$C$15)*B1336))</f>
        <v>0.76064465464127051</v>
      </c>
      <c r="D1336" s="40">
        <f>'1.설계입력'!$C$6*COS(B1336)-'1.설계입력'!$C$7*COS(B1336+C1336)-'1.설계입력'!$C$8*COS('1.설계입력'!$C$15*B1336)</f>
        <v>-6.8592048808956712</v>
      </c>
      <c r="E1336" s="40">
        <f>-'1.설계입력'!$C$6*SIN(B1336)+'1.설계입력'!$C$7*SIN(B1336+C1336)+'1.설계입력'!$C$8*SIN('1.설계입력'!$C$15*B1336)</f>
        <v>78.204355995876924</v>
      </c>
      <c r="F1336" s="40">
        <f>ATAN2(('1.설계입력'!$C$6+'1.설계입력'!$C$33)/('1.설계입력'!$C$8*'1.설계입력'!$C$15)-COS((1-'1.설계입력'!$C$15)*B1336),SIN((1-'1.설계입력'!$C$15)*B1336))</f>
        <v>0.76067153411151411</v>
      </c>
      <c r="G1336" s="40">
        <f>('1.설계입력'!$C$6+'1.설계입력'!$C$33)*COS(B1336)-('1.설계입력'!$C$7+'1.설계입력'!$C$34)*COS(B1336+F1336)-'1.설계입력'!$C$8*COS('1.설계입력'!$C$15*B1336)</f>
        <v>-6.8642328122644418</v>
      </c>
      <c r="H1336" s="40">
        <f>-('1.설계입력'!$C$6+'1.설계입력'!$C$33)*SIN(B1336)+('1.설계입력'!$C$7+'1.설계입력'!$C$34)*SIN(B1336+F1336)+'1.설계입력'!$C$8*SIN('1.설계입력'!$C$15*B1336)</f>
        <v>78.195089391751523</v>
      </c>
      <c r="I1336" s="40">
        <f t="shared" si="61"/>
        <v>78.504585778971872</v>
      </c>
      <c r="J1336" s="40">
        <f t="shared" si="62"/>
        <v>78.495794136278278</v>
      </c>
      <c r="K1336" s="38" t="str">
        <f>IF(OR(A1336&gt;180,'1.설계입력'!$C$39&gt;=1),"",'1.설계입력'!$C$34*(1-SIN(B1336)/SQRT(1+'1.설계입력'!$C$39^2-2*'1.설계입력'!$C$39*COS(B1336)))-'1.설계입력'!$C$33*(1-'1.설계입력'!$C$39*COS(B1336)-SQRT(MAX(0,1-'1.설계입력'!$C$39^2))*SIN(B1336))/SQRT(1+'1.설계입력'!$C$39^2-2*'1.설계입력'!$C$39*COS(B1336)))</f>
        <v/>
      </c>
    </row>
    <row r="1337" spans="1:11" x14ac:dyDescent="0.3">
      <c r="A1337" s="40">
        <f>A1336+'1.설계입력'!$C$12</f>
        <v>266.19999999999345</v>
      </c>
      <c r="B1337" s="40">
        <f t="shared" si="60"/>
        <v>4.6460664688087912</v>
      </c>
      <c r="C1337" s="40">
        <f>ATAN2('1.설계입력'!$C$6/('1.설계입력'!$C$8*'1.설계입력'!$C$15)-COS((1-'1.설계입력'!$C$15)*B1337),SIN((1-'1.설계입력'!$C$15)*B1337))</f>
        <v>0.79142425069062139</v>
      </c>
      <c r="D1337" s="40">
        <f>'1.설계입력'!$C$6*COS(B1337)-'1.설계입력'!$C$7*COS(B1337+C1337)-'1.설계입력'!$C$8*COS('1.설계입력'!$C$15*B1337)</f>
        <v>-6.7628848071168335</v>
      </c>
      <c r="E1337" s="40">
        <f>-'1.설계입력'!$C$6*SIN(B1337)+'1.설계입력'!$C$7*SIN(B1337+C1337)+'1.설계입력'!$C$8*SIN('1.설계입력'!$C$15*B1337)</f>
        <v>78.121785250656288</v>
      </c>
      <c r="F1337" s="40">
        <f>ATAN2(('1.설계입력'!$C$6+'1.설계입력'!$C$33)/('1.설계입력'!$C$8*'1.설계입력'!$C$15)-COS((1-'1.설계입력'!$C$15)*B1337),SIN((1-'1.설계입력'!$C$15)*B1337))</f>
        <v>0.79145501394874407</v>
      </c>
      <c r="G1337" s="40">
        <f>('1.설계입력'!$C$6+'1.설계입력'!$C$33)*COS(B1337)-('1.설계입력'!$C$7+'1.설계입력'!$C$34)*COS(B1337+F1337)-'1.설계입력'!$C$8*COS('1.설계입력'!$C$15*B1337)</f>
        <v>-6.7681436539713076</v>
      </c>
      <c r="H1337" s="40">
        <f>-('1.설계입력'!$C$6+'1.설계입력'!$C$33)*SIN(B1337)+('1.설계입력'!$C$7+'1.설계입력'!$C$34)*SIN(B1337+F1337)+'1.설계입력'!$C$8*SIN('1.설계입력'!$C$15*B1337)</f>
        <v>78.112711544176776</v>
      </c>
      <c r="I1337" s="40">
        <f t="shared" si="61"/>
        <v>78.413965220896657</v>
      </c>
      <c r="J1337" s="40">
        <f t="shared" si="62"/>
        <v>78.405379109500899</v>
      </c>
      <c r="K1337" s="38" t="str">
        <f>IF(OR(A1337&gt;180,'1.설계입력'!$C$39&gt;=1),"",'1.설계입력'!$C$34*(1-SIN(B1337)/SQRT(1+'1.설계입력'!$C$39^2-2*'1.설계입력'!$C$39*COS(B1337)))-'1.설계입력'!$C$33*(1-'1.설계입력'!$C$39*COS(B1337)-SQRT(MAX(0,1-'1.설계입력'!$C$39^2))*SIN(B1337))/SQRT(1+'1.설계입력'!$C$39^2-2*'1.설계입력'!$C$39*COS(B1337)))</f>
        <v/>
      </c>
    </row>
    <row r="1338" spans="1:11" x14ac:dyDescent="0.3">
      <c r="A1338" s="40">
        <f>A1337+'1.설계입력'!$C$12</f>
        <v>266.39999999999344</v>
      </c>
      <c r="B1338" s="40">
        <f t="shared" si="60"/>
        <v>4.6495571273127796</v>
      </c>
      <c r="C1338" s="40">
        <f>ATAN2('1.설계입력'!$C$6/('1.설계입력'!$C$8*'1.설계입력'!$C$15)-COS((1-'1.설계입력'!$C$15)*B1338),SIN((1-'1.설계입력'!$C$15)*B1338))</f>
        <v>0.81290940883257912</v>
      </c>
      <c r="D1338" s="40">
        <f>'1.설계입력'!$C$6*COS(B1338)-'1.설계입력'!$C$7*COS(B1338+C1338)-'1.설계입력'!$C$8*COS('1.설계입력'!$C$15*B1338)</f>
        <v>-6.6620791284869263</v>
      </c>
      <c r="E1338" s="40">
        <f>-'1.설계입력'!$C$6*SIN(B1338)+'1.설계입력'!$C$7*SIN(B1338+C1338)+'1.설계입력'!$C$8*SIN('1.설계입력'!$C$15*B1338)</f>
        <v>78.029969846041226</v>
      </c>
      <c r="F1338" s="40">
        <f>ATAN2(('1.설계입력'!$C$6+'1.설계입력'!$C$33)/('1.설계입력'!$C$8*'1.설계입력'!$C$15)-COS((1-'1.설계입력'!$C$15)*B1338),SIN((1-'1.설계입력'!$C$15)*B1338))</f>
        <v>0.81294478128493219</v>
      </c>
      <c r="G1338" s="40">
        <f>('1.설계입력'!$C$6+'1.설계입력'!$C$33)*COS(B1338)-('1.설계입력'!$C$7+'1.설계입력'!$C$34)*COS(B1338+F1338)-'1.설계입력'!$C$8*COS('1.설계입력'!$C$15*B1338)</f>
        <v>-6.6675099384192551</v>
      </c>
      <c r="H1338" s="40">
        <f>-('1.설계입력'!$C$6+'1.설계입력'!$C$33)*SIN(B1338)+('1.설계입력'!$C$7+'1.설계입력'!$C$34)*SIN(B1338+F1338)+'1.설계입력'!$C$8*SIN('1.설계입력'!$C$15*B1338)</f>
        <v>78.021046361688491</v>
      </c>
      <c r="I1338" s="40">
        <f t="shared" si="61"/>
        <v>78.31385249423198</v>
      </c>
      <c r="J1338" s="40">
        <f t="shared" si="62"/>
        <v>78.305423593462947</v>
      </c>
      <c r="K1338" s="38" t="str">
        <f>IF(OR(A1338&gt;180,'1.설계입력'!$C$39&gt;=1),"",'1.설계입력'!$C$34*(1-SIN(B1338)/SQRT(1+'1.설계입력'!$C$39^2-2*'1.설계입력'!$C$39*COS(B1338)))-'1.설계입력'!$C$33*(1-'1.설계입력'!$C$39*COS(B1338)-SQRT(MAX(0,1-'1.설계입력'!$C$39^2))*SIN(B1338))/SQRT(1+'1.설계입력'!$C$39^2-2*'1.설계입력'!$C$39*COS(B1338)))</f>
        <v/>
      </c>
    </row>
    <row r="1339" spans="1:11" x14ac:dyDescent="0.3">
      <c r="A1339" s="40">
        <f>A1338+'1.설계입력'!$C$12</f>
        <v>266.59999999999343</v>
      </c>
      <c r="B1339" s="40">
        <f t="shared" si="60"/>
        <v>4.653047785816768</v>
      </c>
      <c r="C1339" s="40">
        <f>ATAN2('1.설계입력'!$C$6/('1.설계입력'!$C$8*'1.설계입력'!$C$15)-COS((1-'1.설계입력'!$C$15)*B1339),SIN((1-'1.설계입력'!$C$15)*B1339))</f>
        <v>0.82080081748159328</v>
      </c>
      <c r="D1339" s="40">
        <f>'1.설계입력'!$C$6*COS(B1339)-'1.설계입력'!$C$7*COS(B1339+C1339)-'1.설계입력'!$C$8*COS('1.설계입력'!$C$15*B1339)</f>
        <v>-6.5440277251722634</v>
      </c>
      <c r="E1339" s="40">
        <f>-'1.설계입력'!$C$6*SIN(B1339)+'1.설계입력'!$C$7*SIN(B1339+C1339)+'1.설계입력'!$C$8*SIN('1.설계입력'!$C$15*B1339)</f>
        <v>77.918359640305113</v>
      </c>
      <c r="F1339" s="40">
        <f>ATAN2(('1.설계입력'!$C$6+'1.설계입력'!$C$33)/('1.설계입력'!$C$8*'1.설계입력'!$C$15)-COS((1-'1.설계입력'!$C$15)*B1339),SIN((1-'1.설계입력'!$C$15)*B1339))</f>
        <v>0.82084168463716345</v>
      </c>
      <c r="G1339" s="40">
        <f>('1.설계입력'!$C$6+'1.설계입력'!$C$33)*COS(B1339)-('1.설계입력'!$C$7+'1.설계입력'!$C$34)*COS(B1339+F1339)-'1.설계입력'!$C$8*COS('1.설계입력'!$C$15*B1339)</f>
        <v>-6.5495512636039308</v>
      </c>
      <c r="H1339" s="40">
        <f>-('1.설계입력'!$C$6+'1.설계입력'!$C$33)*SIN(B1339)+('1.설계입력'!$C$7+'1.설계입력'!$C$34)*SIN(B1339+F1339)+'1.설계입력'!$C$8*SIN('1.설계입력'!$C$15*B1339)</f>
        <v>77.909515097172985</v>
      </c>
      <c r="I1339" s="40">
        <f t="shared" si="61"/>
        <v>78.192679119619328</v>
      </c>
      <c r="J1339" s="40">
        <f t="shared" si="62"/>
        <v>78.184328125470273</v>
      </c>
      <c r="K1339" s="38" t="str">
        <f>IF(OR(A1339&gt;180,'1.설계입력'!$C$39&gt;=1),"",'1.설계입력'!$C$34*(1-SIN(B1339)/SQRT(1+'1.설계입력'!$C$39^2-2*'1.설계입력'!$C$39*COS(B1339)))-'1.설계입력'!$C$33*(1-'1.설계입력'!$C$39*COS(B1339)-SQRT(MAX(0,1-'1.설계입력'!$C$39^2))*SIN(B1339))/SQRT(1+'1.설계입력'!$C$39^2-2*'1.설계입력'!$C$39*COS(B1339)))</f>
        <v/>
      </c>
    </row>
    <row r="1340" spans="1:11" x14ac:dyDescent="0.3">
      <c r="A1340" s="40">
        <f>A1339+'1.설계입력'!$C$12</f>
        <v>266.79999999999342</v>
      </c>
      <c r="B1340" s="40">
        <f t="shared" si="60"/>
        <v>4.6565384443207565</v>
      </c>
      <c r="C1340" s="40">
        <f>ATAN2('1.설계입력'!$C$6/('1.설계입력'!$C$8*'1.설계입력'!$C$15)-COS((1-'1.설계입력'!$C$15)*B1340),SIN((1-'1.설계입력'!$C$15)*B1340))</f>
        <v>0.80796681774188839</v>
      </c>
      <c r="D1340" s="40">
        <f>'1.설계입력'!$C$6*COS(B1340)-'1.설계입력'!$C$7*COS(B1340+C1340)-'1.설계입력'!$C$8*COS('1.설계입력'!$C$15*B1340)</f>
        <v>-6.3866139652755018</v>
      </c>
      <c r="E1340" s="40">
        <f>-'1.설계입력'!$C$6*SIN(B1340)+'1.설계입력'!$C$7*SIN(B1340+C1340)+'1.설계입력'!$C$8*SIN('1.설계입력'!$C$15*B1340)</f>
        <v>77.769147765140531</v>
      </c>
      <c r="F1340" s="40">
        <f>ATAN2(('1.설계입력'!$C$6+'1.설계입력'!$C$33)/('1.설계입력'!$C$8*'1.설계입력'!$C$15)-COS((1-'1.설계입력'!$C$15)*B1340),SIN((1-'1.설계입력'!$C$15)*B1340))</f>
        <v>0.80801412729784783</v>
      </c>
      <c r="G1340" s="40">
        <f>('1.설계입력'!$C$6+'1.설계입력'!$C$33)*COS(B1340)-('1.설계입력'!$C$7+'1.설계입력'!$C$34)*COS(B1340+F1340)-'1.설계입력'!$C$8*COS('1.설계입력'!$C$15*B1340)</f>
        <v>-6.392113189696059</v>
      </c>
      <c r="H1340" s="40">
        <f>-('1.설계입력'!$C$6+'1.설계입력'!$C$33)*SIN(B1340)+('1.설계입력'!$C$7+'1.설계입력'!$C$34)*SIN(B1340+F1340)+'1.설계입력'!$C$8*SIN('1.설계입력'!$C$15*B1340)</f>
        <v>77.760267166691818</v>
      </c>
      <c r="I1340" s="40">
        <f t="shared" si="61"/>
        <v>78.030950154779703</v>
      </c>
      <c r="J1340" s="40">
        <f t="shared" si="62"/>
        <v>78.022549694720794</v>
      </c>
      <c r="K1340" s="38" t="str">
        <f>IF(OR(A1340&gt;180,'1.설계입력'!$C$39&gt;=1),"",'1.설계입력'!$C$34*(1-SIN(B1340)/SQRT(1+'1.설계입력'!$C$39^2-2*'1.설계입력'!$C$39*COS(B1340)))-'1.설계입력'!$C$33*(1-'1.설계입력'!$C$39*COS(B1340)-SQRT(MAX(0,1-'1.설계입력'!$C$39^2))*SIN(B1340))/SQRT(1+'1.설계입력'!$C$39^2-2*'1.설계입력'!$C$39*COS(B1340)))</f>
        <v/>
      </c>
    </row>
    <row r="1341" spans="1:11" x14ac:dyDescent="0.3">
      <c r="A1341" s="40">
        <f>A1340+'1.설계입력'!$C$12</f>
        <v>266.99999999999341</v>
      </c>
      <c r="B1341" s="40">
        <f t="shared" si="60"/>
        <v>4.6600291028247449</v>
      </c>
      <c r="C1341" s="40">
        <f>ATAN2('1.설계입력'!$C$6/('1.설계입력'!$C$8*'1.설계입력'!$C$15)-COS((1-'1.설계입력'!$C$15)*B1341),SIN((1-'1.설계입력'!$C$15)*B1341))</f>
        <v>0.76209293620754914</v>
      </c>
      <c r="D1341" s="40">
        <f>'1.설계입력'!$C$6*COS(B1341)-'1.설계입력'!$C$7*COS(B1341+C1341)-'1.설계입력'!$C$8*COS('1.설계입력'!$C$15*B1341)</f>
        <v>-6.1480736505451299</v>
      </c>
      <c r="E1341" s="40">
        <f>-'1.설계입력'!$C$6*SIN(B1341)+'1.설계입력'!$C$7*SIN(B1341+C1341)+'1.설계입력'!$C$8*SIN('1.설계입력'!$C$15*B1341)</f>
        <v>77.554440342772324</v>
      </c>
      <c r="F1341" s="40">
        <f>ATAN2(('1.설계입력'!$C$6+'1.설계입력'!$C$33)/('1.설계입력'!$C$8*'1.설계입력'!$C$15)-COS((1-'1.설계입력'!$C$15)*B1341),SIN((1-'1.설계입력'!$C$15)*B1341))</f>
        <v>0.76214719079199134</v>
      </c>
      <c r="G1341" s="40">
        <f>('1.설계입력'!$C$6+'1.설계입력'!$C$33)*COS(B1341)-('1.설계입력'!$C$7+'1.설계입력'!$C$34)*COS(B1341+F1341)-'1.설계입력'!$C$8*COS('1.설계입력'!$C$15*B1341)</f>
        <v>-6.1533545683820705</v>
      </c>
      <c r="H1341" s="40">
        <f>-('1.설계입력'!$C$6+'1.설계입력'!$C$33)*SIN(B1341)+('1.설계입력'!$C$7+'1.설계입력'!$C$34)*SIN(B1341+F1341)+'1.설계입력'!$C$8*SIN('1.설계입력'!$C$15*B1341)</f>
        <v>77.545342157612197</v>
      </c>
      <c r="I1341" s="40">
        <f t="shared" si="61"/>
        <v>77.797750780425261</v>
      </c>
      <c r="J1341" s="40">
        <f t="shared" si="62"/>
        <v>77.789098611472397</v>
      </c>
      <c r="K1341" s="38" t="str">
        <f>IF(OR(A1341&gt;180,'1.설계입력'!$C$39&gt;=1),"",'1.설계입력'!$C$34*(1-SIN(B1341)/SQRT(1+'1.설계입력'!$C$39^2-2*'1.설계입력'!$C$39*COS(B1341)))-'1.설계입력'!$C$33*(1-'1.설계입력'!$C$39*COS(B1341)-SQRT(MAX(0,1-'1.설계입력'!$C$39^2))*SIN(B1341))/SQRT(1+'1.설계입력'!$C$39^2-2*'1.설계입력'!$C$39*COS(B1341)))</f>
        <v/>
      </c>
    </row>
    <row r="1342" spans="1:11" x14ac:dyDescent="0.3">
      <c r="A1342" s="40">
        <f>A1341+'1.설계입력'!$C$12</f>
        <v>267.19999999999339</v>
      </c>
      <c r="B1342" s="40">
        <f t="shared" si="60"/>
        <v>4.6635197613287334</v>
      </c>
      <c r="C1342" s="40">
        <f>ATAN2('1.설계입력'!$C$6/('1.설계입력'!$C$8*'1.설계입력'!$C$15)-COS((1-'1.설계입력'!$C$15)*B1342),SIN((1-'1.설계입력'!$C$15)*B1342))</f>
        <v>0.6616605608307774</v>
      </c>
      <c r="D1342" s="40">
        <f>'1.설계입력'!$C$6*COS(B1342)-'1.설계입력'!$C$7*COS(B1342+C1342)-'1.설계입력'!$C$8*COS('1.설계입력'!$C$15*B1342)</f>
        <v>-5.7443838055587761</v>
      </c>
      <c r="E1342" s="40">
        <f>-'1.설계입력'!$C$6*SIN(B1342)+'1.설계입력'!$C$7*SIN(B1342+C1342)+'1.설계입력'!$C$8*SIN('1.설계입력'!$C$15*B1342)</f>
        <v>77.239144448665201</v>
      </c>
      <c r="F1342" s="40">
        <f>ATAN2(('1.설계입력'!$C$6+'1.설계입력'!$C$33)/('1.설계입력'!$C$8*'1.설계입력'!$C$15)-COS((1-'1.설계입력'!$C$15)*B1342),SIN((1-'1.설계입력'!$C$15)*B1342))</f>
        <v>0.66171987595652648</v>
      </c>
      <c r="G1342" s="40">
        <f>('1.설계입력'!$C$6+'1.설계입력'!$C$33)*COS(B1342)-('1.설계입력'!$C$7+'1.설계입력'!$C$34)*COS(B1342+F1342)-'1.설계입력'!$C$8*COS('1.설계입력'!$C$15*B1342)</f>
        <v>-5.749085590656315</v>
      </c>
      <c r="H1342" s="40">
        <f>-('1.설계입력'!$C$6+'1.설계입력'!$C$33)*SIN(B1342)+('1.설계입력'!$C$7+'1.설계입력'!$C$34)*SIN(B1342+F1342)+'1.설계입력'!$C$8*SIN('1.설계입력'!$C$15*B1342)</f>
        <v>77.229558722226315</v>
      </c>
      <c r="I1342" s="40">
        <f t="shared" si="61"/>
        <v>77.452458840680677</v>
      </c>
      <c r="J1342" s="40">
        <f t="shared" si="62"/>
        <v>77.443248418170668</v>
      </c>
      <c r="K1342" s="38" t="str">
        <f>IF(OR(A1342&gt;180,'1.설계입력'!$C$39&gt;=1),"",'1.설계입력'!$C$34*(1-SIN(B1342)/SQRT(1+'1.설계입력'!$C$39^2-2*'1.설계입력'!$C$39*COS(B1342)))-'1.설계입력'!$C$33*(1-'1.설계입력'!$C$39*COS(B1342)-SQRT(MAX(0,1-'1.설계입력'!$C$39^2))*SIN(B1342))/SQRT(1+'1.설계입력'!$C$39^2-2*'1.설계입력'!$C$39*COS(B1342)))</f>
        <v/>
      </c>
    </row>
    <row r="1343" spans="1:11" x14ac:dyDescent="0.3">
      <c r="A1343" s="40">
        <f>A1342+'1.설계입력'!$C$12</f>
        <v>267.39999999999338</v>
      </c>
      <c r="B1343" s="40">
        <f t="shared" si="60"/>
        <v>4.6670104198327218</v>
      </c>
      <c r="C1343" s="40">
        <f>ATAN2('1.설계입력'!$C$6/('1.설계입력'!$C$8*'1.설계입력'!$C$15)-COS((1-'1.설계입력'!$C$15)*B1343),SIN((1-'1.설계입력'!$C$15)*B1343))</f>
        <v>0.47283814225480886</v>
      </c>
      <c r="D1343" s="40">
        <f>'1.설계입력'!$C$6*COS(B1343)-'1.설계입력'!$C$7*COS(B1343+C1343)-'1.설계입력'!$C$8*COS('1.설계입력'!$C$15*B1343)</f>
        <v>-5.0151234092298598</v>
      </c>
      <c r="E1343" s="40">
        <f>-'1.설계입력'!$C$6*SIN(B1343)+'1.설계입력'!$C$7*SIN(B1343+C1343)+'1.설계입력'!$C$8*SIN('1.설계입력'!$C$15*B1343)</f>
        <v>76.820055766850473</v>
      </c>
      <c r="F1343" s="40">
        <f>ATAN2(('1.설계입력'!$C$6+'1.설계입력'!$C$33)/('1.설계입력'!$C$8*'1.설계입력'!$C$15)-COS((1-'1.설계입력'!$C$15)*B1343),SIN((1-'1.설계입력'!$C$15)*B1343))</f>
        <v>0.4728923620548684</v>
      </c>
      <c r="G1343" s="40">
        <f>('1.설계입력'!$C$6+'1.설계입력'!$C$33)*COS(B1343)-('1.설계입력'!$C$7+'1.설계입력'!$C$34)*COS(B1343+F1343)-'1.설계입력'!$C$8*COS('1.설계입력'!$C$15*B1343)</f>
        <v>-5.0185384844798477</v>
      </c>
      <c r="H1343" s="40">
        <f>-('1.설계입력'!$C$6+'1.설계입력'!$C$33)*SIN(B1343)+('1.설계입력'!$C$7+'1.설계입력'!$C$34)*SIN(B1343+F1343)+'1.설계입력'!$C$8*SIN('1.설계입력'!$C$15*B1343)</f>
        <v>76.809677878102605</v>
      </c>
      <c r="I1343" s="40">
        <f t="shared" si="61"/>
        <v>76.983585463602708</v>
      </c>
      <c r="J1343" s="40">
        <f t="shared" si="62"/>
        <v>76.973452204367774</v>
      </c>
      <c r="K1343" s="38" t="str">
        <f>IF(OR(A1343&gt;180,'1.설계입력'!$C$39&gt;=1),"",'1.설계입력'!$C$34*(1-SIN(B1343)/SQRT(1+'1.설계입력'!$C$39^2-2*'1.설계입력'!$C$39*COS(B1343)))-'1.설계입력'!$C$33*(1-'1.설계입력'!$C$39*COS(B1343)-SQRT(MAX(0,1-'1.설계입력'!$C$39^2))*SIN(B1343))/SQRT(1+'1.설계입력'!$C$39^2-2*'1.설계입력'!$C$39*COS(B1343)))</f>
        <v/>
      </c>
    </row>
    <row r="1344" spans="1:11" x14ac:dyDescent="0.3">
      <c r="A1344" s="40">
        <f>A1343+'1.설계입력'!$C$12</f>
        <v>267.59999999999337</v>
      </c>
      <c r="B1344" s="40">
        <f t="shared" si="60"/>
        <v>4.6705010783367102</v>
      </c>
      <c r="C1344" s="40">
        <f>ATAN2('1.설계입력'!$C$6/('1.설계입력'!$C$8*'1.설계입력'!$C$15)-COS((1-'1.설계입력'!$C$15)*B1344),SIN((1-'1.설계입력'!$C$15)*B1344))</f>
        <v>0.16871107840082497</v>
      </c>
      <c r="D1344" s="40">
        <f>'1.설계입력'!$C$6*COS(B1344)-'1.설계입력'!$C$7*COS(B1344+C1344)-'1.설계입력'!$C$8*COS('1.설계입력'!$C$15*B1344)</f>
        <v>-3.7829448168943052</v>
      </c>
      <c r="E1344" s="40">
        <f>-'1.설계입력'!$C$6*SIN(B1344)+'1.설계입력'!$C$7*SIN(B1344+C1344)+'1.설계입력'!$C$8*SIN('1.설계입력'!$C$15*B1344)</f>
        <v>76.468414367808847</v>
      </c>
      <c r="F1344" s="40">
        <f>ATAN2(('1.설계입력'!$C$6+'1.설계입력'!$C$33)/('1.설계입력'!$C$8*'1.설계입력'!$C$15)-COS((1-'1.설계입력'!$C$15)*B1344),SIN((1-'1.설계입력'!$C$15)*B1344))</f>
        <v>0.16873428108915295</v>
      </c>
      <c r="G1344" s="40">
        <f>('1.설계입력'!$C$6+'1.설계입력'!$C$33)*COS(B1344)-('1.설계입력'!$C$7+'1.설계입력'!$C$34)*COS(B1344+F1344)-'1.설계입력'!$C$8*COS('1.설계입력'!$C$15*B1344)</f>
        <v>-3.7839317701869177</v>
      </c>
      <c r="H1344" s="40">
        <f>-('1.설계입력'!$C$6+'1.설계입력'!$C$33)*SIN(B1344)+('1.설계입력'!$C$7+'1.설계입력'!$C$34)*SIN(B1344+F1344)+'1.설계입력'!$C$8*SIN('1.설계입력'!$C$15*B1344)</f>
        <v>76.457293904318107</v>
      </c>
      <c r="I1344" s="40">
        <f t="shared" si="61"/>
        <v>76.561929621807352</v>
      </c>
      <c r="J1344" s="40">
        <f t="shared" si="62"/>
        <v>76.550871522228334</v>
      </c>
      <c r="K1344" s="38" t="str">
        <f>IF(OR(A1344&gt;180,'1.설계입력'!$C$39&gt;=1),"",'1.설계입력'!$C$34*(1-SIN(B1344)/SQRT(1+'1.설계입력'!$C$39^2-2*'1.설계입력'!$C$39*COS(B1344)))-'1.설계입력'!$C$33*(1-'1.설계입력'!$C$39*COS(B1344)-SQRT(MAX(0,1-'1.설계입력'!$C$39^2))*SIN(B1344))/SQRT(1+'1.설계입력'!$C$39^2-2*'1.설계입력'!$C$39*COS(B1344)))</f>
        <v/>
      </c>
    </row>
    <row r="1345" spans="1:11" x14ac:dyDescent="0.3">
      <c r="A1345" s="40">
        <f>A1344+'1.설계입력'!$C$12</f>
        <v>267.79999999999336</v>
      </c>
      <c r="B1345" s="40">
        <f t="shared" si="60"/>
        <v>4.6739917368406987</v>
      </c>
      <c r="C1345" s="40">
        <f>ATAN2('1.설계입력'!$C$6/('1.설계입력'!$C$8*'1.설계입력'!$C$15)-COS((1-'1.설계입력'!$C$15)*B1345),SIN((1-'1.설계입력'!$C$15)*B1345))</f>
        <v>-0.19574910027770073</v>
      </c>
      <c r="D1345" s="40">
        <f>'1.설계입력'!$C$6*COS(B1345)-'1.설계입력'!$C$7*COS(B1345+C1345)-'1.설계입력'!$C$8*COS('1.설계입력'!$C$15*B1345)</f>
        <v>-2.2720987586426098</v>
      </c>
      <c r="E1345" s="40">
        <f>-'1.설계입력'!$C$6*SIN(B1345)+'1.설계입력'!$C$7*SIN(B1345+C1345)+'1.설계입력'!$C$8*SIN('1.설계입력'!$C$15*B1345)</f>
        <v>76.549621885893515</v>
      </c>
      <c r="F1345" s="40">
        <f>ATAN2(('1.설계입력'!$C$6+'1.설계입력'!$C$33)/('1.설계입력'!$C$8*'1.설계입력'!$C$15)-COS((1-'1.설계입력'!$C$15)*B1345),SIN((1-'1.설계입력'!$C$15)*B1345))</f>
        <v>-0.19577579200292361</v>
      </c>
      <c r="G1345" s="40">
        <f>('1.설계입력'!$C$6+'1.설계입력'!$C$33)*COS(B1345)-('1.설계입력'!$C$7+'1.설계입력'!$C$34)*COS(B1345+F1345)-'1.설계입력'!$C$8*COS('1.설계입력'!$C$15*B1345)</f>
        <v>-2.2699963900020643</v>
      </c>
      <c r="H1345" s="40">
        <f>-('1.설계입력'!$C$6+'1.설계입력'!$C$33)*SIN(B1345)+('1.설계입력'!$C$7+'1.설계입력'!$C$34)*SIN(B1345+F1345)+'1.설계입력'!$C$8*SIN('1.설계입력'!$C$15*B1345)</f>
        <v>76.538670020367107</v>
      </c>
      <c r="I1345" s="40">
        <f t="shared" si="61"/>
        <v>76.583333980979788</v>
      </c>
      <c r="J1345" s="40">
        <f t="shared" si="62"/>
        <v>76.572324583345818</v>
      </c>
      <c r="K1345" s="38" t="str">
        <f>IF(OR(A1345&gt;180,'1.설계입력'!$C$39&gt;=1),"",'1.설계입력'!$C$34*(1-SIN(B1345)/SQRT(1+'1.설계입력'!$C$39^2-2*'1.설계입력'!$C$39*COS(B1345)))-'1.설계입력'!$C$33*(1-'1.설계입력'!$C$39*COS(B1345)-SQRT(MAX(0,1-'1.설계입력'!$C$39^2))*SIN(B1345))/SQRT(1+'1.설계입력'!$C$39^2-2*'1.설계입력'!$C$39*COS(B1345)))</f>
        <v/>
      </c>
    </row>
    <row r="1346" spans="1:11" x14ac:dyDescent="0.3">
      <c r="A1346" s="40">
        <f>A1345+'1.설계입력'!$C$12</f>
        <v>267.99999999999335</v>
      </c>
      <c r="B1346" s="40">
        <f t="shared" si="60"/>
        <v>4.6774823953446871</v>
      </c>
      <c r="C1346" s="40">
        <f>ATAN2('1.설계입력'!$C$6/('1.설계입력'!$C$8*'1.설계입력'!$C$15)-COS((1-'1.설계입력'!$C$15)*B1346),SIN((1-'1.설계입력'!$C$15)*B1346))</f>
        <v>-0.49136204072801415</v>
      </c>
      <c r="D1346" s="40">
        <f>'1.설계입력'!$C$6*COS(B1346)-'1.설계입력'!$C$7*COS(B1346+C1346)-'1.설계입력'!$C$8*COS('1.설계입력'!$C$15*B1346)</f>
        <v>-1.1129895029062431</v>
      </c>
      <c r="E1346" s="40">
        <f>-'1.설계입력'!$C$6*SIN(B1346)+'1.설계입력'!$C$7*SIN(B1346+C1346)+'1.설계입력'!$C$8*SIN('1.설계입력'!$C$15*B1346)</f>
        <v>77.014086611127922</v>
      </c>
      <c r="F1346" s="40">
        <f>ATAN2(('1.설계입력'!$C$6+'1.설계입력'!$C$33)/('1.설계입력'!$C$8*'1.설계입력'!$C$15)-COS((1-'1.설계입력'!$C$15)*B1346),SIN((1-'1.설계입력'!$C$15)*B1346))</f>
        <v>-0.49141736840348227</v>
      </c>
      <c r="G1346" s="40">
        <f>('1.설계입력'!$C$6+'1.설계입력'!$C$33)*COS(B1346)-('1.설계입력'!$C$7+'1.설계입력'!$C$34)*COS(B1346+F1346)-'1.설계입력'!$C$8*COS('1.설계입력'!$C$15*B1346)</f>
        <v>-1.108620851437085</v>
      </c>
      <c r="H1346" s="40">
        <f>-('1.설계입력'!$C$6+'1.설계입력'!$C$33)*SIN(B1346)+('1.설계입력'!$C$7+'1.설계입력'!$C$34)*SIN(B1346+F1346)+'1.설계입력'!$C$8*SIN('1.설계입력'!$C$15*B1346)</f>
        <v>77.004095928753259</v>
      </c>
      <c r="I1346" s="40">
        <f t="shared" si="61"/>
        <v>77.022128522781628</v>
      </c>
      <c r="J1346" s="40">
        <f t="shared" si="62"/>
        <v>77.012075871235126</v>
      </c>
      <c r="K1346" s="38" t="str">
        <f>IF(OR(A1346&gt;180,'1.설계입력'!$C$39&gt;=1),"",'1.설계입력'!$C$34*(1-SIN(B1346)/SQRT(1+'1.설계입력'!$C$39^2-2*'1.설계입력'!$C$39*COS(B1346)))-'1.설계입력'!$C$33*(1-'1.설계입력'!$C$39*COS(B1346)-SQRT(MAX(0,1-'1.설계입력'!$C$39^2))*SIN(B1346))/SQRT(1+'1.설계입력'!$C$39^2-2*'1.설계입력'!$C$39*COS(B1346)))</f>
        <v/>
      </c>
    </row>
    <row r="1347" spans="1:11" x14ac:dyDescent="0.3">
      <c r="A1347" s="40">
        <f>A1346+'1.설계입력'!$C$12</f>
        <v>268.19999999999334</v>
      </c>
      <c r="B1347" s="40">
        <f t="shared" si="60"/>
        <v>4.6809730538486756</v>
      </c>
      <c r="C1347" s="40">
        <f>ATAN2('1.설계입력'!$C$6/('1.설계입력'!$C$8*'1.설계입력'!$C$15)-COS((1-'1.설계입력'!$C$15)*B1347),SIN((1-'1.설계입력'!$C$15)*B1347))</f>
        <v>-0.67202731165673024</v>
      </c>
      <c r="D1347" s="40">
        <f>'1.설계입력'!$C$6*COS(B1347)-'1.설계입력'!$C$7*COS(B1347+C1347)-'1.설계입력'!$C$8*COS('1.설계입력'!$C$15*B1347)</f>
        <v>-0.45181814804560266</v>
      </c>
      <c r="E1347" s="40">
        <f>-'1.설계입력'!$C$6*SIN(B1347)+'1.설계입력'!$C$7*SIN(B1347+C1347)+'1.설계입력'!$C$8*SIN('1.설계입력'!$C$15*B1347)</f>
        <v>77.482475324405584</v>
      </c>
      <c r="F1347" s="40">
        <f>ATAN2(('1.설계입력'!$C$6+'1.설계입력'!$C$33)/('1.설계입력'!$C$8*'1.설계입력'!$C$15)-COS((1-'1.설계입력'!$C$15)*B1347),SIN((1-'1.설계입력'!$C$15)*B1347))</f>
        <v>-0.67208643520985945</v>
      </c>
      <c r="G1347" s="40">
        <f>('1.설계입력'!$C$6+'1.설계입력'!$C$33)*COS(B1347)-('1.설계입력'!$C$7+'1.설계입력'!$C$34)*COS(B1347+F1347)-'1.설계입력'!$C$8*COS('1.설계입력'!$C$15*B1347)</f>
        <v>-0.44630059500004821</v>
      </c>
      <c r="H1347" s="40">
        <f>-('1.설계입력'!$C$6+'1.설계입력'!$C$33)*SIN(B1347)+('1.설계입력'!$C$7+'1.설계입력'!$C$34)*SIN(B1347+F1347)+'1.설계입력'!$C$8*SIN('1.설계입력'!$C$15*B1347)</f>
        <v>77.473352927203706</v>
      </c>
      <c r="I1347" s="40">
        <f t="shared" si="61"/>
        <v>77.483792641016379</v>
      </c>
      <c r="J1347" s="40">
        <f t="shared" si="62"/>
        <v>77.474638418027865</v>
      </c>
      <c r="K1347" s="38" t="str">
        <f>IF(OR(A1347&gt;180,'1.설계입력'!$C$39&gt;=1),"",'1.설계입력'!$C$34*(1-SIN(B1347)/SQRT(1+'1.설계입력'!$C$39^2-2*'1.설계입력'!$C$39*COS(B1347)))-'1.설계입력'!$C$33*(1-'1.설계입력'!$C$39*COS(B1347)-SQRT(MAX(0,1-'1.설계입력'!$C$39^2))*SIN(B1347))/SQRT(1+'1.설계입력'!$C$39^2-2*'1.설계입력'!$C$39*COS(B1347)))</f>
        <v/>
      </c>
    </row>
    <row r="1348" spans="1:11" x14ac:dyDescent="0.3">
      <c r="A1348" s="40">
        <f>A1347+'1.설계입력'!$C$12</f>
        <v>268.39999999999333</v>
      </c>
      <c r="B1348" s="40">
        <f t="shared" si="60"/>
        <v>4.684463712352664</v>
      </c>
      <c r="C1348" s="40">
        <f>ATAN2('1.설계입력'!$C$6/('1.설계입력'!$C$8*'1.설계입력'!$C$15)-COS((1-'1.설계입력'!$C$15)*B1348),SIN((1-'1.설계입력'!$C$15)*B1348))</f>
        <v>-0.76721009095630743</v>
      </c>
      <c r="D1348" s="40">
        <f>'1.설계입력'!$C$6*COS(B1348)-'1.설계입력'!$C$7*COS(B1348+C1348)-'1.설계입력'!$C$8*COS('1.설계입력'!$C$15*B1348)</f>
        <v>-9.1297542589525715E-2</v>
      </c>
      <c r="E1348" s="40">
        <f>-'1.설계입력'!$C$6*SIN(B1348)+'1.설계입력'!$C$7*SIN(B1348+C1348)+'1.설계입력'!$C$8*SIN('1.설계입력'!$C$15*B1348)</f>
        <v>77.819085836774448</v>
      </c>
      <c r="F1348" s="40">
        <f>ATAN2(('1.설계입력'!$C$6+'1.설계입력'!$C$33)/('1.설계입력'!$C$8*'1.설계입력'!$C$15)-COS((1-'1.설계입력'!$C$15)*B1348),SIN((1-'1.설계입력'!$C$15)*B1348))</f>
        <v>-0.7672638259525324</v>
      </c>
      <c r="G1348" s="40">
        <f>('1.설계입력'!$C$6+'1.설계입력'!$C$33)*COS(B1348)-('1.설계입력'!$C$7+'1.설계입력'!$C$34)*COS(B1348+F1348)-'1.설계입력'!$C$8*COS('1.설계입력'!$C$15*B1348)</f>
        <v>-8.5277123510475228E-2</v>
      </c>
      <c r="H1348" s="40">
        <f>-('1.설계입력'!$C$6+'1.설계입력'!$C$33)*SIN(B1348)+('1.설계입력'!$C$7+'1.설계입력'!$C$34)*SIN(B1348+F1348)+'1.설계입력'!$C$8*SIN('1.설계입력'!$C$15*B1348)</f>
        <v>77.81046929456015</v>
      </c>
      <c r="I1348" s="40">
        <f t="shared" si="61"/>
        <v>77.819139392006591</v>
      </c>
      <c r="J1348" s="40">
        <f t="shared" si="62"/>
        <v>77.81051602468321</v>
      </c>
      <c r="K1348" s="38" t="str">
        <f>IF(OR(A1348&gt;180,'1.설계입력'!$C$39&gt;=1),"",'1.설계입력'!$C$34*(1-SIN(B1348)/SQRT(1+'1.설계입력'!$C$39^2-2*'1.설계입력'!$C$39*COS(B1348)))-'1.설계입력'!$C$33*(1-'1.설계입력'!$C$39*COS(B1348)-SQRT(MAX(0,1-'1.설계입력'!$C$39^2))*SIN(B1348))/SQRT(1+'1.설계입력'!$C$39^2-2*'1.설계입력'!$C$39*COS(B1348)))</f>
        <v/>
      </c>
    </row>
    <row r="1349" spans="1:11" x14ac:dyDescent="0.3">
      <c r="A1349" s="40">
        <f>A1348+'1.설계입력'!$C$12</f>
        <v>268.59999999999332</v>
      </c>
      <c r="B1349" s="40">
        <f t="shared" si="60"/>
        <v>4.6879543708566525</v>
      </c>
      <c r="C1349" s="40">
        <f>ATAN2('1.설계입력'!$C$6/('1.설계입력'!$C$8*'1.설계입력'!$C$15)-COS((1-'1.설계입력'!$C$15)*B1349),SIN((1-'1.설계입력'!$C$15)*B1349))</f>
        <v>-0.80992614898186743</v>
      </c>
      <c r="D1349" s="40">
        <f>'1.설계입력'!$C$6*COS(B1349)-'1.설계입력'!$C$7*COS(B1349+C1349)-'1.설계입력'!$C$8*COS('1.설계입력'!$C$15*B1349)</f>
        <v>0.12124129898003422</v>
      </c>
      <c r="E1349" s="40">
        <f>-'1.설계입력'!$C$6*SIN(B1349)+'1.설계입력'!$C$7*SIN(B1349+C1349)+'1.설계입력'!$C$8*SIN('1.설계입력'!$C$15*B1349)</f>
        <v>78.045360151289216</v>
      </c>
      <c r="F1349" s="40">
        <f>ATAN2(('1.설계입력'!$C$6+'1.설계입력'!$C$33)/('1.설계입력'!$C$8*'1.설계입력'!$C$15)-COS((1-'1.설계입력'!$C$15)*B1349),SIN((1-'1.설계입력'!$C$15)*B1349))</f>
        <v>-0.80997293336358833</v>
      </c>
      <c r="G1349" s="40">
        <f>('1.설계입력'!$C$6+'1.설계입력'!$C$33)*COS(B1349)-('1.설계입력'!$C$7+'1.설계입력'!$C$34)*COS(B1349+F1349)-'1.설계입력'!$C$8*COS('1.설계입력'!$C$15*B1349)</f>
        <v>0.12744400644848919</v>
      </c>
      <c r="H1349" s="40">
        <f>-('1.설계입력'!$C$6+'1.설계입력'!$C$33)*SIN(B1349)+('1.설계입력'!$C$7+'1.설계입력'!$C$34)*SIN(B1349+F1349)+'1.설계입력'!$C$8*SIN('1.설계입력'!$C$15*B1349)</f>
        <v>78.036959628003288</v>
      </c>
      <c r="I1349" s="40">
        <f t="shared" si="61"/>
        <v>78.045454323727412</v>
      </c>
      <c r="J1349" s="40">
        <f t="shared" si="62"/>
        <v>78.037063693846108</v>
      </c>
      <c r="K1349" s="38" t="str">
        <f>IF(OR(A1349&gt;180,'1.설계입력'!$C$39&gt;=1),"",'1.설계입력'!$C$34*(1-SIN(B1349)/SQRT(1+'1.설계입력'!$C$39^2-2*'1.설계입력'!$C$39*COS(B1349)))-'1.설계입력'!$C$33*(1-'1.설계입력'!$C$39*COS(B1349)-SQRT(MAX(0,1-'1.설계입력'!$C$39^2))*SIN(B1349))/SQRT(1+'1.설계입력'!$C$39^2-2*'1.설계입력'!$C$39*COS(B1349)))</f>
        <v/>
      </c>
    </row>
    <row r="1350" spans="1:11" x14ac:dyDescent="0.3">
      <c r="A1350" s="40">
        <f>A1349+'1.설계입력'!$C$12</f>
        <v>268.7999999999933</v>
      </c>
      <c r="B1350" s="40">
        <f t="shared" ref="B1350:B1413" si="63">RADIANS(A1350)</f>
        <v>4.6914450293606409</v>
      </c>
      <c r="C1350" s="40">
        <f>ATAN2('1.설계입력'!$C$6/('1.설계입력'!$C$8*'1.설계입력'!$C$15)-COS((1-'1.설계입력'!$C$15)*B1350),SIN((1-'1.설계입력'!$C$15)*B1350))</f>
        <v>-0.82081480079239633</v>
      </c>
      <c r="D1350" s="40">
        <f>'1.설계입력'!$C$6*COS(B1350)-'1.설계입력'!$C$7*COS(B1350+C1350)-'1.설계입력'!$C$8*COS('1.설계입력'!$C$15*B1350)</f>
        <v>0.26228913664334463</v>
      </c>
      <c r="E1350" s="40">
        <f>-'1.설계입력'!$C$6*SIN(B1350)+'1.설계입력'!$C$7*SIN(B1350+C1350)+'1.설계입력'!$C$8*SIN('1.설계입력'!$C$15*B1350)</f>
        <v>78.202690199611425</v>
      </c>
      <c r="F1350" s="40">
        <f>ATAN2(('1.설계입력'!$C$6+'1.설계입력'!$C$33)/('1.설계입력'!$C$8*'1.설계입력'!$C$15)-COS((1-'1.설계입력'!$C$15)*B1350),SIN((1-'1.설계입력'!$C$15)*B1350))</f>
        <v>-0.82085521102012104</v>
      </c>
      <c r="G1350" s="40">
        <f>('1.설계입력'!$C$6+'1.설계입력'!$C$33)*COS(B1350)-('1.설계입력'!$C$7+'1.설계입력'!$C$34)*COS(B1350+F1350)-'1.설계입력'!$C$8*COS('1.설계입력'!$C$15*B1350)</f>
        <v>0.268503059731793</v>
      </c>
      <c r="H1350" s="40">
        <f>-('1.설계입력'!$C$6+'1.설계입력'!$C$33)*SIN(B1350)+('1.설계입력'!$C$7+'1.설계입력'!$C$34)*SIN(B1350+F1350)+'1.설계입력'!$C$8*SIN('1.설계입력'!$C$15*B1350)</f>
        <v>78.194315847722308</v>
      </c>
      <c r="I1350" s="40">
        <f t="shared" ref="I1350:I1413" si="64">SQRT(D1350^2+E1350^2)</f>
        <v>78.203130052751732</v>
      </c>
      <c r="J1350" s="40">
        <f t="shared" ref="J1350:J1413" si="65">SQRT(G1350^2+H1350^2)</f>
        <v>78.194776838267416</v>
      </c>
      <c r="K1350" s="38" t="str">
        <f>IF(OR(A1350&gt;180,'1.설계입력'!$C$39&gt;=1),"",'1.설계입력'!$C$34*(1-SIN(B1350)/SQRT(1+'1.설계입력'!$C$39^2-2*'1.설계입력'!$C$39*COS(B1350)))-'1.설계입력'!$C$33*(1-'1.설계입력'!$C$39*COS(B1350)-SQRT(MAX(0,1-'1.설계입력'!$C$39^2))*SIN(B1350))/SQRT(1+'1.설계입력'!$C$39^2-2*'1.설계입력'!$C$39*COS(B1350)))</f>
        <v/>
      </c>
    </row>
    <row r="1351" spans="1:11" x14ac:dyDescent="0.3">
      <c r="A1351" s="40">
        <f>A1350+'1.설계입력'!$C$12</f>
        <v>268.99999999999329</v>
      </c>
      <c r="B1351" s="40">
        <f t="shared" si="63"/>
        <v>4.6949356878646293</v>
      </c>
      <c r="C1351" s="40">
        <f>ATAN2('1.설계입력'!$C$6/('1.설계입력'!$C$8*'1.설계입력'!$C$15)-COS((1-'1.설계입력'!$C$15)*B1351),SIN((1-'1.설계입력'!$C$15)*B1351))</f>
        <v>-0.81167134380933059</v>
      </c>
      <c r="D1351" s="40">
        <f>'1.설계입력'!$C$6*COS(B1351)-'1.설계입력'!$C$7*COS(B1351+C1351)-'1.설계입력'!$C$8*COS('1.설계입력'!$C$15*B1351)</f>
        <v>0.36919731441386583</v>
      </c>
      <c r="E1351" s="40">
        <f>-'1.설계입력'!$C$6*SIN(B1351)+'1.설계입력'!$C$7*SIN(B1351+C1351)+'1.설계입력'!$C$8*SIN('1.설계입력'!$C$15*B1351)</f>
        <v>78.321243749341562</v>
      </c>
      <c r="F1351" s="40">
        <f>ATAN2(('1.설계입력'!$C$6+'1.설계입력'!$C$33)/('1.설계입력'!$C$8*'1.설계입력'!$C$15)-COS((1-'1.설계입력'!$C$15)*B1351),SIN((1-'1.설계입력'!$C$15)*B1351))</f>
        <v>-0.81170633216460841</v>
      </c>
      <c r="G1351" s="40">
        <f>('1.설계입력'!$C$6+'1.설계입력'!$C$33)*COS(B1351)-('1.설계입력'!$C$7+'1.설계입력'!$C$34)*COS(B1351+F1351)-'1.설계입력'!$C$8*COS('1.설계입력'!$C$15*B1351)</f>
        <v>0.37531860469738865</v>
      </c>
      <c r="H1351" s="40">
        <f>-('1.설계입력'!$C$6+'1.설계입력'!$C$33)*SIN(B1351)+('1.설계입력'!$C$7+'1.설계입력'!$C$34)*SIN(B1351+F1351)+'1.설계입력'!$C$8*SIN('1.설계입력'!$C$15*B1351)</f>
        <v>78.312775901587642</v>
      </c>
      <c r="I1351" s="40">
        <f t="shared" si="64"/>
        <v>78.322113921297756</v>
      </c>
      <c r="J1351" s="40">
        <f t="shared" si="65"/>
        <v>78.313675264715542</v>
      </c>
      <c r="K1351" s="38" t="str">
        <f>IF(OR(A1351&gt;180,'1.설계입력'!$C$39&gt;=1),"",'1.설계입력'!$C$34*(1-SIN(B1351)/SQRT(1+'1.설계입력'!$C$39^2-2*'1.설계입력'!$C$39*COS(B1351)))-'1.설계입력'!$C$33*(1-'1.설계입력'!$C$39*COS(B1351)-SQRT(MAX(0,1-'1.설계입력'!$C$39^2))*SIN(B1351))/SQRT(1+'1.설계입력'!$C$39^2-2*'1.설계입력'!$C$39*COS(B1351)))</f>
        <v/>
      </c>
    </row>
    <row r="1352" spans="1:11" x14ac:dyDescent="0.3">
      <c r="A1352" s="40">
        <f>A1351+'1.설계입력'!$C$12</f>
        <v>269.19999999999328</v>
      </c>
      <c r="B1352" s="40">
        <f t="shared" si="63"/>
        <v>4.6984263463686178</v>
      </c>
      <c r="C1352" s="40">
        <f>ATAN2('1.설계입력'!$C$6/('1.설계입력'!$C$8*'1.설계입력'!$C$15)-COS((1-'1.설계입력'!$C$15)*B1352),SIN((1-'1.설계입력'!$C$15)*B1352))</f>
        <v>-0.78934449702437448</v>
      </c>
      <c r="D1352" s="40">
        <f>'1.설계입력'!$C$6*COS(B1352)-'1.설계입력'!$C$7*COS(B1352+C1352)-'1.설계입력'!$C$8*COS('1.설계입력'!$C$15*B1352)</f>
        <v>0.46165412468694145</v>
      </c>
      <c r="E1352" s="40">
        <f>-'1.설계입력'!$C$6*SIN(B1352)+'1.설계입력'!$C$7*SIN(B1352+C1352)+'1.설계입력'!$C$8*SIN('1.설계입력'!$C$15*B1352)</f>
        <v>78.419806020011265</v>
      </c>
      <c r="F1352" s="40">
        <f>ATAN2(('1.설계입력'!$C$6+'1.설계입력'!$C$33)/('1.설계입력'!$C$8*'1.설계입력'!$C$15)-COS((1-'1.설계입력'!$C$15)*B1352),SIN((1-'1.설계입력'!$C$15)*B1352))</f>
        <v>-0.78937493787009283</v>
      </c>
      <c r="G1352" s="40">
        <f>('1.설계입력'!$C$6+'1.설계입력'!$C$33)*COS(B1352)-('1.설계입력'!$C$7+'1.설계입력'!$C$34)*COS(B1352+F1352)-'1.설계입력'!$C$8*COS('1.설계입력'!$C$15*B1352)</f>
        <v>0.46761133708321245</v>
      </c>
      <c r="H1352" s="40">
        <f>-('1.설계입력'!$C$6+'1.설계입력'!$C$33)*SIN(B1352)+('1.설계입력'!$C$7+'1.설계입력'!$C$34)*SIN(B1352+F1352)+'1.설계입력'!$C$8*SIN('1.설계입력'!$C$15*B1352)</f>
        <v>78.411170051547614</v>
      </c>
      <c r="I1352" s="40">
        <f t="shared" si="64"/>
        <v>78.421164877519104</v>
      </c>
      <c r="J1352" s="40">
        <f t="shared" si="65"/>
        <v>78.412564358113471</v>
      </c>
      <c r="K1352" s="38" t="str">
        <f>IF(OR(A1352&gt;180,'1.설계입력'!$C$39&gt;=1),"",'1.설계입력'!$C$34*(1-SIN(B1352)/SQRT(1+'1.설계입력'!$C$39^2-2*'1.설계입력'!$C$39*COS(B1352)))-'1.설계입력'!$C$33*(1-'1.설계입력'!$C$39*COS(B1352)-SQRT(MAX(0,1-'1.설계입력'!$C$39^2))*SIN(B1352))/SQRT(1+'1.설계입력'!$C$39^2-2*'1.설계입력'!$C$39*COS(B1352)))</f>
        <v/>
      </c>
    </row>
    <row r="1353" spans="1:11" x14ac:dyDescent="0.3">
      <c r="A1353" s="40">
        <f>A1352+'1.설계입력'!$C$12</f>
        <v>269.39999999999327</v>
      </c>
      <c r="B1353" s="40">
        <f t="shared" si="63"/>
        <v>4.7019170048726062</v>
      </c>
      <c r="C1353" s="40">
        <f>ATAN2('1.설계입력'!$C$6/('1.설계입력'!$C$8*'1.설계입력'!$C$15)-COS((1-'1.설계입력'!$C$15)*B1353),SIN((1-'1.설계입력'!$C$15)*B1353))</f>
        <v>-0.75797703008069961</v>
      </c>
      <c r="D1353" s="40">
        <f>'1.설계입력'!$C$6*COS(B1353)-'1.설계입력'!$C$7*COS(B1353+C1353)-'1.설계입력'!$C$8*COS('1.설계입력'!$C$15*B1353)</f>
        <v>0.551079221336086</v>
      </c>
      <c r="E1353" s="40">
        <f>-'1.설계입력'!$C$6*SIN(B1353)+'1.설계입력'!$C$7*SIN(B1353+C1353)+'1.설계입력'!$C$8*SIN('1.설계입력'!$C$15*B1353)</f>
        <v>78.509440893180042</v>
      </c>
      <c r="F1353" s="40">
        <f>ATAN2(('1.설계입력'!$C$6+'1.설계입력'!$C$33)/('1.설계입력'!$C$8*'1.설계입력'!$C$15)-COS((1-'1.설계입력'!$C$15)*B1353),SIN((1-'1.설계입력'!$C$15)*B1353))</f>
        <v>-0.75800363628944856</v>
      </c>
      <c r="G1353" s="40">
        <f>('1.설계입력'!$C$6+'1.설계입력'!$C$33)*COS(B1353)-('1.설계입력'!$C$7+'1.설계입력'!$C$34)*COS(B1353+F1353)-'1.설계입력'!$C$8*COS('1.설계입력'!$C$15*B1353)</f>
        <v>0.55681802567350114</v>
      </c>
      <c r="H1353" s="40">
        <f>-('1.설계입력'!$C$6+'1.설계입력'!$C$33)*SIN(B1353)+('1.설계입력'!$C$7+'1.설계입력'!$C$34)*SIN(B1353+F1353)+'1.설계입력'!$C$8*SIN('1.설계입력'!$C$15*B1353)</f>
        <v>78.500591366435458</v>
      </c>
      <c r="I1353" s="40">
        <f t="shared" si="64"/>
        <v>78.511374957186419</v>
      </c>
      <c r="J1353" s="40">
        <f t="shared" si="65"/>
        <v>78.502566144004476</v>
      </c>
      <c r="K1353" s="38" t="str">
        <f>IF(OR(A1353&gt;180,'1.설계입력'!$C$39&gt;=1),"",'1.설계입력'!$C$34*(1-SIN(B1353)/SQRT(1+'1.설계입력'!$C$39^2-2*'1.설계입력'!$C$39*COS(B1353)))-'1.설계입력'!$C$33*(1-'1.설계입력'!$C$39*COS(B1353)-SQRT(MAX(0,1-'1.설계입력'!$C$39^2))*SIN(B1353))/SQRT(1+'1.설계입력'!$C$39^2-2*'1.설계입력'!$C$39*COS(B1353)))</f>
        <v/>
      </c>
    </row>
    <row r="1354" spans="1:11" x14ac:dyDescent="0.3">
      <c r="A1354" s="40">
        <f>A1353+'1.설계입력'!$C$12</f>
        <v>269.59999999999326</v>
      </c>
      <c r="B1354" s="40">
        <f t="shared" si="63"/>
        <v>4.7054076633765947</v>
      </c>
      <c r="C1354" s="40">
        <f>ATAN2('1.설계입력'!$C$6/('1.설계입력'!$C$8*'1.설계입력'!$C$15)-COS((1-'1.설계입력'!$C$15)*B1354),SIN((1-'1.설계입력'!$C$15)*B1354))</f>
        <v>-0.72018741047391499</v>
      </c>
      <c r="D1354" s="40">
        <f>'1.설계입력'!$C$6*COS(B1354)-'1.설계입력'!$C$7*COS(B1354+C1354)-'1.설계입력'!$C$8*COS('1.설계입력'!$C$15*B1354)</f>
        <v>0.64467280433009733</v>
      </c>
      <c r="E1354" s="40">
        <f>-'1.설계입력'!$C$6*SIN(B1354)+'1.설계입력'!$C$7*SIN(B1354+C1354)+'1.설계입력'!$C$8*SIN('1.설계입력'!$C$15*B1354)</f>
        <v>78.596307672921057</v>
      </c>
      <c r="F1354" s="40">
        <f>ATAN2(('1.설계입력'!$C$6+'1.설계입력'!$C$33)/('1.설계입력'!$C$8*'1.설계입력'!$C$15)-COS((1-'1.설계입력'!$C$15)*B1354),SIN((1-'1.설계입력'!$C$15)*B1354))</f>
        <v>-0.72021074428384024</v>
      </c>
      <c r="G1354" s="40">
        <f>('1.설계입력'!$C$6+'1.설계입력'!$C$33)*COS(B1354)-('1.설계입력'!$C$7+'1.설계입력'!$C$34)*COS(B1354+F1354)-'1.설계입력'!$C$8*COS('1.설계입력'!$C$15*B1354)</f>
        <v>0.65014884678924045</v>
      </c>
      <c r="H1354" s="40">
        <f>-('1.설계입력'!$C$6+'1.설계입력'!$C$33)*SIN(B1354)+('1.설계입력'!$C$7+'1.설계입력'!$C$34)*SIN(B1354+F1354)+'1.설계입력'!$C$8*SIN('1.설계입력'!$C$15*B1354)</f>
        <v>78.58721873822013</v>
      </c>
      <c r="I1354" s="40">
        <f t="shared" si="64"/>
        <v>78.598951537797959</v>
      </c>
      <c r="J1354" s="40">
        <f t="shared" si="65"/>
        <v>78.589908019616871</v>
      </c>
      <c r="K1354" s="38" t="str">
        <f>IF(OR(A1354&gt;180,'1.설계입력'!$C$39&gt;=1),"",'1.설계입력'!$C$34*(1-SIN(B1354)/SQRT(1+'1.설계입력'!$C$39^2-2*'1.설계입력'!$C$39*COS(B1354)))-'1.설계입력'!$C$33*(1-'1.설계입력'!$C$39*COS(B1354)-SQRT(MAX(0,1-'1.설계입력'!$C$39^2))*SIN(B1354))/SQRT(1+'1.설계입력'!$C$39^2-2*'1.설계입력'!$C$39*COS(B1354)))</f>
        <v/>
      </c>
    </row>
    <row r="1355" spans="1:11" x14ac:dyDescent="0.3">
      <c r="A1355" s="40">
        <f>A1354+'1.설계입력'!$C$12</f>
        <v>269.79999999999325</v>
      </c>
      <c r="B1355" s="40">
        <f t="shared" si="63"/>
        <v>4.7088983218805831</v>
      </c>
      <c r="C1355" s="40">
        <f>ATAN2('1.설계입력'!$C$6/('1.설계입력'!$C$8*'1.설계입력'!$C$15)-COS((1-'1.설계입력'!$C$15)*B1355),SIN((1-'1.설계입력'!$C$15)*B1355))</f>
        <v>-0.67769957902201616</v>
      </c>
      <c r="D1355" s="40">
        <f>'1.설계입력'!$C$6*COS(B1355)-'1.설계입력'!$C$7*COS(B1355+C1355)-'1.설계입력'!$C$8*COS('1.설계입력'!$C$15*B1355)</f>
        <v>0.74723677936859167</v>
      </c>
      <c r="E1355" s="40">
        <f>-'1.설계입력'!$C$6*SIN(B1355)+'1.설계입력'!$C$7*SIN(B1355+C1355)+'1.설계입력'!$C$8*SIN('1.설계입력'!$C$15*B1355)</f>
        <v>78.683445756114921</v>
      </c>
      <c r="F1355" s="40">
        <f>ATAN2(('1.설계입력'!$C$6+'1.설계입력'!$C$33)/('1.설계입력'!$C$8*'1.설계입력'!$C$15)-COS((1-'1.설계입력'!$C$15)*B1355),SIN((1-'1.설계입력'!$C$15)*B1355))</f>
        <v>-0.67772008106212722</v>
      </c>
      <c r="G1355" s="40">
        <f>('1.설계입력'!$C$6+'1.설계입력'!$C$33)*COS(B1355)-('1.설계입력'!$C$7+'1.설계입력'!$C$34)*COS(B1355+F1355)-'1.설계입력'!$C$8*COS('1.설계입력'!$C$15*B1355)</f>
        <v>0.75241215115362725</v>
      </c>
      <c r="H1355" s="40">
        <f>-('1.설계입력'!$C$6+'1.설계입력'!$C$33)*SIN(B1355)+('1.설계입력'!$C$7+'1.설계입력'!$C$34)*SIN(B1355+F1355)+'1.설계입력'!$C$8*SIN('1.설계입력'!$C$15*B1355)</f>
        <v>78.674105249835293</v>
      </c>
      <c r="I1355" s="40">
        <f t="shared" si="64"/>
        <v>78.686993835448561</v>
      </c>
      <c r="J1355" s="40">
        <f t="shared" si="65"/>
        <v>78.677703073408068</v>
      </c>
      <c r="K1355" s="38" t="str">
        <f>IF(OR(A1355&gt;180,'1.설계입력'!$C$39&gt;=1),"",'1.설계입력'!$C$34*(1-SIN(B1355)/SQRT(1+'1.설계입력'!$C$39^2-2*'1.설계입력'!$C$39*COS(B1355)))-'1.설계입력'!$C$33*(1-'1.설계입력'!$C$39*COS(B1355)-SQRT(MAX(0,1-'1.설계입력'!$C$39^2))*SIN(B1355))/SQRT(1+'1.설계입력'!$C$39^2-2*'1.설계입력'!$C$39*COS(B1355)))</f>
        <v/>
      </c>
    </row>
    <row r="1356" spans="1:11" x14ac:dyDescent="0.3">
      <c r="A1356" s="40">
        <f>A1355+'1.설계입력'!$C$12</f>
        <v>269.99999999999324</v>
      </c>
      <c r="B1356" s="40">
        <f t="shared" si="63"/>
        <v>4.7123889803845715</v>
      </c>
      <c r="C1356" s="40">
        <f>ATAN2('1.설계입력'!$C$6/('1.설계입력'!$C$8*'1.설계입력'!$C$15)-COS((1-'1.설계입력'!$C$15)*B1356),SIN((1-'1.설계입력'!$C$15)*B1356))</f>
        <v>-0.63169063434057671</v>
      </c>
      <c r="D1356" s="40">
        <f>'1.설계입력'!$C$6*COS(B1356)-'1.설계입력'!$C$7*COS(B1356+C1356)-'1.설계입력'!$C$8*COS('1.설계입력'!$C$15*B1356)</f>
        <v>0.86203997753273676</v>
      </c>
      <c r="E1356" s="40">
        <f>-'1.설계입력'!$C$6*SIN(B1356)+'1.설계입력'!$C$7*SIN(B1356+C1356)+'1.설계입력'!$C$8*SIN('1.설계입력'!$C$15*B1356)</f>
        <v>78.771878697363249</v>
      </c>
      <c r="F1356" s="40">
        <f>ATAN2(('1.설계입력'!$C$6+'1.설계입력'!$C$33)/('1.설계입력'!$C$8*'1.설계입력'!$C$15)-COS((1-'1.설계입력'!$C$15)*B1356),SIN((1-'1.설계입력'!$C$15)*B1356))</f>
        <v>-0.63170865105694929</v>
      </c>
      <c r="G1356" s="40">
        <f>('1.설계입력'!$C$6+'1.설계입력'!$C$33)*COS(B1356)-('1.설계입력'!$C$7+'1.설계입력'!$C$34)*COS(B1356+F1356)-'1.설계입력'!$C$8*COS('1.설계입력'!$C$15*B1356)</f>
        <v>0.86688138602334242</v>
      </c>
      <c r="H1356" s="40">
        <f>-('1.설계입력'!$C$6+'1.설계입력'!$C$33)*SIN(B1356)+('1.설계입력'!$C$7+'1.설계입력'!$C$34)*SIN(B1356+F1356)+'1.설계입력'!$C$8*SIN('1.설계입력'!$C$15*B1356)</f>
        <v>78.762284394631052</v>
      </c>
      <c r="I1356" s="40">
        <f t="shared" si="64"/>
        <v>78.776595422974296</v>
      </c>
      <c r="J1356" s="40">
        <f t="shared" si="65"/>
        <v>78.767054828768195</v>
      </c>
      <c r="K1356" s="38" t="str">
        <f>IF(OR(A1356&gt;180,'1.설계입력'!$C$39&gt;=1),"",'1.설계입력'!$C$34*(1-SIN(B1356)/SQRT(1+'1.설계입력'!$C$39^2-2*'1.설계입력'!$C$39*COS(B1356)))-'1.설계입력'!$C$33*(1-'1.설계입력'!$C$39*COS(B1356)-SQRT(MAX(0,1-'1.설계입력'!$C$39^2))*SIN(B1356))/SQRT(1+'1.설계입력'!$C$39^2-2*'1.설계입력'!$C$39*COS(B1356)))</f>
        <v/>
      </c>
    </row>
    <row r="1357" spans="1:11" x14ac:dyDescent="0.3">
      <c r="A1357" s="40">
        <f>A1356+'1.설계입력'!$C$12</f>
        <v>270.19999999999322</v>
      </c>
      <c r="B1357" s="40">
        <f t="shared" si="63"/>
        <v>4.71587963888856</v>
      </c>
      <c r="C1357" s="40">
        <f>ATAN2('1.설계입력'!$C$6/('1.설계입력'!$C$8*'1.설계입력'!$C$15)-COS((1-'1.설계입력'!$C$15)*B1357),SIN((1-'1.설계입력'!$C$15)*B1357))</f>
        <v>-0.58299066384179554</v>
      </c>
      <c r="D1357" s="40">
        <f>'1.설계입력'!$C$6*COS(B1357)-'1.설계입력'!$C$7*COS(B1357+C1357)-'1.설계입력'!$C$8*COS('1.설계입력'!$C$15*B1357)</f>
        <v>0.99125387871643511</v>
      </c>
      <c r="E1357" s="40">
        <f>-'1.설계입력'!$C$6*SIN(B1357)+'1.설계입력'!$C$7*SIN(B1357+C1357)+'1.설계입력'!$C$8*SIN('1.설계입력'!$C$15*B1357)</f>
        <v>78.861313861806863</v>
      </c>
      <c r="F1357" s="40">
        <f>ATAN2(('1.설계입력'!$C$6+'1.설계입력'!$C$33)/('1.설계입력'!$C$8*'1.설계입력'!$C$15)-COS((1-'1.설계입력'!$C$15)*B1357),SIN((1-'1.설계입력'!$C$15)*B1357))</f>
        <v>-0.58300646936037714</v>
      </c>
      <c r="G1357" s="40">
        <f>('1.설계입력'!$C$6+'1.설계입력'!$C$33)*COS(B1357)-('1.설계입력'!$C$7+'1.설계입력'!$C$34)*COS(B1357+F1357)-'1.설계입력'!$C$8*COS('1.설계입력'!$C$15*B1357)</f>
        <v>0.99573167046220101</v>
      </c>
      <c r="H1357" s="40">
        <f>-('1.설계입력'!$C$6+'1.설계입력'!$C$33)*SIN(B1357)+('1.설계입력'!$C$7+'1.설계입력'!$C$34)*SIN(B1357+F1357)+'1.설계입력'!$C$8*SIN('1.설계입력'!$C$15*B1357)</f>
        <v>78.85147100589306</v>
      </c>
      <c r="I1357" s="40">
        <f t="shared" si="64"/>
        <v>78.867543440013918</v>
      </c>
      <c r="J1357" s="40">
        <f t="shared" si="65"/>
        <v>78.857757775330867</v>
      </c>
      <c r="K1357" s="38" t="str">
        <f>IF(OR(A1357&gt;180,'1.설계입력'!$C$39&gt;=1),"",'1.설계입력'!$C$34*(1-SIN(B1357)/SQRT(1+'1.설계입력'!$C$39^2-2*'1.설계입력'!$C$39*COS(B1357)))-'1.설계입력'!$C$33*(1-'1.설계입력'!$C$39*COS(B1357)-SQRT(MAX(0,1-'1.설계입력'!$C$39^2))*SIN(B1357))/SQRT(1+'1.설계입력'!$C$39^2-2*'1.설계입력'!$C$39*COS(B1357)))</f>
        <v/>
      </c>
    </row>
    <row r="1358" spans="1:11" x14ac:dyDescent="0.3">
      <c r="A1358" s="40">
        <f>A1357+'1.설계입력'!$C$12</f>
        <v>270.39999999999321</v>
      </c>
      <c r="B1358" s="40">
        <f t="shared" si="63"/>
        <v>4.7193702973925484</v>
      </c>
      <c r="C1358" s="40">
        <f>ATAN2('1.설계입력'!$C$6/('1.설계입력'!$C$8*'1.설계입력'!$C$15)-COS((1-'1.설계입력'!$C$15)*B1358),SIN((1-'1.설계입력'!$C$15)*B1358))</f>
        <v>-0.53220217593796948</v>
      </c>
      <c r="D1358" s="40">
        <f>'1.설계입력'!$C$6*COS(B1358)-'1.설계입력'!$C$7*COS(B1358+C1358)-'1.설계입력'!$C$8*COS('1.설계입력'!$C$15*B1358)</f>
        <v>1.1361872283854235</v>
      </c>
      <c r="E1358" s="40">
        <f>-'1.설계입력'!$C$6*SIN(B1358)+'1.설계입력'!$C$7*SIN(B1358+C1358)+'1.설계입력'!$C$8*SIN('1.설계입력'!$C$15*B1358)</f>
        <v>78.950604858956297</v>
      </c>
      <c r="F1358" s="40">
        <f>ATAN2(('1.설계입력'!$C$6+'1.설계입력'!$C$33)/('1.설계입력'!$C$8*'1.설계입력'!$C$15)-COS((1-'1.설계입력'!$C$15)*B1358),SIN((1-'1.설계입력'!$C$15)*B1358))</f>
        <v>-0.53221598858847385</v>
      </c>
      <c r="G1358" s="40">
        <f>('1.설계입력'!$C$6+'1.설계입력'!$C$33)*COS(B1358)-('1.설계입력'!$C$7+'1.설계입력'!$C$34)*COS(B1358+F1358)-'1.설계입력'!$C$8*COS('1.설계입력'!$C$15*B1358)</f>
        <v>1.1402748599068699</v>
      </c>
      <c r="H1358" s="40">
        <f>-('1.설계입력'!$C$6+'1.설계입력'!$C$33)*SIN(B1358)+('1.설계입력'!$C$7+'1.설계입력'!$C$34)*SIN(B1358+F1358)+'1.설계입력'!$C$8*SIN('1.설계입력'!$C$15*B1358)</f>
        <v>78.940524466701504</v>
      </c>
      <c r="I1358" s="40">
        <f t="shared" si="64"/>
        <v>78.958779936198354</v>
      </c>
      <c r="J1358" s="40">
        <f t="shared" si="65"/>
        <v>78.948759520552542</v>
      </c>
      <c r="K1358" s="38" t="str">
        <f>IF(OR(A1358&gt;180,'1.설계입력'!$C$39&gt;=1),"",'1.설계입력'!$C$34*(1-SIN(B1358)/SQRT(1+'1.설계입력'!$C$39^2-2*'1.설계입력'!$C$39*COS(B1358)))-'1.설계입력'!$C$33*(1-'1.설계입력'!$C$39*COS(B1358)-SQRT(MAX(0,1-'1.설계입력'!$C$39^2))*SIN(B1358))/SQRT(1+'1.설계입력'!$C$39^2-2*'1.설계입력'!$C$39*COS(B1358)))</f>
        <v/>
      </c>
    </row>
    <row r="1359" spans="1:11" x14ac:dyDescent="0.3">
      <c r="A1359" s="40">
        <f>A1358+'1.설계입력'!$C$12</f>
        <v>270.5999999999932</v>
      </c>
      <c r="B1359" s="40">
        <f t="shared" si="63"/>
        <v>4.7228609558965369</v>
      </c>
      <c r="C1359" s="40">
        <f>ATAN2('1.설계입력'!$C$6/('1.설계입력'!$C$8*'1.설계입력'!$C$15)-COS((1-'1.설계입력'!$C$15)*B1359),SIN((1-'1.설계입력'!$C$15)*B1359))</f>
        <v>-0.47977410855308555</v>
      </c>
      <c r="D1359" s="40">
        <f>'1.설계입력'!$C$6*COS(B1359)-'1.설계입력'!$C$7*COS(B1359+C1359)-'1.설계입력'!$C$8*COS('1.설계입력'!$C$15*B1359)</f>
        <v>1.297424027446842</v>
      </c>
      <c r="E1359" s="40">
        <f>-'1.설계입력'!$C$6*SIN(B1359)+'1.설계입력'!$C$7*SIN(B1359+C1359)+'1.설계입력'!$C$8*SIN('1.설계입력'!$C$15*B1359)</f>
        <v>79.038072350822091</v>
      </c>
      <c r="F1359" s="40">
        <f>ATAN2(('1.설계입력'!$C$6+'1.설계입력'!$C$33)/('1.설계입력'!$C$8*'1.설계입력'!$C$15)-COS((1-'1.설계입력'!$C$15)*B1359),SIN((1-'1.설계입력'!$C$15)*B1359))</f>
        <v>-0.4797861031478125</v>
      </c>
      <c r="G1359" s="40">
        <f>('1.설계입력'!$C$6+'1.설계입력'!$C$33)*COS(B1359)-('1.설계입력'!$C$7+'1.설계입력'!$C$34)*COS(B1359+F1359)-'1.설계입력'!$C$8*COS('1.설계입력'!$C$15*B1359)</f>
        <v>1.301097780822976</v>
      </c>
      <c r="H1359" s="40">
        <f>-('1.설계입력'!$C$6+'1.설계입력'!$C$33)*SIN(B1359)+('1.설계입력'!$C$7+'1.설계입력'!$C$34)*SIN(B1359+F1359)+'1.설계입력'!$C$8*SIN('1.설계입력'!$C$15*B1359)</f>
        <v>79.027770002470959</v>
      </c>
      <c r="I1359" s="40">
        <f t="shared" si="64"/>
        <v>79.048720356757102</v>
      </c>
      <c r="J1359" s="40">
        <f t="shared" si="65"/>
        <v>79.038479786738762</v>
      </c>
      <c r="K1359" s="38" t="str">
        <f>IF(OR(A1359&gt;180,'1.설계입력'!$C$39&gt;=1),"",'1.설계입력'!$C$34*(1-SIN(B1359)/SQRT(1+'1.설계입력'!$C$39^2-2*'1.설계입력'!$C$39*COS(B1359)))-'1.설계입력'!$C$33*(1-'1.설계입력'!$C$39*COS(B1359)-SQRT(MAX(0,1-'1.설계입력'!$C$39^2))*SIN(B1359))/SQRT(1+'1.설계입력'!$C$39^2-2*'1.설계입력'!$C$39*COS(B1359)))</f>
        <v/>
      </c>
    </row>
    <row r="1360" spans="1:11" x14ac:dyDescent="0.3">
      <c r="A1360" s="40">
        <f>A1359+'1.설계입력'!$C$12</f>
        <v>270.79999999999319</v>
      </c>
      <c r="B1360" s="40">
        <f t="shared" si="63"/>
        <v>4.7263516144005253</v>
      </c>
      <c r="C1360" s="40">
        <f>ATAN2('1.설계입력'!$C$6/('1.설계입력'!$C$8*'1.설계입력'!$C$15)-COS((1-'1.설계입력'!$C$15)*B1360),SIN((1-'1.설계입력'!$C$15)*B1360))</f>
        <v>-0.42604922794968797</v>
      </c>
      <c r="D1360" s="40">
        <f>'1.설계입력'!$C$6*COS(B1360)-'1.설계입력'!$C$7*COS(B1360+C1360)-'1.설계입력'!$C$8*COS('1.설계입력'!$C$15*B1360)</f>
        <v>1.4749151139383294</v>
      </c>
      <c r="E1360" s="40">
        <f>-'1.설계입력'!$C$6*SIN(B1360)+'1.설계입력'!$C$7*SIN(B1360+C1360)+'1.설계입력'!$C$8*SIN('1.설계입력'!$C$15*B1360)</f>
        <v>79.121737500703773</v>
      </c>
      <c r="F1360" s="40">
        <f>ATAN2(('1.설계입력'!$C$6+'1.설계입력'!$C$33)/('1.설계입력'!$C$8*'1.설계입력'!$C$15)-COS((1-'1.설계입력'!$C$15)*B1360),SIN((1-'1.설계입력'!$C$15)*B1360))</f>
        <v>-0.42605954488043379</v>
      </c>
      <c r="G1360" s="40">
        <f>('1.설계입력'!$C$6+'1.설계입력'!$C$33)*COS(B1360)-('1.설계입력'!$C$7+'1.설계입력'!$C$34)*COS(B1360+F1360)-'1.설계입력'!$C$8*COS('1.설계입력'!$C$15*B1360)</f>
        <v>1.4781539498996923</v>
      </c>
      <c r="H1360" s="40">
        <f>-('1.설계입력'!$C$6+'1.설계입력'!$C$33)*SIN(B1360)+('1.설계입력'!$C$7+'1.설계입력'!$C$34)*SIN(B1360+F1360)+'1.설계입력'!$C$8*SIN('1.설계입력'!$C$15*B1360)</f>
        <v>79.111232439743162</v>
      </c>
      <c r="I1360" s="40">
        <f t="shared" si="64"/>
        <v>79.135483316421315</v>
      </c>
      <c r="J1360" s="40">
        <f t="shared" si="65"/>
        <v>79.125040519640024</v>
      </c>
      <c r="K1360" s="38" t="str">
        <f>IF(OR(A1360&gt;180,'1.설계입력'!$C$39&gt;=1),"",'1.설계입력'!$C$34*(1-SIN(B1360)/SQRT(1+'1.설계입력'!$C$39^2-2*'1.설계입력'!$C$39*COS(B1360)))-'1.설계입력'!$C$33*(1-'1.설계입력'!$C$39*COS(B1360)-SQRT(MAX(0,1-'1.설계입력'!$C$39^2))*SIN(B1360))/SQRT(1+'1.설계입력'!$C$39^2-2*'1.설계입력'!$C$39*COS(B1360)))</f>
        <v/>
      </c>
    </row>
    <row r="1361" spans="1:11" x14ac:dyDescent="0.3">
      <c r="A1361" s="40">
        <f>A1360+'1.설계입력'!$C$12</f>
        <v>270.99999999999318</v>
      </c>
      <c r="B1361" s="40">
        <f t="shared" si="63"/>
        <v>4.7298422729045138</v>
      </c>
      <c r="C1361" s="40">
        <f>ATAN2('1.설계입력'!$C$6/('1.설계입력'!$C$8*'1.설계입력'!$C$15)-COS((1-'1.설계입력'!$C$15)*B1361),SIN((1-'1.설계입력'!$C$15)*B1361))</f>
        <v>-0.37129541728738513</v>
      </c>
      <c r="D1361" s="40">
        <f>'1.설계입력'!$C$6*COS(B1361)-'1.설계입력'!$C$7*COS(B1361+C1361)-'1.설계입력'!$C$8*COS('1.설계입력'!$C$15*B1361)</f>
        <v>1.6680484824817698</v>
      </c>
      <c r="E1361" s="40">
        <f>-'1.설계입력'!$C$6*SIN(B1361)+'1.설계입력'!$C$7*SIN(B1361+C1361)+'1.설계입력'!$C$8*SIN('1.설계입력'!$C$15*B1361)</f>
        <v>79.199499111489359</v>
      </c>
      <c r="F1361" s="40">
        <f>ATAN2(('1.설계입력'!$C$6+'1.설계입력'!$C$33)/('1.설계입력'!$C$8*'1.설계입력'!$C$15)-COS((1-'1.설계입력'!$C$15)*B1361),SIN((1-'1.설계입력'!$C$15)*B1361))</f>
        <v>-0.37130416928007987</v>
      </c>
      <c r="G1361" s="40">
        <f>('1.설계입력'!$C$6+'1.설계입력'!$C$33)*COS(B1361)-('1.설계입력'!$C$7+'1.설계입력'!$C$34)*COS(B1361+F1361)-'1.설계입력'!$C$8*COS('1.설계입력'!$C$15*B1361)</f>
        <v>1.670833971720461</v>
      </c>
      <c r="H1361" s="40">
        <f>-('1.설계입력'!$C$6+'1.설계입력'!$C$33)*SIN(B1361)+('1.설계입력'!$C$7+'1.설계입력'!$C$34)*SIN(B1361+F1361)+'1.설계입력'!$C$8*SIN('1.설계입력'!$C$15*B1361)</f>
        <v>79.188813547315931</v>
      </c>
      <c r="I1361" s="40">
        <f t="shared" si="64"/>
        <v>79.217062841604488</v>
      </c>
      <c r="J1361" s="40">
        <f t="shared" si="65"/>
        <v>79.206438356945597</v>
      </c>
      <c r="K1361" s="38" t="str">
        <f>IF(OR(A1361&gt;180,'1.설계입력'!$C$39&gt;=1),"",'1.설계입력'!$C$34*(1-SIN(B1361)/SQRT(1+'1.설계입력'!$C$39^2-2*'1.설계입력'!$C$39*COS(B1361)))-'1.설계입력'!$C$33*(1-'1.설계입력'!$C$39*COS(B1361)-SQRT(MAX(0,1-'1.설계입력'!$C$39^2))*SIN(B1361))/SQRT(1+'1.설계입력'!$C$39^2-2*'1.설계입력'!$C$39*COS(B1361)))</f>
        <v/>
      </c>
    </row>
    <row r="1362" spans="1:11" x14ac:dyDescent="0.3">
      <c r="A1362" s="40">
        <f>A1361+'1.설계입력'!$C$12</f>
        <v>271.19999999999317</v>
      </c>
      <c r="B1362" s="40">
        <f t="shared" si="63"/>
        <v>4.7333329314085022</v>
      </c>
      <c r="C1362" s="40">
        <f>ATAN2('1.설계입력'!$C$6/('1.설계입력'!$C$8*'1.설계입력'!$C$15)-COS((1-'1.설계입력'!$C$15)*B1362),SIN((1-'1.설계입력'!$C$15)*B1362))</f>
        <v>-0.31572692224228149</v>
      </c>
      <c r="D1362" s="40">
        <f>'1.설계입력'!$C$6*COS(B1362)-'1.설계입력'!$C$7*COS(B1362+C1362)-'1.설계입력'!$C$8*COS('1.설계입력'!$C$15*B1362)</f>
        <v>1.8757112795819091</v>
      </c>
      <c r="E1362" s="40">
        <f>-'1.설계입력'!$C$6*SIN(B1362)+'1.설계입력'!$C$7*SIN(B1362+C1362)+'1.설계입력'!$C$8*SIN('1.설계입력'!$C$15*B1362)</f>
        <v>79.269272408338708</v>
      </c>
      <c r="F1362" s="40">
        <f>ATAN2(('1.설계입력'!$C$6+'1.설계입력'!$C$33)/('1.설계입력'!$C$8*'1.설계입력'!$C$15)-COS((1-'1.설계입력'!$C$15)*B1362),SIN((1-'1.설계입력'!$C$15)*B1362))</f>
        <v>-0.31573419938836222</v>
      </c>
      <c r="G1362" s="40">
        <f>('1.설계입력'!$C$6+'1.설계입력'!$C$33)*COS(B1362)-('1.설계입력'!$C$7+'1.설계입력'!$C$34)*COS(B1362+F1362)-'1.설계입력'!$C$8*COS('1.설계입력'!$C$15*B1362)</f>
        <v>1.8780275781800166</v>
      </c>
      <c r="H1362" s="40">
        <f>-('1.설계입력'!$C$6+'1.설계입력'!$C$33)*SIN(B1362)+('1.설계입력'!$C$7+'1.설계입력'!$C$34)*SIN(B1362+F1362)+'1.설계입력'!$C$8*SIN('1.설계입력'!$C$15*B1362)</f>
        <v>79.258430954156111</v>
      </c>
      <c r="I1362" s="40">
        <f t="shared" si="64"/>
        <v>79.29146133696716</v>
      </c>
      <c r="J1362" s="40">
        <f t="shared" si="65"/>
        <v>79.28067775252137</v>
      </c>
      <c r="K1362" s="38" t="str">
        <f>IF(OR(A1362&gt;180,'1.설계입력'!$C$39&gt;=1),"",'1.설계입력'!$C$34*(1-SIN(B1362)/SQRT(1+'1.설계입력'!$C$39^2-2*'1.설계입력'!$C$39*COS(B1362)))-'1.설계입력'!$C$33*(1-'1.설계입력'!$C$39*COS(B1362)-SQRT(MAX(0,1-'1.설계입력'!$C$39^2))*SIN(B1362))/SQRT(1+'1.설계입력'!$C$39^2-2*'1.설계입력'!$C$39*COS(B1362)))</f>
        <v/>
      </c>
    </row>
    <row r="1363" spans="1:11" x14ac:dyDescent="0.3">
      <c r="A1363" s="40">
        <f>A1362+'1.설계입력'!$C$12</f>
        <v>271.39999999999316</v>
      </c>
      <c r="B1363" s="40">
        <f t="shared" si="63"/>
        <v>4.7368235899124906</v>
      </c>
      <c r="C1363" s="40">
        <f>ATAN2('1.설계입력'!$C$6/('1.설계입력'!$C$8*'1.설계입력'!$C$15)-COS((1-'1.설계입력'!$C$15)*B1363),SIN((1-'1.설계입력'!$C$15)*B1363))</f>
        <v>-0.25951917623437071</v>
      </c>
      <c r="D1363" s="40">
        <f>'1.설계입력'!$C$6*COS(B1363)-'1.설계입력'!$C$7*COS(B1363+C1363)-'1.설계입력'!$C$8*COS('1.설계입력'!$C$15*B1363)</f>
        <v>2.0963501613543101</v>
      </c>
      <c r="E1363" s="40">
        <f>-'1.설계입력'!$C$6*SIN(B1363)+'1.설계입력'!$C$7*SIN(B1363+C1363)+'1.설계입력'!$C$8*SIN('1.설계입력'!$C$15*B1363)</f>
        <v>79.329099932522794</v>
      </c>
      <c r="F1363" s="40">
        <f>ATAN2(('1.설계입력'!$C$6+'1.설계입력'!$C$33)/('1.설계입력'!$C$8*'1.설계입력'!$C$15)-COS((1-'1.설계입력'!$C$15)*B1363),SIN((1-'1.설계입력'!$C$15)*B1363))</f>
        <v>-0.25952504974314816</v>
      </c>
      <c r="G1363" s="40">
        <f>('1.설계입력'!$C$6+'1.설계입력'!$C$33)*COS(B1363)-('1.설계입력'!$C$7+'1.설계입력'!$C$34)*COS(B1363+F1363)-'1.설계입력'!$C$8*COS('1.설계입력'!$C$15*B1363)</f>
        <v>2.0981840100149762</v>
      </c>
      <c r="H1363" s="40">
        <f>-('1.설계입력'!$C$6+'1.설계입력'!$C$33)*SIN(B1363)+('1.설계입력'!$C$7+'1.설계입력'!$C$34)*SIN(B1363+F1363)+'1.설계입력'!$C$8*SIN('1.설계입력'!$C$15*B1363)</f>
        <v>79.318129134765258</v>
      </c>
      <c r="I1363" s="40">
        <f t="shared" si="64"/>
        <v>79.356794164729195</v>
      </c>
      <c r="J1363" s="40">
        <f t="shared" si="65"/>
        <v>79.345875668362112</v>
      </c>
      <c r="K1363" s="38" t="str">
        <f>IF(OR(A1363&gt;180,'1.설계입력'!$C$39&gt;=1),"",'1.설계입력'!$C$34*(1-SIN(B1363)/SQRT(1+'1.설계입력'!$C$39^2-2*'1.설계입력'!$C$39*COS(B1363)))-'1.설계입력'!$C$33*(1-'1.설계입력'!$C$39*COS(B1363)-SQRT(MAX(0,1-'1.설계입력'!$C$39^2))*SIN(B1363))/SQRT(1+'1.설계입력'!$C$39^2-2*'1.설계입력'!$C$39*COS(B1363)))</f>
        <v/>
      </c>
    </row>
    <row r="1364" spans="1:11" x14ac:dyDescent="0.3">
      <c r="A1364" s="40">
        <f>A1363+'1.설계입력'!$C$12</f>
        <v>271.59999999999314</v>
      </c>
      <c r="B1364" s="40">
        <f t="shared" si="63"/>
        <v>4.7403142484164791</v>
      </c>
      <c r="C1364" s="40">
        <f>ATAN2('1.설계입력'!$C$6/('1.설계입력'!$C$8*'1.설계입력'!$C$15)-COS((1-'1.설계입력'!$C$15)*B1364),SIN((1-'1.설계입력'!$C$15)*B1364))</f>
        <v>-0.2028194359709638</v>
      </c>
      <c r="D1364" s="40">
        <f>'1.설계입력'!$C$6*COS(B1364)-'1.설계입력'!$C$7*COS(B1364+C1364)-'1.설계입력'!$C$8*COS('1.설계입력'!$C$15*B1364)</f>
        <v>2.3280333390518542</v>
      </c>
      <c r="E1364" s="40">
        <f>-'1.설계입력'!$C$6*SIN(B1364)+'1.설계입력'!$C$7*SIN(B1364+C1364)+'1.설계입력'!$C$8*SIN('1.설계입력'!$C$15*B1364)</f>
        <v>79.377240664301993</v>
      </c>
      <c r="F1364" s="40">
        <f>ATAN2(('1.설계입력'!$C$6+'1.설계입력'!$C$33)/('1.설계입력'!$C$8*'1.설계입력'!$C$15)-COS((1-'1.설계입력'!$C$15)*B1364),SIN((1-'1.설계입력'!$C$15)*B1364))</f>
        <v>-0.20282396095826111</v>
      </c>
      <c r="G1364" s="40">
        <f>('1.설계입력'!$C$6+'1.설계입력'!$C$33)*COS(B1364)-('1.설계입력'!$C$7+'1.설계입력'!$C$34)*COS(B1364+F1364)-'1.설계입력'!$C$8*COS('1.설계입력'!$C$15*B1364)</f>
        <v>2.3293740736516022</v>
      </c>
      <c r="H1364" s="40">
        <f>-('1.설계입력'!$C$6+'1.설계입력'!$C$33)*SIN(B1364)+('1.설계입력'!$C$7+'1.설계입력'!$C$34)*SIN(B1364+F1364)+'1.설계입력'!$C$8*SIN('1.설계입력'!$C$15*B1364)</f>
        <v>79.366168594652706</v>
      </c>
      <c r="I1364" s="40">
        <f t="shared" si="64"/>
        <v>79.411372451974756</v>
      </c>
      <c r="J1364" s="40">
        <f t="shared" si="65"/>
        <v>79.400344463798376</v>
      </c>
      <c r="K1364" s="38" t="str">
        <f>IF(OR(A1364&gt;180,'1.설계입력'!$C$39&gt;=1),"",'1.설계입력'!$C$34*(1-SIN(B1364)/SQRT(1+'1.설계입력'!$C$39^2-2*'1.설계입력'!$C$39*COS(B1364)))-'1.설계입력'!$C$33*(1-'1.설계입력'!$C$39*COS(B1364)-SQRT(MAX(0,1-'1.설계입력'!$C$39^2))*SIN(B1364))/SQRT(1+'1.설계입력'!$C$39^2-2*'1.설계입력'!$C$39*COS(B1364)))</f>
        <v/>
      </c>
    </row>
    <row r="1365" spans="1:11" x14ac:dyDescent="0.3">
      <c r="A1365" s="40">
        <f>A1364+'1.설계입력'!$C$12</f>
        <v>271.79999999999313</v>
      </c>
      <c r="B1365" s="40">
        <f t="shared" si="63"/>
        <v>4.7438049069204675</v>
      </c>
      <c r="C1365" s="40">
        <f>ATAN2('1.설계입력'!$C$6/('1.설계입력'!$C$8*'1.설계입력'!$C$15)-COS((1-'1.설계입력'!$C$15)*B1365),SIN((1-'1.설계입력'!$C$15)*B1365))</f>
        <v>-0.14575464309813108</v>
      </c>
      <c r="D1365" s="40">
        <f>'1.설계입력'!$C$6*COS(B1365)-'1.설계입력'!$C$7*COS(B1365+C1365)-'1.설계입력'!$C$8*COS('1.설계입력'!$C$15*B1365)</f>
        <v>2.5685157441654081</v>
      </c>
      <c r="E1365" s="40">
        <f>-'1.설계입력'!$C$6*SIN(B1365)+'1.설계입력'!$C$7*SIN(B1365+C1365)+'1.설계입력'!$C$8*SIN('1.설계입력'!$C$15*B1365)</f>
        <v>79.4122409356725</v>
      </c>
      <c r="F1365" s="40">
        <f>ATAN2(('1.설계입력'!$C$6+'1.설계입력'!$C$33)/('1.설계입력'!$C$8*'1.설계입력'!$C$15)-COS((1-'1.설계입력'!$C$15)*B1365),SIN((1-'1.설계입력'!$C$15)*B1365))</f>
        <v>-0.14575786063340909</v>
      </c>
      <c r="G1365" s="40">
        <f>('1.설계입력'!$C$6+'1.설계입력'!$C$33)*COS(B1365)-('1.설계입력'!$C$7+'1.설계입력'!$C$34)*COS(B1365+F1365)-'1.설계입력'!$C$8*COS('1.설계입력'!$C$15*B1365)</f>
        <v>2.569355309764064</v>
      </c>
      <c r="H1365" s="40">
        <f>-('1.설계입력'!$C$6+'1.설계입력'!$C$33)*SIN(B1365)+('1.설계입력'!$C$7+'1.설계입력'!$C$34)*SIN(B1365+F1365)+'1.설계입력'!$C$8*SIN('1.설계입력'!$C$15*B1365)</f>
        <v>79.401096826058307</v>
      </c>
      <c r="I1365" s="40">
        <f t="shared" si="64"/>
        <v>79.453768214939473</v>
      </c>
      <c r="J1365" s="40">
        <f t="shared" si="65"/>
        <v>79.442657079738339</v>
      </c>
      <c r="K1365" s="38" t="str">
        <f>IF(OR(A1365&gt;180,'1.설계입력'!$C$39&gt;=1),"",'1.설계입력'!$C$34*(1-SIN(B1365)/SQRT(1+'1.설계입력'!$C$39^2-2*'1.설계입력'!$C$39*COS(B1365)))-'1.설계입력'!$C$33*(1-'1.설계입력'!$C$39*COS(B1365)-SQRT(MAX(0,1-'1.설계입력'!$C$39^2))*SIN(B1365))/SQRT(1+'1.설계입력'!$C$39^2-2*'1.설계입력'!$C$39*COS(B1365)))</f>
        <v/>
      </c>
    </row>
    <row r="1366" spans="1:11" x14ac:dyDescent="0.3">
      <c r="A1366" s="40">
        <f>A1365+'1.설계입력'!$C$12</f>
        <v>271.99999999999312</v>
      </c>
      <c r="B1366" s="40">
        <f t="shared" si="63"/>
        <v>4.747295565424456</v>
      </c>
      <c r="C1366" s="40">
        <f>ATAN2('1.설계입력'!$C$6/('1.설계입력'!$C$8*'1.설계입력'!$C$15)-COS((1-'1.설계입력'!$C$15)*B1366),SIN((1-'1.설계입력'!$C$15)*B1366))</f>
        <v>-8.8437439403667675E-2</v>
      </c>
      <c r="D1366" s="40">
        <f>'1.설계입력'!$C$6*COS(B1366)-'1.설계입력'!$C$7*COS(B1366+C1366)-'1.설계입력'!$C$8*COS('1.설계입력'!$C$15*B1366)</f>
        <v>2.8153076315500241</v>
      </c>
      <c r="E1366" s="40">
        <f>-'1.설계입력'!$C$6*SIN(B1366)+'1.설계입력'!$C$7*SIN(B1366+C1366)+'1.설계입력'!$C$8*SIN('1.설계입력'!$C$15*B1366)</f>
        <v>79.432989181386759</v>
      </c>
      <c r="F1366" s="40">
        <f>ATAN2(('1.설계입력'!$C$6+'1.설계입력'!$C$33)/('1.설계입력'!$C$8*'1.설계입력'!$C$15)-COS((1-'1.설계입력'!$C$15)*B1366),SIN((1-'1.설계입력'!$C$15)*B1366))</f>
        <v>-8.8439377970688182E-2</v>
      </c>
      <c r="G1366" s="40">
        <f>('1.설계입력'!$C$6+'1.설계입력'!$C$33)*COS(B1366)-('1.설계입력'!$C$7+'1.설계입력'!$C$34)*COS(B1366+F1366)-'1.설계입력'!$C$8*COS('1.설계입력'!$C$15*B1366)</f>
        <v>2.8156405948164815</v>
      </c>
      <c r="H1366" s="40">
        <f>-('1.설계입력'!$C$6+'1.설계입력'!$C$33)*SIN(B1366)+('1.설계입력'!$C$7+'1.설계입력'!$C$34)*SIN(B1366+F1366)+'1.설계입력'!$C$8*SIN('1.설계입력'!$C$15*B1366)</f>
        <v>79.421803088281081</v>
      </c>
      <c r="I1366" s="40">
        <f t="shared" si="64"/>
        <v>79.482864363022102</v>
      </c>
      <c r="J1366" s="40">
        <f t="shared" si="65"/>
        <v>79.47169708615057</v>
      </c>
      <c r="K1366" s="38" t="str">
        <f>IF(OR(A1366&gt;180,'1.설계입력'!$C$39&gt;=1),"",'1.설계입력'!$C$34*(1-SIN(B1366)/SQRT(1+'1.설계입력'!$C$39^2-2*'1.설계입력'!$C$39*COS(B1366)))-'1.설계입력'!$C$33*(1-'1.설계입력'!$C$39*COS(B1366)-SQRT(MAX(0,1-'1.설계입력'!$C$39^2))*SIN(B1366))/SQRT(1+'1.설계입력'!$C$39^2-2*'1.설계입력'!$C$39*COS(B1366)))</f>
        <v/>
      </c>
    </row>
    <row r="1367" spans="1:11" x14ac:dyDescent="0.3">
      <c r="A1367" s="40">
        <f>A1366+'1.설계입력'!$C$12</f>
        <v>272.19999999999311</v>
      </c>
      <c r="B1367" s="40">
        <f t="shared" si="63"/>
        <v>4.7507862239284444</v>
      </c>
      <c r="C1367" s="40">
        <f>ATAN2('1.설계입력'!$C$6/('1.설계입력'!$C$8*'1.설계입력'!$C$15)-COS((1-'1.설계입력'!$C$15)*B1367),SIN((1-'1.설계입력'!$C$15)*B1367))</f>
        <v>-3.0970965700628329E-2</v>
      </c>
      <c r="D1367" s="40">
        <f>'1.설계입력'!$C$6*COS(B1367)-'1.설계입력'!$C$7*COS(B1367+C1367)-'1.설계입력'!$C$8*COS('1.설계입력'!$C$15*B1367)</f>
        <v>3.0657462617700033</v>
      </c>
      <c r="E1367" s="40">
        <f>-'1.설계입력'!$C$6*SIN(B1367)+'1.설계입력'!$C$7*SIN(B1367+C1367)+'1.설계입력'!$C$8*SIN('1.설계입력'!$C$15*B1367)</f>
        <v>79.438755684897984</v>
      </c>
      <c r="F1367" s="40">
        <f>ATAN2(('1.설계입력'!$C$6+'1.설계입력'!$C$33)/('1.설계입력'!$C$8*'1.설계입력'!$C$15)-COS((1-'1.설계입력'!$C$15)*B1367),SIN((1-'1.설계입력'!$C$15)*B1367))</f>
        <v>-3.0971642177437572E-2</v>
      </c>
      <c r="G1367" s="40">
        <f>('1.설계입력'!$C$6+'1.설계입력'!$C$33)*COS(B1367)-('1.설계입력'!$C$7+'1.설계입력'!$C$34)*COS(B1367+F1367)-'1.설계입력'!$C$8*COS('1.설계입력'!$C$15*B1367)</f>
        <v>3.0655698185761406</v>
      </c>
      <c r="H1367" s="40">
        <f>-('1.설계입력'!$C$6+'1.설계입력'!$C$33)*SIN(B1367)+('1.설계입력'!$C$7+'1.설계입력'!$C$34)*SIN(B1367+F1367)+'1.설계입력'!$C$8*SIN('1.설계입력'!$C$15*B1367)</f>
        <v>79.427558173077585</v>
      </c>
      <c r="I1367" s="40">
        <f t="shared" si="64"/>
        <v>79.497891197857996</v>
      </c>
      <c r="J1367" s="40">
        <f t="shared" si="65"/>
        <v>79.486695211526992</v>
      </c>
      <c r="K1367" s="38" t="str">
        <f>IF(OR(A1367&gt;180,'1.설계입력'!$C$39&gt;=1),"",'1.설계입력'!$C$34*(1-SIN(B1367)/SQRT(1+'1.설계입력'!$C$39^2-2*'1.설계입력'!$C$39*COS(B1367)))-'1.설계입력'!$C$33*(1-'1.설계입력'!$C$39*COS(B1367)-SQRT(MAX(0,1-'1.설계입력'!$C$39^2))*SIN(B1367))/SQRT(1+'1.설계입력'!$C$39^2-2*'1.설계입력'!$C$39*COS(B1367)))</f>
        <v/>
      </c>
    </row>
    <row r="1368" spans="1:11" x14ac:dyDescent="0.3">
      <c r="A1368" s="40">
        <f>A1367+'1.설계입력'!$C$12</f>
        <v>272.3999999999931</v>
      </c>
      <c r="B1368" s="40">
        <f t="shared" si="63"/>
        <v>4.7542768824324328</v>
      </c>
      <c r="C1368" s="40">
        <f>ATAN2('1.설계입력'!$C$6/('1.설계입력'!$C$8*'1.설계입력'!$C$15)-COS((1-'1.설계입력'!$C$15)*B1368),SIN((1-'1.설계입력'!$C$15)*B1368))</f>
        <v>2.6547106887320721E-2</v>
      </c>
      <c r="D1368" s="40">
        <f>'1.설계입력'!$C$6*COS(B1368)-'1.설계입력'!$C$7*COS(B1368+C1368)-'1.설계입력'!$C$8*COS('1.설계입력'!$C$15*B1368)</f>
        <v>3.3170698849959459</v>
      </c>
      <c r="E1368" s="40">
        <f>-'1.설계입력'!$C$6*SIN(B1368)+'1.설계입력'!$C$7*SIN(B1368+C1368)+'1.설계입력'!$C$8*SIN('1.설계입력'!$C$15*B1368)</f>
        <v>79.429217956997931</v>
      </c>
      <c r="F1368" s="40">
        <f>ATAN2(('1.설계입력'!$C$6+'1.설계입력'!$C$33)/('1.설계입력'!$C$8*'1.설계입력'!$C$15)-COS((1-'1.설계입력'!$C$15)*B1368),SIN((1-'1.설계입력'!$C$15)*B1368))</f>
        <v>2.6547686660634E-2</v>
      </c>
      <c r="G1368" s="40">
        <f>('1.설계입력'!$C$6+'1.설계입력'!$C$33)*COS(B1368)-('1.설계입력'!$C$7+'1.설계입력'!$C$34)*COS(B1368+F1368)-'1.설계입력'!$C$8*COS('1.설계입력'!$C$15*B1368)</f>
        <v>3.316383861127695</v>
      </c>
      <c r="H1368" s="40">
        <f>-('1.설계입력'!$C$6+'1.설계입력'!$C$33)*SIN(B1368)+('1.설계입력'!$C$7+'1.설계입력'!$C$34)*SIN(B1368+F1368)+'1.설계입력'!$C$8*SIN('1.설계입력'!$C$15*B1368)</f>
        <v>79.418039795297545</v>
      </c>
      <c r="I1368" s="40">
        <f t="shared" si="64"/>
        <v>79.49845041183022</v>
      </c>
      <c r="J1368" s="40">
        <f t="shared" si="65"/>
        <v>79.48725336078617</v>
      </c>
      <c r="K1368" s="38" t="str">
        <f>IF(OR(A1368&gt;180,'1.설계입력'!$C$39&gt;=1),"",'1.설계입력'!$C$34*(1-SIN(B1368)/SQRT(1+'1.설계입력'!$C$39^2-2*'1.설계입력'!$C$39*COS(B1368)))-'1.설계입력'!$C$33*(1-'1.설계입력'!$C$39*COS(B1368)-SQRT(MAX(0,1-'1.설계입력'!$C$39^2))*SIN(B1368))/SQRT(1+'1.설계입력'!$C$39^2-2*'1.설계입력'!$C$39*COS(B1368)))</f>
        <v/>
      </c>
    </row>
    <row r="1369" spans="1:11" x14ac:dyDescent="0.3">
      <c r="A1369" s="40">
        <f>A1368+'1.설계입력'!$C$12</f>
        <v>272.59999999999309</v>
      </c>
      <c r="B1369" s="40">
        <f t="shared" si="63"/>
        <v>4.7577675409364213</v>
      </c>
      <c r="C1369" s="40">
        <f>ATAN2('1.설계입력'!$C$6/('1.설계입력'!$C$8*'1.설계입력'!$C$15)-COS((1-'1.설계입력'!$C$15)*B1369),SIN((1-'1.설계입력'!$C$15)*B1369))</f>
        <v>8.4020972189608162E-2</v>
      </c>
      <c r="D1369" s="40">
        <f>'1.설계입력'!$C$6*COS(B1369)-'1.설계입력'!$C$7*COS(B1369+C1369)-'1.설계입력'!$C$8*COS('1.설계입력'!$C$15*B1369)</f>
        <v>3.5664929946498809</v>
      </c>
      <c r="E1369" s="40">
        <f>-'1.설계입력'!$C$6*SIN(B1369)+'1.설계입력'!$C$7*SIN(B1369+C1369)+'1.설계입력'!$C$8*SIN('1.설계입력'!$C$15*B1369)</f>
        <v>79.404472088218299</v>
      </c>
      <c r="F1369" s="40">
        <f>ATAN2(('1.설계입력'!$C$6+'1.설계입력'!$C$33)/('1.설계입력'!$C$8*'1.설계입력'!$C$15)-COS((1-'1.설계입력'!$C$15)*B1369),SIN((1-'1.설계입력'!$C$15)*B1369))</f>
        <v>8.4022813216715328E-2</v>
      </c>
      <c r="G1369" s="40">
        <f>('1.설계입력'!$C$6+'1.설계입력'!$C$33)*COS(B1369)-('1.설계입력'!$C$7+'1.설계입력'!$C$34)*COS(B1369+F1369)-'1.설계입력'!$C$8*COS('1.설계입력'!$C$15*B1369)</f>
        <v>3.5652998384361543</v>
      </c>
      <c r="H1369" s="40">
        <f>-('1.설계입력'!$C$6+'1.설계입력'!$C$33)*SIN(B1369)+('1.설계입력'!$C$7+'1.설계입력'!$C$34)*SIN(B1369+F1369)+'1.설계입력'!$C$8*SIN('1.설계입력'!$C$15*B1369)</f>
        <v>79.393343951234385</v>
      </c>
      <c r="I1369" s="40">
        <f t="shared" si="64"/>
        <v>79.484527172837389</v>
      </c>
      <c r="J1369" s="40">
        <f t="shared" si="65"/>
        <v>79.473356709635453</v>
      </c>
      <c r="K1369" s="38" t="str">
        <f>IF(OR(A1369&gt;180,'1.설계입력'!$C$39&gt;=1),"",'1.설계입력'!$C$34*(1-SIN(B1369)/SQRT(1+'1.설계입력'!$C$39^2-2*'1.설계입력'!$C$39*COS(B1369)))-'1.설계입력'!$C$33*(1-'1.설계입력'!$C$39*COS(B1369)-SQRT(MAX(0,1-'1.설계입력'!$C$39^2))*SIN(B1369))/SQRT(1+'1.설계입력'!$C$39^2-2*'1.설계입력'!$C$39*COS(B1369)))</f>
        <v/>
      </c>
    </row>
    <row r="1370" spans="1:11" x14ac:dyDescent="0.3">
      <c r="A1370" s="40">
        <f>A1369+'1.설계입력'!$C$12</f>
        <v>272.79999999999308</v>
      </c>
      <c r="B1370" s="40">
        <f t="shared" si="63"/>
        <v>4.7612581994404097</v>
      </c>
      <c r="C1370" s="40">
        <f>ATAN2('1.설계입력'!$C$6/('1.설계입력'!$C$8*'1.설계입력'!$C$15)-COS((1-'1.설계입력'!$C$15)*B1370),SIN((1-'1.설계입력'!$C$15)*B1370))</f>
        <v>0.14135322705233472</v>
      </c>
      <c r="D1370" s="40">
        <f>'1.설계입력'!$C$6*COS(B1370)-'1.설계입력'!$C$7*COS(B1370+C1370)-'1.설계입력'!$C$8*COS('1.설계입력'!$C$15*B1370)</f>
        <v>3.8112816800582134</v>
      </c>
      <c r="E1370" s="40">
        <f>-'1.설계입력'!$C$6*SIN(B1370)+'1.설계입력'!$C$7*SIN(B1370+C1370)+'1.설계입력'!$C$8*SIN('1.설계입력'!$C$15*B1370)</f>
        <v>79.365030244268752</v>
      </c>
      <c r="F1370" s="40">
        <f>ATAN2(('1.설계입력'!$C$6+'1.설계입력'!$C$33)/('1.설계입력'!$C$8*'1.설계입력'!$C$15)-COS((1-'1.설계입력'!$C$15)*B1370),SIN((1-'1.설계입력'!$C$15)*B1370))</f>
        <v>0.14135634534698027</v>
      </c>
      <c r="G1370" s="40">
        <f>('1.설계입력'!$C$6+'1.설계입력'!$C$33)*COS(B1370)-('1.설계입력'!$C$7+'1.설계입력'!$C$34)*COS(B1370+F1370)-'1.설계입력'!$C$8*COS('1.설계입력'!$C$15*B1370)</f>
        <v>3.8095864463831557</v>
      </c>
      <c r="H1370" s="40">
        <f>-('1.설계입력'!$C$6+'1.설계입력'!$C$33)*SIN(B1370)+('1.설계입력'!$C$7+'1.설계입력'!$C$34)*SIN(B1370+F1370)+'1.설계입력'!$C$8*SIN('1.설계입력'!$C$15*B1370)</f>
        <v>79.35398241461408</v>
      </c>
      <c r="I1370" s="40">
        <f t="shared" si="64"/>
        <v>79.456490570112905</v>
      </c>
      <c r="J1370" s="40">
        <f t="shared" si="65"/>
        <v>79.445374150741756</v>
      </c>
      <c r="K1370" s="38" t="str">
        <f>IF(OR(A1370&gt;180,'1.설계입력'!$C$39&gt;=1),"",'1.설계입력'!$C$34*(1-SIN(B1370)/SQRT(1+'1.설계입력'!$C$39^2-2*'1.설계입력'!$C$39*COS(B1370)))-'1.설계입력'!$C$33*(1-'1.설계입력'!$C$39*COS(B1370)-SQRT(MAX(0,1-'1.설계입력'!$C$39^2))*SIN(B1370))/SQRT(1+'1.설계입력'!$C$39^2-2*'1.설계입력'!$C$39*COS(B1370)))</f>
        <v/>
      </c>
    </row>
    <row r="1371" spans="1:11" x14ac:dyDescent="0.3">
      <c r="A1371" s="40">
        <f>A1370+'1.설계입력'!$C$12</f>
        <v>272.99999999999307</v>
      </c>
      <c r="B1371" s="40">
        <f t="shared" si="63"/>
        <v>4.7647488579443991</v>
      </c>
      <c r="C1371" s="40">
        <f>ATAN2('1.설계입력'!$C$6/('1.설계입력'!$C$8*'1.설계입력'!$C$15)-COS((1-'1.설계입력'!$C$15)*B1371),SIN((1-'1.설계입력'!$C$15)*B1371))</f>
        <v>0.19844128720380838</v>
      </c>
      <c r="D1371" s="40">
        <f>'1.설계입력'!$C$6*COS(B1371)-'1.설계입력'!$C$7*COS(B1371+C1371)-'1.설계입력'!$C$8*COS('1.설계입력'!$C$15*B1371)</f>
        <v>4.0488278588543212</v>
      </c>
      <c r="E1371" s="40">
        <f>-'1.설계입력'!$C$6*SIN(B1371)+'1.설계입력'!$C$7*SIN(B1371+C1371)+'1.설계입력'!$C$8*SIN('1.설계입력'!$C$15*B1371)</f>
        <v>79.311804357788347</v>
      </c>
      <c r="F1371" s="40">
        <f>ATAN2(('1.설계입력'!$C$6+'1.설계입력'!$C$33)/('1.설계입력'!$C$8*'1.설계입력'!$C$15)-COS((1-'1.설계입력'!$C$15)*B1371),SIN((1-'1.설계입력'!$C$15)*B1371))</f>
        <v>0.1984457103278045</v>
      </c>
      <c r="G1371" s="40">
        <f>('1.설계입력'!$C$6+'1.설계입력'!$C$33)*COS(B1371)-('1.설계입력'!$C$7+'1.설계입력'!$C$34)*COS(B1371+F1371)-'1.설계입력'!$C$8*COS('1.설계입력'!$C$15*B1371)</f>
        <v>4.0466381846065875</v>
      </c>
      <c r="H1371" s="40">
        <f>-('1.설계입력'!$C$6+'1.설계입력'!$C$33)*SIN(B1371)+('1.설계입력'!$C$7+'1.설계입력'!$C$34)*SIN(B1371+F1371)+'1.설계입력'!$C$8*SIN('1.설계입력'!$C$15*B1371)</f>
        <v>79.300866423500835</v>
      </c>
      <c r="I1371" s="40">
        <f t="shared" si="64"/>
        <v>79.415082430976099</v>
      </c>
      <c r="J1371" s="40">
        <f t="shared" si="65"/>
        <v>79.404047101612136</v>
      </c>
      <c r="K1371" s="38" t="str">
        <f>IF(OR(A1371&gt;180,'1.설계입력'!$C$39&gt;=1),"",'1.설계입력'!$C$34*(1-SIN(B1371)/SQRT(1+'1.설계입력'!$C$39^2-2*'1.설계입력'!$C$39*COS(B1371)))-'1.설계입력'!$C$33*(1-'1.설계입력'!$C$39*COS(B1371)-SQRT(MAX(0,1-'1.설계입력'!$C$39^2))*SIN(B1371))/SQRT(1+'1.설계입력'!$C$39^2-2*'1.설계입력'!$C$39*COS(B1371)))</f>
        <v/>
      </c>
    </row>
    <row r="1372" spans="1:11" x14ac:dyDescent="0.3">
      <c r="A1372" s="40">
        <f>A1371+'1.설계입력'!$C$12</f>
        <v>273.19999999999305</v>
      </c>
      <c r="B1372" s="40">
        <f t="shared" si="63"/>
        <v>4.7682395164483875</v>
      </c>
      <c r="C1372" s="40">
        <f>ATAN2('1.설계입력'!$C$6/('1.설계입력'!$C$8*'1.설계입력'!$C$15)-COS((1-'1.설계입력'!$C$15)*B1372),SIN((1-'1.설계입력'!$C$15)*B1372))</f>
        <v>0.25517339989167648</v>
      </c>
      <c r="D1372" s="40">
        <f>'1.설계입력'!$C$6*COS(B1372)-'1.설계입력'!$C$7*COS(B1372+C1372)-'1.설계입력'!$C$8*COS('1.설계입력'!$C$15*B1372)</f>
        <v>4.2767212026595161</v>
      </c>
      <c r="E1372" s="40">
        <f>-'1.설계입력'!$C$6*SIN(B1372)+'1.설계입력'!$C$7*SIN(B1372+C1372)+'1.설계입력'!$C$8*SIN('1.설계입력'!$C$15*B1372)</f>
        <v>79.246075952540025</v>
      </c>
      <c r="F1372" s="40">
        <f>ATAN2(('1.설계입력'!$C$6+'1.설계입력'!$C$33)/('1.설계입력'!$C$8*'1.설계입력'!$C$15)-COS((1-'1.설계입력'!$C$15)*B1372),SIN((1-'1.설계입력'!$C$15)*B1372))</f>
        <v>0.25517916790116263</v>
      </c>
      <c r="G1372" s="40">
        <f>('1.설계입력'!$C$6+'1.설계입력'!$C$33)*COS(B1372)-('1.설계입력'!$C$7+'1.설계입력'!$C$34)*COS(B1372+F1372)-'1.설계입력'!$C$8*COS('1.설계입력'!$C$15*B1372)</f>
        <v>4.2740472742772502</v>
      </c>
      <c r="H1372" s="40">
        <f>-('1.설계입력'!$C$6+'1.설계입력'!$C$33)*SIN(B1372)+('1.설계입력'!$C$7+'1.설계입력'!$C$34)*SIN(B1372+F1372)+'1.설계입력'!$C$8*SIN('1.설계입력'!$C$15*B1372)</f>
        <v>79.235276493599017</v>
      </c>
      <c r="I1372" s="40">
        <f t="shared" si="64"/>
        <v>79.361394255147886</v>
      </c>
      <c r="J1372" s="40">
        <f t="shared" si="65"/>
        <v>79.350466420304301</v>
      </c>
      <c r="K1372" s="38" t="str">
        <f>IF(OR(A1372&gt;180,'1.설계입력'!$C$39&gt;=1),"",'1.설계입력'!$C$34*(1-SIN(B1372)/SQRT(1+'1.설계입력'!$C$39^2-2*'1.설계입력'!$C$39*COS(B1372)))-'1.설계입력'!$C$33*(1-'1.설계입력'!$C$39*COS(B1372)-SQRT(MAX(0,1-'1.설계입력'!$C$39^2))*SIN(B1372))/SQRT(1+'1.설계입력'!$C$39^2-2*'1.설계입력'!$C$39*COS(B1372)))</f>
        <v/>
      </c>
    </row>
    <row r="1373" spans="1:11" x14ac:dyDescent="0.3">
      <c r="A1373" s="40">
        <f>A1372+'1.설계입력'!$C$12</f>
        <v>273.39999999999304</v>
      </c>
      <c r="B1373" s="40">
        <f t="shared" si="63"/>
        <v>4.7717301749523759</v>
      </c>
      <c r="C1373" s="40">
        <f>ATAN2('1.설계입력'!$C$6/('1.설계입력'!$C$8*'1.설계입력'!$C$15)-COS((1-'1.설계입력'!$C$15)*B1373),SIN((1-'1.설계입력'!$C$15)*B1373))</f>
        <v>0.31142391822987725</v>
      </c>
      <c r="D1373" s="40">
        <f>'1.설계입력'!$C$6*COS(B1373)-'1.설계입력'!$C$7*COS(B1373+C1373)-'1.설계입력'!$C$8*COS('1.설계입력'!$C$15*B1373)</f>
        <v>4.4928176871834147</v>
      </c>
      <c r="E1373" s="40">
        <f>-'1.설계입력'!$C$6*SIN(B1373)+'1.설계입력'!$C$7*SIN(B1373+C1373)+'1.설계입력'!$C$8*SIN('1.설계입력'!$C$15*B1373)</f>
        <v>79.169451860854437</v>
      </c>
      <c r="F1373" s="40">
        <f>ATAN2(('1.설계입력'!$C$6+'1.설계입력'!$C$33)/('1.설계입력'!$C$8*'1.설계입력'!$C$15)-COS((1-'1.설계입력'!$C$15)*B1373),SIN((1-'1.설계입력'!$C$15)*B1373))</f>
        <v>0.31143108509578854</v>
      </c>
      <c r="G1373" s="40">
        <f>('1.설계입력'!$C$6+'1.설계입력'!$C$33)*COS(B1373)-('1.설계입력'!$C$7+'1.설계입력'!$C$34)*COS(B1373+F1373)-'1.설계입력'!$C$8*COS('1.설계입력'!$C$15*B1373)</f>
        <v>4.4896722016755088</v>
      </c>
      <c r="H1373" s="40">
        <f>-('1.설계입력'!$C$6+'1.설계입력'!$C$33)*SIN(B1373)+('1.설계입력'!$C$7+'1.설계입력'!$C$34)*SIN(B1373+F1373)+'1.설계입력'!$C$8*SIN('1.설계입력'!$C$15*B1373)</f>
        <v>79.158818117352524</v>
      </c>
      <c r="I1373" s="40">
        <f t="shared" si="64"/>
        <v>79.29683170668558</v>
      </c>
      <c r="J1373" s="40">
        <f t="shared" si="65"/>
        <v>79.286036867878551</v>
      </c>
      <c r="K1373" s="38" t="str">
        <f>IF(OR(A1373&gt;180,'1.설계입력'!$C$39&gt;=1),"",'1.설계입력'!$C$34*(1-SIN(B1373)/SQRT(1+'1.설계입력'!$C$39^2-2*'1.설계입력'!$C$39*COS(B1373)))-'1.설계입력'!$C$33*(1-'1.설계입력'!$C$39*COS(B1373)-SQRT(MAX(0,1-'1.설계입력'!$C$39^2))*SIN(B1373))/SQRT(1+'1.설계입력'!$C$39^2-2*'1.설계입력'!$C$39*COS(B1373)))</f>
        <v/>
      </c>
    </row>
    <row r="1374" spans="1:11" x14ac:dyDescent="0.3">
      <c r="A1374" s="40">
        <f>A1373+'1.설계입력'!$C$12</f>
        <v>273.59999999999303</v>
      </c>
      <c r="B1374" s="40">
        <f t="shared" si="63"/>
        <v>4.7752208334563644</v>
      </c>
      <c r="C1374" s="40">
        <f>ATAN2('1.설계입력'!$C$6/('1.설계입력'!$C$8*'1.설계입력'!$C$15)-COS((1-'1.설계입력'!$C$15)*B1374),SIN((1-'1.설계입력'!$C$15)*B1374))</f>
        <v>0.36704739904587447</v>
      </c>
      <c r="D1374" s="40">
        <f>'1.설계입력'!$C$6*COS(B1374)-'1.설계입력'!$C$7*COS(B1374+C1374)-'1.설계입력'!$C$8*COS('1.설계입력'!$C$15*B1374)</f>
        <v>4.6953039181479799</v>
      </c>
      <c r="E1374" s="40">
        <f>-'1.설계입력'!$C$6*SIN(B1374)+'1.설계입력'!$C$7*SIN(B1374+C1374)+'1.설계입력'!$C$8*SIN('1.설계입력'!$C$15*B1374)</f>
        <v>79.083805292303367</v>
      </c>
      <c r="F1374" s="40">
        <f>ATAN2(('1.설계입력'!$C$6+'1.설계입력'!$C$33)/('1.설계입력'!$C$8*'1.설계입력'!$C$15)-COS((1-'1.설계입력'!$C$15)*B1374),SIN((1-'1.설계입력'!$C$15)*B1374))</f>
        <v>0.36705603465117004</v>
      </c>
      <c r="G1374" s="40">
        <f>('1.설계입력'!$C$6+'1.설계입력'!$C$33)*COS(B1374)-('1.설계입력'!$C$7+'1.설계입력'!$C$34)*COS(B1374+F1374)-'1.설계입력'!$C$8*COS('1.설계입력'!$C$15*B1374)</f>
        <v>4.6917020399452527</v>
      </c>
      <c r="H1374" s="40">
        <f>-('1.설계입력'!$C$6+'1.설계입력'!$C$33)*SIN(B1374)+('1.설계입력'!$C$7+'1.설계입력'!$C$34)*SIN(B1374+F1374)+'1.설계입력'!$C$8*SIN('1.설계입력'!$C$15*B1374)</f>
        <v>79.073362804425898</v>
      </c>
      <c r="I1374" s="40">
        <f t="shared" si="64"/>
        <v>79.223065696769936</v>
      </c>
      <c r="J1374" s="40">
        <f t="shared" si="65"/>
        <v>79.212428148820138</v>
      </c>
      <c r="K1374" s="38" t="str">
        <f>IF(OR(A1374&gt;180,'1.설계입력'!$C$39&gt;=1),"",'1.설계입력'!$C$34*(1-SIN(B1374)/SQRT(1+'1.설계입력'!$C$39^2-2*'1.설계입력'!$C$39*COS(B1374)))-'1.설계입력'!$C$33*(1-'1.설계입력'!$C$39*COS(B1374)-SQRT(MAX(0,1-'1.설계입력'!$C$39^2))*SIN(B1374))/SQRT(1+'1.설계입력'!$C$39^2-2*'1.설계입력'!$C$39*COS(B1374)))</f>
        <v/>
      </c>
    </row>
    <row r="1375" spans="1:11" x14ac:dyDescent="0.3">
      <c r="A1375" s="40">
        <f>A1374+'1.설계입력'!$C$12</f>
        <v>273.79999999999302</v>
      </c>
      <c r="B1375" s="40">
        <f t="shared" si="63"/>
        <v>4.7787114919603528</v>
      </c>
      <c r="C1375" s="40">
        <f>ATAN2('1.설계입력'!$C$6/('1.설계입력'!$C$8*'1.설계입력'!$C$15)-COS((1-'1.설계입력'!$C$15)*B1375),SIN((1-'1.설계입력'!$C$15)*B1375))</f>
        <v>0.42187091147734918</v>
      </c>
      <c r="D1375" s="40">
        <f>'1.설계입력'!$C$6*COS(B1375)-'1.설계입력'!$C$7*COS(B1375+C1375)-'1.설계입력'!$C$8*COS('1.설계입력'!$C$15*B1375)</f>
        <v>4.882756746711542</v>
      </c>
      <c r="E1375" s="40">
        <f>-'1.설계입력'!$C$6*SIN(B1375)+'1.설계입력'!$C$7*SIN(B1375+C1375)+'1.설계입력'!$C$8*SIN('1.설계입력'!$C$15*B1375)</f>
        <v>78.991201183396285</v>
      </c>
      <c r="F1375" s="40">
        <f>ATAN2(('1.설계입력'!$C$6+'1.설계입력'!$C$33)/('1.설계입력'!$C$8*'1.설계입력'!$C$15)-COS((1-'1.설계입력'!$C$15)*B1375),SIN((1-'1.설계입력'!$C$15)*B1375))</f>
        <v>0.42188110434171322</v>
      </c>
      <c r="G1375" s="40">
        <f>('1.설계입력'!$C$6+'1.설계입력'!$C$33)*COS(B1375)-('1.설계입력'!$C$7+'1.설계입력'!$C$34)*COS(B1375+F1375)-'1.설계입력'!$C$8*COS('1.설계입력'!$C$15*B1375)</f>
        <v>4.8787160641352596</v>
      </c>
      <c r="H1375" s="40">
        <f>-('1.설계입력'!$C$6+'1.설계입력'!$C$33)*SIN(B1375)+('1.설계입력'!$C$7+'1.설계입력'!$C$34)*SIN(B1375+F1375)+'1.설계입력'!$C$8*SIN('1.설계입력'!$C$15*B1375)</f>
        <v>78.980973389549519</v>
      </c>
      <c r="I1375" s="40">
        <f t="shared" si="64"/>
        <v>79.141968498662848</v>
      </c>
      <c r="J1375" s="40">
        <f t="shared" si="65"/>
        <v>79.131510967472252</v>
      </c>
      <c r="K1375" s="38" t="str">
        <f>IF(OR(A1375&gt;180,'1.설계입력'!$C$39&gt;=1),"",'1.설계입력'!$C$34*(1-SIN(B1375)/SQRT(1+'1.설계입력'!$C$39^2-2*'1.설계입력'!$C$39*COS(B1375)))-'1.설계입력'!$C$33*(1-'1.설계입력'!$C$39*COS(B1375)-SQRT(MAX(0,1-'1.설계입력'!$C$39^2))*SIN(B1375))/SQRT(1+'1.설계입력'!$C$39^2-2*'1.설계입력'!$C$39*COS(B1375)))</f>
        <v/>
      </c>
    </row>
    <row r="1376" spans="1:11" x14ac:dyDescent="0.3">
      <c r="A1376" s="40">
        <f>A1375+'1.설계입력'!$C$12</f>
        <v>273.99999999999301</v>
      </c>
      <c r="B1376" s="40">
        <f t="shared" si="63"/>
        <v>4.7822021504643413</v>
      </c>
      <c r="C1376" s="40">
        <f>ATAN2('1.설계입력'!$C$6/('1.설계입력'!$C$8*'1.설계입력'!$C$15)-COS((1-'1.설계입력'!$C$15)*B1376),SIN((1-'1.설계입력'!$C$15)*B1376))</f>
        <v>0.47568365729251766</v>
      </c>
      <c r="D1376" s="40">
        <f>'1.설계입력'!$C$6*COS(B1376)-'1.설계입력'!$C$7*COS(B1376+C1376)-'1.설계입력'!$C$8*COS('1.설계입력'!$C$15*B1376)</f>
        <v>5.0541982695875172</v>
      </c>
      <c r="E1376" s="40">
        <f>-'1.설계입력'!$C$6*SIN(B1376)+'1.설계입력'!$C$7*SIN(B1376+C1376)+'1.설계입력'!$C$8*SIN('1.설계입력'!$C$15*B1376)</f>
        <v>78.89380385248235</v>
      </c>
      <c r="F1376" s="40">
        <f>ATAN2(('1.설계입력'!$C$6+'1.설계입력'!$C$33)/('1.설계입력'!$C$8*'1.설계입력'!$C$15)-COS((1-'1.설계입력'!$C$15)*B1376),SIN((1-'1.설계입력'!$C$15)*B1376))</f>
        <v>0.47569551824077916</v>
      </c>
      <c r="G1376" s="40">
        <f>('1.설계입력'!$C$6+'1.설계입력'!$C$33)*COS(B1376)-('1.설계입력'!$C$7+'1.설계입력'!$C$34)*COS(B1376+F1376)-'1.설계입력'!$C$8*COS('1.설계입력'!$C$15*B1376)</f>
        <v>5.0497387569724328</v>
      </c>
      <c r="H1376" s="40">
        <f>-('1.설계입력'!$C$6+'1.설계입력'!$C$33)*SIN(B1376)+('1.설계입력'!$C$7+'1.설계입력'!$C$34)*SIN(B1376+F1376)+'1.설계입력'!$C$8*SIN('1.설계입력'!$C$15*B1376)</f>
        <v>78.883811625959055</v>
      </c>
      <c r="I1376" s="40">
        <f t="shared" si="64"/>
        <v>79.055532421597547</v>
      </c>
      <c r="J1376" s="40">
        <f t="shared" si="65"/>
        <v>79.045275621971626</v>
      </c>
      <c r="K1376" s="38" t="str">
        <f>IF(OR(A1376&gt;180,'1.설계입력'!$C$39&gt;=1),"",'1.설계입력'!$C$34*(1-SIN(B1376)/SQRT(1+'1.설계입력'!$C$39^2-2*'1.설계입력'!$C$39*COS(B1376)))-'1.설계입력'!$C$33*(1-'1.설계입력'!$C$39*COS(B1376)-SQRT(MAX(0,1-'1.설계입력'!$C$39^2))*SIN(B1376))/SQRT(1+'1.설계입력'!$C$39^2-2*'1.설계입력'!$C$39*COS(B1376)))</f>
        <v/>
      </c>
    </row>
    <row r="1377" spans="1:11" x14ac:dyDescent="0.3">
      <c r="A1377" s="40">
        <f>A1376+'1.설계입력'!$C$12</f>
        <v>274.199999999993</v>
      </c>
      <c r="B1377" s="40">
        <f t="shared" si="63"/>
        <v>4.7856928089683297</v>
      </c>
      <c r="C1377" s="40">
        <f>ATAN2('1.설계입력'!$C$6/('1.설계입력'!$C$8*'1.설계입력'!$C$15)-COS((1-'1.설계입력'!$C$15)*B1377),SIN((1-'1.설계입력'!$C$15)*B1377))</f>
        <v>0.52822253405715303</v>
      </c>
      <c r="D1377" s="40">
        <f>'1.설계입력'!$C$6*COS(B1377)-'1.설계입력'!$C$7*COS(B1377+C1377)-'1.설계입력'!$C$8*COS('1.설계입력'!$C$15*B1377)</f>
        <v>5.2091472591249159</v>
      </c>
      <c r="E1377" s="40">
        <f>-'1.설계입력'!$C$6*SIN(B1377)+'1.설계입력'!$C$7*SIN(B1377+C1377)+'1.설계입력'!$C$8*SIN('1.설계입력'!$C$15*B1377)</f>
        <v>78.793763450074849</v>
      </c>
      <c r="F1377" s="40">
        <f>ATAN2(('1.설계입력'!$C$6+'1.설계입력'!$C$33)/('1.설계입력'!$C$8*'1.설계입력'!$C$15)-COS((1-'1.설계입력'!$C$15)*B1377),SIN((1-'1.설계입력'!$C$15)*B1377))</f>
        <v>0.52823620113840331</v>
      </c>
      <c r="G1377" s="40">
        <f>('1.설계입력'!$C$6+'1.설계입력'!$C$33)*COS(B1377)-('1.설계입력'!$C$7+'1.설계입력'!$C$34)*COS(B1377+F1377)-'1.설계입력'!$C$8*COS('1.설계입력'!$C$15*B1377)</f>
        <v>5.20429125433599</v>
      </c>
      <c r="H1377" s="40">
        <f>-('1.설계입력'!$C$6+'1.설계입력'!$C$33)*SIN(B1377)+('1.설계입력'!$C$7+'1.설계입력'!$C$34)*SIN(B1377+F1377)+'1.설계입력'!$C$8*SIN('1.설계입력'!$C$15*B1377)</f>
        <v>78.784024545324996</v>
      </c>
      <c r="I1377" s="40">
        <f t="shared" si="64"/>
        <v>78.965767100646843</v>
      </c>
      <c r="J1377" s="40">
        <f t="shared" si="65"/>
        <v>78.95572918426079</v>
      </c>
      <c r="K1377" s="38" t="str">
        <f>IF(OR(A1377&gt;180,'1.설계입력'!$C$39&gt;=1),"",'1.설계입력'!$C$34*(1-SIN(B1377)/SQRT(1+'1.설계입력'!$C$39^2-2*'1.설계입력'!$C$39*COS(B1377)))-'1.설계입력'!$C$33*(1-'1.설계입력'!$C$39*COS(B1377)-SQRT(MAX(0,1-'1.설계입력'!$C$39^2))*SIN(B1377))/SQRT(1+'1.설계입력'!$C$39^2-2*'1.설계입력'!$C$39*COS(B1377)))</f>
        <v/>
      </c>
    </row>
    <row r="1378" spans="1:11" x14ac:dyDescent="0.3">
      <c r="A1378" s="40">
        <f>A1377+'1.설계입력'!$C$12</f>
        <v>274.39999999999299</v>
      </c>
      <c r="B1378" s="40">
        <f t="shared" si="63"/>
        <v>4.7891834674723182</v>
      </c>
      <c r="C1378" s="40">
        <f>ATAN2('1.설계입력'!$C$6/('1.설계입력'!$C$8*'1.설계입력'!$C$15)-COS((1-'1.설계입력'!$C$15)*B1378),SIN((1-'1.설계입력'!$C$15)*B1378))</f>
        <v>0.57915148941859751</v>
      </c>
      <c r="D1378" s="40">
        <f>'1.설계입력'!$C$6*COS(B1378)-'1.설계입력'!$C$7*COS(B1378+C1378)-'1.설계입력'!$C$8*COS('1.설계입력'!$C$15*B1378)</f>
        <v>5.3476696803135528</v>
      </c>
      <c r="E1378" s="40">
        <f>-'1.설계입력'!$C$6*SIN(B1378)+'1.설계입력'!$C$7*SIN(B1378+C1378)+'1.설계입력'!$C$8*SIN('1.설계입력'!$C$15*B1378)</f>
        <v>78.693075101164212</v>
      </c>
      <c r="F1378" s="40">
        <f>ATAN2(('1.설계입력'!$C$6+'1.설계입력'!$C$33)/('1.설계입력'!$C$8*'1.설계입력'!$C$15)-COS((1-'1.설계입력'!$C$15)*B1378),SIN((1-'1.설계입력'!$C$15)*B1378))</f>
        <v>0.57916713450882573</v>
      </c>
      <c r="G1378" s="40">
        <f>('1.설계입력'!$C$6+'1.설계입력'!$C$33)*COS(B1378)-('1.설계입력'!$C$7+'1.설계입력'!$C$34)*COS(B1378+F1378)-'1.설계입력'!$C$8*COS('1.설계입력'!$C$15*B1378)</f>
        <v>5.342441893737556</v>
      </c>
      <c r="H1378" s="40">
        <f>-('1.설계입력'!$C$6+'1.설계입력'!$C$33)*SIN(B1378)+('1.설계입력'!$C$7+'1.설계입력'!$C$34)*SIN(B1378+F1378)+'1.설계입력'!$C$8*SIN('1.설계입력'!$C$15*B1378)</f>
        <v>78.683603465931796</v>
      </c>
      <c r="I1378" s="40">
        <f t="shared" si="64"/>
        <v>78.874569031388162</v>
      </c>
      <c r="J1378" s="40">
        <f t="shared" si="65"/>
        <v>78.864764881231693</v>
      </c>
      <c r="K1378" s="38" t="str">
        <f>IF(OR(A1378&gt;180,'1.설계입력'!$C$39&gt;=1),"",'1.설계입력'!$C$34*(1-SIN(B1378)/SQRT(1+'1.설계입력'!$C$39^2-2*'1.설계입력'!$C$39*COS(B1378)))-'1.설계입력'!$C$33*(1-'1.설계입력'!$C$39*COS(B1378)-SQRT(MAX(0,1-'1.설계입력'!$C$39^2))*SIN(B1378))/SQRT(1+'1.설계입력'!$C$39^2-2*'1.설계입력'!$C$39*COS(B1378)))</f>
        <v/>
      </c>
    </row>
    <row r="1379" spans="1:11" x14ac:dyDescent="0.3">
      <c r="A1379" s="40">
        <f>A1378+'1.설계입력'!$C$12</f>
        <v>274.59999999999297</v>
      </c>
      <c r="B1379" s="40">
        <f t="shared" si="63"/>
        <v>4.7926741259763066</v>
      </c>
      <c r="C1379" s="40">
        <f>ATAN2('1.설계입력'!$C$6/('1.설계입력'!$C$8*'1.설계입력'!$C$15)-COS((1-'1.설계입력'!$C$15)*B1379),SIN((1-'1.설계입력'!$C$15)*B1379))</f>
        <v>0.62803118034506877</v>
      </c>
      <c r="D1379" s="40">
        <f>'1.설계입력'!$C$6*COS(B1379)-'1.설계입력'!$C$7*COS(B1379+C1379)-'1.설계입력'!$C$8*COS('1.설계입력'!$C$15*B1379)</f>
        <v>5.4704338163139443</v>
      </c>
      <c r="E1379" s="40">
        <f>-'1.설계입력'!$C$6*SIN(B1379)+'1.설계입력'!$C$7*SIN(B1379+C1379)+'1.설계입력'!$C$8*SIN('1.설계입력'!$C$15*B1379)</f>
        <v>78.593400218005115</v>
      </c>
      <c r="F1379" s="40">
        <f>ATAN2(('1.설계입력'!$C$6+'1.설계입력'!$C$33)/('1.설계입력'!$C$8*'1.설계입력'!$C$15)-COS((1-'1.설계입력'!$C$15)*B1379),SIN((1-'1.설계입력'!$C$15)*B1379))</f>
        <v>0.62804901803712188</v>
      </c>
      <c r="G1379" s="40">
        <f>('1.설계입력'!$C$6+'1.설계입력'!$C$33)*COS(B1379)-('1.설계입력'!$C$7+'1.설계입력'!$C$34)*COS(B1379+F1379)-'1.설계입력'!$C$8*COS('1.설계입력'!$C$15*B1379)</f>
        <v>5.4648613986919488</v>
      </c>
      <c r="H1379" s="40">
        <f>-('1.설계입력'!$C$6+'1.설계입력'!$C$33)*SIN(B1379)+('1.설계입력'!$C$7+'1.설계입력'!$C$34)*SIN(B1379+F1379)+'1.설계입력'!$C$8*SIN('1.설계입력'!$C$15*B1379)</f>
        <v>78.584205103596076</v>
      </c>
      <c r="I1379" s="40">
        <f t="shared" si="64"/>
        <v>78.783552877273806</v>
      </c>
      <c r="J1379" s="40">
        <f t="shared" si="65"/>
        <v>78.773993182210646</v>
      </c>
      <c r="K1379" s="38" t="str">
        <f>IF(OR(A1379&gt;180,'1.설계입력'!$C$39&gt;=1),"",'1.설계입력'!$C$34*(1-SIN(B1379)/SQRT(1+'1.설계입력'!$C$39^2-2*'1.설계입력'!$C$39*COS(B1379)))-'1.설계입력'!$C$33*(1-'1.설계입력'!$C$39*COS(B1379)-SQRT(MAX(0,1-'1.설계입력'!$C$39^2))*SIN(B1379))/SQRT(1+'1.설계입력'!$C$39^2-2*'1.설계입력'!$C$39*COS(B1379)))</f>
        <v/>
      </c>
    </row>
    <row r="1380" spans="1:11" x14ac:dyDescent="0.3">
      <c r="A1380" s="40">
        <f>A1379+'1.설계입력'!$C$12</f>
        <v>274.79999999999296</v>
      </c>
      <c r="B1380" s="40">
        <f t="shared" si="63"/>
        <v>4.796164784480295</v>
      </c>
      <c r="C1380" s="40">
        <f>ATAN2('1.설계입력'!$C$6/('1.설계입력'!$C$8*'1.설계입력'!$C$15)-COS((1-'1.설계입력'!$C$15)*B1380),SIN((1-'1.설계입력'!$C$15)*B1380))</f>
        <v>0.67427311258493883</v>
      </c>
      <c r="D1380" s="40">
        <f>'1.설계입력'!$C$6*COS(B1380)-'1.설계입력'!$C$7*COS(B1380+C1380)-'1.설계입력'!$C$8*COS('1.설계입력'!$C$15*B1380)</f>
        <v>5.5787808771793026</v>
      </c>
      <c r="E1380" s="40">
        <f>-'1.설계입력'!$C$6*SIN(B1380)+'1.설계입력'!$C$7*SIN(B1380+C1380)+'1.설계입력'!$C$8*SIN('1.설계입력'!$C$15*B1380)</f>
        <v>78.495831828631026</v>
      </c>
      <c r="F1380" s="40">
        <f>ATAN2(('1.설계입력'!$C$6+'1.설계입력'!$C$33)/('1.설계입력'!$C$8*'1.설계입력'!$C$15)-COS((1-'1.설계입력'!$C$15)*B1380),SIN((1-'1.설계입력'!$C$15)*B1380))</f>
        <v>0.6742934121873273</v>
      </c>
      <c r="G1380" s="40">
        <f>('1.설계입력'!$C$6+'1.설계입력'!$C$33)*COS(B1380)-('1.설계입력'!$C$7+'1.설계입력'!$C$34)*COS(B1380+F1380)-'1.설계입력'!$C$8*COS('1.설계입력'!$C$15*B1380)</f>
        <v>5.572893594521787</v>
      </c>
      <c r="H1380" s="40">
        <f>-('1.설계입력'!$C$6+'1.설계입력'!$C$33)*SIN(B1380)+('1.설계입력'!$C$7+'1.설계입력'!$C$34)*SIN(B1380+F1380)+'1.설계입력'!$C$8*SIN('1.설계입력'!$C$15*B1380)</f>
        <v>78.486916590734054</v>
      </c>
      <c r="I1380" s="40">
        <f t="shared" si="64"/>
        <v>78.693827016763549</v>
      </c>
      <c r="J1380" s="40">
        <f t="shared" si="65"/>
        <v>78.684517021690525</v>
      </c>
      <c r="K1380" s="38" t="str">
        <f>IF(OR(A1380&gt;180,'1.설계입력'!$C$39&gt;=1),"",'1.설계입력'!$C$34*(1-SIN(B1380)/SQRT(1+'1.설계입력'!$C$39^2-2*'1.설계입력'!$C$39*COS(B1380)))-'1.설계입력'!$C$33*(1-'1.설계입력'!$C$39*COS(B1380)-SQRT(MAX(0,1-'1.설계입력'!$C$39^2))*SIN(B1380))/SQRT(1+'1.설계입력'!$C$39^2-2*'1.설계입력'!$C$39*COS(B1380)))</f>
        <v/>
      </c>
    </row>
    <row r="1381" spans="1:11" x14ac:dyDescent="0.3">
      <c r="A1381" s="40">
        <f>A1380+'1.설계입력'!$C$12</f>
        <v>274.99999999999295</v>
      </c>
      <c r="B1381" s="40">
        <f t="shared" si="63"/>
        <v>4.7996554429842835</v>
      </c>
      <c r="C1381" s="40">
        <f>ATAN2('1.설계입력'!$C$6/('1.설계입력'!$C$8*'1.설계입력'!$C$15)-COS((1-'1.설계입력'!$C$15)*B1381),SIN((1-'1.설계입력'!$C$15)*B1381))</f>
        <v>0.71706820680174321</v>
      </c>
      <c r="D1381" s="40">
        <f>'1.설계입력'!$C$6*COS(B1381)-'1.설계입력'!$C$7*COS(B1381+C1381)-'1.설계입력'!$C$8*COS('1.설계입력'!$C$15*B1381)</f>
        <v>5.6748324949712803</v>
      </c>
      <c r="E1381" s="40">
        <f>-'1.설계입력'!$C$6*SIN(B1381)+'1.설계입력'!$C$7*SIN(B1381+C1381)+'1.설계입력'!$C$8*SIN('1.설계입력'!$C$15*B1381)</f>
        <v>78.400572339495511</v>
      </c>
      <c r="F1381" s="40">
        <f>ATAN2(('1.설계입력'!$C$6+'1.설계입력'!$C$33)/('1.설계입력'!$C$8*'1.설계입력'!$C$15)-COS((1-'1.설계입력'!$C$15)*B1381),SIN((1-'1.설계입력'!$C$15)*B1381))</f>
        <v>0.71709130849492042</v>
      </c>
      <c r="G1381" s="40">
        <f>('1.설계입력'!$C$6+'1.설계입력'!$C$33)*COS(B1381)-('1.설계입력'!$C$7+'1.설계입력'!$C$34)*COS(B1381+F1381)-'1.설계입력'!$C$8*COS('1.설계입력'!$C$15*B1381)</f>
        <v>5.6686630990598097</v>
      </c>
      <c r="H1381" s="40">
        <f>-('1.설계입력'!$C$6+'1.설계입력'!$C$33)*SIN(B1381)+('1.설계입력'!$C$7+'1.설계입력'!$C$34)*SIN(B1381+F1381)+'1.설계입력'!$C$8*SIN('1.설계입력'!$C$15*B1381)</f>
        <v>78.391932754031544</v>
      </c>
      <c r="I1381" s="40">
        <f t="shared" si="64"/>
        <v>78.605683426877277</v>
      </c>
      <c r="J1381" s="40">
        <f t="shared" si="65"/>
        <v>78.596621188466145</v>
      </c>
      <c r="K1381" s="38" t="str">
        <f>IF(OR(A1381&gt;180,'1.설계입력'!$C$39&gt;=1),"",'1.설계입력'!$C$34*(1-SIN(B1381)/SQRT(1+'1.설계입력'!$C$39^2-2*'1.설계입력'!$C$39*COS(B1381)))-'1.설계입력'!$C$33*(1-'1.설계입력'!$C$39*COS(B1381)-SQRT(MAX(0,1-'1.설계입력'!$C$39^2))*SIN(B1381))/SQRT(1+'1.설계입력'!$C$39^2-2*'1.설계입력'!$C$39*COS(B1381)))</f>
        <v/>
      </c>
    </row>
    <row r="1382" spans="1:11" x14ac:dyDescent="0.3">
      <c r="A1382" s="40">
        <f>A1381+'1.설계입력'!$C$12</f>
        <v>275.19999999999294</v>
      </c>
      <c r="B1382" s="40">
        <f t="shared" si="63"/>
        <v>4.8031461014882719</v>
      </c>
      <c r="C1382" s="40">
        <f>ATAN2('1.설계입력'!$C$6/('1.설계입력'!$C$8*'1.설계입력'!$C$15)-COS((1-'1.설계입력'!$C$15)*B1382),SIN((1-'1.설계입력'!$C$15)*B1382))</f>
        <v>0.75527182600026233</v>
      </c>
      <c r="D1382" s="40">
        <f>'1.설계입력'!$C$6*COS(B1382)-'1.설계입력'!$C$7*COS(B1382+C1382)-'1.설계입력'!$C$8*COS('1.설계입력'!$C$15*B1382)</f>
        <v>5.7616783235603997</v>
      </c>
      <c r="E1382" s="40">
        <f>-'1.설계입력'!$C$6*SIN(B1382)+'1.설계입력'!$C$7*SIN(B1382+C1382)+'1.설계입력'!$C$8*SIN('1.설계입력'!$C$15*B1382)</f>
        <v>78.306468108113066</v>
      </c>
      <c r="F1382" s="40">
        <f>ATAN2(('1.설계입력'!$C$6+'1.설계입력'!$C$33)/('1.설계입력'!$C$8*'1.설계입력'!$C$15)-COS((1-'1.설계입력'!$C$15)*B1382),SIN((1-'1.설계입력'!$C$15)*B1382))</f>
        <v>0.75529816225917501</v>
      </c>
      <c r="G1382" s="40">
        <f>('1.설계입력'!$C$6+'1.설계입력'!$C$33)*COS(B1382)-('1.설계입력'!$C$7+'1.설계입력'!$C$34)*COS(B1382+F1382)-'1.설계입력'!$C$8*COS('1.설계입력'!$C$15*B1382)</f>
        <v>5.7552632878444596</v>
      </c>
      <c r="H1382" s="40">
        <f>-('1.설계입력'!$C$6+'1.설계입력'!$C$33)*SIN(B1382)+('1.설계입력'!$C$7+'1.설계입력'!$C$34)*SIN(B1382+F1382)+'1.설계입력'!$C$8*SIN('1.설계입력'!$C$15*B1382)</f>
        <v>78.298089907451683</v>
      </c>
      <c r="I1382" s="40">
        <f t="shared" si="64"/>
        <v>78.518150033422941</v>
      </c>
      <c r="J1382" s="40">
        <f t="shared" si="65"/>
        <v>78.50932389638696</v>
      </c>
      <c r="K1382" s="38" t="str">
        <f>IF(OR(A1382&gt;180,'1.설계입력'!$C$39&gt;=1),"",'1.설계입력'!$C$34*(1-SIN(B1382)/SQRT(1+'1.설계입력'!$C$39^2-2*'1.설계입력'!$C$39*COS(B1382)))-'1.설계입력'!$C$33*(1-'1.설계입력'!$C$39*COS(B1382)-SQRT(MAX(0,1-'1.설계입력'!$C$39^2))*SIN(B1382))/SQRT(1+'1.설계입력'!$C$39^2-2*'1.설계입력'!$C$39*COS(B1382)))</f>
        <v/>
      </c>
    </row>
    <row r="1383" spans="1:11" x14ac:dyDescent="0.3">
      <c r="A1383" s="40">
        <f>A1382+'1.설계입력'!$C$12</f>
        <v>275.39999999999293</v>
      </c>
      <c r="B1383" s="40">
        <f t="shared" si="63"/>
        <v>4.8066367599922604</v>
      </c>
      <c r="C1383" s="40">
        <f>ATAN2('1.설계입력'!$C$6/('1.설계입력'!$C$8*'1.설계입력'!$C$15)-COS((1-'1.설계입력'!$C$15)*B1383),SIN((1-'1.설계입력'!$C$15)*B1383))</f>
        <v>0.78721196229135637</v>
      </c>
      <c r="D1383" s="40">
        <f>'1.설계입력'!$C$6*COS(B1383)-'1.설계입력'!$C$7*COS(B1383+C1383)-'1.설계입력'!$C$8*COS('1.설계입력'!$C$15*B1383)</f>
        <v>5.8437346491674695</v>
      </c>
      <c r="E1383" s="40">
        <f>-'1.설계입력'!$C$6*SIN(B1383)+'1.설계입력'!$C$7*SIN(B1383+C1383)+'1.설계입력'!$C$8*SIN('1.설계입력'!$C$15*B1383)</f>
        <v>78.210301675308855</v>
      </c>
      <c r="F1383" s="40">
        <f>ATAN2(('1.설계입력'!$C$6+'1.설계입력'!$C$33)/('1.설계입력'!$C$8*'1.설계입력'!$C$15)-COS((1-'1.설계입력'!$C$15)*B1383),SIN((1-'1.설계입력'!$C$15)*B1383))</f>
        <v>0.78724208493369574</v>
      </c>
      <c r="G1383" s="40">
        <f>('1.설계입력'!$C$6+'1.설계입력'!$C$33)*COS(B1383)-('1.설계입력'!$C$7+'1.설계입력'!$C$34)*COS(B1383+F1383)-'1.설계입력'!$C$8*COS('1.설계입력'!$C$15*B1383)</f>
        <v>5.8371156126701598</v>
      </c>
      <c r="H1383" s="40">
        <f>-('1.설계입력'!$C$6+'1.설계입력'!$C$33)*SIN(B1383)+('1.설계입력'!$C$7+'1.설계입력'!$C$34)*SIN(B1383+F1383)+'1.설계입력'!$C$8*SIN('1.설계입력'!$C$15*B1383)</f>
        <v>78.202156795763813</v>
      </c>
      <c r="I1383" s="40">
        <f t="shared" si="64"/>
        <v>78.428314547698264</v>
      </c>
      <c r="J1383" s="40">
        <f t="shared" si="65"/>
        <v>78.419699350258327</v>
      </c>
      <c r="K1383" s="38" t="str">
        <f>IF(OR(A1383&gt;180,'1.설계입력'!$C$39&gt;=1),"",'1.설계입력'!$C$34*(1-SIN(B1383)/SQRT(1+'1.설계입력'!$C$39^2-2*'1.설계입력'!$C$39*COS(B1383)))-'1.설계입력'!$C$33*(1-'1.설계입력'!$C$39*COS(B1383)-SQRT(MAX(0,1-'1.설계입력'!$C$39^2))*SIN(B1383))/SQRT(1+'1.설계입력'!$C$39^2-2*'1.설계입력'!$C$39*COS(B1383)))</f>
        <v/>
      </c>
    </row>
    <row r="1384" spans="1:11" x14ac:dyDescent="0.3">
      <c r="A1384" s="40">
        <f>A1383+'1.설계입력'!$C$12</f>
        <v>275.59999999999292</v>
      </c>
      <c r="B1384" s="40">
        <f t="shared" si="63"/>
        <v>4.8101274184962488</v>
      </c>
      <c r="C1384" s="40">
        <f>ATAN2('1.설계입력'!$C$6/('1.설계입력'!$C$8*'1.설계입력'!$C$15)-COS((1-'1.설계입력'!$C$15)*B1384),SIN((1-'1.설계입력'!$C$15)*B1384))</f>
        <v>0.81035653114459572</v>
      </c>
      <c r="D1384" s="40">
        <f>'1.설계입력'!$C$6*COS(B1384)-'1.설계입력'!$C$7*COS(B1384+C1384)-'1.설계입력'!$C$8*COS('1.설계입력'!$C$15*B1384)</f>
        <v>5.9274750676922441</v>
      </c>
      <c r="E1384" s="40">
        <f>-'1.설계입력'!$C$6*SIN(B1384)+'1.설계입력'!$C$7*SIN(B1384+C1384)+'1.설계입력'!$C$8*SIN('1.설계입력'!$C$15*B1384)</f>
        <v>78.105664587665416</v>
      </c>
      <c r="F1384" s="40">
        <f>ATAN2(('1.설계입력'!$C$6+'1.설계입력'!$C$33)/('1.설계입력'!$C$8*'1.설계입력'!$C$15)-COS((1-'1.설계입력'!$C$15)*B1384),SIN((1-'1.설계입력'!$C$15)*B1384))</f>
        <v>0.81039114060350648</v>
      </c>
      <c r="G1384" s="40">
        <f>('1.설계입력'!$C$6+'1.설계입력'!$C$33)*COS(B1384)-('1.설계입력'!$C$7+'1.설계입력'!$C$34)*COS(B1384+F1384)-'1.설계입력'!$C$8*COS('1.설계입력'!$C$15*B1384)</f>
        <v>5.9207017182888109</v>
      </c>
      <c r="H1384" s="40">
        <f>-('1.설계입력'!$C$6+'1.설계입력'!$C$33)*SIN(B1384)+('1.설계입력'!$C$7+'1.설계입력'!$C$34)*SIN(B1384+F1384)+'1.설계입력'!$C$8*SIN('1.설계입력'!$C$15*B1384)</f>
        <v>78.097705226152854</v>
      </c>
      <c r="I1384" s="40">
        <f t="shared" si="64"/>
        <v>78.33026108317911</v>
      </c>
      <c r="J1384" s="40">
        <f t="shared" si="65"/>
        <v>78.321812226403509</v>
      </c>
      <c r="K1384" s="38" t="str">
        <f>IF(OR(A1384&gt;180,'1.설계입력'!$C$39&gt;=1),"",'1.설계입력'!$C$34*(1-SIN(B1384)/SQRT(1+'1.설계입력'!$C$39^2-2*'1.설계입력'!$C$39*COS(B1384)))-'1.설계입력'!$C$33*(1-'1.설계입력'!$C$39*COS(B1384)-SQRT(MAX(0,1-'1.설계입력'!$C$39^2))*SIN(B1384))/SQRT(1+'1.설계입력'!$C$39^2-2*'1.설계입력'!$C$39*COS(B1384)))</f>
        <v/>
      </c>
    </row>
    <row r="1385" spans="1:11" x14ac:dyDescent="0.3">
      <c r="A1385" s="40">
        <f>A1384+'1.설계입력'!$C$12</f>
        <v>275.79999999999291</v>
      </c>
      <c r="B1385" s="40">
        <f t="shared" si="63"/>
        <v>4.8136180770002372</v>
      </c>
      <c r="C1385" s="40">
        <f>ATAN2('1.설계입력'!$C$6/('1.설계입력'!$C$8*'1.설계입력'!$C$15)-COS((1-'1.설계입력'!$C$15)*B1385),SIN((1-'1.설계입력'!$C$15)*B1385))</f>
        <v>0.82071255773075213</v>
      </c>
      <c r="D1385" s="40">
        <f>'1.설계입력'!$C$6*COS(B1385)-'1.설계입력'!$C$7*COS(B1385+C1385)-'1.설계입력'!$C$8*COS('1.설계입력'!$C$15*B1385)</f>
        <v>6.0230029303046413</v>
      </c>
      <c r="E1385" s="40">
        <f>-'1.설계입력'!$C$6*SIN(B1385)+'1.설계입력'!$C$7*SIN(B1385+C1385)+'1.설계입력'!$C$8*SIN('1.설계입력'!$C$15*B1385)</f>
        <v>77.981105064382319</v>
      </c>
      <c r="F1385" s="40">
        <f>ATAN2(('1.설계입력'!$C$6+'1.설계입력'!$C$33)/('1.설계입력'!$C$8*'1.설계입력'!$C$15)-COS((1-'1.설계입력'!$C$15)*B1385),SIN((1-'1.설계입력'!$C$15)*B1385))</f>
        <v>0.8207525168382368</v>
      </c>
      <c r="G1385" s="40">
        <f>('1.설계입력'!$C$6+'1.설계입력'!$C$33)*COS(B1385)-('1.설계입력'!$C$7+'1.설계입력'!$C$34)*COS(B1385+F1385)-'1.설계입력'!$C$8*COS('1.설계입력'!$C$15*B1385)</f>
        <v>6.0161389887676808</v>
      </c>
      <c r="H1385" s="40">
        <f>-('1.설계입력'!$C$6+'1.설계입력'!$C$33)*SIN(B1385)+('1.설계입력'!$C$7+'1.설계입력'!$C$34)*SIN(B1385+F1385)+'1.설계입력'!$C$8*SIN('1.설계입력'!$C$15*B1385)</f>
        <v>77.973253926625901</v>
      </c>
      <c r="I1385" s="40">
        <f t="shared" si="64"/>
        <v>78.213357627458322</v>
      </c>
      <c r="J1385" s="40">
        <f t="shared" si="65"/>
        <v>78.205001478410907</v>
      </c>
      <c r="K1385" s="38" t="str">
        <f>IF(OR(A1385&gt;180,'1.설계입력'!$C$39&gt;=1),"",'1.설계입력'!$C$34*(1-SIN(B1385)/SQRT(1+'1.설계입력'!$C$39^2-2*'1.설계입력'!$C$39*COS(B1385)))-'1.설계입력'!$C$33*(1-'1.설계입력'!$C$39*COS(B1385)-SQRT(MAX(0,1-'1.설계입력'!$C$39^2))*SIN(B1385))/SQRT(1+'1.설계입력'!$C$39^2-2*'1.설계입력'!$C$39*COS(B1385)))</f>
        <v/>
      </c>
    </row>
    <row r="1386" spans="1:11" x14ac:dyDescent="0.3">
      <c r="A1386" s="40">
        <f>A1385+'1.설계입력'!$C$12</f>
        <v>275.99999999999289</v>
      </c>
      <c r="B1386" s="40">
        <f t="shared" si="63"/>
        <v>4.8171087355042257</v>
      </c>
      <c r="C1386" s="40">
        <f>ATAN2('1.설계입력'!$C$6/('1.설계입력'!$C$8*'1.설계입력'!$C$15)-COS((1-'1.설계입력'!$C$15)*B1386),SIN((1-'1.설계입력'!$C$15)*B1386))</f>
        <v>0.81170138601776864</v>
      </c>
      <c r="D1386" s="40">
        <f>'1.설계입력'!$C$6*COS(B1386)-'1.설계입력'!$C$7*COS(B1386+C1386)-'1.설계입력'!$C$8*COS('1.설계입력'!$C$15*B1386)</f>
        <v>6.14762044910879</v>
      </c>
      <c r="E1386" s="40">
        <f>-'1.설계입력'!$C$6*SIN(B1386)+'1.설계입력'!$C$7*SIN(B1386+C1386)+'1.설계입력'!$C$8*SIN('1.설계입력'!$C$15*B1386)</f>
        <v>77.817102847581637</v>
      </c>
      <c r="F1386" s="40">
        <f>ATAN2(('1.설계입력'!$C$6+'1.설계입력'!$C$33)/('1.설계입력'!$C$8*'1.설계입력'!$C$15)-COS((1-'1.설계입력'!$C$15)*B1386),SIN((1-'1.설계입력'!$C$15)*B1386))</f>
        <v>0.8117476493423208</v>
      </c>
      <c r="G1386" s="40">
        <f>('1.설계입력'!$C$6+'1.설계입력'!$C$33)*COS(B1386)-('1.설계입력'!$C$7+'1.설계입력'!$C$34)*COS(B1386+F1386)-'1.설계입력'!$C$8*COS('1.설계입력'!$C$15*B1386)</f>
        <v>6.1407567810637023</v>
      </c>
      <c r="H1386" s="40">
        <f>-('1.설계입력'!$C$6+'1.설계입력'!$C$33)*SIN(B1386)+('1.설계입력'!$C$7+'1.설계입력'!$C$34)*SIN(B1386+F1386)+'1.설계입력'!$C$8*SIN('1.설계입력'!$C$15*B1386)</f>
        <v>77.809236780884305</v>
      </c>
      <c r="I1386" s="40">
        <f t="shared" si="64"/>
        <v>78.059558881519436</v>
      </c>
      <c r="J1386" s="40">
        <f t="shared" si="65"/>
        <v>78.051176943515074</v>
      </c>
      <c r="K1386" s="38" t="str">
        <f>IF(OR(A1386&gt;180,'1.설계입력'!$C$39&gt;=1),"",'1.설계입력'!$C$34*(1-SIN(B1386)/SQRT(1+'1.설계입력'!$C$39^2-2*'1.설계입력'!$C$39*COS(B1386)))-'1.설계입력'!$C$33*(1-'1.설계입력'!$C$39*COS(B1386)-SQRT(MAX(0,1-'1.설계입력'!$C$39^2))*SIN(B1386))/SQRT(1+'1.설계입력'!$C$39^2-2*'1.설계입력'!$C$39*COS(B1386)))</f>
        <v/>
      </c>
    </row>
    <row r="1387" spans="1:11" x14ac:dyDescent="0.3">
      <c r="A1387" s="40">
        <f>A1386+'1.설계입력'!$C$12</f>
        <v>276.19999999999288</v>
      </c>
      <c r="B1387" s="40">
        <f t="shared" si="63"/>
        <v>4.8205993940082141</v>
      </c>
      <c r="C1387" s="40">
        <f>ATAN2('1.설계입력'!$C$6/('1.설계입력'!$C$8*'1.설계입력'!$C$15)-COS((1-'1.설계입력'!$C$15)*B1387),SIN((1-'1.설계입력'!$C$15)*B1387))</f>
        <v>0.77202359528767928</v>
      </c>
      <c r="D1387" s="40">
        <f>'1.설계입력'!$C$6*COS(B1387)-'1.설계입력'!$C$7*COS(B1387+C1387)-'1.설계입력'!$C$8*COS('1.설계입력'!$C$15*B1387)</f>
        <v>6.3343052306535919</v>
      </c>
      <c r="E1387" s="40">
        <f>-'1.설계입력'!$C$6*SIN(B1387)+'1.설계입력'!$C$7*SIN(B1387+C1387)+'1.설계입력'!$C$8*SIN('1.설계입력'!$C$15*B1387)</f>
        <v>77.581720195927176</v>
      </c>
      <c r="F1387" s="40">
        <f>ATAN2(('1.설계입력'!$C$6+'1.설계입력'!$C$33)/('1.설계입력'!$C$8*'1.설계입력'!$C$15)-COS((1-'1.설계입력'!$C$15)*B1387),SIN((1-'1.설계입력'!$C$15)*B1387))</f>
        <v>0.77207680389994582</v>
      </c>
      <c r="G1387" s="40">
        <f>('1.설계입력'!$C$6+'1.설계입력'!$C$33)*COS(B1387)-('1.설계입력'!$C$7+'1.설계입력'!$C$34)*COS(B1387+F1387)-'1.설계입력'!$C$8*COS('1.설계입력'!$C$15*B1387)</f>
        <v>6.3275904007242696</v>
      </c>
      <c r="H1387" s="40">
        <f>-('1.설계입력'!$C$6+'1.설계입력'!$C$33)*SIN(B1387)+('1.설계입력'!$C$7+'1.설계입력'!$C$34)*SIN(B1387+F1387)+'1.설계입력'!$C$8*SIN('1.설계입력'!$C$15*B1387)</f>
        <v>77.573643272098607</v>
      </c>
      <c r="I1387" s="40">
        <f t="shared" si="64"/>
        <v>77.839878798172734</v>
      </c>
      <c r="J1387" s="40">
        <f t="shared" si="65"/>
        <v>77.831282469108444</v>
      </c>
      <c r="K1387" s="38" t="str">
        <f>IF(OR(A1387&gt;180,'1.설계입력'!$C$39&gt;=1),"",'1.설계입력'!$C$34*(1-SIN(B1387)/SQRT(1+'1.설계입력'!$C$39^2-2*'1.설계입력'!$C$39*COS(B1387)))-'1.설계입력'!$C$33*(1-'1.설계입력'!$C$39*COS(B1387)-SQRT(MAX(0,1-'1.설계입력'!$C$39^2))*SIN(B1387))/SQRT(1+'1.설계입력'!$C$39^2-2*'1.설계입력'!$C$39*COS(B1387)))</f>
        <v/>
      </c>
    </row>
    <row r="1388" spans="1:11" x14ac:dyDescent="0.3">
      <c r="A1388" s="40">
        <f>A1387+'1.설계입력'!$C$12</f>
        <v>276.39999999999287</v>
      </c>
      <c r="B1388" s="40">
        <f t="shared" si="63"/>
        <v>4.8240900525122026</v>
      </c>
      <c r="C1388" s="40">
        <f>ATAN2('1.설계입력'!$C$6/('1.설계입력'!$C$8*'1.설계입력'!$C$15)-COS((1-'1.설계입력'!$C$15)*B1388),SIN((1-'1.설계입력'!$C$15)*B1388))</f>
        <v>0.68189134706044374</v>
      </c>
      <c r="D1388" s="40">
        <f>'1.설계입력'!$C$6*COS(B1388)-'1.설계입력'!$C$7*COS(B1388+C1388)-'1.설계입력'!$C$8*COS('1.설계입력'!$C$15*B1388)</f>
        <v>6.6518265216039758</v>
      </c>
      <c r="E1388" s="40">
        <f>-'1.설계입력'!$C$6*SIN(B1388)+'1.설계입력'!$C$7*SIN(B1388+C1388)+'1.설계입력'!$C$8*SIN('1.설계입력'!$C$15*B1388)</f>
        <v>77.228370210995209</v>
      </c>
      <c r="F1388" s="40">
        <f>ATAN2(('1.설계입력'!$C$6+'1.설계입력'!$C$33)/('1.설계입력'!$C$8*'1.설계입력'!$C$15)-COS((1-'1.설계입력'!$C$15)*B1388),SIN((1-'1.설계입력'!$C$15)*B1388))</f>
        <v>0.68195023039581049</v>
      </c>
      <c r="G1388" s="40">
        <f>('1.설계입력'!$C$6+'1.설계입력'!$C$33)*COS(B1388)-('1.설계입력'!$C$7+'1.설계입력'!$C$34)*COS(B1388+F1388)-'1.설계입력'!$C$8*COS('1.설계입력'!$C$15*B1388)</f>
        <v>6.645541156223711</v>
      </c>
      <c r="H1388" s="40">
        <f>-('1.설계입력'!$C$6+'1.설계입력'!$C$33)*SIN(B1388)+('1.설계입력'!$C$7+'1.설계입력'!$C$34)*SIN(B1388+F1388)+'1.설계입력'!$C$8*SIN('1.설계입력'!$C$15*B1388)</f>
        <v>77.219777341644971</v>
      </c>
      <c r="I1388" s="40">
        <f t="shared" si="64"/>
        <v>77.514308108374706</v>
      </c>
      <c r="J1388" s="40">
        <f t="shared" si="65"/>
        <v>77.505207760203376</v>
      </c>
      <c r="K1388" s="38" t="str">
        <f>IF(OR(A1388&gt;180,'1.설계입력'!$C$39&gt;=1),"",'1.설계입력'!$C$34*(1-SIN(B1388)/SQRT(1+'1.설계입력'!$C$39^2-2*'1.설계입력'!$C$39*COS(B1388)))-'1.설계입력'!$C$33*(1-'1.설계입력'!$C$39*COS(B1388)-SQRT(MAX(0,1-'1.설계입력'!$C$39^2))*SIN(B1388))/SQRT(1+'1.설계입력'!$C$39^2-2*'1.설계입력'!$C$39*COS(B1388)))</f>
        <v/>
      </c>
    </row>
    <row r="1389" spans="1:11" x14ac:dyDescent="0.3">
      <c r="A1389" s="40">
        <f>A1388+'1.설계입력'!$C$12</f>
        <v>276.59999999999286</v>
      </c>
      <c r="B1389" s="40">
        <f t="shared" si="63"/>
        <v>4.827580711016191</v>
      </c>
      <c r="C1389" s="40">
        <f>ATAN2('1.설계입력'!$C$6/('1.설계입력'!$C$8*'1.설계입력'!$C$15)-COS((1-'1.설계입력'!$C$15)*B1389),SIN((1-'1.설계입력'!$C$15)*B1389))</f>
        <v>0.50916897798488903</v>
      </c>
      <c r="D1389" s="40">
        <f>'1.설계입력'!$C$6*COS(B1389)-'1.설계입력'!$C$7*COS(B1389+C1389)-'1.설계입력'!$C$8*COS('1.설계입력'!$C$15*B1389)</f>
        <v>7.2433241886005009</v>
      </c>
      <c r="E1389" s="40">
        <f>-'1.설계입력'!$C$6*SIN(B1389)+'1.설계입력'!$C$7*SIN(B1389+C1389)+'1.설계입력'!$C$8*SIN('1.설계입력'!$C$15*B1389)</f>
        <v>76.71943593055309</v>
      </c>
      <c r="F1389" s="40">
        <f>ATAN2(('1.설계입력'!$C$6+'1.설계입력'!$C$33)/('1.설계입력'!$C$8*'1.설계입력'!$C$15)-COS((1-'1.설계입력'!$C$15)*B1389),SIN((1-'1.설계입력'!$C$15)*B1389))</f>
        <v>0.50922526080303543</v>
      </c>
      <c r="G1389" s="40">
        <f>('1.설계입력'!$C$6+'1.설계입력'!$C$33)*COS(B1389)-('1.설계입력'!$C$7+'1.설계입력'!$C$34)*COS(B1389+F1389)-'1.설계입력'!$C$8*COS('1.설계입력'!$C$15*B1389)</f>
        <v>7.2380497723678632</v>
      </c>
      <c r="H1389" s="40">
        <f>-('1.설계입력'!$C$6+'1.설계입력'!$C$33)*SIN(B1389)+('1.설계입력'!$C$7+'1.설계입력'!$C$34)*SIN(B1389+F1389)+'1.설계입력'!$C$8*SIN('1.설계입력'!$C$15*B1389)</f>
        <v>76.709916523872252</v>
      </c>
      <c r="I1389" s="40">
        <f t="shared" si="64"/>
        <v>77.060609878221214</v>
      </c>
      <c r="J1389" s="40">
        <f t="shared" si="65"/>
        <v>77.050636970804618</v>
      </c>
      <c r="K1389" s="38" t="str">
        <f>IF(OR(A1389&gt;180,'1.설계입력'!$C$39&gt;=1),"",'1.설계입력'!$C$34*(1-SIN(B1389)/SQRT(1+'1.설계입력'!$C$39^2-2*'1.설계입력'!$C$39*COS(B1389)))-'1.설계입력'!$C$33*(1-'1.설계입력'!$C$39*COS(B1389)-SQRT(MAX(0,1-'1.설계입력'!$C$39^2))*SIN(B1389))/SQRT(1+'1.설계입력'!$C$39^2-2*'1.설계입력'!$C$39*COS(B1389)))</f>
        <v/>
      </c>
    </row>
    <row r="1390" spans="1:11" x14ac:dyDescent="0.3">
      <c r="A1390" s="40">
        <f>A1389+'1.설계입력'!$C$12</f>
        <v>276.79999999999285</v>
      </c>
      <c r="B1390" s="40">
        <f t="shared" si="63"/>
        <v>4.8310713695201795</v>
      </c>
      <c r="C1390" s="40">
        <f>ATAN2('1.설계입력'!$C$6/('1.설계입력'!$C$8*'1.설계입력'!$C$15)-COS((1-'1.설계입력'!$C$15)*B1390),SIN((1-'1.설계입력'!$C$15)*B1390))</f>
        <v>0.22231376167311384</v>
      </c>
      <c r="D1390" s="40">
        <f>'1.설계입력'!$C$6*COS(B1390)-'1.설계입력'!$C$7*COS(B1390+C1390)-'1.설계입력'!$C$8*COS('1.설계입력'!$C$15*B1390)</f>
        <v>8.3190719466945104</v>
      </c>
      <c r="E1390" s="40">
        <f>-'1.설계입력'!$C$6*SIN(B1390)+'1.설계입력'!$C$7*SIN(B1390+C1390)+'1.설계입력'!$C$8*SIN('1.설계입력'!$C$15*B1390)</f>
        <v>76.154397446642889</v>
      </c>
      <c r="F1390" s="40">
        <f>ATAN2(('1.설계입력'!$C$6+'1.설계입력'!$C$33)/('1.설계입력'!$C$8*'1.설계입력'!$C$15)-COS((1-'1.설계입력'!$C$15)*B1390),SIN((1-'1.설계입력'!$C$15)*B1390))</f>
        <v>0.22234378257514054</v>
      </c>
      <c r="G1390" s="40">
        <f>('1.설계입력'!$C$6+'1.설계입력'!$C$33)*COS(B1390)-('1.설계입력'!$C$7+'1.설계입력'!$C$34)*COS(B1390+F1390)-'1.설계입력'!$C$8*COS('1.설계입력'!$C$15*B1390)</f>
        <v>8.3158826453712571</v>
      </c>
      <c r="H1390" s="40">
        <f>-('1.설계입력'!$C$6+'1.설계입력'!$C$33)*SIN(B1390)+('1.설계입력'!$C$7+'1.설계입력'!$C$34)*SIN(B1390+F1390)+'1.설계입력'!$C$8*SIN('1.설계입력'!$C$15*B1390)</f>
        <v>76.143725877524517</v>
      </c>
      <c r="I1390" s="40">
        <f t="shared" si="64"/>
        <v>76.607435726015055</v>
      </c>
      <c r="J1390" s="40">
        <f t="shared" si="65"/>
        <v>76.596480954957613</v>
      </c>
      <c r="K1390" s="38" t="str">
        <f>IF(OR(A1390&gt;180,'1.설계입력'!$C$39&gt;=1),"",'1.설계입력'!$C$34*(1-SIN(B1390)/SQRT(1+'1.설계입력'!$C$39^2-2*'1.설계입력'!$C$39*COS(B1390)))-'1.설계입력'!$C$33*(1-'1.설계입력'!$C$39*COS(B1390)-SQRT(MAX(0,1-'1.설계입력'!$C$39^2))*SIN(B1390))/SQRT(1+'1.설계입력'!$C$39^2-2*'1.설계입력'!$C$39*COS(B1390)))</f>
        <v/>
      </c>
    </row>
    <row r="1391" spans="1:11" x14ac:dyDescent="0.3">
      <c r="A1391" s="40">
        <f>A1390+'1.설계입력'!$C$12</f>
        <v>276.99999999999284</v>
      </c>
      <c r="B1391" s="40">
        <f t="shared" si="63"/>
        <v>4.8345620280241679</v>
      </c>
      <c r="C1391" s="40">
        <f>ATAN2('1.설계입력'!$C$6/('1.설계입력'!$C$8*'1.설계입력'!$C$15)-COS((1-'1.설계입력'!$C$15)*B1391),SIN((1-'1.설계입력'!$C$15)*B1391))</f>
        <v>-0.14125586132398207</v>
      </c>
      <c r="D1391" s="40">
        <f>'1.설계입력'!$C$6*COS(B1391)-'1.설계입력'!$C$7*COS(B1391+C1391)-'1.설계입력'!$C$8*COS('1.설계입력'!$C$15*B1391)</f>
        <v>9.8091405148221629</v>
      </c>
      <c r="E1391" s="40">
        <f>-'1.설계입력'!$C$6*SIN(B1391)+'1.설계입력'!$C$7*SIN(B1391+C1391)+'1.설계입력'!$C$8*SIN('1.설계입력'!$C$15*B1391)</f>
        <v>75.912301090525204</v>
      </c>
      <c r="F1391" s="40">
        <f>ATAN2(('1.설계입력'!$C$6+'1.설계입력'!$C$33)/('1.설계입력'!$C$8*'1.설계입력'!$C$15)-COS((1-'1.설계입력'!$C$15)*B1391),SIN((1-'1.설계입력'!$C$15)*B1391))</f>
        <v>-0.14127543140173149</v>
      </c>
      <c r="G1391" s="40">
        <f>('1.설계입력'!$C$6+'1.설계입력'!$C$33)*COS(B1391)-('1.설계입력'!$C$7+'1.설계입력'!$C$34)*COS(B1391+F1391)-'1.설계입력'!$C$8*COS('1.설계입력'!$C$15*B1391)</f>
        <v>9.8089957057998785</v>
      </c>
      <c r="H1391" s="40">
        <f>-('1.설계입력'!$C$6+'1.설계입력'!$C$33)*SIN(B1391)+('1.설계입력'!$C$7+'1.설계입력'!$C$34)*SIN(B1391+F1391)+'1.설계입력'!$C$8*SIN('1.설계입력'!$C$15*B1391)</f>
        <v>75.901127169743262</v>
      </c>
      <c r="I1391" s="40">
        <f t="shared" si="64"/>
        <v>76.543430119756721</v>
      </c>
      <c r="J1391" s="40">
        <f t="shared" si="65"/>
        <v>76.532329785483071</v>
      </c>
      <c r="K1391" s="38" t="str">
        <f>IF(OR(A1391&gt;180,'1.설계입력'!$C$39&gt;=1),"",'1.설계입력'!$C$34*(1-SIN(B1391)/SQRT(1+'1.설계입력'!$C$39^2-2*'1.설계입력'!$C$39*COS(B1391)))-'1.설계입력'!$C$33*(1-'1.설계입력'!$C$39*COS(B1391)-SQRT(MAX(0,1-'1.설계입력'!$C$39^2))*SIN(B1391))/SQRT(1+'1.설계입력'!$C$39^2-2*'1.설계입력'!$C$39*COS(B1391)))</f>
        <v/>
      </c>
    </row>
    <row r="1392" spans="1:11" x14ac:dyDescent="0.3">
      <c r="A1392" s="40">
        <f>A1391+'1.설계입력'!$C$12</f>
        <v>277.19999999999283</v>
      </c>
      <c r="B1392" s="40">
        <f t="shared" si="63"/>
        <v>4.8380526865281563</v>
      </c>
      <c r="C1392" s="40">
        <f>ATAN2('1.설계입력'!$C$6/('1.설계입력'!$C$8*'1.설계입력'!$C$15)-COS((1-'1.설계입력'!$C$15)*B1392),SIN((1-'1.설계입력'!$C$15)*B1392))</f>
        <v>-0.45359002220616634</v>
      </c>
      <c r="D1392" s="40">
        <f>'1.설계입력'!$C$6*COS(B1392)-'1.설계입력'!$C$7*COS(B1392+C1392)-'1.설계입력'!$C$8*COS('1.설계입력'!$C$15*B1392)</f>
        <v>11.10212182178781</v>
      </c>
      <c r="E1392" s="40">
        <f>-'1.설계입력'!$C$6*SIN(B1392)+'1.설계입력'!$C$7*SIN(B1392+C1392)+'1.설계입력'!$C$8*SIN('1.설계입력'!$C$15*B1392)</f>
        <v>76.139971646137894</v>
      </c>
      <c r="F1392" s="40">
        <f>ATAN2(('1.설계입력'!$C$6+'1.설계입력'!$C$33)/('1.설계입력'!$C$8*'1.설계입력'!$C$15)-COS((1-'1.설계입력'!$C$15)*B1392),SIN((1-'1.설계입력'!$C$15)*B1392))</f>
        <v>-0.45364297231523332</v>
      </c>
      <c r="G1392" s="40">
        <f>('1.설계입력'!$C$6+'1.설계입력'!$C$33)*COS(B1392)-('1.설계입력'!$C$7+'1.설계입력'!$C$34)*COS(B1392+F1392)-'1.설계입력'!$C$8*COS('1.설계입력'!$C$15*B1392)</f>
        <v>11.104543059443337</v>
      </c>
      <c r="H1392" s="40">
        <f>-('1.설계입력'!$C$6+'1.설계입력'!$C$33)*SIN(B1392)+('1.설계입력'!$C$7+'1.설계입력'!$C$34)*SIN(B1392+F1392)+'1.설계입력'!$C$8*SIN('1.설계입력'!$C$15*B1392)</f>
        <v>76.12929608141954</v>
      </c>
      <c r="I1392" s="40">
        <f t="shared" si="64"/>
        <v>76.945125844464641</v>
      </c>
      <c r="J1392" s="40">
        <f t="shared" si="65"/>
        <v>76.934911440850257</v>
      </c>
      <c r="K1392" s="38" t="str">
        <f>IF(OR(A1392&gt;180,'1.설계입력'!$C$39&gt;=1),"",'1.설계입력'!$C$34*(1-SIN(B1392)/SQRT(1+'1.설계입력'!$C$39^2-2*'1.설계입력'!$C$39*COS(B1392)))-'1.설계입력'!$C$33*(1-'1.설계입력'!$C$39*COS(B1392)-SQRT(MAX(0,1-'1.설계입력'!$C$39^2))*SIN(B1392))/SQRT(1+'1.설계입력'!$C$39^2-2*'1.설계입력'!$C$39*COS(B1392)))</f>
        <v/>
      </c>
    </row>
    <row r="1393" spans="1:11" x14ac:dyDescent="0.3">
      <c r="A1393" s="40">
        <f>A1392+'1.설계입력'!$C$12</f>
        <v>277.39999999999281</v>
      </c>
      <c r="B1393" s="40">
        <f t="shared" si="63"/>
        <v>4.8415433450321448</v>
      </c>
      <c r="C1393" s="40">
        <f>ATAN2('1.설계입력'!$C$6/('1.설계입력'!$C$8*'1.설계입력'!$C$15)-COS((1-'1.설계입력'!$C$15)*B1393),SIN((1-'1.설계입력'!$C$15)*B1393))</f>
        <v>-0.65077265334155121</v>
      </c>
      <c r="D1393" s="40">
        <f>'1.설계입력'!$C$6*COS(B1393)-'1.설계입력'!$C$7*COS(B1393+C1393)-'1.설계입력'!$C$8*COS('1.설계입력'!$C$15*B1393)</f>
        <v>11.896817673447337</v>
      </c>
      <c r="E1393" s="40">
        <f>-'1.설계입력'!$C$6*SIN(B1393)+'1.설계입력'!$C$7*SIN(B1393+C1393)+'1.설계입력'!$C$8*SIN('1.설계입력'!$C$15*B1393)</f>
        <v>76.500788453275717</v>
      </c>
      <c r="F1393" s="40">
        <f>ATAN2(('1.설계입력'!$C$6+'1.설계입력'!$C$33)/('1.설계입력'!$C$8*'1.설계입력'!$C$15)-COS((1-'1.설계입력'!$C$15)*B1393),SIN((1-'1.설계입력'!$C$15)*B1393))</f>
        <v>-0.65083210575681505</v>
      </c>
      <c r="G1393" s="40">
        <f>('1.설계입력'!$C$6+'1.설계입력'!$C$33)*COS(B1393)-('1.설계입력'!$C$7+'1.설계입력'!$C$34)*COS(B1393+F1393)-'1.설계입력'!$C$8*COS('1.설계입력'!$C$15*B1393)</f>
        <v>11.900661104719976</v>
      </c>
      <c r="H1393" s="40">
        <f>-('1.설계입력'!$C$6+'1.설계입력'!$C$33)*SIN(B1393)+('1.설계입력'!$C$7+'1.설계입력'!$C$34)*SIN(B1393+F1393)+'1.설계입력'!$C$8*SIN('1.설계입력'!$C$15*B1393)</f>
        <v>76.490810202507291</v>
      </c>
      <c r="I1393" s="40">
        <f t="shared" si="64"/>
        <v>77.420313256458044</v>
      </c>
      <c r="J1393" s="40">
        <f t="shared" si="65"/>
        <v>77.411044303544884</v>
      </c>
      <c r="K1393" s="38" t="str">
        <f>IF(OR(A1393&gt;180,'1.설계입력'!$C$39&gt;=1),"",'1.설계입력'!$C$34*(1-SIN(B1393)/SQRT(1+'1.설계입력'!$C$39^2-2*'1.설계입력'!$C$39*COS(B1393)))-'1.설계입력'!$C$33*(1-'1.설계입력'!$C$39*COS(B1393)-SQRT(MAX(0,1-'1.설계입력'!$C$39^2))*SIN(B1393))/SQRT(1+'1.설계입력'!$C$39^2-2*'1.설계입력'!$C$39*COS(B1393)))</f>
        <v/>
      </c>
    </row>
    <row r="1394" spans="1:11" x14ac:dyDescent="0.3">
      <c r="A1394" s="40">
        <f>A1393+'1.설계입력'!$C$12</f>
        <v>277.5999999999928</v>
      </c>
      <c r="B1394" s="40">
        <f t="shared" si="63"/>
        <v>4.8450340035361332</v>
      </c>
      <c r="C1394" s="40">
        <f>ATAN2('1.설계입력'!$C$6/('1.설계입력'!$C$8*'1.설계입력'!$C$15)-COS((1-'1.설계입력'!$C$15)*B1394),SIN((1-'1.설계입력'!$C$15)*B1394))</f>
        <v>-0.75665988680528407</v>
      </c>
      <c r="D1394" s="40">
        <f>'1.설계입력'!$C$6*COS(B1394)-'1.설계입력'!$C$7*COS(B1394+C1394)-'1.설계입력'!$C$8*COS('1.설계입력'!$C$15*B1394)</f>
        <v>12.343426965508753</v>
      </c>
      <c r="E1394" s="40">
        <f>-'1.설계입력'!$C$6*SIN(B1394)+'1.설계입력'!$C$7*SIN(B1394+C1394)+'1.설계입력'!$C$8*SIN('1.설계입력'!$C$15*B1394)</f>
        <v>76.78996143585357</v>
      </c>
      <c r="F1394" s="40">
        <f>ATAN2(('1.설계입력'!$C$6+'1.설계입력'!$C$33)/('1.설계입력'!$C$8*'1.설계입력'!$C$15)-COS((1-'1.설계입력'!$C$15)*B1394),SIN((1-'1.설계입력'!$C$15)*B1394))</f>
        <v>-0.75671465249483494</v>
      </c>
      <c r="G1394" s="40">
        <f>('1.설계입력'!$C$6+'1.설계입력'!$C$33)*COS(B1394)-('1.설계입력'!$C$7+'1.설계입력'!$C$34)*COS(B1394+F1394)-'1.설계입력'!$C$8*COS('1.설계입력'!$C$15*B1394)</f>
        <v>12.347927919633966</v>
      </c>
      <c r="H1394" s="40">
        <f>-('1.설계입력'!$C$6+'1.설계입력'!$C$33)*SIN(B1394)+('1.설계입력'!$C$7+'1.설계입력'!$C$34)*SIN(B1394+F1394)+'1.설계입력'!$C$8*SIN('1.설계입력'!$C$15*B1394)</f>
        <v>76.780443462776958</v>
      </c>
      <c r="I1394" s="40">
        <f t="shared" si="64"/>
        <v>77.775692646049293</v>
      </c>
      <c r="J1394" s="40">
        <f t="shared" si="65"/>
        <v>77.767009857967182</v>
      </c>
      <c r="K1394" s="38" t="str">
        <f>IF(OR(A1394&gt;180,'1.설계입력'!$C$39&gt;=1),"",'1.설계입력'!$C$34*(1-SIN(B1394)/SQRT(1+'1.설계입력'!$C$39^2-2*'1.설계입력'!$C$39*COS(B1394)))-'1.설계입력'!$C$33*(1-'1.설계입력'!$C$39*COS(B1394)-SQRT(MAX(0,1-'1.설계입력'!$C$39^2))*SIN(B1394))/SQRT(1+'1.설계입력'!$C$39^2-2*'1.설계입력'!$C$39*COS(B1394)))</f>
        <v/>
      </c>
    </row>
    <row r="1395" spans="1:11" x14ac:dyDescent="0.3">
      <c r="A1395" s="40">
        <f>A1394+'1.설계입력'!$C$12</f>
        <v>277.79999999999279</v>
      </c>
      <c r="B1395" s="40">
        <f t="shared" si="63"/>
        <v>4.8485246620401217</v>
      </c>
      <c r="C1395" s="40">
        <f>ATAN2('1.설계입력'!$C$6/('1.설계입력'!$C$8*'1.설계입력'!$C$15)-COS((1-'1.설계입력'!$C$15)*B1395),SIN((1-'1.설계입력'!$C$15)*B1395))</f>
        <v>-0.80581641004110038</v>
      </c>
      <c r="D1395" s="40">
        <f>'1.설계입력'!$C$6*COS(B1395)-'1.설계입력'!$C$7*COS(B1395+C1395)-'1.설계입력'!$C$8*COS('1.설계입력'!$C$15*B1395)</f>
        <v>12.607923843599242</v>
      </c>
      <c r="E1395" s="40">
        <f>-'1.설계입력'!$C$6*SIN(B1395)+'1.설계입력'!$C$7*SIN(B1395+C1395)+'1.설계입력'!$C$8*SIN('1.설계입력'!$C$15*B1395)</f>
        <v>76.99052612393119</v>
      </c>
      <c r="F1395" s="40">
        <f>ATAN2(('1.설계입력'!$C$6+'1.설계입력'!$C$33)/('1.설계입력'!$C$8*'1.설계입력'!$C$15)-COS((1-'1.설계입력'!$C$15)*B1395),SIN((1-'1.설계입력'!$C$15)*B1395))</f>
        <v>-0.80586424852686667</v>
      </c>
      <c r="G1395" s="40">
        <f>('1.설계입력'!$C$6+'1.설계입력'!$C$33)*COS(B1395)-('1.설계입력'!$C$7+'1.설계입력'!$C$34)*COS(B1395+F1395)-'1.설계입력'!$C$8*COS('1.설계입력'!$C$15*B1395)</f>
        <v>12.6126814107736</v>
      </c>
      <c r="H1395" s="40">
        <f>-('1.설계입력'!$C$6+'1.설계입력'!$C$33)*SIN(B1395)+('1.설계입력'!$C$7+'1.설계입력'!$C$34)*SIN(B1395+F1395)+'1.설계입력'!$C$8*SIN('1.설계입력'!$C$15*B1395)</f>
        <v>76.981223268873904</v>
      </c>
      <c r="I1395" s="40">
        <f t="shared" si="64"/>
        <v>78.01602948423951</v>
      </c>
      <c r="J1395" s="40">
        <f t="shared" si="65"/>
        <v>78.007618014793195</v>
      </c>
      <c r="K1395" s="38" t="str">
        <f>IF(OR(A1395&gt;180,'1.설계입력'!$C$39&gt;=1),"",'1.설계입력'!$C$34*(1-SIN(B1395)/SQRT(1+'1.설계입력'!$C$39^2-2*'1.설계입력'!$C$39*COS(B1395)))-'1.설계입력'!$C$33*(1-'1.설계입력'!$C$39*COS(B1395)-SQRT(MAX(0,1-'1.설계입력'!$C$39^2))*SIN(B1395))/SQRT(1+'1.설계입력'!$C$39^2-2*'1.설계입력'!$C$39*COS(B1395)))</f>
        <v/>
      </c>
    </row>
    <row r="1396" spans="1:11" x14ac:dyDescent="0.3">
      <c r="A1396" s="40">
        <f>A1395+'1.설계입력'!$C$12</f>
        <v>277.99999999999278</v>
      </c>
      <c r="B1396" s="40">
        <f t="shared" si="63"/>
        <v>4.8520153205441101</v>
      </c>
      <c r="C1396" s="40">
        <f>ATAN2('1.설계입력'!$C$6/('1.설계입력'!$C$8*'1.설계입력'!$C$15)-COS((1-'1.설계입력'!$C$15)*B1396),SIN((1-'1.설계입력'!$C$15)*B1396))</f>
        <v>-0.82066661728313173</v>
      </c>
      <c r="D1396" s="40">
        <f>'1.설계입력'!$C$6*COS(B1396)-'1.설계입력'!$C$7*COS(B1396+C1396)-'1.설계입력'!$C$8*COS('1.설계입력'!$C$15*B1396)</f>
        <v>12.781533913047225</v>
      </c>
      <c r="E1396" s="40">
        <f>-'1.설계입력'!$C$6*SIN(B1396)+'1.설계입력'!$C$7*SIN(B1396+C1396)+'1.설계입력'!$C$8*SIN('1.설계입력'!$C$15*B1396)</f>
        <v>77.130127505734421</v>
      </c>
      <c r="F1396" s="40">
        <f>ATAN2(('1.설계입력'!$C$6+'1.설계입력'!$C$33)/('1.설계입력'!$C$8*'1.설계입력'!$C$15)-COS((1-'1.설계입력'!$C$15)*B1396),SIN((1-'1.설계입력'!$C$15)*B1396))</f>
        <v>-0.82070794716830908</v>
      </c>
      <c r="G1396" s="40">
        <f>('1.설계입력'!$C$6+'1.설계입력'!$C$33)*COS(B1396)-('1.설계입력'!$C$7+'1.설계입력'!$C$34)*COS(B1396+F1396)-'1.설계입력'!$C$8*COS('1.설계입력'!$C$15*B1396)</f>
        <v>12.786330946881472</v>
      </c>
      <c r="H1396" s="40">
        <f>-('1.설계입력'!$C$6+'1.설계입력'!$C$33)*SIN(B1396)+('1.설계입력'!$C$7+'1.설계입력'!$C$34)*SIN(B1396+F1396)+'1.설계입력'!$C$8*SIN('1.설계입력'!$C$15*B1396)</f>
        <v>77.120868936346071</v>
      </c>
      <c r="I1396" s="40">
        <f t="shared" si="64"/>
        <v>78.181993951428652</v>
      </c>
      <c r="J1396" s="40">
        <f t="shared" si="65"/>
        <v>78.173644437113509</v>
      </c>
      <c r="K1396" s="38" t="str">
        <f>IF(OR(A1396&gt;180,'1.설계입력'!$C$39&gt;=1),"",'1.설계입력'!$C$34*(1-SIN(B1396)/SQRT(1+'1.설계입력'!$C$39^2-2*'1.설계입력'!$C$39*COS(B1396)))-'1.설계입력'!$C$33*(1-'1.설계입력'!$C$39*COS(B1396)-SQRT(MAX(0,1-'1.설계입력'!$C$39^2))*SIN(B1396))/SQRT(1+'1.설계입력'!$C$39^2-2*'1.설계입력'!$C$39*COS(B1396)))</f>
        <v/>
      </c>
    </row>
    <row r="1397" spans="1:11" x14ac:dyDescent="0.3">
      <c r="A1397" s="40">
        <f>A1396+'1.설계입력'!$C$12</f>
        <v>278.19999999999277</v>
      </c>
      <c r="B1397" s="40">
        <f t="shared" si="63"/>
        <v>4.8555059790480986</v>
      </c>
      <c r="C1397" s="40">
        <f>ATAN2('1.설계입력'!$C$6/('1.설계입력'!$C$8*'1.설계입력'!$C$15)-COS((1-'1.설계입력'!$C$15)*B1397),SIN((1-'1.설계입력'!$C$15)*B1397))</f>
        <v>-0.81406835660796972</v>
      </c>
      <c r="D1397" s="40">
        <f>'1.설계입력'!$C$6*COS(B1397)-'1.설계입력'!$C$7*COS(B1397+C1397)-'1.설계입력'!$C$8*COS('1.설계입력'!$C$15*B1397)</f>
        <v>12.910426023096889</v>
      </c>
      <c r="E1397" s="40">
        <f>-'1.설계입력'!$C$6*SIN(B1397)+'1.설계입력'!$C$7*SIN(B1397+C1397)+'1.설계입력'!$C$8*SIN('1.설계입력'!$C$15*B1397)</f>
        <v>77.233849912858531</v>
      </c>
      <c r="F1397" s="40">
        <f>ATAN2(('1.설계입력'!$C$6+'1.설계입력'!$C$33)/('1.설계입력'!$C$8*'1.설계입력'!$C$15)-COS((1-'1.설계입력'!$C$15)*B1397),SIN((1-'1.설계입력'!$C$15)*B1397))</f>
        <v>-0.81410411842964314</v>
      </c>
      <c r="G1397" s="40">
        <f>('1.설계입력'!$C$6+'1.설계입력'!$C$33)*COS(B1397)-('1.설계입력'!$C$7+'1.설계입력'!$C$34)*COS(B1397+F1397)-'1.설계입력'!$C$8*COS('1.설계입력'!$C$15*B1397)</f>
        <v>12.915132162037283</v>
      </c>
      <c r="H1397" s="40">
        <f>-('1.설계입력'!$C$6+'1.설계입력'!$C$33)*SIN(B1397)+('1.설계입력'!$C$7+'1.설계입력'!$C$34)*SIN(B1397+F1397)+'1.설계입력'!$C$8*SIN('1.설계입력'!$C$15*B1397)</f>
        <v>77.224526558333878</v>
      </c>
      <c r="I1397" s="40">
        <f t="shared" si="64"/>
        <v>78.305470258851102</v>
      </c>
      <c r="J1397" s="40">
        <f t="shared" si="65"/>
        <v>78.297050652765364</v>
      </c>
      <c r="K1397" s="38" t="str">
        <f>IF(OR(A1397&gt;180,'1.설계입력'!$C$39&gt;=1),"",'1.설계입력'!$C$34*(1-SIN(B1397)/SQRT(1+'1.설계입력'!$C$39^2-2*'1.설계입력'!$C$39*COS(B1397)))-'1.설계입력'!$C$33*(1-'1.설계입력'!$C$39*COS(B1397)-SQRT(MAX(0,1-'1.설계입력'!$C$39^2))*SIN(B1397))/SQRT(1+'1.설계입력'!$C$39^2-2*'1.설계입력'!$C$39*COS(B1397)))</f>
        <v/>
      </c>
    </row>
    <row r="1398" spans="1:11" x14ac:dyDescent="0.3">
      <c r="A1398" s="40">
        <f>A1397+'1.설계입력'!$C$12</f>
        <v>278.39999999999276</v>
      </c>
      <c r="B1398" s="40">
        <f t="shared" si="63"/>
        <v>4.858996637552087</v>
      </c>
      <c r="C1398" s="40">
        <f>ATAN2('1.설계입력'!$C$6/('1.설계입력'!$C$8*'1.설계입력'!$C$15)-COS((1-'1.설계입력'!$C$15)*B1398),SIN((1-'1.설계입력'!$C$15)*B1398))</f>
        <v>-0.79344975224070891</v>
      </c>
      <c r="D1398" s="40">
        <f>'1.설계입력'!$C$6*COS(B1398)-'1.설계입력'!$C$7*COS(B1398+C1398)-'1.설계입력'!$C$8*COS('1.설계입력'!$C$15*B1398)</f>
        <v>13.019167897238583</v>
      </c>
      <c r="E1398" s="40">
        <f>-'1.설계입력'!$C$6*SIN(B1398)+'1.설계입력'!$C$7*SIN(B1398+C1398)+'1.설계입력'!$C$8*SIN('1.설계입력'!$C$15*B1398)</f>
        <v>77.318262549987224</v>
      </c>
      <c r="F1398" s="40">
        <f>ATAN2(('1.설계입력'!$C$6+'1.설계입력'!$C$33)/('1.설계입력'!$C$8*'1.설계입력'!$C$15)-COS((1-'1.설계입력'!$C$15)*B1398),SIN((1-'1.설계입력'!$C$15)*B1398))</f>
        <v>-0.7934808421956463</v>
      </c>
      <c r="G1398" s="40">
        <f>('1.설계입력'!$C$6+'1.설계입력'!$C$33)*COS(B1398)-('1.설계입력'!$C$7+'1.설계입력'!$C$34)*COS(B1398+F1398)-'1.설계입력'!$C$8*COS('1.설계입력'!$C$15*B1398)</f>
        <v>13.023696100076638</v>
      </c>
      <c r="H1398" s="40">
        <f>-('1.설계입력'!$C$6+'1.설계입력'!$C$33)*SIN(B1398)+('1.설계입력'!$C$7+'1.설계입력'!$C$34)*SIN(B1398+F1398)+'1.설계입력'!$C$8*SIN('1.설계입력'!$C$15*B1398)</f>
        <v>77.308807180261155</v>
      </c>
      <c r="I1398" s="40">
        <f t="shared" si="64"/>
        <v>78.406711807633187</v>
      </c>
      <c r="J1398" s="40">
        <f t="shared" si="65"/>
        <v>78.39813982322508</v>
      </c>
      <c r="K1398" s="38" t="str">
        <f>IF(OR(A1398&gt;180,'1.설계입력'!$C$39&gt;=1),"",'1.설계입력'!$C$34*(1-SIN(B1398)/SQRT(1+'1.설계입력'!$C$39^2-2*'1.설계입력'!$C$39*COS(B1398)))-'1.설계입력'!$C$33*(1-'1.설계입력'!$C$39*COS(B1398)-SQRT(MAX(0,1-'1.설계입력'!$C$39^2))*SIN(B1398))/SQRT(1+'1.설계입력'!$C$39^2-2*'1.설계입력'!$C$39*COS(B1398)))</f>
        <v/>
      </c>
    </row>
    <row r="1399" spans="1:11" x14ac:dyDescent="0.3">
      <c r="A1399" s="40">
        <f>A1398+'1.설계입력'!$C$12</f>
        <v>278.59999999999275</v>
      </c>
      <c r="B1399" s="40">
        <f t="shared" si="63"/>
        <v>4.8624872960560754</v>
      </c>
      <c r="C1399" s="40">
        <f>ATAN2('1.설계입력'!$C$6/('1.설계입력'!$C$8*'1.설계입력'!$C$15)-COS((1-'1.설계입력'!$C$15)*B1399),SIN((1-'1.설계입력'!$C$15)*B1399))</f>
        <v>-0.76327374705167406</v>
      </c>
      <c r="D1399" s="40">
        <f>'1.설계입력'!$C$6*COS(B1399)-'1.설계입력'!$C$7*COS(B1399+C1399)-'1.설계입력'!$C$8*COS('1.설계입력'!$C$15*B1399)</f>
        <v>13.12187483266781</v>
      </c>
      <c r="E1399" s="40">
        <f>-'1.설계입력'!$C$6*SIN(B1399)+'1.설계입력'!$C$7*SIN(B1399+C1399)+'1.설계입력'!$C$8*SIN('1.설계입력'!$C$15*B1399)</f>
        <v>77.39326806335653</v>
      </c>
      <c r="F1399" s="40">
        <f>ATAN2(('1.설계입력'!$C$6+'1.설계입력'!$C$33)/('1.설계입력'!$C$8*'1.설계입력'!$C$15)-COS((1-'1.설계입력'!$C$15)*B1399),SIN((1-'1.설계입력'!$C$15)*B1399))</f>
        <v>-0.76330090315784815</v>
      </c>
      <c r="G1399" s="40">
        <f>('1.설계입력'!$C$6+'1.설계입력'!$C$33)*COS(B1399)-('1.설계입력'!$C$7+'1.설계입력'!$C$34)*COS(B1399+F1399)-'1.설계입력'!$C$8*COS('1.설계입력'!$C$15*B1399)</f>
        <v>13.126161573050798</v>
      </c>
      <c r="H1399" s="40">
        <f>-('1.설계입력'!$C$6+'1.설계입력'!$C$33)*SIN(B1399)+('1.설계입력'!$C$7+'1.설계입력'!$C$34)*SIN(B1399+F1399)+'1.설계입력'!$C$8*SIN('1.설계입력'!$C$15*B1399)</f>
        <v>77.383641175394814</v>
      </c>
      <c r="I1399" s="40">
        <f t="shared" si="64"/>
        <v>78.497780482321673</v>
      </c>
      <c r="J1399" s="40">
        <f t="shared" si="65"/>
        <v>78.489005849253147</v>
      </c>
      <c r="K1399" s="38" t="str">
        <f>IF(OR(A1399&gt;180,'1.설계입력'!$C$39&gt;=1),"",'1.설계입력'!$C$34*(1-SIN(B1399)/SQRT(1+'1.설계입력'!$C$39^2-2*'1.설계입력'!$C$39*COS(B1399)))-'1.설계입력'!$C$33*(1-'1.설계입력'!$C$39*COS(B1399)-SQRT(MAX(0,1-'1.설계입력'!$C$39^2))*SIN(B1399))/SQRT(1+'1.설계입력'!$C$39^2-2*'1.설계입력'!$C$39*COS(B1399)))</f>
        <v/>
      </c>
    </row>
    <row r="1400" spans="1:11" x14ac:dyDescent="0.3">
      <c r="A1400" s="40">
        <f>A1399+'1.설계입력'!$C$12</f>
        <v>278.79999999999274</v>
      </c>
      <c r="B1400" s="40">
        <f t="shared" si="63"/>
        <v>4.8659779545600639</v>
      </c>
      <c r="C1400" s="40">
        <f>ATAN2('1.설계입력'!$C$6/('1.설계입력'!$C$8*'1.설계입력'!$C$15)-COS((1-'1.설계입력'!$C$15)*B1400),SIN((1-'1.설계입력'!$C$15)*B1400))</f>
        <v>-0.7263425539142363</v>
      </c>
      <c r="D1400" s="40">
        <f>'1.설계입력'!$C$6*COS(B1400)-'1.설계입력'!$C$7*COS(B1400+C1400)-'1.설계입력'!$C$8*COS('1.설계입력'!$C$15*B1400)</f>
        <v>13.227229438063949</v>
      </c>
      <c r="E1400" s="40">
        <f>-'1.설계입력'!$C$6*SIN(B1400)+'1.설계입력'!$C$7*SIN(B1400+C1400)+'1.설계입력'!$C$8*SIN('1.설계입력'!$C$15*B1400)</f>
        <v>77.464320165431928</v>
      </c>
      <c r="F1400" s="40">
        <f>ATAN2(('1.설계입력'!$C$6+'1.설계입력'!$C$33)/('1.설계입력'!$C$8*'1.설계입력'!$C$15)-COS((1-'1.설계입력'!$C$15)*B1400),SIN((1-'1.설계입력'!$C$15)*B1400))</f>
        <v>-0.72636635978765585</v>
      </c>
      <c r="G1400" s="40">
        <f>('1.설계입력'!$C$6+'1.설계입력'!$C$33)*COS(B1400)-('1.설계입력'!$C$7+'1.설계입력'!$C$34)*COS(B1400+F1400)-'1.설계입력'!$C$8*COS('1.설계입력'!$C$15*B1400)</f>
        <v>13.231225151120427</v>
      </c>
      <c r="H1400" s="40">
        <f>-('1.설계입력'!$C$6+'1.설계입력'!$C$33)*SIN(B1400)+('1.설계입력'!$C$7+'1.설계입력'!$C$34)*SIN(B1400+F1400)+'1.설계입력'!$C$8*SIN('1.설계입력'!$C$15*B1400)</f>
        <v>77.454501033001421</v>
      </c>
      <c r="I1400" s="40">
        <f t="shared" si="64"/>
        <v>78.585498008854842</v>
      </c>
      <c r="J1400" s="40">
        <f t="shared" si="65"/>
        <v>78.576491708849275</v>
      </c>
      <c r="K1400" s="38" t="str">
        <f>IF(OR(A1400&gt;180,'1.설계입력'!$C$39&gt;=1),"",'1.설계입력'!$C$34*(1-SIN(B1400)/SQRT(1+'1.설계입력'!$C$39^2-2*'1.설계입력'!$C$39*COS(B1400)))-'1.설계입력'!$C$33*(1-'1.설계입력'!$C$39*COS(B1400)-SQRT(MAX(0,1-'1.설계입력'!$C$39^2))*SIN(B1400))/SQRT(1+'1.설계입력'!$C$39^2-2*'1.설계입력'!$C$39*COS(B1400)))</f>
        <v/>
      </c>
    </row>
    <row r="1401" spans="1:11" x14ac:dyDescent="0.3">
      <c r="A1401" s="40">
        <f>A1400+'1.설계입력'!$C$12</f>
        <v>278.99999999999272</v>
      </c>
      <c r="B1401" s="40">
        <f t="shared" si="63"/>
        <v>4.8694686130640523</v>
      </c>
      <c r="C1401" s="40">
        <f>ATAN2('1.설계입력'!$C$6/('1.설계입력'!$C$8*'1.설계입력'!$C$15)-COS((1-'1.설계입력'!$C$15)*B1401),SIN((1-'1.설계입력'!$C$15)*B1401))</f>
        <v>-0.68449005659062434</v>
      </c>
      <c r="D1401" s="40">
        <f>'1.설계입력'!$C$6*COS(B1401)-'1.설계입력'!$C$7*COS(B1401+C1401)-'1.설계입력'!$C$8*COS('1.설계입력'!$C$15*B1401)</f>
        <v>13.340815509748062</v>
      </c>
      <c r="E1401" s="40">
        <f>-'1.설계입력'!$C$6*SIN(B1401)+'1.설계입력'!$C$7*SIN(B1401+C1401)+'1.설계입력'!$C$8*SIN('1.설계입력'!$C$15*B1401)</f>
        <v>77.533990756175854</v>
      </c>
      <c r="F1401" s="40">
        <f>ATAN2(('1.설계입력'!$C$6+'1.설계입력'!$C$33)/('1.설계입력'!$C$8*'1.설계입력'!$C$15)-COS((1-'1.설계입력'!$C$15)*B1401),SIN((1-'1.설계입력'!$C$15)*B1401))</f>
        <v>-0.68451096966169844</v>
      </c>
      <c r="G1401" s="40">
        <f>('1.설계입력'!$C$6+'1.설계입력'!$C$33)*COS(B1401)-('1.설계입력'!$C$7+'1.설계입력'!$C$34)*COS(B1401+F1401)-'1.설계입력'!$C$8*COS('1.설계입력'!$C$15*B1401)</f>
        <v>13.34447970238072</v>
      </c>
      <c r="H1401" s="40">
        <f>-('1.설계입력'!$C$6+'1.설계입력'!$C$33)*SIN(B1401)+('1.설계입력'!$C$7+'1.설계입력'!$C$34)*SIN(B1401+F1401)+'1.설계입력'!$C$8*SIN('1.설계입력'!$C$15*B1401)</f>
        <v>77.523971792631826</v>
      </c>
      <c r="I1401" s="40">
        <f t="shared" si="64"/>
        <v>78.673356869043644</v>
      </c>
      <c r="J1401" s="40">
        <f t="shared" si="65"/>
        <v>78.664104526982484</v>
      </c>
      <c r="K1401" s="38" t="str">
        <f>IF(OR(A1401&gt;180,'1.설계입력'!$C$39&gt;=1),"",'1.설계입력'!$C$34*(1-SIN(B1401)/SQRT(1+'1.설계입력'!$C$39^2-2*'1.설계입력'!$C$39*COS(B1401)))-'1.설계입력'!$C$33*(1-'1.설계입력'!$C$39*COS(B1401)-SQRT(MAX(0,1-'1.설계입력'!$C$39^2))*SIN(B1401))/SQRT(1+'1.설계입력'!$C$39^2-2*'1.설계입력'!$C$39*COS(B1401)))</f>
        <v/>
      </c>
    </row>
    <row r="1402" spans="1:11" x14ac:dyDescent="0.3">
      <c r="A1402" s="40">
        <f>A1401+'1.설계입력'!$C$12</f>
        <v>279.19999999999271</v>
      </c>
      <c r="B1402" s="40">
        <f t="shared" si="63"/>
        <v>4.8729592715680408</v>
      </c>
      <c r="C1402" s="40">
        <f>ATAN2('1.설계입력'!$C$6/('1.설계입력'!$C$8*'1.설계입력'!$C$15)-COS((1-'1.설계입력'!$C$15)*B1402),SIN((1-'1.설계입력'!$C$15)*B1402))</f>
        <v>-0.63896177927539632</v>
      </c>
      <c r="D1402" s="40">
        <f>'1.설계입력'!$C$6*COS(B1402)-'1.설계입력'!$C$7*COS(B1402+C1402)-'1.설계입력'!$C$8*COS('1.설계입력'!$C$15*B1402)</f>
        <v>13.466262635119508</v>
      </c>
      <c r="E1402" s="40">
        <f>-'1.설계입력'!$C$6*SIN(B1402)+'1.설계입력'!$C$7*SIN(B1402+C1402)+'1.설계입력'!$C$8*SIN('1.설계입력'!$C$15*B1402)</f>
        <v>77.602987178234144</v>
      </c>
      <c r="F1402" s="40">
        <f>ATAN2(('1.설계입력'!$C$6+'1.설계입력'!$C$33)/('1.설계입력'!$C$8*'1.설계입력'!$C$15)-COS((1-'1.설계입력'!$C$15)*B1402),SIN((1-'1.설계입력'!$C$15)*B1402))</f>
        <v>-0.63898015891138127</v>
      </c>
      <c r="G1402" s="40">
        <f>('1.설계입력'!$C$6+'1.설계입력'!$C$33)*COS(B1402)-('1.설계입력'!$C$7+'1.설계입력'!$C$34)*COS(B1402+F1402)-'1.설계입력'!$C$8*COS('1.설계입력'!$C$15*B1402)</f>
        <v>13.46956125026527</v>
      </c>
      <c r="H1402" s="40">
        <f>-('1.설계입력'!$C$6+'1.설계입력'!$C$33)*SIN(B1402)+('1.설계입력'!$C$7+'1.설계입력'!$C$34)*SIN(B1402+F1402)+'1.설계입력'!$C$8*SIN('1.설계입력'!$C$15*B1402)</f>
        <v>77.59277030327145</v>
      </c>
      <c r="I1402" s="40">
        <f t="shared" si="64"/>
        <v>78.762705948584497</v>
      </c>
      <c r="J1402" s="40">
        <f t="shared" si="65"/>
        <v>78.75320364030209</v>
      </c>
      <c r="K1402" s="38" t="str">
        <f>IF(OR(A1402&gt;180,'1.설계입력'!$C$39&gt;=1),"",'1.설계입력'!$C$34*(1-SIN(B1402)/SQRT(1+'1.설계입력'!$C$39^2-2*'1.설계입력'!$C$39*COS(B1402)))-'1.설계입력'!$C$33*(1-'1.설계입력'!$C$39*COS(B1402)-SQRT(MAX(0,1-'1.설계입력'!$C$39^2))*SIN(B1402))/SQRT(1+'1.설계입력'!$C$39^2-2*'1.설계입력'!$C$39*COS(B1402)))</f>
        <v/>
      </c>
    </row>
    <row r="1403" spans="1:11" x14ac:dyDescent="0.3">
      <c r="A1403" s="40">
        <f>A1402+'1.설계입력'!$C$12</f>
        <v>279.3999999999927</v>
      </c>
      <c r="B1403" s="40">
        <f t="shared" si="63"/>
        <v>4.8764499300720292</v>
      </c>
      <c r="C1403" s="40">
        <f>ATAN2('1.설계입력'!$C$6/('1.설계입력'!$C$8*'1.설계입력'!$C$15)-COS((1-'1.설계입력'!$C$15)*B1403),SIN((1-'1.설계입력'!$C$15)*B1403))</f>
        <v>-0.59063192387694963</v>
      </c>
      <c r="D1403" s="40">
        <f>'1.설계입력'!$C$6*COS(B1403)-'1.설계입력'!$C$7*COS(B1403+C1403)-'1.설계입력'!$C$8*COS('1.설계입력'!$C$15*B1403)</f>
        <v>13.605842322670938</v>
      </c>
      <c r="E1403" s="40">
        <f>-'1.설계입력'!$C$6*SIN(B1403)+'1.설계입력'!$C$7*SIN(B1403+C1403)+'1.설계입력'!$C$8*SIN('1.설계입력'!$C$15*B1403)</f>
        <v>77.67081383064648</v>
      </c>
      <c r="F1403" s="40">
        <f>ATAN2(('1.설계입력'!$C$6+'1.설계입력'!$C$33)/('1.설계입력'!$C$8*'1.설계입력'!$C$15)-COS((1-'1.설계입력'!$C$15)*B1403),SIN((1-'1.설계입력'!$C$15)*B1403))</f>
        <v>-0.59064805413246801</v>
      </c>
      <c r="G1403" s="40">
        <f>('1.설계입력'!$C$6+'1.설계입력'!$C$33)*COS(B1403)-('1.설계입력'!$C$7+'1.설계입력'!$C$34)*COS(B1403+F1403)-'1.설계입력'!$C$8*COS('1.설계입력'!$C$15*B1403)</f>
        <v>13.608746257278415</v>
      </c>
      <c r="H1403" s="40">
        <f>-('1.설계입력'!$C$6+'1.설계입력'!$C$33)*SIN(B1403)+('1.설계입력'!$C$7+'1.설계입력'!$C$34)*SIN(B1403+F1403)+'1.설계입력'!$C$8*SIN('1.설계입력'!$C$15*B1403)</f>
        <v>77.660408049251942</v>
      </c>
      <c r="I1403" s="40">
        <f t="shared" si="64"/>
        <v>78.85349875829435</v>
      </c>
      <c r="J1403" s="40">
        <f t="shared" si="65"/>
        <v>78.843750247380456</v>
      </c>
      <c r="K1403" s="38" t="str">
        <f>IF(OR(A1403&gt;180,'1.설계입력'!$C$39&gt;=1),"",'1.설계입력'!$C$34*(1-SIN(B1403)/SQRT(1+'1.설계입력'!$C$39^2-2*'1.설계입력'!$C$39*COS(B1403)))-'1.설계입력'!$C$33*(1-'1.설계입력'!$C$39*COS(B1403)-SQRT(MAX(0,1-'1.설계입력'!$C$39^2))*SIN(B1403))/SQRT(1+'1.설계입력'!$C$39^2-2*'1.설계입력'!$C$39*COS(B1403)))</f>
        <v/>
      </c>
    </row>
    <row r="1404" spans="1:11" x14ac:dyDescent="0.3">
      <c r="A1404" s="40">
        <f>A1403+'1.설계입력'!$C$12</f>
        <v>279.59999999999269</v>
      </c>
      <c r="B1404" s="40">
        <f t="shared" si="63"/>
        <v>4.8799405885760176</v>
      </c>
      <c r="C1404" s="40">
        <f>ATAN2('1.설계입력'!$C$6/('1.설계입력'!$C$8*'1.설계입력'!$C$15)-COS((1-'1.설계입력'!$C$15)*B1404),SIN((1-'1.설계입력'!$C$15)*B1404))</f>
        <v>-0.54013233009238659</v>
      </c>
      <c r="D1404" s="40">
        <f>'1.설계입력'!$C$6*COS(B1404)-'1.설계입력'!$C$7*COS(B1404+C1404)-'1.설계입력'!$C$8*COS('1.설계입력'!$C$15*B1404)</f>
        <v>13.760800255013082</v>
      </c>
      <c r="E1404" s="40">
        <f>-'1.설계입력'!$C$6*SIN(B1404)+'1.설계입력'!$C$7*SIN(B1404+C1404)+'1.설계입력'!$C$8*SIN('1.설계입력'!$C$15*B1404)</f>
        <v>77.736215952109674</v>
      </c>
      <c r="F1404" s="40">
        <f>ATAN2(('1.설계입력'!$C$6+'1.설계입력'!$C$33)/('1.설계입력'!$C$8*'1.설계입력'!$C$15)-COS((1-'1.설계입력'!$C$15)*B1404),SIN((1-'1.설계입력'!$C$15)*B1404))</f>
        <v>-0.54014643698895015</v>
      </c>
      <c r="G1404" s="40">
        <f>('1.설계입력'!$C$6+'1.설계입력'!$C$33)*COS(B1404)-('1.설계입력'!$C$7+'1.설계입력'!$C$34)*COS(B1404+F1404)-'1.설계입력'!$C$8*COS('1.설계입력'!$C$15*B1404)</f>
        <v>13.763284498777812</v>
      </c>
      <c r="H1404" s="40">
        <f>-('1.설계입력'!$C$6+'1.설계입력'!$C$33)*SIN(B1404)+('1.설계입력'!$C$7+'1.설계입력'!$C$34)*SIN(B1404+F1404)+'1.설계입력'!$C$8*SIN('1.설계입력'!$C$15*B1404)</f>
        <v>77.725635679942457</v>
      </c>
      <c r="I1404" s="40">
        <f t="shared" si="64"/>
        <v>78.944783831557857</v>
      </c>
      <c r="J1404" s="40">
        <f t="shared" si="65"/>
        <v>78.93479867615703</v>
      </c>
      <c r="K1404" s="38" t="str">
        <f>IF(OR(A1404&gt;180,'1.설계입력'!$C$39&gt;=1),"",'1.설계입력'!$C$34*(1-SIN(B1404)/SQRT(1+'1.설계입력'!$C$39^2-2*'1.설계입력'!$C$39*COS(B1404)))-'1.설계입력'!$C$33*(1-'1.설계입력'!$C$39*COS(B1404)-SQRT(MAX(0,1-'1.설계입력'!$C$39^2))*SIN(B1404))/SQRT(1+'1.설계입력'!$C$39^2-2*'1.설계입력'!$C$39*COS(B1404)))</f>
        <v/>
      </c>
    </row>
    <row r="1405" spans="1:11" x14ac:dyDescent="0.3">
      <c r="A1405" s="40">
        <f>A1404+'1.설계입력'!$C$12</f>
        <v>279.79999999999268</v>
      </c>
      <c r="B1405" s="40">
        <f t="shared" si="63"/>
        <v>4.8834312470800061</v>
      </c>
      <c r="C1405" s="40">
        <f>ATAN2('1.설계입력'!$C$6/('1.설계입력'!$C$8*'1.설계입력'!$C$15)-COS((1-'1.설계입력'!$C$15)*B1405),SIN((1-'1.설계입력'!$C$15)*B1405))</f>
        <v>-0.48793196153400153</v>
      </c>
      <c r="D1405" s="40">
        <f>'1.설계입력'!$C$6*COS(B1405)-'1.설계입력'!$C$7*COS(B1405+C1405)-'1.설계입력'!$C$8*COS('1.설계입력'!$C$15*B1405)</f>
        <v>13.931557315362713</v>
      </c>
      <c r="E1405" s="40">
        <f>-'1.설계입력'!$C$6*SIN(B1405)+'1.설계입력'!$C$7*SIN(B1405+C1405)+'1.설계입력'!$C$8*SIN('1.설계입력'!$C$15*B1405)</f>
        <v>77.7974896797719</v>
      </c>
      <c r="F1405" s="40">
        <f>ATAN2(('1.설계입력'!$C$6+'1.설계입력'!$C$33)/('1.설계입력'!$C$8*'1.설계입력'!$C$15)-COS((1-'1.설계입력'!$C$15)*B1405),SIN((1-'1.설계입력'!$C$15)*B1405))</f>
        <v>-0.48794422591802972</v>
      </c>
      <c r="G1405" s="40">
        <f>('1.설계입력'!$C$6+'1.설계입력'!$C$33)*COS(B1405)-('1.설계입력'!$C$7+'1.설계입력'!$C$34)*COS(B1405+F1405)-'1.설계입력'!$C$8*COS('1.설계입력'!$C$15*B1405)</f>
        <v>13.933600437459054</v>
      </c>
      <c r="H1405" s="40">
        <f>-('1.설계입력'!$C$6+'1.설계입력'!$C$33)*SIN(B1405)+('1.설계입력'!$C$7+'1.설계입력'!$C$34)*SIN(B1405+F1405)+'1.설계입력'!$C$8*SIN('1.설계입력'!$C$15*B1405)</f>
        <v>77.786753538770299</v>
      </c>
      <c r="I1405" s="40">
        <f t="shared" si="64"/>
        <v>79.035040897727455</v>
      </c>
      <c r="J1405" s="40">
        <f t="shared" si="65"/>
        <v>79.02483310486744</v>
      </c>
      <c r="K1405" s="38" t="str">
        <f>IF(OR(A1405&gt;180,'1.설계입력'!$C$39&gt;=1),"",'1.설계입력'!$C$34*(1-SIN(B1405)/SQRT(1+'1.설계입력'!$C$39^2-2*'1.설계입력'!$C$39*COS(B1405)))-'1.설계입력'!$C$33*(1-'1.설계입력'!$C$39*COS(B1405)-SQRT(MAX(0,1-'1.설계입력'!$C$39^2))*SIN(B1405))/SQRT(1+'1.설계입력'!$C$39^2-2*'1.설계입력'!$C$39*COS(B1405)))</f>
        <v/>
      </c>
    </row>
    <row r="1406" spans="1:11" x14ac:dyDescent="0.3">
      <c r="A1406" s="40">
        <f>A1405+'1.설계입력'!$C$12</f>
        <v>279.99999999999267</v>
      </c>
      <c r="B1406" s="40">
        <f t="shared" si="63"/>
        <v>4.8869219055839945</v>
      </c>
      <c r="C1406" s="40">
        <f>ATAN2('1.설계입력'!$C$6/('1.설계입력'!$C$8*'1.설계입력'!$C$15)-COS((1-'1.설계입력'!$C$15)*B1406),SIN((1-'1.설계입력'!$C$15)*B1406))</f>
        <v>-0.43438756483882546</v>
      </c>
      <c r="D1406" s="40">
        <f>'1.설계입력'!$C$6*COS(B1406)-'1.설계입력'!$C$7*COS(B1406+C1406)-'1.설계입력'!$C$8*COS('1.설계입력'!$C$15*B1406)</f>
        <v>14.117844201518752</v>
      </c>
      <c r="E1406" s="40">
        <f>-'1.설계입력'!$C$6*SIN(B1406)+'1.설계입력'!$C$7*SIN(B1406+C1406)+'1.설계입력'!$C$8*SIN('1.설계입력'!$C$15*B1406)</f>
        <v>77.852707812541453</v>
      </c>
      <c r="F1406" s="40">
        <f>ATAN2(('1.설계입력'!$C$6+'1.설계입력'!$C$33)/('1.설계입력'!$C$8*'1.설계입력'!$C$15)-COS((1-'1.설계입력'!$C$15)*B1406),SIN((1-'1.설계입력'!$C$15)*B1406))</f>
        <v>-0.43439813190744164</v>
      </c>
      <c r="G1406" s="40">
        <f>('1.설계입력'!$C$6+'1.설계입력'!$C$33)*COS(B1406)-('1.설계입력'!$C$7+'1.설계입력'!$C$34)*COS(B1406+F1406)-'1.설계입력'!$C$8*COS('1.설계입력'!$C$15*B1406)</f>
        <v>14.119428038648573</v>
      </c>
      <c r="H1406" s="40">
        <f>-('1.설계입력'!$C$6+'1.설계입력'!$C$33)*SIN(B1406)+('1.설계입력'!$C$7+'1.설계입력'!$C$34)*SIN(B1406+F1406)+'1.설계입력'!$C$8*SIN('1.설계입력'!$C$15*B1406)</f>
        <v>77.841837729697602</v>
      </c>
      <c r="I1406" s="40">
        <f t="shared" si="64"/>
        <v>79.122421845159096</v>
      </c>
      <c r="J1406" s="40">
        <f t="shared" si="65"/>
        <v>79.112008881554445</v>
      </c>
      <c r="K1406" s="38" t="str">
        <f>IF(OR(A1406&gt;180,'1.설계입력'!$C$39&gt;=1),"",'1.설계입력'!$C$34*(1-SIN(B1406)/SQRT(1+'1.설계입력'!$C$39^2-2*'1.설계입력'!$C$39*COS(B1406)))-'1.설계입력'!$C$33*(1-'1.설계입력'!$C$39*COS(B1406)-SQRT(MAX(0,1-'1.설계입력'!$C$39^2))*SIN(B1406))/SQRT(1+'1.설계입력'!$C$39^2-2*'1.설계입력'!$C$39*COS(B1406)))</f>
        <v/>
      </c>
    </row>
    <row r="1407" spans="1:11" x14ac:dyDescent="0.3">
      <c r="A1407" s="40">
        <f>A1406+'1.설계입력'!$C$12</f>
        <v>280.19999999999266</v>
      </c>
      <c r="B1407" s="40">
        <f t="shared" si="63"/>
        <v>4.890412564087983</v>
      </c>
      <c r="C1407" s="40">
        <f>ATAN2('1.설계입력'!$C$6/('1.설계입력'!$C$8*'1.설계입력'!$C$15)-COS((1-'1.설계입력'!$C$15)*B1407),SIN((1-'1.설계입력'!$C$15)*B1407))</f>
        <v>-0.37977696023140473</v>
      </c>
      <c r="D1407" s="40">
        <f>'1.설계입력'!$C$6*COS(B1407)-'1.설계입력'!$C$7*COS(B1407+C1407)-'1.설계입력'!$C$8*COS('1.설계입력'!$C$15*B1407)</f>
        <v>14.318802597694406</v>
      </c>
      <c r="E1407" s="40">
        <f>-'1.설계입력'!$C$6*SIN(B1407)+'1.설계입력'!$C$7*SIN(B1407+C1407)+'1.설계입력'!$C$8*SIN('1.설계입력'!$C$15*B1407)</f>
        <v>77.899890174270737</v>
      </c>
      <c r="F1407" s="40">
        <f>ATAN2(('1.설계입력'!$C$6+'1.설계입력'!$C$33)/('1.설계입력'!$C$8*'1.설계입력'!$C$15)-COS((1-'1.설계입력'!$C$15)*B1407),SIN((1-'1.설계입력'!$C$15)*B1407))</f>
        <v>-0.37978594660208581</v>
      </c>
      <c r="G1407" s="40">
        <f>('1.설계입력'!$C$6+'1.설계입력'!$C$33)*COS(B1407)-('1.설계입력'!$C$7+'1.설계입력'!$C$34)*COS(B1407+F1407)-'1.설계입력'!$C$8*COS('1.설계입력'!$C$15*B1407)</f>
        <v>14.319912061018055</v>
      </c>
      <c r="H1407" s="40">
        <f>-('1.설계입력'!$C$6+'1.설계입력'!$C$33)*SIN(B1407)+('1.설계입력'!$C$7+'1.설계입력'!$C$34)*SIN(B1407+F1407)+'1.설계입력'!$C$8*SIN('1.설계입력'!$C$15*B1407)</f>
        <v>77.888910680146566</v>
      </c>
      <c r="I1407" s="40">
        <f t="shared" si="64"/>
        <v>79.204930383121877</v>
      </c>
      <c r="J1407" s="40">
        <f t="shared" si="65"/>
        <v>79.194332425844337</v>
      </c>
      <c r="K1407" s="38" t="str">
        <f>IF(OR(A1407&gt;180,'1.설계입력'!$C$39&gt;=1),"",'1.설계입력'!$C$34*(1-SIN(B1407)/SQRT(1+'1.설계입력'!$C$39^2-2*'1.설계입력'!$C$39*COS(B1407)))-'1.설계입력'!$C$33*(1-'1.설계입력'!$C$39*COS(B1407)-SQRT(MAX(0,1-'1.설계입력'!$C$39^2))*SIN(B1407))/SQRT(1+'1.설계입력'!$C$39^2-2*'1.설계입력'!$C$39*COS(B1407)))</f>
        <v/>
      </c>
    </row>
    <row r="1408" spans="1:11" x14ac:dyDescent="0.3">
      <c r="A1408" s="40">
        <f>A1407+'1.설계입력'!$C$12</f>
        <v>280.39999999999264</v>
      </c>
      <c r="B1408" s="40">
        <f t="shared" si="63"/>
        <v>4.8939032225919714</v>
      </c>
      <c r="C1408" s="40">
        <f>ATAN2('1.설계입력'!$C$6/('1.설계입력'!$C$8*'1.설계입력'!$C$15)-COS((1-'1.설계입력'!$C$15)*B1408),SIN((1-'1.설계입력'!$C$15)*B1408))</f>
        <v>-0.32432155060830697</v>
      </c>
      <c r="D1408" s="40">
        <f>'1.설계입력'!$C$6*COS(B1408)-'1.설계입력'!$C$7*COS(B1408+C1408)-'1.설계입력'!$C$8*COS('1.설계입력'!$C$15*B1408)</f>
        <v>14.533070166563048</v>
      </c>
      <c r="E1408" s="40">
        <f>-'1.설계입력'!$C$6*SIN(B1408)+'1.설계입력'!$C$7*SIN(B1408+C1408)+'1.설계입력'!$C$8*SIN('1.설계입력'!$C$15*B1408)</f>
        <v>77.937135548586824</v>
      </c>
      <c r="F1408" s="40">
        <f>ATAN2(('1.설계입력'!$C$6+'1.설계입력'!$C$33)/('1.설계입력'!$C$8*'1.설계입력'!$C$15)-COS((1-'1.설계입력'!$C$15)*B1408),SIN((1-'1.설계입력'!$C$15)*B1408))</f>
        <v>-0.32432904958265246</v>
      </c>
      <c r="G1408" s="40">
        <f>('1.설계입력'!$C$6+'1.설계입력'!$C$33)*COS(B1408)-('1.설계입력'!$C$7+'1.설계입력'!$C$34)*COS(B1408+F1408)-'1.설계입력'!$C$8*COS('1.설계입력'!$C$15*B1408)</f>
        <v>14.533693119332627</v>
      </c>
      <c r="H1408" s="40">
        <f>-('1.설계입력'!$C$6+'1.설계입력'!$C$33)*SIN(B1408)+('1.설계입력'!$C$7+'1.설계입력'!$C$34)*SIN(B1408+F1408)+'1.설계입력'!$C$8*SIN('1.설계입력'!$C$15*B1408)</f>
        <v>77.926073210002627</v>
      </c>
      <c r="I1408" s="40">
        <f t="shared" si="64"/>
        <v>79.280560202265477</v>
      </c>
      <c r="J1408" s="40">
        <f t="shared" si="65"/>
        <v>79.269799555805776</v>
      </c>
      <c r="K1408" s="38" t="str">
        <f>IF(OR(A1408&gt;180,'1.설계입력'!$C$39&gt;=1),"",'1.설계입력'!$C$34*(1-SIN(B1408)/SQRT(1+'1.설계입력'!$C$39^2-2*'1.설계입력'!$C$39*COS(B1408)))-'1.설계입력'!$C$33*(1-'1.설계입력'!$C$39*COS(B1408)-SQRT(MAX(0,1-'1.설계입력'!$C$39^2))*SIN(B1408))/SQRT(1+'1.설계입력'!$C$39^2-2*'1.설계입력'!$C$39*COS(B1408)))</f>
        <v/>
      </c>
    </row>
    <row r="1409" spans="1:11" x14ac:dyDescent="0.3">
      <c r="A1409" s="40">
        <f>A1408+'1.설계입력'!$C$12</f>
        <v>280.59999999999263</v>
      </c>
      <c r="B1409" s="40">
        <f t="shared" si="63"/>
        <v>4.8973938810959599</v>
      </c>
      <c r="C1409" s="40">
        <f>ATAN2('1.설계입력'!$C$6/('1.설계입력'!$C$8*'1.설계입력'!$C$15)-COS((1-'1.설계입력'!$C$15)*B1409),SIN((1-'1.설계입력'!$C$15)*B1409))</f>
        <v>-0.26820196281966874</v>
      </c>
      <c r="D1409" s="40">
        <f>'1.설계입력'!$C$6*COS(B1409)-'1.설계입력'!$C$7*COS(B1409+C1409)-'1.설계입력'!$C$8*COS('1.설계입력'!$C$15*B1409)</f>
        <v>14.75885849841473</v>
      </c>
      <c r="E1409" s="40">
        <f>-'1.설계입력'!$C$6*SIN(B1409)+'1.설계입력'!$C$7*SIN(B1409+C1409)+'1.설계입력'!$C$8*SIN('1.설계입력'!$C$15*B1409)</f>
        <v>77.962725218733326</v>
      </c>
      <c r="F1409" s="40">
        <f>ATAN2(('1.설계입력'!$C$6+'1.설계입력'!$C$33)/('1.설계입력'!$C$8*'1.설계입력'!$C$15)-COS((1-'1.설계입력'!$C$15)*B1409),SIN((1-'1.설계입력'!$C$15)*B1409))</f>
        <v>-0.2682080483092566</v>
      </c>
      <c r="G1409" s="40">
        <f>('1.설계입력'!$C$6+'1.설계입력'!$C$33)*COS(B1409)-('1.설계입력'!$C$7+'1.설계입력'!$C$34)*COS(B1409+F1409)-'1.설계입력'!$C$8*COS('1.설계입력'!$C$15*B1409)</f>
        <v>14.758985675154532</v>
      </c>
      <c r="H1409" s="40">
        <f>-('1.설계입력'!$C$6+'1.설계입력'!$C$33)*SIN(B1409)+('1.설계입력'!$C$7+'1.설계입력'!$C$34)*SIN(B1409+F1409)+'1.설계입력'!$C$8*SIN('1.설계입력'!$C$15*B1409)</f>
        <v>77.951608163091137</v>
      </c>
      <c r="I1409" s="40">
        <f t="shared" si="64"/>
        <v>79.347403408731324</v>
      </c>
      <c r="J1409" s="40">
        <f t="shared" si="65"/>
        <v>79.336504040520424</v>
      </c>
      <c r="K1409" s="38" t="str">
        <f>IF(OR(A1409&gt;180,'1.설계입력'!$C$39&gt;=1),"",'1.설계입력'!$C$34*(1-SIN(B1409)/SQRT(1+'1.설계입력'!$C$39^2-2*'1.설계입력'!$C$39*COS(B1409)))-'1.설계입력'!$C$33*(1-'1.설계입력'!$C$39*COS(B1409)-SQRT(MAX(0,1-'1.설계입력'!$C$39^2))*SIN(B1409))/SQRT(1+'1.설계입력'!$C$39^2-2*'1.설계입력'!$C$39*COS(B1409)))</f>
        <v/>
      </c>
    </row>
    <row r="1410" spans="1:11" x14ac:dyDescent="0.3">
      <c r="A1410" s="40">
        <f>A1409+'1.설계입력'!$C$12</f>
        <v>280.79999999999262</v>
      </c>
      <c r="B1410" s="40">
        <f t="shared" si="63"/>
        <v>4.9008845395999483</v>
      </c>
      <c r="C1410" s="40">
        <f>ATAN2('1.설계입력'!$C$6/('1.설계입력'!$C$8*'1.설계입력'!$C$15)-COS((1-'1.설계입력'!$C$15)*B1410),SIN((1-'1.설계입력'!$C$15)*B1410))</f>
        <v>-0.21156921989549071</v>
      </c>
      <c r="D1410" s="40">
        <f>'1.설계입력'!$C$6*COS(B1410)-'1.설계입력'!$C$7*COS(B1410+C1410)-'1.설계입력'!$C$8*COS('1.설계입력'!$C$15*B1410)</f>
        <v>14.994028757871984</v>
      </c>
      <c r="E1410" s="40">
        <f>-'1.설계입력'!$C$6*SIN(B1410)+'1.설계입력'!$C$7*SIN(B1410+C1410)+'1.설계입력'!$C$8*SIN('1.설계입력'!$C$15*B1410)</f>
        <v>77.975204074589485</v>
      </c>
      <c r="F1410" s="40">
        <f>ATAN2(('1.설계입력'!$C$6+'1.설계입력'!$C$33)/('1.설계입력'!$C$8*'1.설계입력'!$C$15)-COS((1-'1.설계입력'!$C$15)*B1410),SIN((1-'1.설계입력'!$C$15)*B1410))</f>
        <v>-0.21157394934233328</v>
      </c>
      <c r="G1410" s="40">
        <f>('1.설계입력'!$C$6+'1.설계입력'!$C$33)*COS(B1410)-('1.설계입력'!$C$7+'1.설계입력'!$C$34)*COS(B1410+F1410)-'1.설계입력'!$C$8*COS('1.설계입력'!$C$15*B1410)</f>
        <v>14.993653706913973</v>
      </c>
      <c r="H1410" s="40">
        <f>-('1.설계입력'!$C$6+'1.설계입력'!$C$33)*SIN(B1410)+('1.설계입력'!$C$7+'1.설계입력'!$C$34)*SIN(B1410+F1410)+'1.설계입력'!$C$8*SIN('1.설계입력'!$C$15*B1410)</f>
        <v>77.964061577604056</v>
      </c>
      <c r="I1410" s="40">
        <f t="shared" si="64"/>
        <v>79.403736365902631</v>
      </c>
      <c r="J1410" s="40">
        <f t="shared" si="65"/>
        <v>79.392723527784909</v>
      </c>
      <c r="K1410" s="38" t="str">
        <f>IF(OR(A1410&gt;180,'1.설계입력'!$C$39&gt;=1),"",'1.설계입력'!$C$34*(1-SIN(B1410)/SQRT(1+'1.설계입력'!$C$39^2-2*'1.설계입력'!$C$39*COS(B1410)))-'1.설계입력'!$C$33*(1-'1.설계입력'!$C$39*COS(B1410)-SQRT(MAX(0,1-'1.설계입력'!$C$39^2))*SIN(B1410))/SQRT(1+'1.설계입력'!$C$39^2-2*'1.설계입력'!$C$39*COS(B1410)))</f>
        <v/>
      </c>
    </row>
    <row r="1411" spans="1:11" x14ac:dyDescent="0.3">
      <c r="A1411" s="40">
        <f>A1410+'1.설계입력'!$C$12</f>
        <v>280.99999999999261</v>
      </c>
      <c r="B1411" s="40">
        <f t="shared" si="63"/>
        <v>4.9043751981039367</v>
      </c>
      <c r="C1411" s="40">
        <f>ATAN2('1.설계입력'!$C$6/('1.설계입력'!$C$8*'1.설계입력'!$C$15)-COS((1-'1.설계입력'!$C$15)*B1411),SIN((1-'1.설계입력'!$C$15)*B1411))</f>
        <v>-0.1545529595577585</v>
      </c>
      <c r="D1411" s="40">
        <f>'1.설계입력'!$C$6*COS(B1411)-'1.설계입력'!$C$7*COS(B1411+C1411)-'1.설계입력'!$C$8*COS('1.설계입력'!$C$15*B1411)</f>
        <v>15.236167288134792</v>
      </c>
      <c r="E1411" s="40">
        <f>-'1.설계입력'!$C$6*SIN(B1411)+'1.설계입력'!$C$7*SIN(B1411+C1411)+'1.설계입력'!$C$8*SIN('1.설계입력'!$C$15*B1411)</f>
        <v>77.97344284262617</v>
      </c>
      <c r="F1411" s="40">
        <f>ATAN2(('1.설계입력'!$C$6+'1.설계입력'!$C$33)/('1.설계입력'!$C$8*'1.설계입력'!$C$15)-COS((1-'1.설계입력'!$C$15)*B1411),SIN((1-'1.설계입력'!$C$15)*B1411))</f>
        <v>-0.15455637608397504</v>
      </c>
      <c r="G1411" s="40">
        <f>('1.설계입력'!$C$6+'1.설계입력'!$C$33)*COS(B1411)-('1.설계입력'!$C$7+'1.설계입력'!$C$34)*COS(B1411+F1411)-'1.설계입력'!$C$8*COS('1.설계입력'!$C$15*B1411)</f>
        <v>15.235286325851551</v>
      </c>
      <c r="H1411" s="40">
        <f>-('1.설계입력'!$C$6+'1.설계입력'!$C$33)*SIN(B1411)+('1.설계입력'!$C$7+'1.설계입력'!$C$34)*SIN(B1411+F1411)+'1.설계입력'!$C$8*SIN('1.설계입력'!$C$15*B1411)</f>
        <v>77.962304960292869</v>
      </c>
      <c r="I1411" s="40">
        <f t="shared" si="64"/>
        <v>79.448087342391815</v>
      </c>
      <c r="J1411" s="40">
        <f t="shared" si="65"/>
        <v>79.436987255008518</v>
      </c>
      <c r="K1411" s="38" t="str">
        <f>IF(OR(A1411&gt;180,'1.설계입력'!$C$39&gt;=1),"",'1.설계입력'!$C$34*(1-SIN(B1411)/SQRT(1+'1.설계입력'!$C$39^2-2*'1.설계입력'!$C$39*COS(B1411)))-'1.설계입력'!$C$33*(1-'1.설계입력'!$C$39*COS(B1411)-SQRT(MAX(0,1-'1.설계입력'!$C$39^2))*SIN(B1411))/SQRT(1+'1.설계입력'!$C$39^2-2*'1.설계입력'!$C$39*COS(B1411)))</f>
        <v/>
      </c>
    </row>
    <row r="1412" spans="1:11" x14ac:dyDescent="0.3">
      <c r="A1412" s="40">
        <f>A1411+'1.설계입력'!$C$12</f>
        <v>281.1999999999926</v>
      </c>
      <c r="B1412" s="40">
        <f t="shared" si="63"/>
        <v>4.9078658566079252</v>
      </c>
      <c r="C1412" s="40">
        <f>ATAN2('1.설계입력'!$C$6/('1.설계입력'!$C$8*'1.설계입력'!$C$15)-COS((1-'1.설계입력'!$C$15)*B1412),SIN((1-'1.설계입력'!$C$15)*B1412))</f>
        <v>-9.7267686650106211E-2</v>
      </c>
      <c r="D1412" s="40">
        <f>'1.설계입력'!$C$6*COS(B1412)-'1.설계입력'!$C$7*COS(B1412+C1412)-'1.설계입력'!$C$8*COS('1.설계입력'!$C$15*B1412)</f>
        <v>15.482661980236438</v>
      </c>
      <c r="E1412" s="40">
        <f>-'1.설계입력'!$C$6*SIN(B1412)+'1.설계입력'!$C$7*SIN(B1412+C1412)+'1.설계입력'!$C$8*SIN('1.설계입력'!$C$15*B1412)</f>
        <v>77.956683569499319</v>
      </c>
      <c r="F1412" s="40">
        <f>ATAN2(('1.설계입력'!$C$6+'1.설계입력'!$C$33)/('1.설계입력'!$C$8*'1.설계입력'!$C$15)-COS((1-'1.설계입력'!$C$15)*B1412),SIN((1-'1.설계입력'!$C$15)*B1412))</f>
        <v>-9.7269820600855497E-2</v>
      </c>
      <c r="G1412" s="40">
        <f>('1.설계입력'!$C$6+'1.설계입력'!$C$33)*COS(B1412)-('1.설계입력'!$C$7+'1.설계입력'!$C$34)*COS(B1412+F1412)-'1.설계입력'!$C$8*COS('1.설계입력'!$C$15*B1412)</f>
        <v>15.481274149333405</v>
      </c>
      <c r="H1412" s="40">
        <f>-('1.설계입력'!$C$6+'1.설계입력'!$C$33)*SIN(B1412)+('1.설계입력'!$C$7+'1.설계입력'!$C$34)*SIN(B1412+F1412)+'1.설계입력'!$C$8*SIN('1.설계입력'!$C$15*B1412)</f>
        <v>77.945580800930031</v>
      </c>
      <c r="I1412" s="40">
        <f t="shared" si="64"/>
        <v>79.479288718189366</v>
      </c>
      <c r="J1412" s="40">
        <f t="shared" si="65"/>
        <v>79.468128301106546</v>
      </c>
      <c r="K1412" s="38" t="str">
        <f>IF(OR(A1412&gt;180,'1.설계입력'!$C$39&gt;=1),"",'1.설계입력'!$C$34*(1-SIN(B1412)/SQRT(1+'1.설계입력'!$C$39^2-2*'1.설계입력'!$C$39*COS(B1412)))-'1.설계입력'!$C$33*(1-'1.설계입력'!$C$39*COS(B1412)-SQRT(MAX(0,1-'1.설계입력'!$C$39^2))*SIN(B1412))/SQRT(1+'1.설계입력'!$C$39^2-2*'1.설계입력'!$C$39*COS(B1412)))</f>
        <v/>
      </c>
    </row>
    <row r="1413" spans="1:11" x14ac:dyDescent="0.3">
      <c r="A1413" s="40">
        <f>A1412+'1.설계입력'!$C$12</f>
        <v>281.39999999999259</v>
      </c>
      <c r="B1413" s="40">
        <f t="shared" si="63"/>
        <v>4.9113565151119136</v>
      </c>
      <c r="C1413" s="40">
        <f>ATAN2('1.설계입력'!$C$6/('1.설계입력'!$C$8*'1.설계입력'!$C$15)-COS((1-'1.설계입력'!$C$15)*B1413),SIN((1-'1.설계입력'!$C$15)*B1413))</f>
        <v>-3.9817726406262181E-2</v>
      </c>
      <c r="D1413" s="40">
        <f>'1.설계입력'!$C$6*COS(B1413)-'1.설계입력'!$C$7*COS(B1413+C1413)-'1.설계입력'!$C$8*COS('1.설계입력'!$C$15*B1413)</f>
        <v>15.730779339115399</v>
      </c>
      <c r="E1413" s="40">
        <f>-'1.설계입력'!$C$6*SIN(B1413)+'1.설계입력'!$C$7*SIN(B1413+C1413)+'1.설계입력'!$C$8*SIN('1.설계입력'!$C$15*B1413)</f>
        <v>77.924569651731758</v>
      </c>
      <c r="F1413" s="40">
        <f>ATAN2(('1.설계입력'!$C$6+'1.설계입력'!$C$33)/('1.설계입력'!$C$8*'1.설계입력'!$C$15)-COS((1-'1.설계입력'!$C$15)*B1413),SIN((1-'1.설계입력'!$C$15)*B1413))</f>
        <v>-3.9818596398392726E-2</v>
      </c>
      <c r="G1413" s="40">
        <f>('1.설계입력'!$C$6+'1.설계입력'!$C$33)*COS(B1413)-('1.설계입력'!$C$7+'1.설계입력'!$C$34)*COS(B1413+F1413)-'1.설계입력'!$C$8*COS('1.설계입력'!$C$15*B1413)</f>
        <v>15.728886365892951</v>
      </c>
      <c r="H1413" s="40">
        <f>-('1.설계입력'!$C$6+'1.설계입력'!$C$33)*SIN(B1413)+('1.설계입력'!$C$7+'1.설계입력'!$C$34)*SIN(B1413+F1413)+'1.설계입력'!$C$8*SIN('1.설계입력'!$C$15*B1413)</f>
        <v>77.913532623215474</v>
      </c>
      <c r="I1413" s="40">
        <f t="shared" si="64"/>
        <v>79.496515483532576</v>
      </c>
      <c r="J1413" s="40">
        <f t="shared" si="65"/>
        <v>79.485322117608831</v>
      </c>
      <c r="K1413" s="38" t="str">
        <f>IF(OR(A1413&gt;180,'1.설계입력'!$C$39&gt;=1),"",'1.설계입력'!$C$34*(1-SIN(B1413)/SQRT(1+'1.설계입력'!$C$39^2-2*'1.설계입력'!$C$39*COS(B1413)))-'1.설계입력'!$C$33*(1-'1.설계입력'!$C$39*COS(B1413)-SQRT(MAX(0,1-'1.설계입력'!$C$39^2))*SIN(B1413))/SQRT(1+'1.설계입력'!$C$39^2-2*'1.설계입력'!$C$39*COS(B1413)))</f>
        <v/>
      </c>
    </row>
    <row r="1414" spans="1:11" x14ac:dyDescent="0.3">
      <c r="A1414" s="40">
        <f>A1413+'1.설계입력'!$C$12</f>
        <v>281.59999999999258</v>
      </c>
      <c r="B1414" s="40">
        <f t="shared" ref="B1414:B1477" si="66">RADIANS(A1414)</f>
        <v>4.9148471736159021</v>
      </c>
      <c r="C1414" s="40">
        <f>ATAN2('1.설계입력'!$C$6/('1.설계입력'!$C$8*'1.설계입력'!$C$15)-COS((1-'1.설계입력'!$C$15)*B1414),SIN((1-'1.설계입력'!$C$15)*B1414))</f>
        <v>1.7698650400803928E-2</v>
      </c>
      <c r="D1414" s="40">
        <f>'1.설계입력'!$C$6*COS(B1414)-'1.설계입력'!$C$7*COS(B1414+C1414)-'1.설계입력'!$C$8*COS('1.설계입력'!$C$15*B1414)</f>
        <v>15.977741642564798</v>
      </c>
      <c r="E1414" s="40">
        <f>-'1.설계입력'!$C$6*SIN(B1414)+'1.설계입력'!$C$7*SIN(B1414+C1414)+'1.설계입력'!$C$8*SIN('1.설계입력'!$C$15*B1414)</f>
        <v>77.877161218962058</v>
      </c>
      <c r="F1414" s="40">
        <f>ATAN2(('1.설계입력'!$C$6+'1.설계입력'!$C$33)/('1.설계입력'!$C$8*'1.설계입력'!$C$15)-COS((1-'1.설계입력'!$C$15)*B1414),SIN((1-'1.설계입력'!$C$15)*B1414))</f>
        <v>1.7699036850775694E-2</v>
      </c>
      <c r="G1414" s="40">
        <f>('1.설계입력'!$C$6+'1.설계입력'!$C$33)*COS(B1414)-('1.설계입력'!$C$7+'1.설계입력'!$C$34)*COS(B1414+F1414)-'1.설계입력'!$C$8*COS('1.설계입력'!$C$15*B1414)</f>
        <v>15.975347889727438</v>
      </c>
      <c r="H1414" s="40">
        <f>-('1.설계입력'!$C$6+'1.설계입력'!$C$33)*SIN(B1414)+('1.설계입력'!$C$7+'1.설계입력'!$C$34)*SIN(B1414+F1414)+'1.설계입력'!$C$8*SIN('1.설계입력'!$C$15*B1414)</f>
        <v>77.866220381951962</v>
      </c>
      <c r="I1414" s="40">
        <f t="shared" ref="I1414:I1477" si="67">SQRT(D1414^2+E1414^2)</f>
        <v>79.499311113498067</v>
      </c>
      <c r="J1414" s="40">
        <f t="shared" ref="J1414:J1477" si="68">SQRT(G1414^2+H1414^2)</f>
        <v>79.488112424239446</v>
      </c>
      <c r="K1414" s="38" t="str">
        <f>IF(OR(A1414&gt;180,'1.설계입력'!$C$39&gt;=1),"",'1.설계입력'!$C$34*(1-SIN(B1414)/SQRT(1+'1.설계입력'!$C$39^2-2*'1.설계입력'!$C$39*COS(B1414)))-'1.설계입력'!$C$33*(1-'1.설계입력'!$C$39*COS(B1414)-SQRT(MAX(0,1-'1.설계입력'!$C$39^2))*SIN(B1414))/SQRT(1+'1.설계입력'!$C$39^2-2*'1.설계입력'!$C$39*COS(B1414)))</f>
        <v/>
      </c>
    </row>
    <row r="1415" spans="1:11" x14ac:dyDescent="0.3">
      <c r="A1415" s="40">
        <f>A1414+'1.설계입력'!$C$12</f>
        <v>281.79999999999256</v>
      </c>
      <c r="B1415" s="40">
        <f t="shared" si="66"/>
        <v>4.9183378321198905</v>
      </c>
      <c r="C1415" s="40">
        <f>ATAN2('1.설계입력'!$C$6/('1.설계입력'!$C$8*'1.설계입력'!$C$15)-COS((1-'1.설계입력'!$C$15)*B1415),SIN((1-'1.설계입력'!$C$15)*B1415))</f>
        <v>7.5185576520034894E-2</v>
      </c>
      <c r="D1415" s="40">
        <f>'1.설계입력'!$C$6*COS(B1415)-'1.설계입력'!$C$7*COS(B1415+C1415)-'1.설계입력'!$C$8*COS('1.설계입력'!$C$15*B1415)</f>
        <v>16.220803265334887</v>
      </c>
      <c r="E1415" s="40">
        <f>-'1.설계입력'!$C$6*SIN(B1415)+'1.설계입력'!$C$7*SIN(B1415+C1415)+'1.설계입력'!$C$8*SIN('1.설계입력'!$C$15*B1415)</f>
        <v>77.814936403043333</v>
      </c>
      <c r="F1415" s="40">
        <f>ATAN2(('1.설계입력'!$C$6+'1.설계입력'!$C$33)/('1.설계입력'!$C$8*'1.설계입력'!$C$15)-COS((1-'1.설계입력'!$C$15)*B1415),SIN((1-'1.설계입력'!$C$15)*B1415))</f>
        <v>7.5187222745717944E-2</v>
      </c>
      <c r="G1415" s="40">
        <f>('1.설계입력'!$C$6+'1.설계입력'!$C$33)*COS(B1415)-('1.설계입력'!$C$7+'1.설계입력'!$C$34)*COS(B1415+F1415)-'1.설계입력'!$C$8*COS('1.설계입력'!$C$15*B1415)</f>
        <v>16.217915678053153</v>
      </c>
      <c r="H1415" s="40">
        <f>-('1.설계입력'!$C$6+'1.설계입력'!$C$33)*SIN(B1415)+('1.설계입력'!$C$7+'1.설계입력'!$C$34)*SIN(B1415+F1415)+'1.설계입력'!$C$8*SIN('1.설계입력'!$C$15*B1415)</f>
        <v>77.804121740150066</v>
      </c>
      <c r="I1415" s="40">
        <f t="shared" si="67"/>
        <v>79.487601460745921</v>
      </c>
      <c r="J1415" s="40">
        <f t="shared" si="68"/>
        <v>79.476425112712093</v>
      </c>
      <c r="K1415" s="38" t="str">
        <f>IF(OR(A1415&gt;180,'1.설계입력'!$C$39&gt;=1),"",'1.설계입력'!$C$34*(1-SIN(B1415)/SQRT(1+'1.설계입력'!$C$39^2-2*'1.설계입력'!$C$39*COS(B1415)))-'1.설계입력'!$C$33*(1-'1.설계입력'!$C$39*COS(B1415)-SQRT(MAX(0,1-'1.설계입력'!$C$39^2))*SIN(B1415))/SQRT(1+'1.설계입력'!$C$39^2-2*'1.설계입력'!$C$39*COS(B1415)))</f>
        <v/>
      </c>
    </row>
    <row r="1416" spans="1:11" x14ac:dyDescent="0.3">
      <c r="A1416" s="40">
        <f>A1415+'1.설계입력'!$C$12</f>
        <v>281.99999999999255</v>
      </c>
      <c r="B1416" s="40">
        <f t="shared" si="66"/>
        <v>4.9218284906238789</v>
      </c>
      <c r="C1416" s="40">
        <f>ATAN2('1.설계입력'!$C$6/('1.설계입력'!$C$8*'1.설계입력'!$C$15)-COS((1-'1.설계입력'!$C$15)*B1416),SIN((1-'1.설계입력'!$C$15)*B1416))</f>
        <v>0.13254612163041607</v>
      </c>
      <c r="D1416" s="40">
        <f>'1.설계입력'!$C$6*COS(B1416)-'1.설계입력'!$C$7*COS(B1416+C1416)-'1.설계입력'!$C$8*COS('1.설계입력'!$C$15*B1416)</f>
        <v>16.457325058260725</v>
      </c>
      <c r="E1416" s="40">
        <f>-'1.설계입력'!$C$6*SIN(B1416)+'1.설계입력'!$C$7*SIN(B1416+C1416)+'1.설계입력'!$C$8*SIN('1.설계입력'!$C$15*B1416)</f>
        <v>77.738778866453103</v>
      </c>
      <c r="F1416" s="40">
        <f>ATAN2(('1.설계입력'!$C$6+'1.설계입력'!$C$33)/('1.설계입력'!$C$8*'1.설계입력'!$C$15)-COS((1-'1.설계입력'!$C$15)*B1416),SIN((1-'1.설계입력'!$C$15)*B1416))</f>
        <v>0.13254904192627492</v>
      </c>
      <c r="G1416" s="40">
        <f>('1.설계입력'!$C$6+'1.설계입력'!$C$33)*COS(B1416)-('1.설계입력'!$C$7+'1.설계입력'!$C$34)*COS(B1416+F1416)-'1.설계입력'!$C$8*COS('1.설계입력'!$C$15*B1416)</f>
        <v>16.453953101989661</v>
      </c>
      <c r="H1416" s="40">
        <f>-('1.설계입력'!$C$6+'1.설계입력'!$C$33)*SIN(B1416)+('1.설계입력'!$C$7+'1.설계입력'!$C$34)*SIN(B1416+F1416)+'1.설계입력'!$C$8*SIN('1.설계입력'!$C$15*B1416)</f>
        <v>77.728119600161307</v>
      </c>
      <c r="I1416" s="40">
        <f t="shared" si="67"/>
        <v>79.461696984903057</v>
      </c>
      <c r="J1416" s="40">
        <f t="shared" si="68"/>
        <v>79.450570477872944</v>
      </c>
      <c r="K1416" s="38" t="str">
        <f>IF(OR(A1416&gt;180,'1.설계입력'!$C$39&gt;=1),"",'1.설계입력'!$C$34*(1-SIN(B1416)/SQRT(1+'1.설계입력'!$C$39^2-2*'1.설계입력'!$C$39*COS(B1416)))-'1.설계입력'!$C$33*(1-'1.설계입력'!$C$39*COS(B1416)-SQRT(MAX(0,1-'1.설계입력'!$C$39^2))*SIN(B1416))/SQRT(1+'1.설계입력'!$C$39^2-2*'1.설계입력'!$C$39*COS(B1416)))</f>
        <v/>
      </c>
    </row>
    <row r="1417" spans="1:11" x14ac:dyDescent="0.3">
      <c r="A1417" s="40">
        <f>A1416+'1.설계입력'!$C$12</f>
        <v>282.19999999999254</v>
      </c>
      <c r="B1417" s="40">
        <f t="shared" si="66"/>
        <v>4.9253191491278674</v>
      </c>
      <c r="C1417" s="40">
        <f>ATAN2('1.설계입력'!$C$6/('1.설계입력'!$C$8*'1.설계입력'!$C$15)-COS((1-'1.설계입력'!$C$15)*B1417),SIN((1-'1.설계입력'!$C$15)*B1417))</f>
        <v>0.189678744490375</v>
      </c>
      <c r="D1417" s="40">
        <f>'1.설계입력'!$C$6*COS(B1417)-'1.설계입력'!$C$7*COS(B1417+C1417)-'1.설계입력'!$C$8*COS('1.설계입력'!$C$15*B1417)</f>
        <v>16.684845592211197</v>
      </c>
      <c r="E1417" s="40">
        <f>-'1.설계입력'!$C$6*SIN(B1417)+'1.설계입력'!$C$7*SIN(B1417+C1417)+'1.설계입력'!$C$8*SIN('1.설계입력'!$C$15*B1417)</f>
        <v>77.649951854186071</v>
      </c>
      <c r="F1417" s="40">
        <f>ATAN2(('1.설계입력'!$C$6+'1.설계입력'!$C$33)/('1.설계입력'!$C$8*'1.설계입력'!$C$15)-COS((1-'1.설계입력'!$C$15)*B1417),SIN((1-'1.설계입력'!$C$15)*B1417))</f>
        <v>0.1896829645908282</v>
      </c>
      <c r="G1417" s="40">
        <f>('1.설계입력'!$C$6+'1.설계입력'!$C$33)*COS(B1417)-('1.설계입력'!$C$7+'1.설계입력'!$C$34)*COS(B1417+F1417)-'1.설계입력'!$C$8*COS('1.설계입력'!$C$15*B1417)</f>
        <v>16.681001181371101</v>
      </c>
      <c r="H1417" s="40">
        <f>-('1.설계입력'!$C$6+'1.설계입력'!$C$33)*SIN(B1417)+('1.설계입력'!$C$7+'1.설계입력'!$C$34)*SIN(B1417+F1417)+'1.설계입력'!$C$8*SIN('1.설계입력'!$C$15*B1417)</f>
        <v>77.639476153013291</v>
      </c>
      <c r="I1417" s="40">
        <f t="shared" si="67"/>
        <v>79.422283368040638</v>
      </c>
      <c r="J1417" s="40">
        <f t="shared" si="68"/>
        <v>79.411233825745484</v>
      </c>
      <c r="K1417" s="38" t="str">
        <f>IF(OR(A1417&gt;180,'1.설계입력'!$C$39&gt;=1),"",'1.설계입력'!$C$34*(1-SIN(B1417)/SQRT(1+'1.설계입력'!$C$39^2-2*'1.설계입력'!$C$39*COS(B1417)))-'1.설계입력'!$C$33*(1-'1.설계입력'!$C$39*COS(B1417)-SQRT(MAX(0,1-'1.설계입력'!$C$39^2))*SIN(B1417))/SQRT(1+'1.설계입력'!$C$39^2-2*'1.설계입력'!$C$39*COS(B1417)))</f>
        <v/>
      </c>
    </row>
    <row r="1418" spans="1:11" x14ac:dyDescent="0.3">
      <c r="A1418" s="40">
        <f>A1417+'1.설계입력'!$C$12</f>
        <v>282.39999999999253</v>
      </c>
      <c r="B1418" s="40">
        <f t="shared" si="66"/>
        <v>4.9288098076318567</v>
      </c>
      <c r="C1418" s="40">
        <f>ATAN2('1.설계입력'!$C$6/('1.설계입력'!$C$8*'1.설계입력'!$C$15)-COS((1-'1.설계입력'!$C$15)*B1418),SIN((1-'1.설계입력'!$C$15)*B1418))</f>
        <v>0.24647338757551615</v>
      </c>
      <c r="D1418" s="40">
        <f>'1.설계입력'!$C$6*COS(B1418)-'1.설계입력'!$C$7*COS(B1418+C1418)-'1.설계입력'!$C$8*COS('1.설계입력'!$C$15*B1418)</f>
        <v>16.901148078569673</v>
      </c>
      <c r="E1418" s="40">
        <f>-'1.설계입력'!$C$6*SIN(B1418)+'1.설계입력'!$C$7*SIN(B1418+C1418)+'1.설계입력'!$C$8*SIN('1.설계입력'!$C$15*B1418)</f>
        <v>77.550058918107752</v>
      </c>
      <c r="F1418" s="40">
        <f>ATAN2(('1.설계입력'!$C$6+'1.설계입력'!$C$33)/('1.설계입력'!$C$8*'1.설계입력'!$C$15)-COS((1-'1.설계입력'!$C$15)*B1418),SIN((1-'1.설계입력'!$C$15)*B1418))</f>
        <v>0.24647894553489455</v>
      </c>
      <c r="G1418" s="40">
        <f>('1.설계입력'!$C$6+'1.설계입력'!$C$33)*COS(B1418)-('1.설계입력'!$C$7+'1.설계입력'!$C$34)*COS(B1418+F1418)-'1.설계입력'!$C$8*COS('1.설계입력'!$C$15*B1418)</f>
        <v>16.896845495695956</v>
      </c>
      <c r="H1418" s="40">
        <f>-('1.설계입력'!$C$6+'1.설계입력'!$C$33)*SIN(B1418)+('1.설계입력'!$C$7+'1.설계입력'!$C$34)*SIN(B1418+F1418)+'1.설계입력'!$C$8*SIN('1.설계입력'!$C$15*B1418)</f>
        <v>77.539793594290884</v>
      </c>
      <c r="I1418" s="40">
        <f t="shared" si="67"/>
        <v>79.370400304998611</v>
      </c>
      <c r="J1418" s="40">
        <f t="shared" si="68"/>
        <v>79.359454246804489</v>
      </c>
      <c r="K1418" s="38" t="str">
        <f>IF(OR(A1418&gt;180,'1.설계입력'!$C$39&gt;=1),"",'1.설계입력'!$C$34*(1-SIN(B1418)/SQRT(1+'1.설계입력'!$C$39^2-2*'1.설계입력'!$C$39*COS(B1418)))-'1.설계입력'!$C$33*(1-'1.설계입력'!$C$39*COS(B1418)-SQRT(MAX(0,1-'1.설계입력'!$C$39^2))*SIN(B1418))/SQRT(1+'1.설계입력'!$C$39^2-2*'1.설계입력'!$C$39*COS(B1418)))</f>
        <v/>
      </c>
    </row>
    <row r="1419" spans="1:11" x14ac:dyDescent="0.3">
      <c r="A1419" s="40">
        <f>A1418+'1.설계입력'!$C$12</f>
        <v>282.59999999999252</v>
      </c>
      <c r="B1419" s="40">
        <f t="shared" si="66"/>
        <v>4.9323004661358452</v>
      </c>
      <c r="C1419" s="40">
        <f>ATAN2('1.설계입력'!$C$6/('1.설계입력'!$C$8*'1.설계입력'!$C$15)-COS((1-'1.설계입력'!$C$15)*B1419),SIN((1-'1.설계입력'!$C$15)*B1419))</f>
        <v>0.30280689026773239</v>
      </c>
      <c r="D1419" s="40">
        <f>'1.설계입력'!$C$6*COS(B1419)-'1.설계입력'!$C$7*COS(B1419+C1419)-'1.설계입력'!$C$8*COS('1.설계입력'!$C$15*B1419)</f>
        <v>17.104321854378291</v>
      </c>
      <c r="E1419" s="40">
        <f>-'1.설계입력'!$C$6*SIN(B1419)+'1.설계입력'!$C$7*SIN(B1419+C1419)+'1.설계입력'!$C$8*SIN('1.설계입력'!$C$15*B1419)</f>
        <v>77.440991285873949</v>
      </c>
      <c r="F1419" s="40">
        <f>ATAN2(('1.설계입력'!$C$6+'1.설계입력'!$C$33)/('1.설계입력'!$C$8*'1.설계입력'!$C$15)-COS((1-'1.설계입력'!$C$15)*B1419),SIN((1-'1.설계입력'!$C$15)*B1419))</f>
        <v>0.30281383780214266</v>
      </c>
      <c r="G1419" s="40">
        <f>('1.설계입력'!$C$6+'1.설계입력'!$C$33)*COS(B1419)-('1.설계입력'!$C$7+'1.설계입력'!$C$34)*COS(B1419+F1419)-'1.설계입력'!$C$8*COS('1.설계입력'!$C$15*B1419)</f>
        <v>17.099577659829677</v>
      </c>
      <c r="H1419" s="40">
        <f>-('1.설계입력'!$C$6+'1.설계입력'!$C$33)*SIN(B1419)+('1.설계입력'!$C$7+'1.설계입력'!$C$34)*SIN(B1419+F1419)+'1.설계입력'!$C$8*SIN('1.설계입력'!$C$15*B1419)</f>
        <v>77.430961477295341</v>
      </c>
      <c r="I1419" s="40">
        <f t="shared" si="67"/>
        <v>79.307407960649982</v>
      </c>
      <c r="J1419" s="40">
        <f t="shared" si="68"/>
        <v>79.296591045535749</v>
      </c>
      <c r="K1419" s="38" t="str">
        <f>IF(OR(A1419&gt;180,'1.설계입력'!$C$39&gt;=1),"",'1.설계입력'!$C$34*(1-SIN(B1419)/SQRT(1+'1.설계입력'!$C$39^2-2*'1.설계입력'!$C$39*COS(B1419)))-'1.설계입력'!$C$33*(1-'1.설계입력'!$C$39*COS(B1419)-SQRT(MAX(0,1-'1.설계입력'!$C$39^2))*SIN(B1419))/SQRT(1+'1.설계입력'!$C$39^2-2*'1.설계입력'!$C$39*COS(B1419)))</f>
        <v/>
      </c>
    </row>
    <row r="1420" spans="1:11" x14ac:dyDescent="0.3">
      <c r="A1420" s="40">
        <f>A1419+'1.설계입력'!$C$12</f>
        <v>282.79999999999251</v>
      </c>
      <c r="B1420" s="40">
        <f t="shared" si="66"/>
        <v>4.9357911246398336</v>
      </c>
      <c r="C1420" s="40">
        <f>ATAN2('1.설계입력'!$C$6/('1.설계입력'!$C$8*'1.설계입력'!$C$15)-COS((1-'1.설계입력'!$C$15)*B1420),SIN((1-'1.설계입력'!$C$15)*B1420))</f>
        <v>0.35853730218156737</v>
      </c>
      <c r="D1420" s="40">
        <f>'1.설계입력'!$C$6*COS(B1420)-'1.설계입력'!$C$7*COS(B1420+C1420)-'1.설계입력'!$C$8*COS('1.설계입력'!$C$15*B1420)</f>
        <v>17.292817475678607</v>
      </c>
      <c r="E1420" s="40">
        <f>-'1.설계입력'!$C$6*SIN(B1420)+'1.설계입력'!$C$7*SIN(B1420+C1420)+'1.설계입력'!$C$8*SIN('1.설계입력'!$C$15*B1420)</f>
        <v>77.32486153983109</v>
      </c>
      <c r="F1420" s="40">
        <f>ATAN2(('1.설계입력'!$C$6+'1.설계입력'!$C$33)/('1.설계입력'!$C$8*'1.설계입력'!$C$15)-COS((1-'1.설계입력'!$C$15)*B1420),SIN((1-'1.설계입력'!$C$15)*B1420))</f>
        <v>0.35854570656895152</v>
      </c>
      <c r="G1420" s="40">
        <f>('1.설계입력'!$C$6+'1.설계입력'!$C$33)*COS(B1420)-('1.설계입력'!$C$7+'1.설계입력'!$C$34)*COS(B1420+F1420)-'1.설계입력'!$C$8*COS('1.설계입력'!$C$15*B1420)</f>
        <v>17.287650408548011</v>
      </c>
      <c r="H1420" s="40">
        <f>-('1.설계입력'!$C$6+'1.설계입력'!$C$33)*SIN(B1420)+('1.설계입력'!$C$7+'1.설계입력'!$C$34)*SIN(B1420+F1420)+'1.설계입력'!$C$8*SIN('1.설계입력'!$C$15*B1420)</f>
        <v>77.315090366556177</v>
      </c>
      <c r="I1420" s="40">
        <f t="shared" si="67"/>
        <v>79.234940199391744</v>
      </c>
      <c r="J1420" s="40">
        <f t="shared" si="68"/>
        <v>79.224276929719707</v>
      </c>
      <c r="K1420" s="38" t="str">
        <f>IF(OR(A1420&gt;180,'1.설계입력'!$C$39&gt;=1),"",'1.설계입력'!$C$34*(1-SIN(B1420)/SQRT(1+'1.설계입력'!$C$39^2-2*'1.설계입력'!$C$39*COS(B1420)))-'1.설계입력'!$C$33*(1-'1.설계입력'!$C$39*COS(B1420)-SQRT(MAX(0,1-'1.설계입력'!$C$39^2))*SIN(B1420))/SQRT(1+'1.설계입력'!$C$39^2-2*'1.설계입력'!$C$39*COS(B1420)))</f>
        <v/>
      </c>
    </row>
    <row r="1421" spans="1:11" x14ac:dyDescent="0.3">
      <c r="A1421" s="40">
        <f>A1420+'1.설계입력'!$C$12</f>
        <v>282.9999999999925</v>
      </c>
      <c r="B1421" s="40">
        <f t="shared" si="66"/>
        <v>4.939281783143822</v>
      </c>
      <c r="C1421" s="40">
        <f>ATAN2('1.설계입력'!$C$6/('1.설계입력'!$C$8*'1.설계입력'!$C$15)-COS((1-'1.설계입력'!$C$15)*B1421),SIN((1-'1.설계입력'!$C$15)*B1421))</f>
        <v>0.41349651671578652</v>
      </c>
      <c r="D1421" s="40">
        <f>'1.설계입력'!$C$6*COS(B1421)-'1.설계입력'!$C$7*COS(B1421+C1421)-'1.설계입력'!$C$8*COS('1.설계입력'!$C$15*B1421)</f>
        <v>17.465494716980892</v>
      </c>
      <c r="E1421" s="40">
        <f>-'1.설계입력'!$C$6*SIN(B1421)+'1.설계입력'!$C$7*SIN(B1421+C1421)+'1.설계입력'!$C$8*SIN('1.설계입력'!$C$15*B1421)</f>
        <v>77.203922738236272</v>
      </c>
      <c r="F1421" s="40">
        <f>ATAN2(('1.설계입력'!$C$6+'1.설계입력'!$C$33)/('1.설계입력'!$C$8*'1.설계입력'!$C$15)-COS((1-'1.설계입력'!$C$15)*B1421),SIN((1-'1.설계입력'!$C$15)*B1421))</f>
        <v>0.41350646339651653</v>
      </c>
      <c r="G1421" s="40">
        <f>('1.설계입력'!$C$6+'1.설계입력'!$C$33)*COS(B1421)-('1.설계입력'!$C$7+'1.설계입력'!$C$34)*COS(B1421+F1421)-'1.설계입력'!$C$8*COS('1.설계입력'!$C$15*B1421)</f>
        <v>17.459925588609924</v>
      </c>
      <c r="H1421" s="40">
        <f>-('1.설계입력'!$C$6+'1.설계입력'!$C$33)*SIN(B1421)+('1.설계입력'!$C$7+'1.설계입력'!$C$34)*SIN(B1421+F1421)+'1.설계입력'!$C$8*SIN('1.설계입력'!$C$15*B1421)</f>
        <v>77.194430920308477</v>
      </c>
      <c r="I1421" s="40">
        <f t="shared" si="67"/>
        <v>79.154843135972698</v>
      </c>
      <c r="J1421" s="40">
        <f t="shared" si="68"/>
        <v>79.144356505502472</v>
      </c>
      <c r="K1421" s="38" t="str">
        <f>IF(OR(A1421&gt;180,'1.설계입력'!$C$39&gt;=1),"",'1.설계입력'!$C$34*(1-SIN(B1421)/SQRT(1+'1.설계입력'!$C$39^2-2*'1.설계입력'!$C$39*COS(B1421)))-'1.설계입력'!$C$33*(1-'1.설계입력'!$C$39*COS(B1421)-SQRT(MAX(0,1-'1.설계입력'!$C$39^2))*SIN(B1421))/SQRT(1+'1.설계입력'!$C$39^2-2*'1.설계입력'!$C$39*COS(B1421)))</f>
        <v/>
      </c>
    </row>
    <row r="1422" spans="1:11" x14ac:dyDescent="0.3">
      <c r="A1422" s="40">
        <f>A1421+'1.설계입력'!$C$12</f>
        <v>283.19999999999249</v>
      </c>
      <c r="B1422" s="40">
        <f t="shared" si="66"/>
        <v>4.9427724416478105</v>
      </c>
      <c r="C1422" s="40">
        <f>ATAN2('1.설계입력'!$C$6/('1.설계입력'!$C$8*'1.설계입력'!$C$15)-COS((1-'1.설계입력'!$C$15)*B1422),SIN((1-'1.설계입력'!$C$15)*B1422))</f>
        <v>0.46748037950315435</v>
      </c>
      <c r="D1422" s="40">
        <f>'1.설계입력'!$C$6*COS(B1422)-'1.설계입력'!$C$7*COS(B1422+C1422)-'1.설계입력'!$C$8*COS('1.설계입력'!$C$15*B1422)</f>
        <v>17.621663174399682</v>
      </c>
      <c r="E1422" s="40">
        <f>-'1.설계입력'!$C$6*SIN(B1422)+'1.설계입력'!$C$7*SIN(B1422+C1422)+'1.설계입력'!$C$8*SIN('1.설계입력'!$C$15*B1422)</f>
        <v>77.08047120085665</v>
      </c>
      <c r="F1422" s="40">
        <f>ATAN2(('1.설계입력'!$C$6+'1.설계입력'!$C$33)/('1.설계입력'!$C$8*'1.설계입력'!$C$15)-COS((1-'1.설계입력'!$C$15)*B1422),SIN((1-'1.설계입력'!$C$15)*B1422))</f>
        <v>0.46749197558590694</v>
      </c>
      <c r="G1422" s="40">
        <f>('1.설계입력'!$C$6+'1.설계입력'!$C$33)*COS(B1422)-('1.설계입력'!$C$7+'1.설계입력'!$C$34)*COS(B1422+F1422)-'1.설계입력'!$C$8*COS('1.설계입력'!$C$15*B1422)</f>
        <v>17.615714757071125</v>
      </c>
      <c r="H1422" s="40">
        <f>-('1.설계입력'!$C$6+'1.설계입력'!$C$33)*SIN(B1422)+('1.설계입력'!$C$7+'1.설계입력'!$C$34)*SIN(B1422+F1422)+'1.설계입력'!$C$8*SIN('1.설계입력'!$C$15*B1422)</f>
        <v>77.07127661817411</v>
      </c>
      <c r="I1422" s="40">
        <f t="shared" si="67"/>
        <v>79.069096703946769</v>
      </c>
      <c r="J1422" s="40">
        <f t="shared" si="68"/>
        <v>79.058807769644517</v>
      </c>
      <c r="K1422" s="38" t="str">
        <f>IF(OR(A1422&gt;180,'1.설계입력'!$C$39&gt;=1),"",'1.설계입력'!$C$34*(1-SIN(B1422)/SQRT(1+'1.설계입력'!$C$39^2-2*'1.설계입력'!$C$39*COS(B1422)))-'1.설계입력'!$C$33*(1-'1.설계입력'!$C$39*COS(B1422)-SQRT(MAX(0,1-'1.설계입력'!$C$39^2))*SIN(B1422))/SQRT(1+'1.설계입력'!$C$39^2-2*'1.설계입력'!$C$39*COS(B1422)))</f>
        <v/>
      </c>
    </row>
    <row r="1423" spans="1:11" x14ac:dyDescent="0.3">
      <c r="A1423" s="40">
        <f>A1422+'1.설계입력'!$C$12</f>
        <v>283.39999999999247</v>
      </c>
      <c r="B1423" s="40">
        <f t="shared" si="66"/>
        <v>4.9462631001517989</v>
      </c>
      <c r="C1423" s="40">
        <f>ATAN2('1.설계입력'!$C$6/('1.설계입력'!$C$8*'1.설계입력'!$C$15)-COS((1-'1.설계입력'!$C$15)*B1423),SIN((1-'1.설계입력'!$C$15)*B1423))</f>
        <v>0.52023499137976892</v>
      </c>
      <c r="D1423" s="40">
        <f>'1.설계입력'!$C$6*COS(B1423)-'1.설계입력'!$C$7*COS(B1423+C1423)-'1.설계입력'!$C$8*COS('1.설계입력'!$C$15*B1423)</f>
        <v>17.761115810729773</v>
      </c>
      <c r="E1423" s="40">
        <f>-'1.설계입력'!$C$6*SIN(B1423)+'1.설계입력'!$C$7*SIN(B1423+C1423)+'1.설계입력'!$C$8*SIN('1.설계입력'!$C$15*B1423)</f>
        <v>76.956729643278351</v>
      </c>
      <c r="F1423" s="40">
        <f>ATAN2(('1.설계입력'!$C$6+'1.설계입력'!$C$33)/('1.설계입력'!$C$8*'1.설계입력'!$C$15)-COS((1-'1.설계입력'!$C$15)*B1423),SIN((1-'1.설계입력'!$C$15)*B1423))</f>
        <v>0.52024837034368354</v>
      </c>
      <c r="G1423" s="40">
        <f>('1.설계입력'!$C$6+'1.설계입력'!$C$33)*COS(B1423)-('1.설계입력'!$C$7+'1.설계입력'!$C$34)*COS(B1423+F1423)-'1.설계입력'!$C$8*COS('1.설계입력'!$C$15*B1423)</f>
        <v>17.754812726093181</v>
      </c>
      <c r="H1423" s="40">
        <f>-('1.설계입력'!$C$6+'1.설계입력'!$C$33)*SIN(B1423)+('1.설계입력'!$C$7+'1.설계입력'!$C$34)*SIN(B1423+F1423)+'1.설계입력'!$C$8*SIN('1.설계입력'!$C$15*B1423)</f>
        <v>76.947846809246784</v>
      </c>
      <c r="I1423" s="40">
        <f t="shared" si="67"/>
        <v>78.979715574511872</v>
      </c>
      <c r="J1423" s="40">
        <f t="shared" si="68"/>
        <v>78.96964292383467</v>
      </c>
      <c r="K1423" s="38" t="str">
        <f>IF(OR(A1423&gt;180,'1.설계입력'!$C$39&gt;=1),"",'1.설계입력'!$C$34*(1-SIN(B1423)/SQRT(1+'1.설계입력'!$C$39^2-2*'1.설계입력'!$C$39*COS(B1423)))-'1.설계입력'!$C$33*(1-'1.설계입력'!$C$39*COS(B1423)-SQRT(MAX(0,1-'1.설계입력'!$C$39^2))*SIN(B1423))/SQRT(1+'1.설계입력'!$C$39^2-2*'1.설계입력'!$C$39*COS(B1423)))</f>
        <v/>
      </c>
    </row>
    <row r="1424" spans="1:11" x14ac:dyDescent="0.3">
      <c r="A1424" s="40">
        <f>A1423+'1.설계입력'!$C$12</f>
        <v>283.59999999999246</v>
      </c>
      <c r="B1424" s="40">
        <f t="shared" si="66"/>
        <v>4.9497537586557874</v>
      </c>
      <c r="C1424" s="40">
        <f>ATAN2('1.설계입력'!$C$6/('1.설계입력'!$C$8*'1.설계입력'!$C$15)-COS((1-'1.설계입력'!$C$15)*B1424),SIN((1-'1.설계입력'!$C$15)*B1424))</f>
        <v>0.57143720274178511</v>
      </c>
      <c r="D1424" s="40">
        <f>'1.설계입력'!$C$6*COS(B1424)-'1.설계입력'!$C$7*COS(B1424+C1424)-'1.설계입력'!$C$8*COS('1.설계입력'!$C$15*B1424)</f>
        <v>17.884156859443664</v>
      </c>
      <c r="E1424" s="40">
        <f>-'1.설계입력'!$C$6*SIN(B1424)+'1.설계입력'!$C$7*SIN(B1424+C1424)+'1.설계입력'!$C$8*SIN('1.설계입력'!$C$15*B1424)</f>
        <v>76.834704745914493</v>
      </c>
      <c r="F1424" s="40">
        <f>ATAN2(('1.설계입력'!$C$6+'1.설계입력'!$C$33)/('1.설계입력'!$C$8*'1.설계입력'!$C$15)-COS((1-'1.설계입력'!$C$15)*B1424),SIN((1-'1.설계입력'!$C$15)*B1424))</f>
        <v>0.57145253074564961</v>
      </c>
      <c r="G1424" s="40">
        <f>('1.설계입력'!$C$6+'1.설계입력'!$C$33)*COS(B1424)-('1.설계입력'!$C$7+'1.설계입력'!$C$34)*COS(B1424+F1424)-'1.설계입력'!$C$8*COS('1.설계입력'!$C$15*B1424)</f>
        <v>17.87752547476785</v>
      </c>
      <c r="H1424" s="40">
        <f>-('1.설계입력'!$C$6+'1.설계입력'!$C$33)*SIN(B1424)+('1.설계입력'!$C$7+'1.설계입력'!$C$34)*SIN(B1424+F1424)+'1.설계입력'!$C$8*SIN('1.설계입력'!$C$15*B1424)</f>
        <v>76.826144152042588</v>
      </c>
      <c r="I1424" s="40">
        <f t="shared" si="67"/>
        <v>78.888623514199054</v>
      </c>
      <c r="J1424" s="40">
        <f t="shared" si="68"/>
        <v>78.878782586772985</v>
      </c>
      <c r="K1424" s="38" t="str">
        <f>IF(OR(A1424&gt;180,'1.설계입력'!$C$39&gt;=1),"",'1.설계입력'!$C$34*(1-SIN(B1424)/SQRT(1+'1.설계입력'!$C$39^2-2*'1.설계입력'!$C$39*COS(B1424)))-'1.설계입력'!$C$33*(1-'1.설계입력'!$C$39*COS(B1424)-SQRT(MAX(0,1-'1.설계입력'!$C$39^2))*SIN(B1424))/SQRT(1+'1.설계입력'!$C$39^2-2*'1.설계입력'!$C$39*COS(B1424)))</f>
        <v/>
      </c>
    </row>
    <row r="1425" spans="1:11" x14ac:dyDescent="0.3">
      <c r="A1425" s="40">
        <f>A1424+'1.설계입력'!$C$12</f>
        <v>283.79999999999245</v>
      </c>
      <c r="B1425" s="40">
        <f t="shared" si="66"/>
        <v>4.9532444171597758</v>
      </c>
      <c r="C1425" s="40">
        <f>ATAN2('1.설계입력'!$C$6/('1.설계입력'!$C$8*'1.설계입력'!$C$15)-COS((1-'1.설계입력'!$C$15)*B1425),SIN((1-'1.설계입력'!$C$15)*B1425))</f>
        <v>0.62066606893061071</v>
      </c>
      <c r="D1425" s="40">
        <f>'1.설계입력'!$C$6*COS(B1425)-'1.설계입력'!$C$7*COS(B1425+C1425)-'1.설계입력'!$C$8*COS('1.설계입력'!$C$15*B1425)</f>
        <v>17.991627431944234</v>
      </c>
      <c r="E1425" s="40">
        <f>-'1.설계입력'!$C$6*SIN(B1425)+'1.설계입력'!$C$7*SIN(B1425+C1425)+'1.설계입력'!$C$8*SIN('1.설계입력'!$C$15*B1425)</f>
        <v>76.7160088098302</v>
      </c>
      <c r="F1425" s="40">
        <f>ATAN2(('1.설계입력'!$C$6+'1.설계입력'!$C$33)/('1.설계입력'!$C$8*'1.설계입력'!$C$15)-COS((1-'1.설계입력'!$C$15)*B1425),SIN((1-'1.설계입력'!$C$15)*B1425))</f>
        <v>0.62068355330336089</v>
      </c>
      <c r="G1425" s="40">
        <f>('1.설계입력'!$C$6+'1.설계입력'!$C$33)*COS(B1425)-('1.설계입력'!$C$7+'1.설계입력'!$C$34)*COS(B1425+F1425)-'1.설계입력'!$C$8*COS('1.설계입력'!$C$15*B1425)</f>
        <v>17.984695778890643</v>
      </c>
      <c r="H1425" s="40">
        <f>-('1.설계입력'!$C$6+'1.설계입력'!$C$33)*SIN(B1425)+('1.설계입력'!$C$7+'1.설계입력'!$C$34)*SIN(B1425+F1425)+'1.설계입력'!$C$8*SIN('1.설계입력'!$C$15*B1425)</f>
        <v>76.707776074824054</v>
      </c>
      <c r="I1425" s="40">
        <f t="shared" si="67"/>
        <v>78.797491491543269</v>
      </c>
      <c r="J1425" s="40">
        <f t="shared" si="68"/>
        <v>78.787893693159461</v>
      </c>
      <c r="K1425" s="38" t="str">
        <f>IF(OR(A1425&gt;180,'1.설계입력'!$C$39&gt;=1),"",'1.설계입력'!$C$34*(1-SIN(B1425)/SQRT(1+'1.설계입력'!$C$39^2-2*'1.설계입력'!$C$39*COS(B1425)))-'1.설계입력'!$C$33*(1-'1.설계입력'!$C$39*COS(B1425)-SQRT(MAX(0,1-'1.설계입력'!$C$39^2))*SIN(B1425))/SQRT(1+'1.설계입력'!$C$39^2-2*'1.설계입력'!$C$39*COS(B1425)))</f>
        <v/>
      </c>
    </row>
    <row r="1426" spans="1:11" x14ac:dyDescent="0.3">
      <c r="A1426" s="40">
        <f>A1425+'1.설계입력'!$C$12</f>
        <v>283.99999999999244</v>
      </c>
      <c r="B1426" s="40">
        <f t="shared" si="66"/>
        <v>4.9567350756637643</v>
      </c>
      <c r="C1426" s="40">
        <f>ATAN2('1.설계입력'!$C$6/('1.설계입력'!$C$8*'1.설계입력'!$C$15)-COS((1-'1.설계입력'!$C$15)*B1426),SIN((1-'1.설계입력'!$C$15)*B1426))</f>
        <v>0.66735989529819228</v>
      </c>
      <c r="D1426" s="40">
        <f>'1.설계입력'!$C$6*COS(B1426)-'1.설계입력'!$C$7*COS(B1426+C1426)-'1.설계입력'!$C$8*COS('1.설계입력'!$C$15*B1426)</f>
        <v>18.084935831302051</v>
      </c>
      <c r="E1426" s="40">
        <f>-'1.설계입력'!$C$6*SIN(B1426)+'1.설계입력'!$C$7*SIN(B1426+C1426)+'1.설계입력'!$C$8*SIN('1.설계입력'!$C$15*B1426)</f>
        <v>76.60162745534231</v>
      </c>
      <c r="F1426" s="40">
        <f>ATAN2(('1.설계입력'!$C$6+'1.설계입력'!$C$33)/('1.설계입력'!$C$8*'1.설계입력'!$C$15)-COS((1-'1.설계입력'!$C$15)*B1426),SIN((1-'1.설계입력'!$C$15)*B1426))</f>
        <v>0.66737979599637531</v>
      </c>
      <c r="G1426" s="40">
        <f>('1.설계입력'!$C$6+'1.설계입력'!$C$33)*COS(B1426)-('1.설계입력'!$C$7+'1.설계입력'!$C$34)*COS(B1426+F1426)-'1.설계입력'!$C$8*COS('1.설계입력'!$C$15*B1426)</f>
        <v>18.077733574706926</v>
      </c>
      <c r="H1426" s="40">
        <f>-('1.설계입력'!$C$6+'1.설계입력'!$C$33)*SIN(B1426)+('1.설계입력'!$C$7+'1.설계입력'!$C$34)*SIN(B1426+F1426)+'1.설계입력'!$C$8*SIN('1.설계입력'!$C$15*B1426)</f>
        <v>76.593722172903028</v>
      </c>
      <c r="I1426" s="40">
        <f t="shared" si="67"/>
        <v>78.707523355962394</v>
      </c>
      <c r="J1426" s="40">
        <f t="shared" si="68"/>
        <v>78.698174867641896</v>
      </c>
      <c r="K1426" s="38" t="str">
        <f>IF(OR(A1426&gt;180,'1.설계입력'!$C$39&gt;=1),"",'1.설계입력'!$C$34*(1-SIN(B1426)/SQRT(1+'1.설계입력'!$C$39^2-2*'1.설계입력'!$C$39*COS(B1426)))-'1.설계입력'!$C$33*(1-'1.설계입력'!$C$39*COS(B1426)-SQRT(MAX(0,1-'1.설계입력'!$C$39^2))*SIN(B1426))/SQRT(1+'1.설계입력'!$C$39^2-2*'1.설계입력'!$C$39*COS(B1426)))</f>
        <v/>
      </c>
    </row>
    <row r="1427" spans="1:11" x14ac:dyDescent="0.3">
      <c r="A1427" s="40">
        <f>A1426+'1.설계입력'!$C$12</f>
        <v>284.19999999999243</v>
      </c>
      <c r="B1427" s="40">
        <f t="shared" si="66"/>
        <v>4.9602257341677527</v>
      </c>
      <c r="C1427" s="40">
        <f>ATAN2('1.설계입력'!$C$6/('1.설계입력'!$C$8*'1.설계입력'!$C$15)-COS((1-'1.설계입력'!$C$15)*B1427),SIN((1-'1.설계입력'!$C$15)*B1427))</f>
        <v>0.71074964847876732</v>
      </c>
      <c r="D1427" s="40">
        <f>'1.설계입력'!$C$6*COS(B1427)-'1.설계입력'!$C$7*COS(B1427+C1427)-'1.설계입력'!$C$8*COS('1.설계입력'!$C$15*B1427)</f>
        <v>18.166106937192424</v>
      </c>
      <c r="E1427" s="40">
        <f>-'1.설계입력'!$C$6*SIN(B1427)+'1.설계입력'!$C$7*SIN(B1427+C1427)+'1.설계입력'!$C$8*SIN('1.설계입력'!$C$15*B1427)</f>
        <v>76.491601667174791</v>
      </c>
      <c r="F1427" s="40">
        <f>ATAN2(('1.설계입력'!$C$6+'1.설계입력'!$C$33)/('1.설계입력'!$C$8*'1.설계입력'!$C$15)-COS((1-'1.설계입력'!$C$15)*B1427),SIN((1-'1.설계입력'!$C$15)*B1427))</f>
        <v>0.71077229352825444</v>
      </c>
      <c r="G1427" s="40">
        <f>('1.설계입력'!$C$6+'1.설계입력'!$C$33)*COS(B1427)-('1.설계입력'!$C$7+'1.설계입력'!$C$34)*COS(B1427+F1427)-'1.설계입력'!$C$8*COS('1.설계입력'!$C$15*B1427)</f>
        <v>18.15866544714196</v>
      </c>
      <c r="H1427" s="40">
        <f>-('1.설계입력'!$C$6+'1.설계입력'!$C$33)*SIN(B1427)+('1.설계입력'!$C$7+'1.설계입력'!$C$34)*SIN(B1427+F1427)+'1.설계입력'!$C$8*SIN('1.설계입력'!$C$15*B1427)</f>
        <v>76.484015779214374</v>
      </c>
      <c r="I1427" s="40">
        <f t="shared" si="67"/>
        <v>78.619161575682355</v>
      </c>
      <c r="J1427" s="40">
        <f t="shared" si="68"/>
        <v>78.610061700372299</v>
      </c>
      <c r="K1427" s="38" t="str">
        <f>IF(OR(A1427&gt;180,'1.설계입력'!$C$39&gt;=1),"",'1.설계입력'!$C$34*(1-SIN(B1427)/SQRT(1+'1.설계입력'!$C$39^2-2*'1.설계입력'!$C$39*COS(B1427)))-'1.설계입력'!$C$33*(1-'1.설계입력'!$C$39*COS(B1427)-SQRT(MAX(0,1-'1.설계입력'!$C$39^2))*SIN(B1427))/SQRT(1+'1.설계입력'!$C$39^2-2*'1.설계입력'!$C$39*COS(B1427)))</f>
        <v/>
      </c>
    </row>
    <row r="1428" spans="1:11" x14ac:dyDescent="0.3">
      <c r="A1428" s="40">
        <f>A1427+'1.설계입력'!$C$12</f>
        <v>284.39999999999242</v>
      </c>
      <c r="B1428" s="40">
        <f t="shared" si="66"/>
        <v>4.9637163926717411</v>
      </c>
      <c r="C1428" s="40">
        <f>ATAN2('1.설계입력'!$C$6/('1.설계입력'!$C$8*'1.설계입력'!$C$15)-COS((1-'1.설계입력'!$C$15)*B1428),SIN((1-'1.설계입력'!$C$15)*B1428))</f>
        <v>0.74975234193708007</v>
      </c>
      <c r="D1428" s="40">
        <f>'1.설계입력'!$C$6*COS(B1428)-'1.설계입력'!$C$7*COS(B1428+C1428)-'1.설계입력'!$C$8*COS('1.설계입력'!$C$15*B1428)</f>
        <v>18.237880687598238</v>
      </c>
      <c r="E1428" s="40">
        <f>-'1.설계입력'!$C$6*SIN(B1428)+'1.설계입력'!$C$7*SIN(B1428+C1428)+'1.설계입력'!$C$8*SIN('1.설계입력'!$C$15*B1428)</f>
        <v>76.38456769718421</v>
      </c>
      <c r="F1428" s="40">
        <f>ATAN2(('1.설계입력'!$C$6+'1.설계입력'!$C$33)/('1.설계입력'!$C$8*'1.설계입력'!$C$15)-COS((1-'1.설계입력'!$C$15)*B1428),SIN((1-'1.설계입력'!$C$15)*B1428))</f>
        <v>0.74977814798569153</v>
      </c>
      <c r="G1428" s="40">
        <f>('1.설계입력'!$C$6+'1.설계입력'!$C$33)*COS(B1428)-('1.설계입력'!$C$7+'1.설계입력'!$C$34)*COS(B1428+F1428)-'1.설계입력'!$C$8*COS('1.설계입력'!$C$15*B1428)</f>
        <v>18.230233322381082</v>
      </c>
      <c r="H1428" s="40">
        <f>-('1.설계입력'!$C$6+'1.설계입력'!$C$33)*SIN(B1428)+('1.설계입력'!$C$7+'1.설계입력'!$C$34)*SIN(B1428+F1428)+'1.설계입력'!$C$8*SIN('1.설계입력'!$C$15*B1428)</f>
        <v>76.377283099837712</v>
      </c>
      <c r="I1428" s="40">
        <f t="shared" si="67"/>
        <v>78.53166542395995</v>
      </c>
      <c r="J1428" s="40">
        <f t="shared" si="68"/>
        <v>78.522804208084736</v>
      </c>
      <c r="K1428" s="38" t="str">
        <f>IF(OR(A1428&gt;180,'1.설계입력'!$C$39&gt;=1),"",'1.설계입력'!$C$34*(1-SIN(B1428)/SQRT(1+'1.설계입력'!$C$39^2-2*'1.설계입력'!$C$39*COS(B1428)))-'1.설계입력'!$C$33*(1-'1.설계입력'!$C$39*COS(B1428)-SQRT(MAX(0,1-'1.설계입력'!$C$39^2))*SIN(B1428))/SQRT(1+'1.설계입력'!$C$39^2-2*'1.설계입력'!$C$39*COS(B1428)))</f>
        <v/>
      </c>
    </row>
    <row r="1429" spans="1:11" x14ac:dyDescent="0.3">
      <c r="A1429" s="40">
        <f>A1428+'1.설계입력'!$C$12</f>
        <v>284.59999999999241</v>
      </c>
      <c r="B1429" s="40">
        <f t="shared" si="66"/>
        <v>4.9672070511757296</v>
      </c>
      <c r="C1429" s="40">
        <f>ATAN2('1.설계입력'!$C$6/('1.설계입력'!$C$8*'1.설계입력'!$C$15)-COS((1-'1.설계입력'!$C$15)*B1429),SIN((1-'1.설계입력'!$C$15)*B1429))</f>
        <v>0.78279418385479771</v>
      </c>
      <c r="D1429" s="40">
        <f>'1.설계입력'!$C$6*COS(B1429)-'1.설계입력'!$C$7*COS(B1429+C1429)-'1.설계입력'!$C$8*COS('1.설계입력'!$C$15*B1429)</f>
        <v>18.303924896834136</v>
      </c>
      <c r="E1429" s="40">
        <f>-'1.설계입력'!$C$6*SIN(B1429)+'1.설계입력'!$C$7*SIN(B1429+C1429)+'1.설계입력'!$C$8*SIN('1.설계입력'!$C$15*B1429)</f>
        <v>76.277052368241797</v>
      </c>
      <c r="F1429" s="40">
        <f>ATAN2(('1.설계입력'!$C$6+'1.설계입력'!$C$33)/('1.설계입력'!$C$8*'1.설계입력'!$C$15)-COS((1-'1.설계입력'!$C$15)*B1429),SIN((1-'1.설계입력'!$C$15)*B1429))</f>
        <v>0.78282368241955747</v>
      </c>
      <c r="G1429" s="40">
        <f>('1.설계입력'!$C$6+'1.설계입력'!$C$33)*COS(B1429)-('1.설계입력'!$C$7+'1.설계입력'!$C$34)*COS(B1429+F1429)-'1.설계입력'!$C$8*COS('1.설계입력'!$C$15*B1429)</f>
        <v>18.29610772432693</v>
      </c>
      <c r="H1429" s="40">
        <f>-('1.설계입력'!$C$6+'1.설계입력'!$C$33)*SIN(B1429)+('1.설계입력'!$C$7+'1.설계입력'!$C$34)*SIN(B1429+F1429)+'1.설계입력'!$C$8*SIN('1.설계입력'!$C$15*B1429)</f>
        <v>76.270037240394359</v>
      </c>
      <c r="I1429" s="40">
        <f t="shared" si="67"/>
        <v>78.442478190177326</v>
      </c>
      <c r="J1429" s="40">
        <f t="shared" si="68"/>
        <v>78.433832868930466</v>
      </c>
      <c r="K1429" s="38" t="str">
        <f>IF(OR(A1429&gt;180,'1.설계입력'!$C$39&gt;=1),"",'1.설계입력'!$C$34*(1-SIN(B1429)/SQRT(1+'1.설계입력'!$C$39^2-2*'1.설계입력'!$C$39*COS(B1429)))-'1.설계입력'!$C$33*(1-'1.설계입력'!$C$39*COS(B1429)-SQRT(MAX(0,1-'1.설계입력'!$C$39^2))*SIN(B1429))/SQRT(1+'1.설계입력'!$C$39^2-2*'1.설계입력'!$C$39*COS(B1429)))</f>
        <v/>
      </c>
    </row>
    <row r="1430" spans="1:11" x14ac:dyDescent="0.3">
      <c r="A1430" s="40">
        <f>A1429+'1.설계입력'!$C$12</f>
        <v>284.79999999999239</v>
      </c>
      <c r="B1430" s="40">
        <f t="shared" si="66"/>
        <v>4.970697709679718</v>
      </c>
      <c r="C1430" s="40">
        <f>ATAN2('1.설계입력'!$C$6/('1.설계입력'!$C$8*'1.설계입력'!$C$15)-COS((1-'1.설계입력'!$C$15)*B1430),SIN((1-'1.설계입력'!$C$15)*B1430))</f>
        <v>0.80750570064621074</v>
      </c>
      <c r="D1430" s="40">
        <f>'1.설계입력'!$C$6*COS(B1430)-'1.설계입력'!$C$7*COS(B1430+C1430)-'1.설계입력'!$C$8*COS('1.설계입력'!$C$15*B1430)</f>
        <v>18.369311432840313</v>
      </c>
      <c r="E1430" s="40">
        <f>-'1.설계입력'!$C$6*SIN(B1430)+'1.설계입력'!$C$7*SIN(B1430+C1430)+'1.설계입력'!$C$8*SIN('1.설계입력'!$C$15*B1430)</f>
        <v>76.162335347830876</v>
      </c>
      <c r="F1430" s="40">
        <f>ATAN2(('1.설계입력'!$C$6+'1.설계입력'!$C$33)/('1.설계입력'!$C$8*'1.설계입력'!$C$15)-COS((1-'1.설계입력'!$C$15)*B1430),SIN((1-'1.설계입력'!$C$15)*B1430))</f>
        <v>0.8075395676201681</v>
      </c>
      <c r="G1430" s="40">
        <f>('1.설계입력'!$C$6+'1.설계입력'!$C$33)*COS(B1430)-('1.설계입력'!$C$7+'1.설계입력'!$C$34)*COS(B1430+F1430)-'1.설계입력'!$C$8*COS('1.설계입력'!$C$15*B1430)</f>
        <v>18.361364897872821</v>
      </c>
      <c r="H1430" s="40">
        <f>-('1.설계입력'!$C$6+'1.설계입력'!$C$33)*SIN(B1430)+('1.설계입력'!$C$7+'1.설계입력'!$C$34)*SIN(B1430+F1430)+'1.설계입력'!$C$8*SIN('1.설계입력'!$C$15*B1430)</f>
        <v>76.155538283817307</v>
      </c>
      <c r="I1430" s="40">
        <f t="shared" si="67"/>
        <v>78.346237485613358</v>
      </c>
      <c r="J1430" s="40">
        <f t="shared" si="68"/>
        <v>78.337766959562998</v>
      </c>
      <c r="K1430" s="38" t="str">
        <f>IF(OR(A1430&gt;180,'1.설계입력'!$C$39&gt;=1),"",'1.설계입력'!$C$34*(1-SIN(B1430)/SQRT(1+'1.설계입력'!$C$39^2-2*'1.설계입력'!$C$39*COS(B1430)))-'1.설계입력'!$C$33*(1-'1.설계입력'!$C$39*COS(B1430)-SQRT(MAX(0,1-'1.설계입력'!$C$39^2))*SIN(B1430))/SQRT(1+'1.설계입력'!$C$39^2-2*'1.설계입력'!$C$39*COS(B1430)))</f>
        <v/>
      </c>
    </row>
    <row r="1431" spans="1:11" x14ac:dyDescent="0.3">
      <c r="A1431" s="40">
        <f>A1430+'1.설계입력'!$C$12</f>
        <v>284.99999999999238</v>
      </c>
      <c r="B1431" s="40">
        <f t="shared" si="66"/>
        <v>4.9741883681837065</v>
      </c>
      <c r="C1431" s="40">
        <f>ATAN2('1.설계입력'!$C$6/('1.설계입력'!$C$8*'1.설계입력'!$C$15)-COS((1-'1.설계입력'!$C$15)*B1431),SIN((1-'1.설계입력'!$C$15)*B1431))</f>
        <v>0.82017454861943828</v>
      </c>
      <c r="D1431" s="40">
        <f>'1.설계입력'!$C$6*COS(B1431)-'1.설계입력'!$C$7*COS(B1431+C1431)-'1.설계입력'!$C$8*COS('1.설계입력'!$C$15*B1431)</f>
        <v>18.441615857350296</v>
      </c>
      <c r="E1431" s="40">
        <f>-'1.설계입력'!$C$6*SIN(B1431)+'1.설계입력'!$C$7*SIN(B1431+C1431)+'1.설계입력'!$C$8*SIN('1.설계입력'!$C$15*B1431)</f>
        <v>76.028533576344742</v>
      </c>
      <c r="F1431" s="40">
        <f>ATAN2(('1.설계입력'!$C$6+'1.설계입력'!$C$33)/('1.설계입력'!$C$8*'1.설계입력'!$C$15)-COS((1-'1.설계입력'!$C$15)*B1431),SIN((1-'1.설계입력'!$C$15)*B1431))</f>
        <v>0.82021362287612121</v>
      </c>
      <c r="G1431" s="40">
        <f>('1.설계입력'!$C$6+'1.설계입력'!$C$33)*COS(B1431)-('1.설계입력'!$C$7+'1.설계입력'!$C$34)*COS(B1431+F1431)-'1.설계입력'!$C$8*COS('1.설계입력'!$C$15*B1431)</f>
        <v>18.433588597082352</v>
      </c>
      <c r="H1431" s="40">
        <f>-('1.설계입력'!$C$6+'1.설계입력'!$C$33)*SIN(B1431)+('1.설계입력'!$C$7+'1.설계입력'!$C$34)*SIN(B1431+F1431)+'1.설계입력'!$C$8*SIN('1.설계입력'!$C$15*B1431)</f>
        <v>76.021873828884367</v>
      </c>
      <c r="I1431" s="40">
        <f t="shared" si="67"/>
        <v>78.233184219993589</v>
      </c>
      <c r="J1431" s="40">
        <f t="shared" si="68"/>
        <v>78.224820159724871</v>
      </c>
      <c r="K1431" s="38" t="str">
        <f>IF(OR(A1431&gt;180,'1.설계입력'!$C$39&gt;=1),"",'1.설계입력'!$C$34*(1-SIN(B1431)/SQRT(1+'1.설계입력'!$C$39^2-2*'1.설계입력'!$C$39*COS(B1431)))-'1.설계입력'!$C$33*(1-'1.설계입력'!$C$39*COS(B1431)-SQRT(MAX(0,1-'1.설계입력'!$C$39^2))*SIN(B1431))/SQRT(1+'1.설계입력'!$C$39^2-2*'1.설계입력'!$C$39*COS(B1431)))</f>
        <v/>
      </c>
    </row>
    <row r="1432" spans="1:11" x14ac:dyDescent="0.3">
      <c r="A1432" s="40">
        <f>A1431+'1.설계입력'!$C$12</f>
        <v>285.19999999999237</v>
      </c>
      <c r="B1432" s="40">
        <f t="shared" si="66"/>
        <v>4.9776790266876949</v>
      </c>
      <c r="C1432" s="40">
        <f>ATAN2('1.설계입력'!$C$6/('1.설계입력'!$C$8*'1.설계입력'!$C$15)-COS((1-'1.설계입력'!$C$15)*B1432),SIN((1-'1.설계입력'!$C$15)*B1432))</f>
        <v>0.8147260200652805</v>
      </c>
      <c r="D1432" s="40">
        <f>'1.설계입력'!$C$6*COS(B1432)-'1.설계입력'!$C$7*COS(B1432+C1432)-'1.설계입력'!$C$8*COS('1.설계입력'!$C$15*B1432)</f>
        <v>18.53356102144684</v>
      </c>
      <c r="E1432" s="40">
        <f>-'1.설계입력'!$C$6*SIN(B1432)+'1.설계입력'!$C$7*SIN(B1432+C1432)+'1.설계입력'!$C$8*SIN('1.설계입력'!$C$15*B1432)</f>
        <v>75.855319987869322</v>
      </c>
      <c r="F1432" s="40">
        <f>ATAN2(('1.설계입력'!$C$6+'1.설계입력'!$C$33)/('1.설계입력'!$C$8*'1.설계입력'!$C$15)-COS((1-'1.설계입력'!$C$15)*B1432),SIN((1-'1.설계입력'!$C$15)*B1432))</f>
        <v>0.81477125483830759</v>
      </c>
      <c r="G1432" s="40">
        <f>('1.설계입력'!$C$6+'1.설계입력'!$C$33)*COS(B1432)-('1.설계입력'!$C$7+'1.설계입력'!$C$34)*COS(B1432+F1432)-'1.설계입력'!$C$8*COS('1.설계입력'!$C$15*B1432)</f>
        <v>18.52551886718463</v>
      </c>
      <c r="H1432" s="40">
        <f>-('1.설계입력'!$C$6+'1.설계입력'!$C$33)*SIN(B1432)+('1.설계입력'!$C$7+'1.설계입력'!$C$34)*SIN(B1432+F1432)+'1.설계입력'!$C$8*SIN('1.설계입력'!$C$15*B1432)</f>
        <v>75.848670698864225</v>
      </c>
      <c r="I1432" s="40">
        <f t="shared" si="67"/>
        <v>78.086634289087783</v>
      </c>
      <c r="J1432" s="40">
        <f t="shared" si="68"/>
        <v>78.078266477190425</v>
      </c>
      <c r="K1432" s="38" t="str">
        <f>IF(OR(A1432&gt;180,'1.설계입력'!$C$39&gt;=1),"",'1.설계입력'!$C$34*(1-SIN(B1432)/SQRT(1+'1.설계입력'!$C$39^2-2*'1.설계입력'!$C$39*COS(B1432)))-'1.설계입력'!$C$33*(1-'1.설계입력'!$C$39*COS(B1432)-SQRT(MAX(0,1-'1.설계입력'!$C$39^2))*SIN(B1432))/SQRT(1+'1.설계입력'!$C$39^2-2*'1.설계입력'!$C$39*COS(B1432)))</f>
        <v/>
      </c>
    </row>
    <row r="1433" spans="1:11" x14ac:dyDescent="0.3">
      <c r="A1433" s="40">
        <f>A1432+'1.설계입력'!$C$12</f>
        <v>285.39999999999236</v>
      </c>
      <c r="B1433" s="40">
        <f t="shared" si="66"/>
        <v>4.9811696851916833</v>
      </c>
      <c r="C1433" s="40">
        <f>ATAN2('1.설계입력'!$C$6/('1.설계입력'!$C$8*'1.설계입력'!$C$15)-COS((1-'1.설계입력'!$C$15)*B1433),SIN((1-'1.설계입력'!$C$15)*B1433))</f>
        <v>0.78078617050039112</v>
      </c>
      <c r="D1433" s="40">
        <f>'1.설계입력'!$C$6*COS(B1433)-'1.설계입력'!$C$7*COS(B1433+C1433)-'1.설계입력'!$C$8*COS('1.설계입력'!$C$15*B1433)</f>
        <v>18.669653941592689</v>
      </c>
      <c r="E1433" s="40">
        <f>-'1.설계입력'!$C$6*SIN(B1433)+'1.설계입력'!$C$7*SIN(B1433+C1433)+'1.설계입력'!$C$8*SIN('1.설계입력'!$C$15*B1433)</f>
        <v>75.608592743281804</v>
      </c>
      <c r="F1433" s="40">
        <f>ATAN2(('1.설계입력'!$C$6+'1.설계입력'!$C$33)/('1.설계입력'!$C$8*'1.설계입력'!$C$15)-COS((1-'1.설계입력'!$C$15)*B1433),SIN((1-'1.설계입력'!$C$15)*B1433))</f>
        <v>0.78083831187663644</v>
      </c>
      <c r="G1433" s="40">
        <f>('1.설계입력'!$C$6+'1.설계입력'!$C$33)*COS(B1433)-('1.설계입력'!$C$7+'1.설계입력'!$C$34)*COS(B1433+F1433)-'1.설계입력'!$C$8*COS('1.설계입력'!$C$15*B1433)</f>
        <v>18.661702275707565</v>
      </c>
      <c r="H1433" s="40">
        <f>-('1.설계입력'!$C$6+'1.설계입력'!$C$33)*SIN(B1433)+('1.설계입력'!$C$7+'1.설계입력'!$C$34)*SIN(B1433+F1433)+'1.설계입력'!$C$8*SIN('1.설계입력'!$C$15*B1433)</f>
        <v>75.601751917801295</v>
      </c>
      <c r="I1433" s="40">
        <f t="shared" si="67"/>
        <v>77.879492004752279</v>
      </c>
      <c r="J1433" s="40">
        <f t="shared" si="68"/>
        <v>77.870944676868532</v>
      </c>
      <c r="K1433" s="38" t="str">
        <f>IF(OR(A1433&gt;180,'1.설계입력'!$C$39&gt;=1),"",'1.설계입력'!$C$34*(1-SIN(B1433)/SQRT(1+'1.설계입력'!$C$39^2-2*'1.설계입력'!$C$39*COS(B1433)))-'1.설계입력'!$C$33*(1-'1.설계입력'!$C$39*COS(B1433)-SQRT(MAX(0,1-'1.설계입력'!$C$39^2))*SIN(B1433))/SQRT(1+'1.설계입력'!$C$39^2-2*'1.설계입력'!$C$39*COS(B1433)))</f>
        <v/>
      </c>
    </row>
    <row r="1434" spans="1:11" x14ac:dyDescent="0.3">
      <c r="A1434" s="40">
        <f>A1433+'1.설계입력'!$C$12</f>
        <v>285.59999999999235</v>
      </c>
      <c r="B1434" s="40">
        <f t="shared" si="66"/>
        <v>4.9846603436956718</v>
      </c>
      <c r="C1434" s="40">
        <f>ATAN2('1.설계입력'!$C$6/('1.설계입력'!$C$8*'1.설계입력'!$C$15)-COS((1-'1.설계입력'!$C$15)*B1434),SIN((1-'1.설계입력'!$C$15)*B1434))</f>
        <v>0.7001834507729654</v>
      </c>
      <c r="D1434" s="40">
        <f>'1.설계입력'!$C$6*COS(B1434)-'1.설계입력'!$C$7*COS(B1434+C1434)-'1.설계입력'!$C$8*COS('1.설계입력'!$C$15*B1434)</f>
        <v>18.903134258271596</v>
      </c>
      <c r="E1434" s="40">
        <f>-'1.설계입력'!$C$6*SIN(B1434)+'1.설계입력'!$C$7*SIN(B1434+C1434)+'1.설계입력'!$C$8*SIN('1.설계입력'!$C$15*B1434)</f>
        <v>75.234456078963262</v>
      </c>
      <c r="F1434" s="40">
        <f>ATAN2(('1.설계입력'!$C$6+'1.설계입력'!$C$33)/('1.설계입력'!$C$8*'1.설계입력'!$C$15)-COS((1-'1.설계입력'!$C$15)*B1434),SIN((1-'1.설계입력'!$C$15)*B1434))</f>
        <v>0.70024172816754671</v>
      </c>
      <c r="G1434" s="40">
        <f>('1.설계입력'!$C$6+'1.설계입력'!$C$33)*COS(B1434)-('1.설계입력'!$C$7+'1.설계입력'!$C$34)*COS(B1434+F1434)-'1.설계입력'!$C$8*COS('1.설계입력'!$C$15*B1434)</f>
        <v>18.895476247707428</v>
      </c>
      <c r="H1434" s="40">
        <f>-('1.설계입력'!$C$6+'1.설계입력'!$C$33)*SIN(B1434)+('1.설계입력'!$C$7+'1.설계입력'!$C$34)*SIN(B1434+F1434)+'1.설계입력'!$C$8*SIN('1.설계입력'!$C$15*B1434)</f>
        <v>75.227100770147302</v>
      </c>
      <c r="I1434" s="40">
        <f t="shared" si="67"/>
        <v>77.57288099770237</v>
      </c>
      <c r="J1434" s="40">
        <f t="shared" si="68"/>
        <v>77.563881497186387</v>
      </c>
      <c r="K1434" s="38" t="str">
        <f>IF(OR(A1434&gt;180,'1.설계입력'!$C$39&gt;=1),"",'1.설계입력'!$C$34*(1-SIN(B1434)/SQRT(1+'1.설계입력'!$C$39^2-2*'1.설계입력'!$C$39*COS(B1434)))-'1.설계입력'!$C$33*(1-'1.설계입력'!$C$39*COS(B1434)-SQRT(MAX(0,1-'1.설계입력'!$C$39^2))*SIN(B1434))/SQRT(1+'1.설계입력'!$C$39^2-2*'1.설계입력'!$C$39*COS(B1434)))</f>
        <v/>
      </c>
    </row>
    <row r="1435" spans="1:11" x14ac:dyDescent="0.3">
      <c r="A1435" s="40">
        <f>A1434+'1.설계입력'!$C$12</f>
        <v>285.79999999999234</v>
      </c>
      <c r="B1435" s="40">
        <f t="shared" si="66"/>
        <v>4.9881510021996602</v>
      </c>
      <c r="C1435" s="40">
        <f>ATAN2('1.설계입력'!$C$6/('1.설계입력'!$C$8*'1.설계입력'!$C$15)-COS((1-'1.설계입력'!$C$15)*B1435),SIN((1-'1.설계입력'!$C$15)*B1435))</f>
        <v>0.54267331615420467</v>
      </c>
      <c r="D1435" s="40">
        <f>'1.설계입력'!$C$6*COS(B1435)-'1.설계입력'!$C$7*COS(B1435+C1435)-'1.설계입력'!$C$8*COS('1.설계입력'!$C$15*B1435)</f>
        <v>19.354321054033541</v>
      </c>
      <c r="E1435" s="40">
        <f>-'1.설계입력'!$C$6*SIN(B1435)+'1.설계입력'!$C$7*SIN(B1435+C1435)+'1.설계입력'!$C$8*SIN('1.설계입력'!$C$15*B1435)</f>
        <v>74.66933175749962</v>
      </c>
      <c r="F1435" s="40">
        <f>ATAN2(('1.설계입력'!$C$6+'1.설계입력'!$C$33)/('1.설계입력'!$C$8*'1.설계입력'!$C$15)-COS((1-'1.설계입력'!$C$15)*B1435),SIN((1-'1.설계입력'!$C$15)*B1435))</f>
        <v>0.54273108859998098</v>
      </c>
      <c r="G1435" s="40">
        <f>('1.설계입력'!$C$6+'1.설계입력'!$C$33)*COS(B1435)-('1.설계입력'!$C$7+'1.설계입력'!$C$34)*COS(B1435+F1435)-'1.설계입력'!$C$8*COS('1.설계입력'!$C$15*B1435)</f>
        <v>19.347405124177179</v>
      </c>
      <c r="H1435" s="40">
        <f>-('1.설계입력'!$C$6+'1.설계입력'!$C$33)*SIN(B1435)+('1.설계입력'!$C$7+'1.설계입력'!$C$34)*SIN(B1435+F1435)+'1.설계입력'!$C$8*SIN('1.설계입력'!$C$15*B1435)</f>
        <v>74.660982690004417</v>
      </c>
      <c r="I1435" s="40">
        <f t="shared" si="67"/>
        <v>77.136883840184694</v>
      </c>
      <c r="J1435" s="40">
        <f t="shared" si="68"/>
        <v>77.127066722883839</v>
      </c>
      <c r="K1435" s="38" t="str">
        <f>IF(OR(A1435&gt;180,'1.설계입력'!$C$39&gt;=1),"",'1.설계입력'!$C$34*(1-SIN(B1435)/SQRT(1+'1.설계입력'!$C$39^2-2*'1.설계입력'!$C$39*COS(B1435)))-'1.설계입력'!$C$33*(1-'1.설계입력'!$C$39*COS(B1435)-SQRT(MAX(0,1-'1.설계입력'!$C$39^2))*SIN(B1435))/SQRT(1+'1.설계입력'!$C$39^2-2*'1.설계입력'!$C$39*COS(B1435)))</f>
        <v/>
      </c>
    </row>
    <row r="1436" spans="1:11" x14ac:dyDescent="0.3">
      <c r="A1436" s="40">
        <f>A1435+'1.설계입력'!$C$12</f>
        <v>285.99999999999233</v>
      </c>
      <c r="B1436" s="40">
        <f t="shared" si="66"/>
        <v>4.9916416607036487</v>
      </c>
      <c r="C1436" s="40">
        <f>ATAN2('1.설계입력'!$C$6/('1.설계입력'!$C$8*'1.설계입력'!$C$15)-COS((1-'1.설계입력'!$C$15)*B1436),SIN((1-'1.설계입력'!$C$15)*B1436))</f>
        <v>0.27382563589101616</v>
      </c>
      <c r="D1436" s="40">
        <f>'1.설계입력'!$C$6*COS(B1436)-'1.설계입력'!$C$7*COS(B1436+C1436)-'1.설계입력'!$C$8*COS('1.설계입력'!$C$15*B1436)</f>
        <v>20.240554557117118</v>
      </c>
      <c r="E1436" s="40">
        <f>-'1.설계입력'!$C$6*SIN(B1436)+'1.설계입력'!$C$7*SIN(B1436+C1436)+'1.설계입력'!$C$8*SIN('1.설계입력'!$C$15*B1436)</f>
        <v>73.942601482385427</v>
      </c>
      <c r="F1436" s="40">
        <f>ATAN2(('1.설계입력'!$C$6+'1.설계입력'!$C$33)/('1.설계입력'!$C$8*'1.설계입력'!$C$15)-COS((1-'1.설계입력'!$C$15)*B1436),SIN((1-'1.설계입력'!$C$15)*B1436))</f>
        <v>0.27386178504867131</v>
      </c>
      <c r="G1436" s="40">
        <f>('1.설계입력'!$C$6+'1.설계입력'!$C$33)*COS(B1436)-('1.설계입력'!$C$7+'1.설계입력'!$C$34)*COS(B1436+F1436)-'1.설계입력'!$C$8*COS('1.설계입력'!$C$15*B1436)</f>
        <v>20.235321790986145</v>
      </c>
      <c r="H1436" s="40">
        <f>-('1.설계입력'!$C$6+'1.설계입력'!$C$33)*SIN(B1436)+('1.설계입력'!$C$7+'1.설계입력'!$C$34)*SIN(B1436+F1436)+'1.설계입력'!$C$8*SIN('1.설계입력'!$C$15*B1436)</f>
        <v>73.932805302036428</v>
      </c>
      <c r="I1436" s="40">
        <f t="shared" si="67"/>
        <v>76.662822559324681</v>
      </c>
      <c r="J1436" s="40">
        <f t="shared" si="68"/>
        <v>76.651992458210657</v>
      </c>
      <c r="K1436" s="38" t="str">
        <f>IF(OR(A1436&gt;180,'1.설계입력'!$C$39&gt;=1),"",'1.설계입력'!$C$34*(1-SIN(B1436)/SQRT(1+'1.설계입력'!$C$39^2-2*'1.설계입력'!$C$39*COS(B1436)))-'1.설계입력'!$C$33*(1-'1.설계입력'!$C$39*COS(B1436)-SQRT(MAX(0,1-'1.설계입력'!$C$39^2))*SIN(B1436))/SQRT(1+'1.설계입력'!$C$39^2-2*'1.설계입력'!$C$39*COS(B1436)))</f>
        <v/>
      </c>
    </row>
    <row r="1437" spans="1:11" x14ac:dyDescent="0.3">
      <c r="A1437" s="40">
        <f>A1436+'1.설계입력'!$C$12</f>
        <v>286.19999999999231</v>
      </c>
      <c r="B1437" s="40">
        <f t="shared" si="66"/>
        <v>4.9951323192076371</v>
      </c>
      <c r="C1437" s="40">
        <f>ATAN2('1.설계입력'!$C$6/('1.설계입력'!$C$8*'1.설계입력'!$C$15)-COS((1-'1.설계입력'!$C$15)*B1437),SIN((1-'1.설계입력'!$C$15)*B1437))</f>
        <v>-8.53427770319857E-2</v>
      </c>
      <c r="D1437" s="40">
        <f>'1.설계입력'!$C$6*COS(B1437)-'1.설계입력'!$C$7*COS(B1437+C1437)-'1.설계입력'!$C$8*COS('1.설계입력'!$C$15*B1437)</f>
        <v>21.629261043881478</v>
      </c>
      <c r="E1437" s="40">
        <f>-'1.설계입력'!$C$6*SIN(B1437)+'1.설계입력'!$C$7*SIN(B1437+C1437)+'1.설계입력'!$C$8*SIN('1.설계입력'!$C$15*B1437)</f>
        <v>73.395178672197986</v>
      </c>
      <c r="F1437" s="40">
        <f>ATAN2(('1.설계입력'!$C$6+'1.설계입력'!$C$33)/('1.설계입력'!$C$8*'1.설계입력'!$C$15)-COS((1-'1.설계입력'!$C$15)*B1437),SIN((1-'1.설계입력'!$C$15)*B1437))</f>
        <v>-8.5354729885363398E-2</v>
      </c>
      <c r="G1437" s="40">
        <f>('1.설계입력'!$C$6+'1.설계입력'!$C$33)*COS(B1437)-('1.설계입력'!$C$7+'1.설계입력'!$C$34)*COS(B1437+F1437)-'1.설계입력'!$C$8*COS('1.설계입력'!$C$15*B1437)</f>
        <v>21.626854568924514</v>
      </c>
      <c r="H1437" s="40">
        <f>-('1.설계입력'!$C$6+'1.설계입력'!$C$33)*SIN(B1437)+('1.설계입력'!$C$7+'1.설계입력'!$C$34)*SIN(B1437+F1437)+'1.설계입력'!$C$8*SIN('1.설계입력'!$C$15*B1437)</f>
        <v>73.384249670713729</v>
      </c>
      <c r="I1437" s="40">
        <f t="shared" si="67"/>
        <v>76.515862313825068</v>
      </c>
      <c r="J1437" s="40">
        <f t="shared" si="68"/>
        <v>76.504698798695102</v>
      </c>
      <c r="K1437" s="38" t="str">
        <f>IF(OR(A1437&gt;180,'1.설계입력'!$C$39&gt;=1),"",'1.설계입력'!$C$34*(1-SIN(B1437)/SQRT(1+'1.설계입력'!$C$39^2-2*'1.설계입력'!$C$39*COS(B1437)))-'1.설계입력'!$C$33*(1-'1.설계입력'!$C$39*COS(B1437)-SQRT(MAX(0,1-'1.설계입력'!$C$39^2))*SIN(B1437))/SQRT(1+'1.설계입력'!$C$39^2-2*'1.설계입력'!$C$39*COS(B1437)))</f>
        <v/>
      </c>
    </row>
    <row r="1438" spans="1:11" x14ac:dyDescent="0.3">
      <c r="A1438" s="40">
        <f>A1437+'1.설계입력'!$C$12</f>
        <v>286.3999999999923</v>
      </c>
      <c r="B1438" s="40">
        <f t="shared" si="66"/>
        <v>4.9986229777116256</v>
      </c>
      <c r="C1438" s="40">
        <f>ATAN2('1.설계입력'!$C$6/('1.설계입력'!$C$8*'1.설계입력'!$C$15)-COS((1-'1.설계입력'!$C$15)*B1438),SIN((1-'1.설계입력'!$C$15)*B1438))</f>
        <v>-0.4129072016720538</v>
      </c>
      <c r="D1438" s="40">
        <f>'1.설계입력'!$C$6*COS(B1438)-'1.설계입력'!$C$7*COS(B1438+C1438)-'1.설계입력'!$C$8*COS('1.설계입력'!$C$15*B1438)</f>
        <v>22.99978157108162</v>
      </c>
      <c r="E1438" s="40">
        <f>-'1.설계입력'!$C$6*SIN(B1438)+'1.설계입력'!$C$7*SIN(B1438+C1438)+'1.설계입력'!$C$8*SIN('1.설계입력'!$C$15*B1438)</f>
        <v>73.347604154288632</v>
      </c>
      <c r="F1438" s="40">
        <f>ATAN2(('1.설계입력'!$C$6+'1.설계입력'!$C$33)/('1.설계입력'!$C$8*'1.설계입력'!$C$15)-COS((1-'1.설계입력'!$C$15)*B1438),SIN((1-'1.설계입력'!$C$15)*B1438))</f>
        <v>-0.41295709322810276</v>
      </c>
      <c r="G1438" s="40">
        <f>('1.설계입력'!$C$6+'1.설계입력'!$C$33)*COS(B1438)-('1.설계입력'!$C$7+'1.설계입력'!$C$34)*COS(B1438+F1438)-'1.설계입력'!$C$8*COS('1.설계입력'!$C$15*B1438)</f>
        <v>23.000127991184002</v>
      </c>
      <c r="H1438" s="40">
        <f>-('1.설계입력'!$C$6+'1.설계입력'!$C$33)*SIN(B1438)+('1.설계입력'!$C$7+'1.설계입력'!$C$34)*SIN(B1438+F1438)+'1.설계입력'!$C$8*SIN('1.설계입력'!$C$15*B1438)</f>
        <v>73.336620448966841</v>
      </c>
      <c r="I1438" s="40">
        <f t="shared" si="67"/>
        <v>76.869115953623961</v>
      </c>
      <c r="J1438" s="40">
        <f t="shared" si="68"/>
        <v>76.858739167948016</v>
      </c>
      <c r="K1438" s="38" t="str">
        <f>IF(OR(A1438&gt;180,'1.설계입력'!$C$39&gt;=1),"",'1.설계입력'!$C$34*(1-SIN(B1438)/SQRT(1+'1.설계입력'!$C$39^2-2*'1.설계입력'!$C$39*COS(B1438)))-'1.설계입력'!$C$33*(1-'1.설계입력'!$C$39*COS(B1438)-SQRT(MAX(0,1-'1.설계입력'!$C$39^2))*SIN(B1438))/SQRT(1+'1.설계입력'!$C$39^2-2*'1.설계입력'!$C$39*COS(B1438)))</f>
        <v/>
      </c>
    </row>
    <row r="1439" spans="1:11" x14ac:dyDescent="0.3">
      <c r="A1439" s="40">
        <f>A1438+'1.설계입력'!$C$12</f>
        <v>286.59999999999229</v>
      </c>
      <c r="B1439" s="40">
        <f t="shared" si="66"/>
        <v>5.002113636215614</v>
      </c>
      <c r="C1439" s="40">
        <f>ATAN2('1.설계입력'!$C$6/('1.설계입력'!$C$8*'1.설계입력'!$C$15)-COS((1-'1.설계입력'!$C$15)*B1439),SIN((1-'1.설계입력'!$C$15)*B1439))</f>
        <v>-0.62735856661771339</v>
      </c>
      <c r="D1439" s="40">
        <f>'1.설계입력'!$C$6*COS(B1439)-'1.설계입력'!$C$7*COS(B1439+C1439)-'1.설계입력'!$C$8*COS('1.설계입력'!$C$15*B1439)</f>
        <v>23.912678848335183</v>
      </c>
      <c r="E1439" s="40">
        <f>-'1.설계입력'!$C$6*SIN(B1439)+'1.설계입력'!$C$7*SIN(B1439+C1439)+'1.설계입력'!$C$8*SIN('1.설계입력'!$C$15*B1439)</f>
        <v>73.564730403082095</v>
      </c>
      <c r="F1439" s="40">
        <f>ATAN2(('1.설계입력'!$C$6+'1.설계입력'!$C$33)/('1.설계입력'!$C$8*'1.설계입력'!$C$15)-COS((1-'1.설계입력'!$C$15)*B1439),SIN((1-'1.설계입력'!$C$15)*B1439))</f>
        <v>-0.6274181059874594</v>
      </c>
      <c r="G1439" s="40">
        <f>('1.설계입력'!$C$6+'1.설계입력'!$C$33)*COS(B1439)-('1.설계입력'!$C$7+'1.설계입력'!$C$34)*COS(B1439+F1439)-'1.설계입력'!$C$8*COS('1.설계입력'!$C$15*B1439)</f>
        <v>23.914701548154255</v>
      </c>
      <c r="H1439" s="40">
        <f>-('1.설계입력'!$C$6+'1.설계입력'!$C$33)*SIN(B1439)+('1.설계입력'!$C$7+'1.설계입력'!$C$34)*SIN(B1439+F1439)+'1.설계입력'!$C$8*SIN('1.설계입력'!$C$15*B1439)</f>
        <v>73.554195977740847</v>
      </c>
      <c r="I1439" s="40">
        <f t="shared" si="67"/>
        <v>77.353640954914127</v>
      </c>
      <c r="J1439" s="40">
        <f t="shared" si="68"/>
        <v>77.344247983086632</v>
      </c>
      <c r="K1439" s="38" t="str">
        <f>IF(OR(A1439&gt;180,'1.설계입력'!$C$39&gt;=1),"",'1.설계입력'!$C$34*(1-SIN(B1439)/SQRT(1+'1.설계입력'!$C$39^2-2*'1.설계입력'!$C$39*COS(B1439)))-'1.설계입력'!$C$33*(1-'1.설계입력'!$C$39*COS(B1439)-SQRT(MAX(0,1-'1.설계입력'!$C$39^2))*SIN(B1439))/SQRT(1+'1.설계입력'!$C$39^2-2*'1.설계입력'!$C$39*COS(B1439)))</f>
        <v/>
      </c>
    </row>
    <row r="1440" spans="1:11" x14ac:dyDescent="0.3">
      <c r="A1440" s="40">
        <f>A1439+'1.설계입력'!$C$12</f>
        <v>286.79999999999228</v>
      </c>
      <c r="B1440" s="40">
        <f t="shared" si="66"/>
        <v>5.0056042947196024</v>
      </c>
      <c r="C1440" s="40">
        <f>ATAN2('1.설계입력'!$C$6/('1.설계입력'!$C$8*'1.설계입력'!$C$15)-COS((1-'1.설계입력'!$C$15)*B1440),SIN((1-'1.설계입력'!$C$15)*B1440))</f>
        <v>-0.74479458536532772</v>
      </c>
      <c r="D1440" s="40">
        <f>'1.설계입력'!$C$6*COS(B1440)-'1.설계입력'!$C$7*COS(B1440+C1440)-'1.설계입력'!$C$8*COS('1.설계입력'!$C$15*B1440)</f>
        <v>24.442459604384897</v>
      </c>
      <c r="E1440" s="40">
        <f>-'1.설계입력'!$C$6*SIN(B1440)+'1.설계입력'!$C$7*SIN(B1440+C1440)+'1.설계입력'!$C$8*SIN('1.설계입력'!$C$15*B1440)</f>
        <v>73.786445354331207</v>
      </c>
      <c r="F1440" s="40">
        <f>ATAN2(('1.설계입력'!$C$6+'1.설계입력'!$C$33)/('1.설계입력'!$C$8*'1.설계입력'!$C$15)-COS((1-'1.설계입력'!$C$15)*B1440),SIN((1-'1.설계입력'!$C$15)*B1440))</f>
        <v>-0.74485034012564988</v>
      </c>
      <c r="G1440" s="40">
        <f>('1.설계입력'!$C$6+'1.설계입력'!$C$33)*COS(B1440)-('1.설계입력'!$C$7+'1.설계입력'!$C$34)*COS(B1440+F1440)-'1.설계입력'!$C$8*COS('1.설계입력'!$C$15*B1440)</f>
        <v>24.445299407873136</v>
      </c>
      <c r="H1440" s="40">
        <f>-('1.설계입력'!$C$6+'1.설계입력'!$C$33)*SIN(B1440)+('1.설계입력'!$C$7+'1.설계입력'!$C$34)*SIN(B1440+F1440)+'1.설계입력'!$C$8*SIN('1.설계입력'!$C$15*B1440)</f>
        <v>73.776287140876661</v>
      </c>
      <c r="I1440" s="40">
        <f t="shared" si="67"/>
        <v>77.729488288163154</v>
      </c>
      <c r="J1440" s="40">
        <f t="shared" si="68"/>
        <v>77.720738592949857</v>
      </c>
      <c r="K1440" s="38" t="str">
        <f>IF(OR(A1440&gt;180,'1.설계입력'!$C$39&gt;=1),"",'1.설계입력'!$C$34*(1-SIN(B1440)/SQRT(1+'1.설계입력'!$C$39^2-2*'1.설계입력'!$C$39*COS(B1440)))-'1.설계입력'!$C$33*(1-'1.설계입력'!$C$39*COS(B1440)-SQRT(MAX(0,1-'1.설계입력'!$C$39^2))*SIN(B1440))/SQRT(1+'1.설계입력'!$C$39^2-2*'1.설계입력'!$C$39*COS(B1440)))</f>
        <v/>
      </c>
    </row>
    <row r="1441" spans="1:11" x14ac:dyDescent="0.3">
      <c r="A1441" s="40">
        <f>A1440+'1.설계입력'!$C$12</f>
        <v>286.99999999999227</v>
      </c>
      <c r="B1441" s="40">
        <f t="shared" si="66"/>
        <v>5.0090949532235909</v>
      </c>
      <c r="C1441" s="40">
        <f>ATAN2('1.설계입력'!$C$6/('1.설계입력'!$C$8*'1.설계입력'!$C$15)-COS((1-'1.설계입력'!$C$15)*B1441),SIN((1-'1.설계입력'!$C$15)*B1441))</f>
        <v>-0.80091285278087554</v>
      </c>
      <c r="D1441" s="40">
        <f>'1.설계입력'!$C$6*COS(B1441)-'1.설계입력'!$C$7*COS(B1441+C1441)-'1.설계입력'!$C$8*COS('1.설계입력'!$C$15*B1441)</f>
        <v>24.75786580177985</v>
      </c>
      <c r="E1441" s="40">
        <f>-'1.설계입력'!$C$6*SIN(B1441)+'1.설계입력'!$C$7*SIN(B1441+C1441)+'1.설계입력'!$C$8*SIN('1.설계입력'!$C$15*B1441)</f>
        <v>73.950576908390133</v>
      </c>
      <c r="F1441" s="40">
        <f>ATAN2(('1.설계입력'!$C$6+'1.설계입력'!$C$33)/('1.설계입력'!$C$8*'1.설계입력'!$C$15)-COS((1-'1.설계입력'!$C$15)*B1441),SIN((1-'1.설계입력'!$C$15)*B1441))</f>
        <v>-0.80096175867643804</v>
      </c>
      <c r="G1441" s="40">
        <f>('1.설계입력'!$C$6+'1.설계입력'!$C$33)*COS(B1441)-('1.설계입력'!$C$7+'1.설계입력'!$C$34)*COS(B1441+F1441)-'1.설계입력'!$C$8*COS('1.설계입력'!$C$15*B1441)</f>
        <v>24.761044290472476</v>
      </c>
      <c r="H1441" s="40">
        <f>-('1.설계입력'!$C$6+'1.설계입력'!$C$33)*SIN(B1441)+('1.설계입력'!$C$7+'1.설계입력'!$C$34)*SIN(B1441+F1441)+'1.설계입력'!$C$8*SIN('1.설계입력'!$C$15*B1441)</f>
        <v>73.940615048427901</v>
      </c>
      <c r="I1441" s="40">
        <f t="shared" si="67"/>
        <v>77.984868687089957</v>
      </c>
      <c r="J1441" s="40">
        <f t="shared" si="68"/>
        <v>77.97643149115342</v>
      </c>
      <c r="K1441" s="38" t="str">
        <f>IF(OR(A1441&gt;180,'1.설계입력'!$C$39&gt;=1),"",'1.설계입력'!$C$34*(1-SIN(B1441)/SQRT(1+'1.설계입력'!$C$39^2-2*'1.설계입력'!$C$39*COS(B1441)))-'1.설계입력'!$C$33*(1-'1.설계입력'!$C$39*COS(B1441)-SQRT(MAX(0,1-'1.설계입력'!$C$39^2))*SIN(B1441))/SQRT(1+'1.설계입력'!$C$39^2-2*'1.설계입력'!$C$39*COS(B1441)))</f>
        <v/>
      </c>
    </row>
    <row r="1442" spans="1:11" x14ac:dyDescent="0.3">
      <c r="A1442" s="40">
        <f>A1441+'1.설계입력'!$C$12</f>
        <v>287.19999999999226</v>
      </c>
      <c r="B1442" s="40">
        <f t="shared" si="66"/>
        <v>5.0125856117275793</v>
      </c>
      <c r="C1442" s="40">
        <f>ATAN2('1.설계입력'!$C$6/('1.설계입력'!$C$8*'1.설계입력'!$C$15)-COS((1-'1.설계입력'!$C$15)*B1442),SIN((1-'1.설계입력'!$C$15)*B1442))</f>
        <v>-0.82002074287612825</v>
      </c>
      <c r="D1442" s="40">
        <f>'1.설계입력'!$C$6*COS(B1442)-'1.설계입력'!$C$7*COS(B1442+C1442)-'1.설계입력'!$C$8*COS('1.설계입력'!$C$15*B1442)</f>
        <v>24.962897922465512</v>
      </c>
      <c r="E1442" s="40">
        <f>-'1.설계입력'!$C$6*SIN(B1442)+'1.설계입력'!$C$7*SIN(B1442+C1442)+'1.설계입력'!$C$8*SIN('1.설계입력'!$C$15*B1442)</f>
        <v>74.066320550722565</v>
      </c>
      <c r="F1442" s="40">
        <f>ATAN2(('1.설계입력'!$C$6+'1.설계입력'!$C$33)/('1.설계입력'!$C$8*'1.설계입력'!$C$15)-COS((1-'1.설계입력'!$C$15)*B1442),SIN((1-'1.설계입력'!$C$15)*B1442))</f>
        <v>-0.82006301553580119</v>
      </c>
      <c r="G1442" s="40">
        <f>('1.설계입력'!$C$6+'1.설계입력'!$C$33)*COS(B1442)-('1.설계입력'!$C$7+'1.설계입력'!$C$34)*COS(B1442+F1442)-'1.설계입력'!$C$8*COS('1.설계입력'!$C$15*B1442)</f>
        <v>24.96615177046019</v>
      </c>
      <c r="H1442" s="40">
        <f>-('1.설계입력'!$C$6+'1.설계입력'!$C$33)*SIN(B1442)+('1.설계입력'!$C$7+'1.설계입력'!$C$34)*SIN(B1442+F1442)+'1.설계입력'!$C$8*SIN('1.설계입력'!$C$15*B1442)</f>
        <v>74.056413309810424</v>
      </c>
      <c r="I1442" s="40">
        <f t="shared" si="67"/>
        <v>78.159875336452657</v>
      </c>
      <c r="J1442" s="40">
        <f t="shared" si="68"/>
        <v>78.151526450473881</v>
      </c>
      <c r="K1442" s="38" t="str">
        <f>IF(OR(A1442&gt;180,'1.설계입력'!$C$39&gt;=1),"",'1.설계입력'!$C$34*(1-SIN(B1442)/SQRT(1+'1.설계입력'!$C$39^2-2*'1.설계입력'!$C$39*COS(B1442)))-'1.설계입력'!$C$33*(1-'1.설계입력'!$C$39*COS(B1442)-SQRT(MAX(0,1-'1.설계입력'!$C$39^2))*SIN(B1442))/SQRT(1+'1.설계입력'!$C$39^2-2*'1.설계입력'!$C$39*COS(B1442)))</f>
        <v/>
      </c>
    </row>
    <row r="1443" spans="1:11" x14ac:dyDescent="0.3">
      <c r="A1443" s="40">
        <f>A1442+'1.설계입력'!$C$12</f>
        <v>287.39999999999225</v>
      </c>
      <c r="B1443" s="40">
        <f t="shared" si="66"/>
        <v>5.0160762702315678</v>
      </c>
      <c r="C1443" s="40">
        <f>ATAN2('1.설계입력'!$C$6/('1.설계입력'!$C$8*'1.설계입력'!$C$15)-COS((1-'1.설계입력'!$C$15)*B1443),SIN((1-'1.설계입력'!$C$15)*B1443))</f>
        <v>-0.81613895239547907</v>
      </c>
      <c r="D1443" s="40">
        <f>'1.설계입력'!$C$6*COS(B1443)-'1.설계입력'!$C$7*COS(B1443+C1443)-'1.설계입력'!$C$8*COS('1.설계입력'!$C$15*B1443)</f>
        <v>25.112288589059752</v>
      </c>
      <c r="E1443" s="40">
        <f>-'1.설계입력'!$C$6*SIN(B1443)+'1.설계입력'!$C$7*SIN(B1443+C1443)+'1.설계입력'!$C$8*SIN('1.설계입력'!$C$15*B1443)</f>
        <v>74.151421813348065</v>
      </c>
      <c r="F1443" s="40">
        <f>ATAN2(('1.설계입력'!$C$6+'1.설계입력'!$C$33)/('1.설계입력'!$C$8*'1.설계입력'!$C$15)-COS((1-'1.설계입력'!$C$15)*B1443),SIN((1-'1.설계입력'!$C$15)*B1443))</f>
        <v>-0.81617550904782854</v>
      </c>
      <c r="G1443" s="40">
        <f>('1.설계입력'!$C$6+'1.설계입력'!$C$33)*COS(B1443)-('1.설계입력'!$C$7+'1.설계입력'!$C$34)*COS(B1443+F1443)-'1.설계입력'!$C$8*COS('1.설계입력'!$C$15*B1443)</f>
        <v>25.115460817605275</v>
      </c>
      <c r="H1443" s="40">
        <f>-('1.설계입력'!$C$6+'1.설계입력'!$C$33)*SIN(B1443)+('1.설계입력'!$C$7+'1.설계입력'!$C$34)*SIN(B1443+F1443)+'1.설계입력'!$C$8*SIN('1.설계입력'!$C$15*B1443)</f>
        <v>74.141475998191993</v>
      </c>
      <c r="I1443" s="40">
        <f t="shared" si="67"/>
        <v>78.288315827595184</v>
      </c>
      <c r="J1443" s="40">
        <f t="shared" si="68"/>
        <v>78.279913357585841</v>
      </c>
      <c r="K1443" s="38" t="str">
        <f>IF(OR(A1443&gt;180,'1.설계입력'!$C$39&gt;=1),"",'1.설계입력'!$C$34*(1-SIN(B1443)/SQRT(1+'1.설계입력'!$C$39^2-2*'1.설계입력'!$C$39*COS(B1443)))-'1.설계입력'!$C$33*(1-'1.설계입력'!$C$39*COS(B1443)-SQRT(MAX(0,1-'1.설계입력'!$C$39^2))*SIN(B1443))/SQRT(1+'1.설계입력'!$C$39^2-2*'1.설계입력'!$C$39*COS(B1443)))</f>
        <v/>
      </c>
    </row>
    <row r="1444" spans="1:11" x14ac:dyDescent="0.3">
      <c r="A1444" s="40">
        <f>A1443+'1.설계입력'!$C$12</f>
        <v>287.59999999999224</v>
      </c>
      <c r="B1444" s="40">
        <f t="shared" si="66"/>
        <v>5.0195669287355562</v>
      </c>
      <c r="C1444" s="40">
        <f>ATAN2('1.설계입력'!$C$6/('1.설계입력'!$C$8*'1.설계입력'!$C$15)-COS((1-'1.설계입력'!$C$15)*B1444),SIN((1-'1.설계입력'!$C$15)*B1444))</f>
        <v>-0.79733184953531144</v>
      </c>
      <c r="D1444" s="40">
        <f>'1.설계입력'!$C$6*COS(B1444)-'1.설계입력'!$C$7*COS(B1444+C1444)-'1.설계입력'!$C$8*COS('1.설계입력'!$C$15*B1444)</f>
        <v>25.23548519629707</v>
      </c>
      <c r="E1444" s="40">
        <f>-'1.설계입력'!$C$6*SIN(B1444)+'1.설계입력'!$C$7*SIN(B1444+C1444)+'1.설계입력'!$C$8*SIN('1.설계입력'!$C$15*B1444)</f>
        <v>74.219137052173679</v>
      </c>
      <c r="F1444" s="40">
        <f>ATAN2(('1.설계입력'!$C$6+'1.설계입력'!$C$33)/('1.설계입력'!$C$8*'1.설계입력'!$C$15)-COS((1-'1.설계입력'!$C$15)*B1444),SIN((1-'1.설계입력'!$C$15)*B1444))</f>
        <v>-0.79736360604171475</v>
      </c>
      <c r="G1444" s="40">
        <f>('1.설계입력'!$C$6+'1.설계입력'!$C$33)*COS(B1444)-('1.설계입력'!$C$7+'1.설계입력'!$C$34)*COS(B1444+F1444)-'1.설계입력'!$C$8*COS('1.설계입력'!$C$15*B1444)</f>
        <v>25.238473315225427</v>
      </c>
      <c r="H1444" s="40">
        <f>-('1.설계입력'!$C$6+'1.설계입력'!$C$33)*SIN(B1444)+('1.설계입력'!$C$7+'1.설계입력'!$C$34)*SIN(B1444+F1444)+'1.설계입력'!$C$8*SIN('1.설계입력'!$C$15*B1444)</f>
        <v>74.20909577357601</v>
      </c>
      <c r="I1444" s="40">
        <f t="shared" si="67"/>
        <v>78.39202776980494</v>
      </c>
      <c r="J1444" s="40">
        <f t="shared" si="68"/>
        <v>78.383483150566377</v>
      </c>
      <c r="K1444" s="38" t="str">
        <f>IF(OR(A1444&gt;180,'1.설계입력'!$C$39&gt;=1),"",'1.설계입력'!$C$34*(1-SIN(B1444)/SQRT(1+'1.설계입력'!$C$39^2-2*'1.설계입력'!$C$39*COS(B1444)))-'1.설계입력'!$C$33*(1-'1.설계입력'!$C$39*COS(B1444)-SQRT(MAX(0,1-'1.설계입력'!$C$39^2))*SIN(B1444))/SQRT(1+'1.설계입력'!$C$39^2-2*'1.설계입력'!$C$39*COS(B1444)))</f>
        <v/>
      </c>
    </row>
    <row r="1445" spans="1:11" x14ac:dyDescent="0.3">
      <c r="A1445" s="40">
        <f>A1444+'1.설계입력'!$C$12</f>
        <v>287.79999999999222</v>
      </c>
      <c r="B1445" s="40">
        <f t="shared" si="66"/>
        <v>5.0230575872395447</v>
      </c>
      <c r="C1445" s="40">
        <f>ATAN2('1.설계입력'!$C$6/('1.설계입력'!$C$8*'1.설계입력'!$C$15)-COS((1-'1.설계입력'!$C$15)*B1445),SIN((1-'1.설계입력'!$C$15)*B1445))</f>
        <v>-0.76841236863350992</v>
      </c>
      <c r="D1445" s="40">
        <f>'1.설계입력'!$C$6*COS(B1445)-'1.설계입력'!$C$7*COS(B1445+C1445)-'1.설계입력'!$C$8*COS('1.설계입력'!$C$15*B1445)</f>
        <v>25.349313987070833</v>
      </c>
      <c r="E1445" s="40">
        <f>-'1.설계입력'!$C$6*SIN(B1445)+'1.설계입력'!$C$7*SIN(B1445+C1445)+'1.설계입력'!$C$8*SIN('1.설계입력'!$C$15*B1445)</f>
        <v>74.277643078864315</v>
      </c>
      <c r="F1445" s="40">
        <f>ATAN2(('1.설계입력'!$C$6+'1.설계입력'!$C$33)/('1.설계입력'!$C$8*'1.설계입력'!$C$15)-COS((1-'1.설계입력'!$C$15)*B1445),SIN((1-'1.설계입력'!$C$15)*B1445))</f>
        <v>-0.76844008839144029</v>
      </c>
      <c r="G1445" s="40">
        <f>('1.설계입력'!$C$6+'1.설계입력'!$C$33)*COS(B1445)-('1.설계입력'!$C$7+'1.설계입력'!$C$34)*COS(B1445+F1445)-'1.설계입력'!$C$8*COS('1.설계입력'!$C$15*B1445)</f>
        <v>25.352045591296125</v>
      </c>
      <c r="H1445" s="40">
        <f>-('1.설계입력'!$C$6+'1.설계입력'!$C$33)*SIN(B1445)+('1.설계입력'!$C$7+'1.설계입력'!$C$34)*SIN(B1445+F1445)+'1.설계입력'!$C$8*SIN('1.설계입력'!$C$15*B1445)</f>
        <v>74.267474458463823</v>
      </c>
      <c r="I1445" s="40">
        <f t="shared" si="67"/>
        <v>78.484112920808784</v>
      </c>
      <c r="J1445" s="40">
        <f t="shared" si="68"/>
        <v>78.4753717933323</v>
      </c>
      <c r="K1445" s="38" t="str">
        <f>IF(OR(A1445&gt;180,'1.설계입력'!$C$39&gt;=1),"",'1.설계입력'!$C$34*(1-SIN(B1445)/SQRT(1+'1.설계입력'!$C$39^2-2*'1.설계입력'!$C$39*COS(B1445)))-'1.설계입력'!$C$33*(1-'1.설계입력'!$C$39*COS(B1445)-SQRT(MAX(0,1-'1.설계입력'!$C$39^2))*SIN(B1445))/SQRT(1+'1.설계입력'!$C$39^2-2*'1.설계입력'!$C$39*COS(B1445)))</f>
        <v/>
      </c>
    </row>
    <row r="1446" spans="1:11" x14ac:dyDescent="0.3">
      <c r="A1446" s="40">
        <f>A1445+'1.설계입력'!$C$12</f>
        <v>287.99999999999221</v>
      </c>
      <c r="B1446" s="40">
        <f t="shared" si="66"/>
        <v>5.0265482457435331</v>
      </c>
      <c r="C1446" s="40">
        <f>ATAN2('1.설계입력'!$C$6/('1.설계입력'!$C$8*'1.설계입력'!$C$15)-COS((1-'1.설계입력'!$C$15)*B1446),SIN((1-'1.설계입력'!$C$15)*B1446))</f>
        <v>-0.73238231098362094</v>
      </c>
      <c r="D1446" s="40">
        <f>'1.설계입력'!$C$6*COS(B1446)-'1.설계입력'!$C$7*COS(B1446+C1446)-'1.설계입력'!$C$8*COS('1.설계입력'!$C$15*B1446)</f>
        <v>25.463942709777907</v>
      </c>
      <c r="E1446" s="40">
        <f>-'1.설계입력'!$C$6*SIN(B1446)+'1.설계입력'!$C$7*SIN(B1446+C1446)+'1.설계입력'!$C$8*SIN('1.설계입력'!$C$15*B1446)</f>
        <v>74.331386055866702</v>
      </c>
      <c r="F1446" s="40">
        <f>ATAN2(('1.설계입력'!$C$6+'1.설계입력'!$C$33)/('1.설계입력'!$C$8*'1.설계입력'!$C$15)-COS((1-'1.설계입력'!$C$15)*B1446),SIN((1-'1.설계입력'!$C$15)*B1446))</f>
        <v>-0.73240659969222732</v>
      </c>
      <c r="G1446" s="40">
        <f>('1.설계입력'!$C$6+'1.설계입력'!$C$33)*COS(B1446)-('1.설계입력'!$C$7+'1.설계입력'!$C$34)*COS(B1446+F1446)-'1.설계입력'!$C$8*COS('1.설계입력'!$C$15*B1446)</f>
        <v>25.466363429728947</v>
      </c>
      <c r="H1446" s="40">
        <f>-('1.설계입력'!$C$6+'1.설계입력'!$C$33)*SIN(B1446)+('1.설계입력'!$C$7+'1.설계입력'!$C$34)*SIN(B1446+F1446)+'1.설계입력'!$C$8*SIN('1.설계입력'!$C$15*B1446)</f>
        <v>74.321075442083185</v>
      </c>
      <c r="I1446" s="40">
        <f t="shared" si="67"/>
        <v>78.572051846144035</v>
      </c>
      <c r="J1446" s="40">
        <f t="shared" si="68"/>
        <v>78.563082431908541</v>
      </c>
      <c r="K1446" s="38" t="str">
        <f>IF(OR(A1446&gt;180,'1.설계입력'!$C$39&gt;=1),"",'1.설계입력'!$C$34*(1-SIN(B1446)/SQRT(1+'1.설계입력'!$C$39^2-2*'1.설계입력'!$C$39*COS(B1446)))-'1.설계입력'!$C$33*(1-'1.설계입력'!$C$39*COS(B1446)-SQRT(MAX(0,1-'1.설계입력'!$C$39^2))*SIN(B1446))/SQRT(1+'1.설계입력'!$C$39^2-2*'1.설계입력'!$C$39*COS(B1446)))</f>
        <v/>
      </c>
    </row>
    <row r="1447" spans="1:11" x14ac:dyDescent="0.3">
      <c r="A1447" s="40">
        <f>A1446+'1.설계입력'!$C$12</f>
        <v>288.1999999999922</v>
      </c>
      <c r="B1447" s="40">
        <f t="shared" si="66"/>
        <v>5.0300389042475215</v>
      </c>
      <c r="C1447" s="40">
        <f>ATAN2('1.설계입력'!$C$6/('1.설계입력'!$C$8*'1.설계입력'!$C$15)-COS((1-'1.설계입력'!$C$15)*B1447),SIN((1-'1.설계입력'!$C$15)*B1447))</f>
        <v>-0.69119422737466862</v>
      </c>
      <c r="D1447" s="40">
        <f>'1.설계입력'!$C$6*COS(B1447)-'1.설계입력'!$C$7*COS(B1447+C1447)-'1.설계입력'!$C$8*COS('1.설계입력'!$C$15*B1447)</f>
        <v>25.585731634126002</v>
      </c>
      <c r="E1447" s="40">
        <f>-'1.설계입력'!$C$6*SIN(B1447)+'1.설계입력'!$C$7*SIN(B1447+C1447)+'1.설계입력'!$C$8*SIN('1.설계입력'!$C$15*B1447)</f>
        <v>74.382308606611645</v>
      </c>
      <c r="F1447" s="40">
        <f>ATAN2(('1.설계입력'!$C$6+'1.설계입력'!$C$33)/('1.설계입력'!$C$8*'1.설계입력'!$C$15)-COS((1-'1.설계입력'!$C$15)*B1447),SIN((1-'1.설계입력'!$C$15)*B1447))</f>
        <v>-0.69121555993872974</v>
      </c>
      <c r="G1447" s="40">
        <f>('1.설계입력'!$C$6+'1.설계입력'!$C$33)*COS(B1447)-('1.설계입력'!$C$7+'1.설계입력'!$C$34)*COS(B1447+F1447)-'1.설계입력'!$C$8*COS('1.설계입력'!$C$15*B1447)</f>
        <v>25.587798834888858</v>
      </c>
      <c r="H1447" s="40">
        <f>-('1.설계입력'!$C$6+'1.설계입력'!$C$33)*SIN(B1447)+('1.설계입력'!$C$7+'1.설계입력'!$C$34)*SIN(B1447+F1447)+'1.설계입력'!$C$8*SIN('1.설계입력'!$C$15*B1447)</f>
        <v>74.371853473147794</v>
      </c>
      <c r="I1447" s="40">
        <f t="shared" si="67"/>
        <v>78.659757798398601</v>
      </c>
      <c r="J1447" s="40">
        <f t="shared" si="68"/>
        <v>78.650543788623011</v>
      </c>
      <c r="K1447" s="38" t="str">
        <f>IF(OR(A1447&gt;180,'1.설계입력'!$C$39&gt;=1),"",'1.설계입력'!$C$34*(1-SIN(B1447)/SQRT(1+'1.설계입력'!$C$39^2-2*'1.설계입력'!$C$39*COS(B1447)))-'1.설계입력'!$C$33*(1-'1.설계입력'!$C$39*COS(B1447)-SQRT(MAX(0,1-'1.설계입력'!$C$39^2))*SIN(B1447))/SQRT(1+'1.설계입력'!$C$39^2-2*'1.설계입력'!$C$39*COS(B1447)))</f>
        <v/>
      </c>
    </row>
    <row r="1448" spans="1:11" x14ac:dyDescent="0.3">
      <c r="A1448" s="40">
        <f>A1447+'1.설계입력'!$C$12</f>
        <v>288.39999999999219</v>
      </c>
      <c r="B1448" s="40">
        <f t="shared" si="66"/>
        <v>5.03352956275151</v>
      </c>
      <c r="C1448" s="40">
        <f>ATAN2('1.설계입력'!$C$6/('1.설계입력'!$C$8*'1.설계입력'!$C$15)-COS((1-'1.설계입력'!$C$15)*B1448),SIN((1-'1.설계입력'!$C$15)*B1448))</f>
        <v>-0.64616706943229352</v>
      </c>
      <c r="D1448" s="40">
        <f>'1.설계입력'!$C$6*COS(B1448)-'1.설계입력'!$C$7*COS(B1448+C1448)-'1.설계입력'!$C$8*COS('1.설계입력'!$C$15*B1448)</f>
        <v>25.718664030669355</v>
      </c>
      <c r="E1448" s="40">
        <f>-'1.설계입력'!$C$6*SIN(B1448)+'1.설계입력'!$C$7*SIN(B1448+C1448)+'1.설계입력'!$C$8*SIN('1.설계입력'!$C$15*B1448)</f>
        <v>74.43071991445116</v>
      </c>
      <c r="F1448" s="40">
        <f>ATAN2(('1.설계입력'!$C$6+'1.설계입력'!$C$33)/('1.설계입력'!$C$8*'1.설계입력'!$C$15)-COS((1-'1.설계입력'!$C$15)*B1448),SIN((1-'1.설계입력'!$C$15)*B1448))</f>
        <v>-0.64618581867810376</v>
      </c>
      <c r="G1448" s="40">
        <f>('1.설계입력'!$C$6+'1.설계입력'!$C$33)*COS(B1448)-('1.설계입력'!$C$7+'1.설계입력'!$C$34)*COS(B1448+F1448)-'1.설계입력'!$C$8*COS('1.설계입력'!$C$15*B1448)</f>
        <v>25.720343337137034</v>
      </c>
      <c r="H1448" s="40">
        <f>-('1.설계입력'!$C$6+'1.설계입력'!$C$33)*SIN(B1448)+('1.설계입력'!$C$7+'1.설계입력'!$C$34)*SIN(B1448+F1448)+'1.설계입력'!$C$8*SIN('1.설계입력'!$C$15*B1448)</f>
        <v>74.420126494682577</v>
      </c>
      <c r="I1448" s="40">
        <f t="shared" si="67"/>
        <v>78.74885235040523</v>
      </c>
      <c r="J1448" s="40">
        <f t="shared" si="68"/>
        <v>78.739388420693018</v>
      </c>
      <c r="K1448" s="38" t="str">
        <f>IF(OR(A1448&gt;180,'1.설계입력'!$C$39&gt;=1),"",'1.설계입력'!$C$34*(1-SIN(B1448)/SQRT(1+'1.설계입력'!$C$39^2-2*'1.설계입력'!$C$39*COS(B1448)))-'1.설계입력'!$C$33*(1-'1.설계입력'!$C$39*COS(B1448)-SQRT(MAX(0,1-'1.설계입력'!$C$39^2))*SIN(B1448))/SQRT(1+'1.설계입력'!$C$39^2-2*'1.설계입력'!$C$39*COS(B1448)))</f>
        <v/>
      </c>
    </row>
    <row r="1449" spans="1:11" x14ac:dyDescent="0.3">
      <c r="A1449" s="40">
        <f>A1448+'1.설계입력'!$C$12</f>
        <v>288.59999999999218</v>
      </c>
      <c r="B1449" s="40">
        <f t="shared" si="66"/>
        <v>5.0370202212554984</v>
      </c>
      <c r="C1449" s="40">
        <f>ATAN2('1.설계입력'!$C$6/('1.설계입력'!$C$8*'1.설계입력'!$C$15)-COS((1-'1.설계입력'!$C$15)*B1449),SIN((1-'1.설계입력'!$C$15)*B1449))</f>
        <v>-0.59822213579748751</v>
      </c>
      <c r="D1449" s="40">
        <f>'1.설계입력'!$C$6*COS(B1449)-'1.설계입력'!$C$7*COS(B1449+C1449)-'1.설계입력'!$C$8*COS('1.설계입력'!$C$15*B1449)</f>
        <v>25.865107214314232</v>
      </c>
      <c r="E1449" s="40">
        <f>-'1.설계입력'!$C$6*SIN(B1449)+'1.설계입력'!$C$7*SIN(B1449+C1449)+'1.설계입력'!$C$8*SIN('1.설계입력'!$C$15*B1449)</f>
        <v>74.475887064661563</v>
      </c>
      <c r="F1449" s="40">
        <f>ATAN2(('1.설계입력'!$C$6+'1.설계입력'!$C$33)/('1.설계입력'!$C$8*'1.설계입력'!$C$15)-COS((1-'1.설계입력'!$C$15)*B1449),SIN((1-'1.설계입력'!$C$15)*B1449))</f>
        <v>-0.59823859611508845</v>
      </c>
      <c r="G1449" s="40">
        <f>('1.설계입력'!$C$6+'1.설계입력'!$C$33)*COS(B1449)-('1.설계입력'!$C$7+'1.설계입력'!$C$34)*COS(B1449+F1449)-'1.설계입력'!$C$8*COS('1.설계입력'!$C$15*B1449)</f>
        <v>25.866370504234169</v>
      </c>
      <c r="H1449" s="40">
        <f>-('1.설계입력'!$C$6+'1.설계입력'!$C$33)*SIN(B1449)+('1.설계입력'!$C$7+'1.설계입력'!$C$34)*SIN(B1449+F1449)+'1.설계입력'!$C$8*SIN('1.설계입력'!$C$15*B1449)</f>
        <v>74.465168073094361</v>
      </c>
      <c r="I1449" s="40">
        <f t="shared" si="67"/>
        <v>78.839466799796369</v>
      </c>
      <c r="J1449" s="40">
        <f t="shared" si="68"/>
        <v>78.82975567142465</v>
      </c>
      <c r="K1449" s="38" t="str">
        <f>IF(OR(A1449&gt;180,'1.설계입력'!$C$39&gt;=1),"",'1.설계입력'!$C$34*(1-SIN(B1449)/SQRT(1+'1.설계입력'!$C$39^2-2*'1.설계입력'!$C$39*COS(B1449)))-'1.설계입력'!$C$33*(1-'1.설계입력'!$C$39*COS(B1449)-SQRT(MAX(0,1-'1.설계입력'!$C$39^2))*SIN(B1449))/SQRT(1+'1.설계입력'!$C$39^2-2*'1.설계입력'!$C$39*COS(B1449)))</f>
        <v/>
      </c>
    </row>
    <row r="1450" spans="1:11" x14ac:dyDescent="0.3">
      <c r="A1450" s="40">
        <f>A1449+'1.설계입력'!$C$12</f>
        <v>288.79999999999217</v>
      </c>
      <c r="B1450" s="40">
        <f t="shared" si="66"/>
        <v>5.0405108797594869</v>
      </c>
      <c r="C1450" s="40">
        <f>ATAN2('1.설계입력'!$C$6/('1.설계입력'!$C$8*'1.설계입력'!$C$15)-COS((1-'1.설계입력'!$C$15)*B1450),SIN((1-'1.설계입력'!$C$15)*B1450))</f>
        <v>-0.54802244107138776</v>
      </c>
      <c r="D1450" s="40">
        <f>'1.설계입력'!$C$6*COS(B1450)-'1.설계입력'!$C$7*COS(B1450+C1450)-'1.설계입력'!$C$8*COS('1.설계입력'!$C$15*B1450)</f>
        <v>26.026245108240531</v>
      </c>
      <c r="E1450" s="40">
        <f>-'1.설계입력'!$C$6*SIN(B1450)+'1.설계입력'!$C$7*SIN(B1450+C1450)+'1.설계입력'!$C$8*SIN('1.설계입력'!$C$15*B1450)</f>
        <v>74.516441628826101</v>
      </c>
      <c r="F1450" s="40">
        <f>ATAN2(('1.설계입력'!$C$6+'1.설계입력'!$C$33)/('1.설계입력'!$C$8*'1.설계입력'!$C$15)-COS((1-'1.설계입력'!$C$15)*B1450),SIN((1-'1.설계입력'!$C$15)*B1450))</f>
        <v>-0.54803684647627826</v>
      </c>
      <c r="G1450" s="40">
        <f>('1.설계입력'!$C$6+'1.설계입력'!$C$33)*COS(B1450)-('1.설계입력'!$C$7+'1.설계입력'!$C$34)*COS(B1450+F1450)-'1.설계입력'!$C$8*COS('1.설계입력'!$C$15*B1450)</f>
        <v>26.027069306153738</v>
      </c>
      <c r="H1450" s="40">
        <f>-('1.설계입력'!$C$6+'1.설계입력'!$C$33)*SIN(B1450)+('1.설계입력'!$C$7+'1.설계입력'!$C$34)*SIN(B1450+F1450)+'1.설계입력'!$C$8*SIN('1.설계입력'!$C$15*B1450)</f>
        <v>74.50561466602062</v>
      </c>
      <c r="I1450" s="40">
        <f t="shared" si="67"/>
        <v>78.930764011609952</v>
      </c>
      <c r="J1450" s="40">
        <f t="shared" si="68"/>
        <v>78.920814449857758</v>
      </c>
      <c r="K1450" s="38" t="str">
        <f>IF(OR(A1450&gt;180,'1.설계입력'!$C$39&gt;=1),"",'1.설계입력'!$C$34*(1-SIN(B1450)/SQRT(1+'1.설계입력'!$C$39^2-2*'1.설계입력'!$C$39*COS(B1450)))-'1.설계입력'!$C$33*(1-'1.설계입력'!$C$39*COS(B1450)-SQRT(MAX(0,1-'1.설계입력'!$C$39^2))*SIN(B1450))/SQRT(1+'1.설계입력'!$C$39^2-2*'1.설계입력'!$C$39*COS(B1450)))</f>
        <v/>
      </c>
    </row>
    <row r="1451" spans="1:11" x14ac:dyDescent="0.3">
      <c r="A1451" s="40">
        <f>A1450+'1.설계입력'!$C$12</f>
        <v>288.99999999999216</v>
      </c>
      <c r="B1451" s="40">
        <f t="shared" si="66"/>
        <v>5.0440015382634753</v>
      </c>
      <c r="C1451" s="40">
        <f>ATAN2('1.설계입력'!$C$6/('1.설계입력'!$C$8*'1.설계입력'!$C$15)-COS((1-'1.설계입력'!$C$15)*B1451),SIN((1-'1.설계입력'!$C$15)*B1451))</f>
        <v>-0.49605815253752772</v>
      </c>
      <c r="D1451" s="40">
        <f>'1.설계입력'!$C$6*COS(B1451)-'1.설계입력'!$C$7*COS(B1451+C1451)-'1.설계입력'!$C$8*COS('1.설계입력'!$C$15*B1451)</f>
        <v>26.202343721475849</v>
      </c>
      <c r="E1451" s="40">
        <f>-'1.설계입력'!$C$6*SIN(B1451)+'1.설계입력'!$C$7*SIN(B1451+C1451)+'1.설계입력'!$C$8*SIN('1.설계입력'!$C$15*B1451)</f>
        <v>74.550667549207461</v>
      </c>
      <c r="F1451" s="40">
        <f>ATAN2(('1.설계입력'!$C$6+'1.설계입력'!$C$33)/('1.설계입력'!$C$8*'1.설계입력'!$C$15)-COS((1-'1.설계입력'!$C$15)*B1451),SIN((1-'1.설계입력'!$C$15)*B1451))</f>
        <v>-0.49607069013402511</v>
      </c>
      <c r="G1451" s="40">
        <f>('1.설계입력'!$C$6+'1.설계입력'!$C$33)*COS(B1451)-('1.설계입력'!$C$7+'1.설계입력'!$C$34)*COS(B1451+F1451)-'1.설계입력'!$C$8*COS('1.설계입력'!$C$15*B1451)</f>
        <v>26.202710048134801</v>
      </c>
      <c r="H1451" s="40">
        <f>-('1.설계입력'!$C$6+'1.설계입력'!$C$33)*SIN(B1451)+('1.설계입력'!$C$7+'1.설계입력'!$C$34)*SIN(B1451+F1451)+'1.설계입력'!$C$8*SIN('1.설계입력'!$C$15*B1451)</f>
        <v>74.539753943393862</v>
      </c>
      <c r="I1451" s="40">
        <f t="shared" si="67"/>
        <v>79.021293639947572</v>
      </c>
      <c r="J1451" s="40">
        <f t="shared" si="68"/>
        <v>79.01111903908415</v>
      </c>
      <c r="K1451" s="38" t="str">
        <f>IF(OR(A1451&gt;180,'1.설계입력'!$C$39&gt;=1),"",'1.설계입력'!$C$34*(1-SIN(B1451)/SQRT(1+'1.설계입력'!$C$39^2-2*'1.설계입력'!$C$39*COS(B1451)))-'1.설계입력'!$C$33*(1-'1.설계입력'!$C$39*COS(B1451)-SQRT(MAX(0,1-'1.설계입력'!$C$39^2))*SIN(B1451))/SQRT(1+'1.설계입력'!$C$39^2-2*'1.설계입력'!$C$39*COS(B1451)))</f>
        <v/>
      </c>
    </row>
    <row r="1452" spans="1:11" x14ac:dyDescent="0.3">
      <c r="A1452" s="40">
        <f>A1451+'1.설계입력'!$C$12</f>
        <v>289.19999999999214</v>
      </c>
      <c r="B1452" s="40">
        <f t="shared" si="66"/>
        <v>5.0474921967674637</v>
      </c>
      <c r="C1452" s="40">
        <f>ATAN2('1.설계입력'!$C$6/('1.설계입력'!$C$8*'1.설계입력'!$C$15)-COS((1-'1.설계입력'!$C$15)*B1452),SIN((1-'1.설계입력'!$C$15)*B1452))</f>
        <v>-0.44270077298627014</v>
      </c>
      <c r="D1452" s="40">
        <f>'1.설계입력'!$C$6*COS(B1452)-'1.설계입력'!$C$7*COS(B1452+C1452)-'1.설계입력'!$C$8*COS('1.설계입력'!$C$15*B1452)</f>
        <v>26.392929375268228</v>
      </c>
      <c r="E1452" s="40">
        <f>-'1.설계입력'!$C$6*SIN(B1452)+'1.설계입력'!$C$7*SIN(B1452+C1452)+'1.설계입력'!$C$8*SIN('1.설계입력'!$C$15*B1452)</f>
        <v>74.576711735955485</v>
      </c>
      <c r="F1452" s="40">
        <f>ATAN2(('1.설계입력'!$C$6+'1.설계입력'!$C$33)/('1.설계입력'!$C$8*'1.설계입력'!$C$15)-COS((1-'1.설계입력'!$C$15)*B1452),SIN((1-'1.설계입력'!$C$15)*B1452))</f>
        <v>-0.44271159294291468</v>
      </c>
      <c r="G1452" s="40">
        <f>('1.설계입력'!$C$6+'1.설계입력'!$C$33)*COS(B1452)-('1.설계입력'!$C$7+'1.설계입력'!$C$34)*COS(B1452+F1452)-'1.설계입력'!$C$8*COS('1.설계입력'!$C$15*B1452)</f>
        <v>26.392822864821625</v>
      </c>
      <c r="H1452" s="40">
        <f>-('1.설계입력'!$C$6+'1.설계입력'!$C$33)*SIN(B1452)+('1.설계입력'!$C$7+'1.설계입력'!$C$34)*SIN(B1452+F1452)+'1.설계입력'!$C$8*SIN('1.설계입력'!$C$15*B1452)</f>
        <v>74.565735669256156</v>
      </c>
      <c r="I1452" s="40">
        <f t="shared" si="67"/>
        <v>79.109245062481151</v>
      </c>
      <c r="J1452" s="40">
        <f t="shared" si="68"/>
        <v>79.098862410727705</v>
      </c>
      <c r="K1452" s="38" t="str">
        <f>IF(OR(A1452&gt;180,'1.설계입력'!$C$39&gt;=1),"",'1.설계입력'!$C$34*(1-SIN(B1452)/SQRT(1+'1.설계입력'!$C$39^2-2*'1.설계입력'!$C$39*COS(B1452)))-'1.설계입력'!$C$33*(1-'1.설계입력'!$C$39*COS(B1452)-SQRT(MAX(0,1-'1.설계입력'!$C$39^2))*SIN(B1452))/SQRT(1+'1.설계입력'!$C$39^2-2*'1.설계입력'!$C$39*COS(B1452)))</f>
        <v/>
      </c>
    </row>
    <row r="1453" spans="1:11" x14ac:dyDescent="0.3">
      <c r="A1453" s="40">
        <f>A1452+'1.설계입력'!$C$12</f>
        <v>289.39999999999213</v>
      </c>
      <c r="B1453" s="40">
        <f t="shared" si="66"/>
        <v>5.0509828552714522</v>
      </c>
      <c r="C1453" s="40">
        <f>ATAN2('1.설계입력'!$C$6/('1.설계입력'!$C$8*'1.설계입력'!$C$15)-COS((1-'1.설계입력'!$C$15)*B1453),SIN((1-'1.설계입력'!$C$15)*B1453))</f>
        <v>-0.38823858520659316</v>
      </c>
      <c r="D1453" s="40">
        <f>'1.설계입력'!$C$6*COS(B1453)-'1.설계입력'!$C$7*COS(B1453+C1453)-'1.설계입력'!$C$8*COS('1.설계입력'!$C$15*B1453)</f>
        <v>26.596920741092489</v>
      </c>
      <c r="E1453" s="40">
        <f>-'1.설계입력'!$C$6*SIN(B1453)+'1.설계입력'!$C$7*SIN(B1453+C1453)+'1.설계입력'!$C$8*SIN('1.설계입력'!$C$15*B1453)</f>
        <v>74.592742492770341</v>
      </c>
      <c r="F1453" s="40">
        <f>ATAN2(('1.설계입력'!$C$6+'1.설계입력'!$C$33)/('1.설계입력'!$C$8*'1.설계입력'!$C$15)-COS((1-'1.설계입력'!$C$15)*B1453),SIN((1-'1.설계입력'!$C$15)*B1453))</f>
        <v>-0.38824780815610577</v>
      </c>
      <c r="G1453" s="40">
        <f>('1.설계입력'!$C$6+'1.설계입력'!$C$33)*COS(B1453)-('1.설계입력'!$C$7+'1.설계입력'!$C$34)*COS(B1453+F1453)-'1.설계입력'!$C$8*COS('1.설계입력'!$C$15*B1453)</f>
        <v>26.596329919530465</v>
      </c>
      <c r="H1453" s="40">
        <f>-('1.설계입력'!$C$6+'1.설계입력'!$C$33)*SIN(B1453)+('1.설계입력'!$C$7+'1.설계입력'!$C$34)*SIN(B1453+F1453)+'1.설계입력'!$C$8*SIN('1.설계입력'!$C$15*B1453)</f>
        <v>74.58173031670762</v>
      </c>
      <c r="I1453" s="40">
        <f t="shared" si="67"/>
        <v>79.192634919547302</v>
      </c>
      <c r="J1453" s="40">
        <f t="shared" si="68"/>
        <v>79.182064018454426</v>
      </c>
      <c r="K1453" s="38" t="str">
        <f>IF(OR(A1453&gt;180,'1.설계입력'!$C$39&gt;=1),"",'1.설계입력'!$C$34*(1-SIN(B1453)/SQRT(1+'1.설계입력'!$C$39^2-2*'1.설계입력'!$C$39*COS(B1453)))-'1.설계입력'!$C$33*(1-'1.설계입력'!$C$39*COS(B1453)-SQRT(MAX(0,1-'1.설계입력'!$C$39^2))*SIN(B1453))/SQRT(1+'1.설계입력'!$C$39^2-2*'1.설계입력'!$C$39*COS(B1453)))</f>
        <v/>
      </c>
    </row>
    <row r="1454" spans="1:11" x14ac:dyDescent="0.3">
      <c r="A1454" s="40">
        <f>A1453+'1.설계입력'!$C$12</f>
        <v>289.59999999999212</v>
      </c>
      <c r="B1454" s="40">
        <f t="shared" si="66"/>
        <v>5.0544735137754406</v>
      </c>
      <c r="C1454" s="40">
        <f>ATAN2('1.설계입력'!$C$6/('1.설계입력'!$C$8*'1.설계입력'!$C$15)-COS((1-'1.설계입력'!$C$15)*B1454),SIN((1-'1.설계입력'!$C$15)*B1454))</f>
        <v>-0.3329005150559024</v>
      </c>
      <c r="D1454" s="40">
        <f>'1.설계입력'!$C$6*COS(B1454)-'1.설계입력'!$C$7*COS(B1454+C1454)-'1.설계입력'!$C$8*COS('1.설계입력'!$C$15*B1454)</f>
        <v>26.812736442402311</v>
      </c>
      <c r="E1454" s="40">
        <f>-'1.설계입력'!$C$6*SIN(B1454)+'1.설계입력'!$C$7*SIN(B1454+C1454)+'1.설계입력'!$C$8*SIN('1.설계입력'!$C$15*B1454)</f>
        <v>74.597070889207103</v>
      </c>
      <c r="F1454" s="40">
        <f>ATAN2(('1.설계입력'!$C$6+'1.설계입력'!$C$33)/('1.설계입력'!$C$8*'1.설계입력'!$C$15)-COS((1-'1.설계입력'!$C$15)*B1454),SIN((1-'1.설계입력'!$C$15)*B1454))</f>
        <v>-0.3329082376023339</v>
      </c>
      <c r="G1454" s="40">
        <f>('1.설계입력'!$C$6+'1.설계입력'!$C$33)*COS(B1454)-('1.설계입력'!$C$7+'1.설계입력'!$C$34)*COS(B1454+F1454)-'1.설계입력'!$C$8*COS('1.설계입력'!$C$15*B1454)</f>
        <v>26.81165310446741</v>
      </c>
      <c r="H1454" s="40">
        <f>-('1.설계입력'!$C$6+'1.설계입력'!$C$33)*SIN(B1454)+('1.설계입력'!$C$7+'1.설계입력'!$C$34)*SIN(B1454+F1454)+'1.설계입력'!$C$8*SIN('1.설계입력'!$C$15*B1454)</f>
        <v>74.586050568556132</v>
      </c>
      <c r="I1454" s="40">
        <f t="shared" si="67"/>
        <v>79.269450740995552</v>
      </c>
      <c r="J1454" s="40">
        <f t="shared" si="68"/>
        <v>79.258713600521617</v>
      </c>
      <c r="K1454" s="38" t="str">
        <f>IF(OR(A1454&gt;180,'1.설계입력'!$C$39&gt;=1),"",'1.설계입력'!$C$34*(1-SIN(B1454)/SQRT(1+'1.설계입력'!$C$39^2-2*'1.설계입력'!$C$39*COS(B1454)))-'1.설계입력'!$C$33*(1-'1.설계입력'!$C$39*COS(B1454)-SQRT(MAX(0,1-'1.설계입력'!$C$39^2))*SIN(B1454))/SQRT(1+'1.설계입력'!$C$39^2-2*'1.설계입력'!$C$39*COS(B1454)))</f>
        <v/>
      </c>
    </row>
    <row r="1455" spans="1:11" x14ac:dyDescent="0.3">
      <c r="A1455" s="40">
        <f>A1454+'1.설계입력'!$C$12</f>
        <v>289.79999999999211</v>
      </c>
      <c r="B1455" s="40">
        <f t="shared" si="66"/>
        <v>5.0579641722794291</v>
      </c>
      <c r="C1455" s="40">
        <f>ATAN2('1.설계입력'!$C$6/('1.설계입력'!$C$8*'1.설계입력'!$C$15)-COS((1-'1.설계입력'!$C$15)*B1455),SIN((1-'1.설계입력'!$C$15)*B1455))</f>
        <v>-0.27687264441377235</v>
      </c>
      <c r="D1455" s="40">
        <f>'1.설계입력'!$C$6*COS(B1455)-'1.설계입력'!$C$7*COS(B1455+C1455)-'1.설계입력'!$C$8*COS('1.설계입력'!$C$15*B1455)</f>
        <v>27.03838991344406</v>
      </c>
      <c r="E1455" s="40">
        <f>-'1.설계입력'!$C$6*SIN(B1455)+'1.설계입력'!$C$7*SIN(B1455+C1455)+'1.설계입력'!$C$8*SIN('1.설계입력'!$C$15*B1455)</f>
        <v>74.588244196205736</v>
      </c>
      <c r="F1455" s="40">
        <f>ATAN2(('1.설계입력'!$C$6+'1.설계입력'!$C$33)/('1.설계입력'!$C$8*'1.설계입력'!$C$15)-COS((1-'1.설계입력'!$C$15)*B1455),SIN((1-'1.설계입력'!$C$15)*B1455))</f>
        <v>-0.27687894323964629</v>
      </c>
      <c r="G1455" s="40">
        <f>('1.설계입력'!$C$6+'1.설계입력'!$C$33)*COS(B1455)-('1.설계입력'!$C$7+'1.설계입력'!$C$34)*COS(B1455+F1455)-'1.설계입력'!$C$8*COS('1.설계입력'!$C$15*B1455)</f>
        <v>27.036808959700789</v>
      </c>
      <c r="H1455" s="40">
        <f>-('1.설계입력'!$C$6+'1.설계입력'!$C$33)*SIN(B1455)+('1.설계입력'!$C$7+'1.설계입력'!$C$34)*SIN(B1455+F1455)+'1.설계입력'!$C$8*SIN('1.설계입력'!$C$15*B1455)</f>
        <v>74.57724484142291</v>
      </c>
      <c r="I1455" s="40">
        <f t="shared" si="67"/>
        <v>79.337763400440352</v>
      </c>
      <c r="J1455" s="40">
        <f t="shared" si="68"/>
        <v>79.326883758665943</v>
      </c>
      <c r="K1455" s="38" t="str">
        <f>IF(OR(A1455&gt;180,'1.설계입력'!$C$39&gt;=1),"",'1.설계입력'!$C$34*(1-SIN(B1455)/SQRT(1+'1.설계입력'!$C$39^2-2*'1.설계입력'!$C$39*COS(B1455)))-'1.설계입력'!$C$33*(1-'1.설계입력'!$C$39*COS(B1455)-SQRT(MAX(0,1-'1.설계입력'!$C$39^2))*SIN(B1455))/SQRT(1+'1.설계입력'!$C$39^2-2*'1.설계입력'!$C$39*COS(B1455)))</f>
        <v/>
      </c>
    </row>
    <row r="1456" spans="1:11" x14ac:dyDescent="0.3">
      <c r="A1456" s="40">
        <f>A1455+'1.설계입력'!$C$12</f>
        <v>289.9999999999921</v>
      </c>
      <c r="B1456" s="40">
        <f t="shared" si="66"/>
        <v>5.0614548307834175</v>
      </c>
      <c r="C1456" s="40">
        <f>ATAN2('1.설계입력'!$C$6/('1.설계입력'!$C$8*'1.설계입력'!$C$15)-COS((1-'1.설계입력'!$C$15)*B1456),SIN((1-'1.설계입력'!$C$15)*B1456))</f>
        <v>-0.22030995530231204</v>
      </c>
      <c r="D1456" s="40">
        <f>'1.설계입력'!$C$6*COS(B1456)-'1.설계입력'!$C$7*COS(B1456+C1456)-'1.설계입력'!$C$8*COS('1.설계입력'!$C$15*B1456)</f>
        <v>27.271577743785272</v>
      </c>
      <c r="E1456" s="40">
        <f>-'1.설계입력'!$C$6*SIN(B1456)+'1.설계입력'!$C$7*SIN(B1456+C1456)+'1.설계입력'!$C$8*SIN('1.설계입력'!$C$15*B1456)</f>
        <v>74.565116914855167</v>
      </c>
      <c r="F1456" s="40">
        <f>ATAN2(('1.설계입력'!$C$6+'1.설계입력'!$C$33)/('1.설계입력'!$C$8*'1.설계입력'!$C$15)-COS((1-'1.설계입력'!$C$15)*B1456),SIN((1-'1.설계입력'!$C$15)*B1456))</f>
        <v>-0.22031489022639875</v>
      </c>
      <c r="G1456" s="40">
        <f>('1.설계입력'!$C$6+'1.설계입력'!$C$33)*COS(B1456)-('1.설계입력'!$C$7+'1.설계입력'!$C$34)*COS(B1456+F1456)-'1.설계입력'!$C$8*COS('1.설계입력'!$C$15*B1456)</f>
        <v>27.269497053760002</v>
      </c>
      <c r="H1456" s="40">
        <f>-('1.설계입력'!$C$6+'1.설계입력'!$C$33)*SIN(B1456)+('1.설계입력'!$C$7+'1.설계입력'!$C$34)*SIN(B1456+F1456)+'1.설계입력'!$C$8*SIN('1.설계입력'!$C$15*B1456)</f>
        <v>74.554168376582282</v>
      </c>
      <c r="I1456" s="40">
        <f t="shared" si="67"/>
        <v>79.39581609355335</v>
      </c>
      <c r="J1456" s="40">
        <f t="shared" si="68"/>
        <v>79.384819026617464</v>
      </c>
      <c r="K1456" s="38" t="str">
        <f>IF(OR(A1456&gt;180,'1.설계입력'!$C$39&gt;=1),"",'1.설계입력'!$C$34*(1-SIN(B1456)/SQRT(1+'1.설계입력'!$C$39^2-2*'1.설계입력'!$C$39*COS(B1456)))-'1.설계입력'!$C$33*(1-'1.설계입력'!$C$39*COS(B1456)-SQRT(MAX(0,1-'1.설계입력'!$C$39^2))*SIN(B1456))/SQRT(1+'1.설계입력'!$C$39^2-2*'1.설계입력'!$C$39*COS(B1456)))</f>
        <v/>
      </c>
    </row>
    <row r="1457" spans="1:11" x14ac:dyDescent="0.3">
      <c r="A1457" s="40">
        <f>A1456+'1.설계입력'!$C$12</f>
        <v>290.19999999999209</v>
      </c>
      <c r="B1457" s="40">
        <f t="shared" si="66"/>
        <v>5.064945489287406</v>
      </c>
      <c r="C1457" s="40">
        <f>ATAN2('1.설계입력'!$C$6/('1.설계입력'!$C$8*'1.설계입력'!$C$15)-COS((1-'1.설계입력'!$C$15)*B1457),SIN((1-'1.설계입력'!$C$15)*B1457))</f>
        <v>-0.1633449282521181</v>
      </c>
      <c r="D1457" s="40">
        <f>'1.설계입력'!$C$6*COS(B1457)-'1.설계입력'!$C$7*COS(B1457+C1457)-'1.설계입력'!$C$8*COS('1.설계입력'!$C$15*B1457)</f>
        <v>27.509764651932223</v>
      </c>
      <c r="E1457" s="40">
        <f>-'1.설계입력'!$C$6*SIN(B1457)+'1.설계입력'!$C$7*SIN(B1457+C1457)+'1.설계입력'!$C$8*SIN('1.설계입력'!$C$15*B1457)</f>
        <v>74.526902787217622</v>
      </c>
      <c r="F1457" s="40">
        <f>ATAN2(('1.설계입력'!$C$6+'1.설계입력'!$C$33)/('1.설계입력'!$C$8*'1.설계입력'!$C$15)-COS((1-'1.설계입력'!$C$15)*B1457),SIN((1-'1.설계입력'!$C$15)*B1457))</f>
        <v>-0.16334854448550087</v>
      </c>
      <c r="G1457" s="40">
        <f>('1.설계입력'!$C$6+'1.설계입력'!$C$33)*COS(B1457)-('1.설계입력'!$C$7+'1.설계입력'!$C$34)*COS(B1457+F1457)-'1.설계입력'!$C$8*COS('1.설계입력'!$C$15*B1457)</f>
        <v>27.507184977762105</v>
      </c>
      <c r="H1457" s="40">
        <f>-('1.설계입력'!$C$6+'1.설계입력'!$C$33)*SIN(B1457)+('1.설계입력'!$C$7+'1.설계입력'!$C$34)*SIN(B1457+F1457)+'1.설계입력'!$C$8*SIN('1.설계입력'!$C$15*B1457)</f>
        <v>74.516035294810024</v>
      </c>
      <c r="I1457" s="40">
        <f t="shared" si="67"/>
        <v>79.442094573721334</v>
      </c>
      <c r="J1457" s="40">
        <f t="shared" si="68"/>
        <v>79.431006171760117</v>
      </c>
      <c r="K1457" s="38" t="str">
        <f>IF(OR(A1457&gt;180,'1.설계입력'!$C$39&gt;=1),"",'1.설계입력'!$C$34*(1-SIN(B1457)/SQRT(1+'1.설계입력'!$C$39^2-2*'1.설계입력'!$C$39*COS(B1457)))-'1.설계입력'!$C$33*(1-'1.설계입력'!$C$39*COS(B1457)-SQRT(MAX(0,1-'1.설계입력'!$C$39^2))*SIN(B1457))/SQRT(1+'1.설계입력'!$C$39^2-2*'1.설계입력'!$C$39*COS(B1457)))</f>
        <v/>
      </c>
    </row>
    <row r="1458" spans="1:11" x14ac:dyDescent="0.3">
      <c r="A1458" s="40">
        <f>A1457+'1.설계입력'!$C$12</f>
        <v>290.39999999999208</v>
      </c>
      <c r="B1458" s="40">
        <f t="shared" si="66"/>
        <v>5.0684361477913944</v>
      </c>
      <c r="C1458" s="40">
        <f>ATAN2('1.설계입력'!$C$6/('1.설계입력'!$C$8*'1.설계입력'!$C$15)-COS((1-'1.설계입력'!$C$15)*B1458),SIN((1-'1.설계입력'!$C$15)*B1458))</f>
        <v>-0.10609404751201097</v>
      </c>
      <c r="D1458" s="40">
        <f>'1.설계입력'!$C$6*COS(B1458)-'1.설계입력'!$C$7*COS(B1458+C1458)-'1.설계입력'!$C$8*COS('1.설계입력'!$C$15*B1458)</f>
        <v>27.75026643020616</v>
      </c>
      <c r="E1458" s="40">
        <f>-'1.설계입력'!$C$6*SIN(B1458)+'1.설계입력'!$C$7*SIN(B1458+C1458)+'1.설계입력'!$C$8*SIN('1.설계입력'!$C$15*B1458)</f>
        <v>74.473209905513968</v>
      </c>
      <c r="F1458" s="40">
        <f>ATAN2(('1.설계입력'!$C$6+'1.설계입력'!$C$33)/('1.설계입력'!$C$8*'1.설계입력'!$C$15)-COS((1-'1.설계입력'!$C$15)*B1458),SIN((1-'1.설계입력'!$C$15)*B1458))</f>
        <v>-0.10609637728592597</v>
      </c>
      <c r="G1458" s="40">
        <f>('1.설계입력'!$C$6+'1.설계입력'!$C$33)*COS(B1458)-('1.설계입력'!$C$7+'1.설계입력'!$C$34)*COS(B1458+F1458)-'1.설계입력'!$C$8*COS('1.설계입력'!$C$15*B1458)</f>
        <v>27.747191300498741</v>
      </c>
      <c r="H1458" s="40">
        <f>-('1.설계입력'!$C$6+'1.설계입력'!$C$33)*SIN(B1458)+('1.설계입력'!$C$7+'1.설계입력'!$C$34)*SIN(B1458+F1458)+'1.설계입력'!$C$8*SIN('1.설계입력'!$C$15*B1458)</f>
        <v>74.462453736977608</v>
      </c>
      <c r="I1458" s="40">
        <f t="shared" si="67"/>
        <v>79.47538160070809</v>
      </c>
      <c r="J1458" s="40">
        <f t="shared" si="68"/>
        <v>79.464228691896352</v>
      </c>
      <c r="K1458" s="38" t="str">
        <f>IF(OR(A1458&gt;180,'1.설계입력'!$C$39&gt;=1),"",'1.설계입력'!$C$34*(1-SIN(B1458)/SQRT(1+'1.설계입력'!$C$39^2-2*'1.설계입력'!$C$39*COS(B1458)))-'1.설계입력'!$C$33*(1-'1.설계입력'!$C$39*COS(B1458)-SQRT(MAX(0,1-'1.설계입력'!$C$39^2))*SIN(B1458))/SQRT(1+'1.설계입력'!$C$39^2-2*'1.설계입력'!$C$39*COS(B1458)))</f>
        <v/>
      </c>
    </row>
    <row r="1459" spans="1:11" x14ac:dyDescent="0.3">
      <c r="A1459" s="40">
        <f>A1458+'1.설계입력'!$C$12</f>
        <v>290.59999999999206</v>
      </c>
      <c r="B1459" s="40">
        <f t="shared" si="66"/>
        <v>5.0719268062953828</v>
      </c>
      <c r="C1459" s="40">
        <f>ATAN2('1.설계입력'!$C$6/('1.설계입력'!$C$8*'1.설계입력'!$C$15)-COS((1-'1.설계입력'!$C$15)*B1459),SIN((1-'1.설계입력'!$C$15)*B1459))</f>
        <v>-4.866291970460844E-2</v>
      </c>
      <c r="D1459" s="40">
        <f>'1.설계입력'!$C$6*COS(B1459)-'1.설계입력'!$C$7*COS(B1459+C1459)-'1.설계입력'!$C$8*COS('1.설계입력'!$C$15*B1459)</f>
        <v>27.990331124036373</v>
      </c>
      <c r="E1459" s="40">
        <f>-'1.설계입력'!$C$6*SIN(B1459)+'1.설계입력'!$C$7*SIN(B1459+C1459)+'1.설계입력'!$C$8*SIN('1.설계입력'!$C$15*B1459)</f>
        <v>74.404060289061817</v>
      </c>
      <c r="F1459" s="40">
        <f>ATAN2(('1.설계입력'!$C$6+'1.설계입력'!$C$33)/('1.설계입력'!$C$8*'1.설계입력'!$C$15)-COS((1-'1.설계입력'!$C$15)*B1459),SIN((1-'1.설계입력'!$C$15)*B1459))</f>
        <v>-4.8663983389488401E-2</v>
      </c>
      <c r="G1459" s="40">
        <f>('1.설계입력'!$C$6+'1.설계입력'!$C$33)*COS(B1459)-('1.설계입력'!$C$7+'1.설계입력'!$C$34)*COS(B1459+F1459)-'1.설계입력'!$C$8*COS('1.설계입력'!$C$15*B1459)</f>
        <v>27.986766750974741</v>
      </c>
      <c r="H1459" s="40">
        <f>-('1.설계입력'!$C$6+'1.설계입력'!$C$33)*SIN(B1459)+('1.설계입력'!$C$7+'1.설계입력'!$C$34)*SIN(B1459+F1459)+'1.설계입력'!$C$8*SIN('1.설계입력'!$C$15*B1459)</f>
        <v>74.393445463285389</v>
      </c>
      <c r="I1459" s="40">
        <f t="shared" si="67"/>
        <v>79.494797464560818</v>
      </c>
      <c r="J1459" s="40">
        <f t="shared" si="68"/>
        <v>79.483607373296053</v>
      </c>
      <c r="K1459" s="38" t="str">
        <f>IF(OR(A1459&gt;180,'1.설계입력'!$C$39&gt;=1),"",'1.설계입력'!$C$34*(1-SIN(B1459)/SQRT(1+'1.설계입력'!$C$39^2-2*'1.설계입력'!$C$39*COS(B1459)))-'1.설계입력'!$C$33*(1-'1.설계입력'!$C$39*COS(B1459)-SQRT(MAX(0,1-'1.설계입력'!$C$39^2))*SIN(B1459))/SQRT(1+'1.설계입력'!$C$39^2-2*'1.설계입력'!$C$39*COS(B1459)))</f>
        <v/>
      </c>
    </row>
    <row r="1460" spans="1:11" x14ac:dyDescent="0.3">
      <c r="A1460" s="40">
        <f>A1459+'1.설계입력'!$C$12</f>
        <v>290.79999999999205</v>
      </c>
      <c r="B1460" s="40">
        <f t="shared" si="66"/>
        <v>5.0754174647993713</v>
      </c>
      <c r="C1460" s="40">
        <f>ATAN2('1.설계입력'!$C$6/('1.설계입력'!$C$8*'1.설계입력'!$C$15)-COS((1-'1.설계입력'!$C$15)*B1460),SIN((1-'1.설계입력'!$C$15)*B1460))</f>
        <v>8.8494988834236926E-3</v>
      </c>
      <c r="D1460" s="40">
        <f>'1.설계입력'!$C$6*COS(B1460)-'1.설계입력'!$C$7*COS(B1460+C1460)-'1.설계입력'!$C$8*COS('1.설계입력'!$C$15*B1460)</f>
        <v>28.227218053801174</v>
      </c>
      <c r="E1460" s="40">
        <f>-'1.설계입력'!$C$6*SIN(B1460)+'1.설계입력'!$C$7*SIN(B1460+C1460)+'1.설계입력'!$C$8*SIN('1.설계입력'!$C$15*B1460)</f>
        <v>74.319894869577837</v>
      </c>
      <c r="F1460" s="40">
        <f>ATAN2(('1.설계입력'!$C$6+'1.설계입력'!$C$33)/('1.설계입력'!$C$8*'1.설계입력'!$C$15)-COS((1-'1.설계입력'!$C$15)*B1460),SIN((1-'1.설계입력'!$C$15)*B1460))</f>
        <v>8.8496920887445544E-3</v>
      </c>
      <c r="G1460" s="40">
        <f>('1.설계입력'!$C$6+'1.설계입력'!$C$33)*COS(B1460)-('1.설계입력'!$C$7+'1.설계입력'!$C$34)*COS(B1460+F1460)-'1.설계입력'!$C$8*COS('1.설계입력'!$C$15*B1460)</f>
        <v>28.223173238687043</v>
      </c>
      <c r="H1460" s="40">
        <f>-('1.설계입력'!$C$6+'1.설계입력'!$C$33)*SIN(B1460)+('1.설계입력'!$C$7+'1.설계입력'!$C$34)*SIN(B1460+F1460)+'1.설계입력'!$C$8*SIN('1.설계입력'!$C$15*B1460)</f>
        <v>74.309450853953535</v>
      </c>
      <c r="I1460" s="40">
        <f t="shared" si="67"/>
        <v>79.49982775127215</v>
      </c>
      <c r="J1460" s="40">
        <f t="shared" si="68"/>
        <v>79.48862807897163</v>
      </c>
      <c r="K1460" s="38" t="str">
        <f>IF(OR(A1460&gt;180,'1.설계입력'!$C$39&gt;=1),"",'1.설계입력'!$C$34*(1-SIN(B1460)/SQRT(1+'1.설계입력'!$C$39^2-2*'1.설계입력'!$C$39*COS(B1460)))-'1.설계입력'!$C$33*(1-'1.설계입력'!$C$39*COS(B1460)-SQRT(MAX(0,1-'1.설계입력'!$C$39^2))*SIN(B1460))/SQRT(1+'1.설계입력'!$C$39^2-2*'1.설계입력'!$C$39*COS(B1460)))</f>
        <v/>
      </c>
    </row>
    <row r="1461" spans="1:11" x14ac:dyDescent="0.3">
      <c r="A1461" s="40">
        <f>A1460+'1.설계입력'!$C$12</f>
        <v>290.99999999999204</v>
      </c>
      <c r="B1461" s="40">
        <f t="shared" si="66"/>
        <v>5.0789081233033597</v>
      </c>
      <c r="C1461" s="40">
        <f>ATAN2('1.설계입력'!$C$6/('1.설계입력'!$C$8*'1.설계입력'!$C$15)-COS((1-'1.설계입력'!$C$15)*B1461),SIN((1-'1.설계입력'!$C$15)*B1461))</f>
        <v>6.6347198373874872E-2</v>
      </c>
      <c r="D1461" s="40">
        <f>'1.설계입력'!$C$6*COS(B1461)-'1.설계입력'!$C$7*COS(B1461+C1461)-'1.설계입력'!$C$8*COS('1.설계입력'!$C$15*B1461)</f>
        <v>28.458273892946501</v>
      </c>
      <c r="E1461" s="40">
        <f>-'1.설계입력'!$C$6*SIN(B1461)+'1.설계입력'!$C$7*SIN(B1461+C1461)+'1.설계입력'!$C$8*SIN('1.설계입력'!$C$15*B1461)</f>
        <v>74.221564585145529</v>
      </c>
      <c r="F1461" s="40">
        <f>ATAN2(('1.설계입력'!$C$6+'1.설계입력'!$C$33)/('1.설계입력'!$C$8*'1.설계입력'!$C$15)-COS((1-'1.설계입력'!$C$15)*B1461),SIN((1-'1.설계입력'!$C$15)*B1461))</f>
        <v>6.6348650135549886E-2</v>
      </c>
      <c r="G1461" s="40">
        <f>('1.설계입력'!$C$6+'1.설계입력'!$C$33)*COS(B1461)-('1.설계입력'!$C$7+'1.설계입력'!$C$34)*COS(B1461+F1461)-'1.설계입력'!$C$8*COS('1.설계입력'!$C$15*B1461)</f>
        <v>28.453759926795183</v>
      </c>
      <c r="H1461" s="40">
        <f>-('1.설계입력'!$C$6+'1.설계입력'!$C$33)*SIN(B1461)+('1.설계입력'!$C$7+'1.설계입력'!$C$34)*SIN(B1461+F1461)+'1.설계입력'!$C$8*SIN('1.설계입력'!$C$15*B1461)</f>
        <v>74.211320012968969</v>
      </c>
      <c r="I1461" s="40">
        <f t="shared" si="67"/>
        <v>79.490339050936811</v>
      </c>
      <c r="J1461" s="40">
        <f t="shared" si="68"/>
        <v>79.479157469357858</v>
      </c>
      <c r="K1461" s="38" t="str">
        <f>IF(OR(A1461&gt;180,'1.설계입력'!$C$39&gt;=1),"",'1.설계입력'!$C$34*(1-SIN(B1461)/SQRT(1+'1.설계입력'!$C$39^2-2*'1.설계입력'!$C$39*COS(B1461)))-'1.설계입력'!$C$33*(1-'1.설계입력'!$C$39*COS(B1461)-SQRT(MAX(0,1-'1.설계입력'!$C$39^2))*SIN(B1461))/SQRT(1+'1.설계입력'!$C$39^2-2*'1.설계입력'!$C$39*COS(B1461)))</f>
        <v/>
      </c>
    </row>
    <row r="1462" spans="1:11" x14ac:dyDescent="0.3">
      <c r="A1462" s="40">
        <f>A1461+'1.설계입력'!$C$12</f>
        <v>291.19999999999203</v>
      </c>
      <c r="B1462" s="40">
        <f t="shared" si="66"/>
        <v>5.0823987818073482</v>
      </c>
      <c r="C1462" s="40">
        <f>ATAN2('1.설계입력'!$C$6/('1.설계입력'!$C$8*'1.설계입력'!$C$15)-COS((1-'1.설계입력'!$C$15)*B1462),SIN((1-'1.설계입력'!$C$15)*B1462))</f>
        <v>0.12373363782864324</v>
      </c>
      <c r="D1462" s="40">
        <f>'1.설계입력'!$C$6*COS(B1462)-'1.설계입력'!$C$7*COS(B1462+C1462)-'1.설계입력'!$C$8*COS('1.설계입력'!$C$15*B1462)</f>
        <v>28.681004790115942</v>
      </c>
      <c r="E1462" s="40">
        <f>-'1.설계입력'!$C$6*SIN(B1462)+'1.설계입력'!$C$7*SIN(B1462+C1462)+'1.설계입력'!$C$8*SIN('1.설계입력'!$C$15*B1462)</f>
        <v>74.11030814570924</v>
      </c>
      <c r="F1462" s="40">
        <f>ATAN2(('1.설계입력'!$C$6+'1.설계입력'!$C$33)/('1.설계입력'!$C$8*'1.설계입력'!$C$15)-COS((1-'1.설계입력'!$C$15)*B1462),SIN((1-'1.설계입력'!$C$15)*B1462))</f>
        <v>0.12373636073313475</v>
      </c>
      <c r="G1462" s="40">
        <f>('1.설계입력'!$C$6+'1.설계입력'!$C$33)*COS(B1462)-('1.설계입력'!$C$7+'1.설계입력'!$C$34)*COS(B1462+F1462)-'1.설계입력'!$C$8*COS('1.설계입력'!$C$15*B1462)</f>
        <v>28.676035346864275</v>
      </c>
      <c r="H1462" s="40">
        <f>-('1.설계입력'!$C$6+'1.설계입력'!$C$33)*SIN(B1462)+('1.설계입력'!$C$7+'1.설계입력'!$C$34)*SIN(B1462+F1462)+'1.설계입력'!$C$8*SIN('1.설계입력'!$C$15*B1462)</f>
        <v>74.100290538346314</v>
      </c>
      <c r="I1462" s="40">
        <f t="shared" si="67"/>
        <v>79.466582971854464</v>
      </c>
      <c r="J1462" s="40">
        <f t="shared" si="68"/>
        <v>79.455447019584156</v>
      </c>
      <c r="K1462" s="38" t="str">
        <f>IF(OR(A1462&gt;180,'1.설계입력'!$C$39&gt;=1),"",'1.설계입력'!$C$34*(1-SIN(B1462)/SQRT(1+'1.설계입력'!$C$39^2-2*'1.설계입력'!$C$39*COS(B1462)))-'1.설계입력'!$C$33*(1-'1.설계입력'!$C$39*COS(B1462)-SQRT(MAX(0,1-'1.설계입력'!$C$39^2))*SIN(B1462))/SQRT(1+'1.설계입력'!$C$39^2-2*'1.설계입력'!$C$39*COS(B1462)))</f>
        <v/>
      </c>
    </row>
    <row r="1463" spans="1:11" x14ac:dyDescent="0.3">
      <c r="A1463" s="40">
        <f>A1462+'1.설계입력'!$C$12</f>
        <v>291.39999999999202</v>
      </c>
      <c r="B1463" s="40">
        <f t="shared" si="66"/>
        <v>5.0858894403113366</v>
      </c>
      <c r="C1463" s="40">
        <f>ATAN2('1.설계입력'!$C$6/('1.설계입력'!$C$8*'1.설계입력'!$C$15)-COS((1-'1.설계입력'!$C$15)*B1463),SIN((1-'1.설계입력'!$C$15)*B1463))</f>
        <v>0.18090822721394495</v>
      </c>
      <c r="D1463" s="40">
        <f>'1.설계입력'!$C$6*COS(B1463)-'1.설계입력'!$C$7*COS(B1463+C1463)-'1.설계입력'!$C$8*COS('1.설계입력'!$C$15*B1463)</f>
        <v>28.893143411976528</v>
      </c>
      <c r="E1463" s="40">
        <f>-'1.설계입력'!$C$6*SIN(B1463)+'1.설계입력'!$C$7*SIN(B1463+C1463)+'1.설계입력'!$C$8*SIN('1.설계입력'!$C$15*B1463)</f>
        <v>73.987716936357842</v>
      </c>
      <c r="F1463" s="40">
        <f>ATAN2(('1.설계입력'!$C$6+'1.설계입력'!$C$33)/('1.설계입력'!$C$8*'1.설계입력'!$C$15)-COS((1-'1.설계입력'!$C$15)*B1463),SIN((1-'1.설계입력'!$C$15)*B1463))</f>
        <v>0.18091224518898957</v>
      </c>
      <c r="G1463" s="40">
        <f>('1.설계입력'!$C$6+'1.설계입력'!$C$33)*COS(B1463)-('1.설계입력'!$C$7+'1.설계입력'!$C$34)*COS(B1463+F1463)-'1.설계입력'!$C$8*COS('1.설계입력'!$C$15*B1463)</f>
        <v>28.887734432497489</v>
      </c>
      <c r="H1463" s="40">
        <f>-('1.설계입력'!$C$6+'1.설계입력'!$C$33)*SIN(B1463)+('1.설계입력'!$C$7+'1.설계입력'!$C$34)*SIN(B1463+F1463)+'1.설계입력'!$C$8*SIN('1.설계입력'!$C$15*B1463)</f>
        <v>73.977952425162954</v>
      </c>
      <c r="I1463" s="40">
        <f t="shared" si="67"/>
        <v>79.429188549799846</v>
      </c>
      <c r="J1463" s="40">
        <f t="shared" si="68"/>
        <v>79.418125422740715</v>
      </c>
      <c r="K1463" s="38" t="str">
        <f>IF(OR(A1463&gt;180,'1.설계입력'!$C$39&gt;=1),"",'1.설계입력'!$C$34*(1-SIN(B1463)/SQRT(1+'1.설계입력'!$C$39^2-2*'1.설계입력'!$C$39*COS(B1463)))-'1.설계입력'!$C$33*(1-'1.설계입력'!$C$39*COS(B1463)-SQRT(MAX(0,1-'1.설계입력'!$C$39^2))*SIN(B1463))/SQRT(1+'1.설계입력'!$C$39^2-2*'1.설계입력'!$C$39*COS(B1463)))</f>
        <v/>
      </c>
    </row>
    <row r="1464" spans="1:11" x14ac:dyDescent="0.3">
      <c r="A1464" s="40">
        <f>A1463+'1.설계입력'!$C$12</f>
        <v>291.59999999999201</v>
      </c>
      <c r="B1464" s="40">
        <f t="shared" si="66"/>
        <v>5.089380098815325</v>
      </c>
      <c r="C1464" s="40">
        <f>ATAN2('1.설계입력'!$C$6/('1.설계입력'!$C$8*'1.설계입력'!$C$15)-COS((1-'1.설계입력'!$C$15)*B1464),SIN((1-'1.설계입력'!$C$15)*B1464))</f>
        <v>0.23776249645900385</v>
      </c>
      <c r="D1464" s="40">
        <f>'1.설계입력'!$C$6*COS(B1464)-'1.설계입력'!$C$7*COS(B1464+C1464)-'1.설계입력'!$C$8*COS('1.설계입력'!$C$15*B1464)</f>
        <v>29.092709755853353</v>
      </c>
      <c r="E1464" s="40">
        <f>-'1.설계입력'!$C$6*SIN(B1464)+'1.설계입력'!$C$7*SIN(B1464+C1464)+'1.설계입력'!$C$8*SIN('1.설계입력'!$C$15*B1464)</f>
        <v>73.855687416897538</v>
      </c>
      <c r="F1464" s="40">
        <f>ATAN2(('1.설계입력'!$C$6+'1.설계입력'!$C$33)/('1.설계입력'!$C$8*'1.설계입력'!$C$15)-COS((1-'1.설계입력'!$C$15)*B1464),SIN((1-'1.설계입력'!$C$15)*B1464))</f>
        <v>0.23776784558870109</v>
      </c>
      <c r="G1464" s="40">
        <f>('1.설계입력'!$C$6+'1.설계입력'!$C$33)*COS(B1464)-('1.설계입력'!$C$7+'1.설계입력'!$C$34)*COS(B1464+F1464)-'1.설계입력'!$C$8*COS('1.설계입력'!$C$15*B1464)</f>
        <v>29.086879321390278</v>
      </c>
      <c r="H1464" s="40">
        <f>-('1.설계입력'!$C$6+'1.설계입력'!$C$33)*SIN(B1464)+('1.설계입력'!$C$7+'1.설계입력'!$C$34)*SIN(B1464+F1464)+'1.설계입력'!$C$8*SIN('1.설계입력'!$C$15*B1464)</f>
        <v>73.84620045925908</v>
      </c>
      <c r="I1464" s="40">
        <f t="shared" si="67"/>
        <v>79.379142882502848</v>
      </c>
      <c r="J1464" s="40">
        <f t="shared" si="68"/>
        <v>79.36817920883783</v>
      </c>
      <c r="K1464" s="38" t="str">
        <f>IF(OR(A1464&gt;180,'1.설계입력'!$C$39&gt;=1),"",'1.설계입력'!$C$34*(1-SIN(B1464)/SQRT(1+'1.설계입력'!$C$39^2-2*'1.설계입력'!$C$39*COS(B1464)))-'1.설계입력'!$C$33*(1-'1.설계입력'!$C$39*COS(B1464)-SQRT(MAX(0,1-'1.설계입력'!$C$39^2))*SIN(B1464))/SQRT(1+'1.설계입력'!$C$39^2-2*'1.설계입력'!$C$39*COS(B1464)))</f>
        <v/>
      </c>
    </row>
    <row r="1465" spans="1:11" x14ac:dyDescent="0.3">
      <c r="A1465" s="40">
        <f>A1464+'1.설계입력'!$C$12</f>
        <v>291.799999999992</v>
      </c>
      <c r="B1465" s="40">
        <f t="shared" si="66"/>
        <v>5.0928707573193135</v>
      </c>
      <c r="C1465" s="40">
        <f>ATAN2('1.설계입력'!$C$6/('1.설계입력'!$C$8*'1.설계입력'!$C$15)-COS((1-'1.설계입력'!$C$15)*B1465),SIN((1-'1.설계입력'!$C$15)*B1465))</f>
        <v>0.29417563770920402</v>
      </c>
      <c r="D1465" s="40">
        <f>'1.설계입력'!$C$6*COS(B1465)-'1.설계입력'!$C$7*COS(B1465+C1465)-'1.설계입력'!$C$8*COS('1.설계입력'!$C$15*B1465)</f>
        <v>29.278064619218782</v>
      </c>
      <c r="E1465" s="40">
        <f>-'1.설계입력'!$C$6*SIN(B1465)+'1.설계입력'!$C$7*SIN(B1465+C1465)+'1.설계입력'!$C$8*SIN('1.설계입력'!$C$15*B1465)</f>
        <v>73.716361204488024</v>
      </c>
      <c r="F1465" s="40">
        <f>ATAN2(('1.설계입력'!$C$6+'1.설계입력'!$C$33)/('1.설계입력'!$C$8*'1.설계입력'!$C$15)-COS((1-'1.설계입력'!$C$15)*B1465),SIN((1-'1.설계입력'!$C$15)*B1465))</f>
        <v>0.29418236749953397</v>
      </c>
      <c r="G1465" s="40">
        <f>('1.설계입력'!$C$6+'1.설계입력'!$C$33)*COS(B1465)-('1.설계입력'!$C$7+'1.설계입력'!$C$34)*COS(B1465+F1465)-'1.설계입력'!$C$8*COS('1.설계입력'!$C$15*B1465)</f>
        <v>29.271832813125769</v>
      </c>
      <c r="H1465" s="40">
        <f>-('1.설계입력'!$C$6+'1.설계입력'!$C$33)*SIN(B1465)+('1.설계입력'!$C$7+'1.설계입력'!$C$34)*SIN(B1465+F1465)+'1.설계입력'!$C$8*SIN('1.설계입력'!$C$15*B1465)</f>
        <v>73.707174287069407</v>
      </c>
      <c r="I1465" s="40">
        <f t="shared" si="67"/>
        <v>79.31775953137921</v>
      </c>
      <c r="J1465" s="40">
        <f t="shared" si="68"/>
        <v>79.306921120568106</v>
      </c>
      <c r="K1465" s="38" t="str">
        <f>IF(OR(A1465&gt;180,'1.설계입력'!$C$39&gt;=1),"",'1.설계입력'!$C$34*(1-SIN(B1465)/SQRT(1+'1.설계입력'!$C$39^2-2*'1.설계입력'!$C$39*COS(B1465)))-'1.설계입력'!$C$33*(1-'1.설계입력'!$C$39*COS(B1465)-SQRT(MAX(0,1-'1.설계입력'!$C$39^2))*SIN(B1465))/SQRT(1+'1.설계입력'!$C$39^2-2*'1.설계입력'!$C$39*COS(B1465)))</f>
        <v/>
      </c>
    </row>
    <row r="1466" spans="1:11" x14ac:dyDescent="0.3">
      <c r="A1466" s="40">
        <f>A1465+'1.설계입력'!$C$12</f>
        <v>291.99999999999199</v>
      </c>
      <c r="B1466" s="40">
        <f t="shared" si="66"/>
        <v>5.0963614158233028</v>
      </c>
      <c r="C1466" s="40">
        <f>ATAN2('1.설계입력'!$C$6/('1.설계입력'!$C$8*'1.설계입력'!$C$15)-COS((1-'1.설계입력'!$C$15)*B1466),SIN((1-'1.설계입력'!$C$15)*B1466))</f>
        <v>0.35000902059892586</v>
      </c>
      <c r="D1466" s="40">
        <f>'1.설계입력'!$C$6*COS(B1466)-'1.설계입력'!$C$7*COS(B1466+C1466)-'1.설계입력'!$C$8*COS('1.설계입력'!$C$15*B1466)</f>
        <v>29.447954708512928</v>
      </c>
      <c r="E1466" s="40">
        <f>-'1.설계입력'!$C$6*SIN(B1466)+'1.설계입력'!$C$7*SIN(B1466+C1466)+'1.설계입력'!$C$8*SIN('1.설계입력'!$C$15*B1466)</f>
        <v>73.572052725543102</v>
      </c>
      <c r="F1466" s="40">
        <f>ATAN2(('1.설계입력'!$C$6+'1.설계입력'!$C$33)/('1.설계입력'!$C$8*'1.설계입력'!$C$15)-COS((1-'1.설계입력'!$C$15)*B1466),SIN((1-'1.설계입력'!$C$15)*B1466))</f>
        <v>0.35001719578397755</v>
      </c>
      <c r="G1466" s="40">
        <f>('1.설계입력'!$C$6+'1.설계입력'!$C$33)*COS(B1466)-('1.설계입력'!$C$7+'1.설계입력'!$C$34)*COS(B1466+F1466)-'1.설계입력'!$C$8*COS('1.설계입력'!$C$15*B1466)</f>
        <v>29.441343465369481</v>
      </c>
      <c r="H1466" s="40">
        <f>-('1.설계입력'!$C$6+'1.설계입력'!$C$33)*SIN(B1466)+('1.설계입력'!$C$7+'1.설계입력'!$C$34)*SIN(B1466+F1466)+'1.설계입력'!$C$8*SIN('1.설계입력'!$C$15*B1466)</f>
        <v>73.563186045558709</v>
      </c>
      <c r="I1466" s="40">
        <f t="shared" si="67"/>
        <v>79.246633863935969</v>
      </c>
      <c r="J1466" s="40">
        <f t="shared" si="68"/>
        <v>79.23594541759023</v>
      </c>
      <c r="K1466" s="38" t="str">
        <f>IF(OR(A1466&gt;180,'1.설계입력'!$C$39&gt;=1),"",'1.설계입력'!$C$34*(1-SIN(B1466)/SQRT(1+'1.설계입력'!$C$39^2-2*'1.설계입력'!$C$39*COS(B1466)))-'1.설계입력'!$C$33*(1-'1.설계입력'!$C$39*COS(B1466)-SQRT(MAX(0,1-'1.설계입력'!$C$39^2))*SIN(B1466))/SQRT(1+'1.설계입력'!$C$39^2-2*'1.설계입력'!$C$39*COS(B1466)))</f>
        <v/>
      </c>
    </row>
    <row r="1467" spans="1:11" x14ac:dyDescent="0.3">
      <c r="A1467" s="40">
        <f>A1466+'1.설계입력'!$C$12</f>
        <v>292.19999999999197</v>
      </c>
      <c r="B1467" s="40">
        <f t="shared" si="66"/>
        <v>5.0998520743272913</v>
      </c>
      <c r="C1467" s="40">
        <f>ATAN2('1.설계입력'!$C$6/('1.설계입력'!$C$8*'1.설계입력'!$C$15)-COS((1-'1.설계입력'!$C$15)*B1467),SIN((1-'1.설계입력'!$C$15)*B1467))</f>
        <v>0.40509913106435524</v>
      </c>
      <c r="D1467" s="40">
        <f>'1.설계입력'!$C$6*COS(B1467)-'1.설계입력'!$C$7*COS(B1467+C1467)-'1.설계입력'!$C$8*COS('1.설계입력'!$C$15*B1467)</f>
        <v>29.601548525079053</v>
      </c>
      <c r="E1467" s="40">
        <f>-'1.설계입력'!$C$6*SIN(B1467)+'1.설계입력'!$C$7*SIN(B1467+C1467)+'1.설계입력'!$C$8*SIN('1.설계입력'!$C$15*B1467)</f>
        <v>73.425163801237048</v>
      </c>
      <c r="F1467" s="40">
        <f>ATAN2(('1.설계입력'!$C$6+'1.설계입력'!$C$33)/('1.설계입력'!$C$8*'1.설계입력'!$C$15)-COS((1-'1.설계입력'!$C$15)*B1467),SIN((1-'1.설계입력'!$C$15)*B1467))</f>
        <v>0.40510883408761589</v>
      </c>
      <c r="G1467" s="40">
        <f>('1.설계입력'!$C$6+'1.설계입력'!$C$33)*COS(B1467)-('1.설계입력'!$C$7+'1.설계입력'!$C$34)*COS(B1467+F1467)-'1.설계입력'!$C$8*COS('1.설계입력'!$C$15*B1467)</f>
        <v>29.594581466395045</v>
      </c>
      <c r="H1467" s="40">
        <f>-('1.설계입력'!$C$6+'1.설계입력'!$C$33)*SIN(B1467)+('1.설계입력'!$C$7+'1.설계입력'!$C$34)*SIN(B1467+F1467)+'1.설계입력'!$C$8*SIN('1.설계입력'!$C$15*B1467)</f>
        <v>73.416634913057763</v>
      </c>
      <c r="I1467" s="40">
        <f t="shared" si="67"/>
        <v>79.167583986888857</v>
      </c>
      <c r="J1467" s="40">
        <f t="shared" si="68"/>
        <v>79.157068756544447</v>
      </c>
      <c r="K1467" s="38" t="str">
        <f>IF(OR(A1467&gt;180,'1.설계입력'!$C$39&gt;=1),"",'1.설계입력'!$C$34*(1-SIN(B1467)/SQRT(1+'1.설계입력'!$C$39^2-2*'1.설계입력'!$C$39*COS(B1467)))-'1.설계입력'!$C$33*(1-'1.설계입력'!$C$39*COS(B1467)-SQRT(MAX(0,1-'1.설계입력'!$C$39^2))*SIN(B1467))/SQRT(1+'1.설계입력'!$C$39^2-2*'1.설계입력'!$C$39*COS(B1467)))</f>
        <v/>
      </c>
    </row>
    <row r="1468" spans="1:11" x14ac:dyDescent="0.3">
      <c r="A1468" s="40">
        <f>A1467+'1.설계입력'!$C$12</f>
        <v>292.39999999999196</v>
      </c>
      <c r="B1468" s="40">
        <f t="shared" si="66"/>
        <v>5.1033427328312797</v>
      </c>
      <c r="C1468" s="40">
        <f>ATAN2('1.설계입력'!$C$6/('1.설계입력'!$C$8*'1.설계입력'!$C$15)-COS((1-'1.설계입력'!$C$15)*B1468),SIN((1-'1.설계입력'!$C$15)*B1468))</f>
        <v>0.45924813814864673</v>
      </c>
      <c r="D1468" s="40">
        <f>'1.설계입력'!$C$6*COS(B1468)-'1.설계입력'!$C$7*COS(B1468+C1468)-'1.설계입력'!$C$8*COS('1.설계입력'!$C$15*B1468)</f>
        <v>29.738462399226886</v>
      </c>
      <c r="E1468" s="40">
        <f>-'1.설계입력'!$C$6*SIN(B1468)+'1.설계입력'!$C$7*SIN(B1468+C1468)+'1.설계입력'!$C$8*SIN('1.설계입력'!$C$15*B1468)</f>
        <v>73.278083642888888</v>
      </c>
      <c r="F1468" s="40">
        <f>ATAN2(('1.설계입력'!$C$6+'1.설계입력'!$C$33)/('1.설계입력'!$C$8*'1.설계입력'!$C$15)-COS((1-'1.설계입력'!$C$15)*B1468),SIN((1-'1.설계입력'!$C$15)*B1468))</f>
        <v>0.45925947251315474</v>
      </c>
      <c r="G1468" s="40">
        <f>('1.설계입력'!$C$6+'1.설계입력'!$C$33)*COS(B1468)-('1.설계입력'!$C$7+'1.설계입력'!$C$34)*COS(B1468+F1468)-'1.설계입력'!$C$8*COS('1.설계입력'!$C$15*B1468)</f>
        <v>29.731164655157503</v>
      </c>
      <c r="H1468" s="40">
        <f>-('1.설계입력'!$C$6+'1.설계입력'!$C$33)*SIN(B1468)+('1.설계입력'!$C$7+'1.설계입력'!$C$34)*SIN(B1468+F1468)+'1.설계입력'!$C$8*SIN('1.설계입력'!$C$15*B1468)</f>
        <v>73.269907051731224</v>
      </c>
      <c r="I1468" s="40">
        <f t="shared" si="67"/>
        <v>79.082575124008514</v>
      </c>
      <c r="J1468" s="40">
        <f t="shared" si="68"/>
        <v>79.072254496260697</v>
      </c>
      <c r="K1468" s="38" t="str">
        <f>IF(OR(A1468&gt;180,'1.설계입력'!$C$39&gt;=1),"",'1.설계입력'!$C$34*(1-SIN(B1468)/SQRT(1+'1.설계입력'!$C$39^2-2*'1.설계입력'!$C$39*COS(B1468)))-'1.설계입력'!$C$33*(1-'1.설계입력'!$C$39*COS(B1468)-SQRT(MAX(0,1-'1.설계입력'!$C$39^2))*SIN(B1468))/SQRT(1+'1.설계입력'!$C$39^2-2*'1.설계입력'!$C$39*COS(B1468)))</f>
        <v/>
      </c>
    </row>
    <row r="1469" spans="1:11" x14ac:dyDescent="0.3">
      <c r="A1469" s="40">
        <f>A1468+'1.설계입력'!$C$12</f>
        <v>292.59999999999195</v>
      </c>
      <c r="B1469" s="40">
        <f t="shared" si="66"/>
        <v>5.1068333913352681</v>
      </c>
      <c r="C1469" s="40">
        <f>ATAN2('1.설계입력'!$C$6/('1.설계입력'!$C$8*'1.설계입력'!$C$15)-COS((1-'1.설계입력'!$C$15)*B1469),SIN((1-'1.설계입력'!$C$15)*B1469))</f>
        <v>0.51221089028811151</v>
      </c>
      <c r="D1469" s="40">
        <f>'1.설계입력'!$C$6*COS(B1469)-'1.설계입력'!$C$7*COS(B1469+C1469)-'1.설계입력'!$C$8*COS('1.설계입력'!$C$15*B1469)</f>
        <v>29.85877640236205</v>
      </c>
      <c r="E1469" s="40">
        <f>-'1.설계입력'!$C$6*SIN(B1469)+'1.설계입력'!$C$7*SIN(B1469+C1469)+'1.설계입력'!$C$8*SIN('1.설계입력'!$C$15*B1469)</f>
        <v>73.133071237625657</v>
      </c>
      <c r="F1469" s="40">
        <f>ATAN2(('1.설계입력'!$C$6+'1.설계입력'!$C$33)/('1.설계입력'!$C$8*'1.설계입력'!$C$15)-COS((1-'1.설계입력'!$C$15)*B1469),SIN((1-'1.설계입력'!$C$15)*B1469))</f>
        <v>0.51222398505129152</v>
      </c>
      <c r="G1469" s="40">
        <f>('1.설계입력'!$C$6+'1.설계입력'!$C$33)*COS(B1469)-('1.설계입력'!$C$7+'1.설계입력'!$C$34)*COS(B1469+F1469)-'1.설계입력'!$C$8*COS('1.설계입력'!$C$15*B1469)</f>
        <v>29.851174419282881</v>
      </c>
      <c r="H1469" s="40">
        <f>-('1.설계입력'!$C$6+'1.설계입력'!$C$33)*SIN(B1469)+('1.설계입력'!$C$7+'1.설계입력'!$C$34)*SIN(B1469+F1469)+'1.설계입력'!$C$8*SIN('1.설계입력'!$C$15*B1469)</f>
        <v>73.125257913383976</v>
      </c>
      <c r="I1469" s="40">
        <f t="shared" si="67"/>
        <v>78.99362402684082</v>
      </c>
      <c r="J1469" s="40">
        <f t="shared" si="68"/>
        <v>78.983517008989764</v>
      </c>
      <c r="K1469" s="38" t="str">
        <f>IF(OR(A1469&gt;180,'1.설계입력'!$C$39&gt;=1),"",'1.설계입력'!$C$34*(1-SIN(B1469)/SQRT(1+'1.설계입력'!$C$39^2-2*'1.설계입력'!$C$39*COS(B1469)))-'1.설계입력'!$C$33*(1-'1.설계입력'!$C$39*COS(B1469)-SQRT(MAX(0,1-'1.설계입력'!$C$39^2))*SIN(B1469))/SQRT(1+'1.설계입력'!$C$39^2-2*'1.설계입력'!$C$39*COS(B1469)))</f>
        <v/>
      </c>
    </row>
    <row r="1470" spans="1:11" x14ac:dyDescent="0.3">
      <c r="A1470" s="40">
        <f>A1469+'1.설계입력'!$C$12</f>
        <v>292.79999999999194</v>
      </c>
      <c r="B1470" s="40">
        <f t="shared" si="66"/>
        <v>5.1103240498392566</v>
      </c>
      <c r="C1470" s="40">
        <f>ATAN2('1.설계입력'!$C$6/('1.설계입력'!$C$8*'1.설계입력'!$C$15)-COS((1-'1.설계입력'!$C$15)*B1470),SIN((1-'1.설계입력'!$C$15)*B1470))</f>
        <v>0.56367647495223061</v>
      </c>
      <c r="D1470" s="40">
        <f>'1.설계입력'!$C$6*COS(B1470)-'1.설계입력'!$C$7*COS(B1470+C1470)-'1.설계입력'!$C$8*COS('1.설계입력'!$C$15*B1470)</f>
        <v>29.963040461861144</v>
      </c>
      <c r="E1470" s="40">
        <f>-'1.설계입력'!$C$6*SIN(B1470)+'1.설계입력'!$C$7*SIN(B1470+C1470)+'1.설계입력'!$C$8*SIN('1.설계입력'!$C$15*B1470)</f>
        <v>72.992114580776146</v>
      </c>
      <c r="F1470" s="40">
        <f>ATAN2(('1.설계입력'!$C$6+'1.설계입력'!$C$33)/('1.설계입력'!$C$8*'1.설계입력'!$C$15)-COS((1-'1.설계입력'!$C$15)*B1470),SIN((1-'1.설계입력'!$C$15)*B1470))</f>
        <v>0.56369149075512359</v>
      </c>
      <c r="G1470" s="40">
        <f>('1.설계입력'!$C$6+'1.설계입력'!$C$33)*COS(B1470)-('1.설계입력'!$C$7+'1.설계입력'!$C$34)*COS(B1470+F1470)-'1.설계입력'!$C$8*COS('1.설계입력'!$C$15*B1470)</f>
        <v>29.955161796671675</v>
      </c>
      <c r="H1470" s="40">
        <f>-('1.설계입력'!$C$6+'1.설계입력'!$C$33)*SIN(B1470)+('1.설계입력'!$C$7+'1.설계입력'!$C$34)*SIN(B1470+F1470)+'1.설계입력'!$C$8*SIN('1.설계입력'!$C$15*B1470)</f>
        <v>72.984671351205506</v>
      </c>
      <c r="I1470" s="40">
        <f t="shared" si="67"/>
        <v>78.902677931058093</v>
      </c>
      <c r="J1470" s="40">
        <f t="shared" si="68"/>
        <v>78.892800498576904</v>
      </c>
      <c r="K1470" s="38" t="str">
        <f>IF(OR(A1470&gt;180,'1.설계입력'!$C$39&gt;=1),"",'1.설계입력'!$C$34*(1-SIN(B1470)/SQRT(1+'1.설계입력'!$C$39^2-2*'1.설계입력'!$C$39*COS(B1470)))-'1.설계입력'!$C$33*(1-'1.설계입력'!$C$39*COS(B1470)-SQRT(MAX(0,1-'1.설계입력'!$C$39^2))*SIN(B1470))/SQRT(1+'1.설계입력'!$C$39^2-2*'1.설계입력'!$C$39*COS(B1470)))</f>
        <v/>
      </c>
    </row>
    <row r="1471" spans="1:11" x14ac:dyDescent="0.3">
      <c r="A1471" s="40">
        <f>A1470+'1.설계입력'!$C$12</f>
        <v>292.99999999999193</v>
      </c>
      <c r="B1471" s="40">
        <f t="shared" si="66"/>
        <v>5.113814708343245</v>
      </c>
      <c r="C1471" s="40">
        <f>ATAN2('1.설계입력'!$C$6/('1.설계입력'!$C$8*'1.설계입력'!$C$15)-COS((1-'1.설계입력'!$C$15)*B1471),SIN((1-'1.설계입력'!$C$15)*B1471))</f>
        <v>0.61324134614947412</v>
      </c>
      <c r="D1471" s="40">
        <f>'1.설계입력'!$C$6*COS(B1471)-'1.설계입력'!$C$7*COS(B1471+C1471)-'1.설계입력'!$C$8*COS('1.설계입력'!$C$15*B1471)</f>
        <v>30.052272081862331</v>
      </c>
      <c r="E1471" s="40">
        <f>-'1.설계입력'!$C$6*SIN(B1471)+'1.설계입력'!$C$7*SIN(B1471+C1471)+'1.설계입력'!$C$8*SIN('1.설계입력'!$C$15*B1471)</f>
        <v>72.856756902632085</v>
      </c>
      <c r="F1471" s="40">
        <f>ATAN2(('1.설계입력'!$C$6+'1.설계입력'!$C$33)/('1.설계입력'!$C$8*'1.설계입력'!$C$15)-COS((1-'1.설계입력'!$C$15)*B1471),SIN((1-'1.설계입력'!$C$15)*B1471))</f>
        <v>0.61325848332631006</v>
      </c>
      <c r="G1471" s="40">
        <f>('1.설계입력'!$C$6+'1.설계입력'!$C$33)*COS(B1471)-('1.설계입력'!$C$7+'1.설계입력'!$C$34)*COS(B1471+F1471)-'1.설계입력'!$C$8*COS('1.설계입력'!$C$15*B1471)</f>
        <v>30.044145186280794</v>
      </c>
      <c r="H1471" s="40">
        <f>-('1.설계입력'!$C$6+'1.설계입력'!$C$33)*SIN(B1471)+('1.설계입력'!$C$7+'1.설계입력'!$C$34)*SIN(B1471+F1471)+'1.설계입력'!$C$8*SIN('1.설계입력'!$C$15*B1471)</f>
        <v>72.849685662536785</v>
      </c>
      <c r="I1471" s="40">
        <f t="shared" si="67"/>
        <v>78.811459088456871</v>
      </c>
      <c r="J1471" s="40">
        <f t="shared" si="68"/>
        <v>78.801823336168667</v>
      </c>
      <c r="K1471" s="38" t="str">
        <f>IF(OR(A1471&gt;180,'1.설계입력'!$C$39&gt;=1),"",'1.설계입력'!$C$34*(1-SIN(B1471)/SQRT(1+'1.설계입력'!$C$39^2-2*'1.설계입력'!$C$39*COS(B1471)))-'1.설계입력'!$C$33*(1-'1.설계입력'!$C$39*COS(B1471)-SQRT(MAX(0,1-'1.설계입력'!$C$39^2))*SIN(B1471))/SQRT(1+'1.설계입력'!$C$39^2-2*'1.설계입력'!$C$39*COS(B1471)))</f>
        <v/>
      </c>
    </row>
    <row r="1472" spans="1:11" x14ac:dyDescent="0.3">
      <c r="A1472" s="40">
        <f>A1471+'1.설계입력'!$C$12</f>
        <v>293.19999999999192</v>
      </c>
      <c r="B1472" s="40">
        <f t="shared" si="66"/>
        <v>5.1173053668472335</v>
      </c>
      <c r="C1472" s="40">
        <f>ATAN2('1.설계입력'!$C$6/('1.설계입력'!$C$8*'1.설계입력'!$C$15)-COS((1-'1.설계입력'!$C$15)*B1472),SIN((1-'1.설계입력'!$C$15)*B1472))</f>
        <v>0.66036906277745411</v>
      </c>
      <c r="D1472" s="40">
        <f>'1.설계입력'!$C$6*COS(B1472)-'1.설계입력'!$C$7*COS(B1472+C1472)-'1.설계입력'!$C$8*COS('1.설계입력'!$C$15*B1472)</f>
        <v>30.12794920027439</v>
      </c>
      <c r="E1472" s="40">
        <f>-'1.설계입력'!$C$6*SIN(B1472)+'1.설계입력'!$C$7*SIN(B1472+C1472)+'1.설계입력'!$C$8*SIN('1.설계입력'!$C$15*B1472)</f>
        <v>72.727872538105416</v>
      </c>
      <c r="F1472" s="40">
        <f>ATAN2(('1.설계입력'!$C$6+'1.설계입력'!$C$33)/('1.설계입력'!$C$8*'1.설계입력'!$C$15)-COS((1-'1.설계입력'!$C$15)*B1472),SIN((1-'1.설계입력'!$C$15)*B1472))</f>
        <v>0.66038857229600567</v>
      </c>
      <c r="G1472" s="40">
        <f>('1.설계입력'!$C$6+'1.설계입력'!$C$33)*COS(B1472)-('1.설계입력'!$C$7+'1.설계입력'!$C$34)*COS(B1472+F1472)-'1.설계입력'!$C$8*COS('1.설계입력'!$C$15*B1472)</f>
        <v>30.119603203939018</v>
      </c>
      <c r="H1472" s="40">
        <f>-('1.설계입력'!$C$6+'1.설계입력'!$C$33)*SIN(B1472)+('1.설계입력'!$C$7+'1.설계입력'!$C$34)*SIN(B1472+F1472)+'1.설계입력'!$C$8*SIN('1.설계입력'!$C$15*B1472)</f>
        <v>72.721169173496861</v>
      </c>
      <c r="I1472" s="40">
        <f t="shared" si="67"/>
        <v>78.721259942490903</v>
      </c>
      <c r="J1472" s="40">
        <f t="shared" si="68"/>
        <v>78.711872948895603</v>
      </c>
      <c r="K1472" s="38" t="str">
        <f>IF(OR(A1472&gt;180,'1.설계입력'!$C$39&gt;=1),"",'1.설계입력'!$C$34*(1-SIN(B1472)/SQRT(1+'1.설계입력'!$C$39^2-2*'1.설계입력'!$C$39*COS(B1472)))-'1.설계입력'!$C$33*(1-'1.설계입력'!$C$39*COS(B1472)-SQRT(MAX(0,1-'1.설계입력'!$C$39^2))*SIN(B1472))/SQRT(1+'1.설계입력'!$C$39^2-2*'1.설계입력'!$C$39*COS(B1472)))</f>
        <v/>
      </c>
    </row>
    <row r="1473" spans="1:11" x14ac:dyDescent="0.3">
      <c r="A1473" s="40">
        <f>A1472+'1.설계입력'!$C$12</f>
        <v>293.39999999999191</v>
      </c>
      <c r="B1473" s="40">
        <f t="shared" si="66"/>
        <v>5.1207960253512219</v>
      </c>
      <c r="C1473" s="40">
        <f>ATAN2('1.설계입력'!$C$6/('1.설계입력'!$C$8*'1.설계입력'!$C$15)-COS((1-'1.설계입력'!$C$15)*B1473),SIN((1-'1.설계입력'!$C$15)*B1473))</f>
        <v>0.70432816899296746</v>
      </c>
      <c r="D1473" s="40">
        <f>'1.설계입력'!$C$6*COS(B1473)-'1.설계입력'!$C$7*COS(B1473+C1473)-'1.설계입력'!$C$8*COS('1.설계입력'!$C$15*B1473)</f>
        <v>30.19200621154706</v>
      </c>
      <c r="E1473" s="40">
        <f>-'1.설계입력'!$C$6*SIN(B1473)+'1.설계입력'!$C$7*SIN(B1473+C1473)+'1.설계입력'!$C$8*SIN('1.설계입력'!$C$15*B1473)</f>
        <v>72.605361712040533</v>
      </c>
      <c r="F1473" s="40">
        <f>ATAN2(('1.설계입력'!$C$6+'1.설계입력'!$C$33)/('1.설계입력'!$C$8*'1.설계입력'!$C$15)-COS((1-'1.설계입력'!$C$15)*B1473),SIN((1-'1.설계입력'!$C$15)*B1473))</f>
        <v>0.70435036720935829</v>
      </c>
      <c r="G1473" s="40">
        <f>('1.설계입력'!$C$6+'1.설계입력'!$C$33)*COS(B1473)-('1.설계입력'!$C$7+'1.설계입력'!$C$34)*COS(B1473+F1473)-'1.설계입력'!$C$8*COS('1.설계입력'!$C$15*B1473)</f>
        <v>30.18347072559132</v>
      </c>
      <c r="H1473" s="40">
        <f>-('1.설계입력'!$C$6+'1.설계입력'!$C$33)*SIN(B1473)+('1.설계입력'!$C$7+'1.설계입력'!$C$34)*SIN(B1473+F1473)+'1.설계입력'!$C$8*SIN('1.설계입력'!$C$15*B1473)</f>
        <v>72.599014573332312</v>
      </c>
      <c r="I1473" s="40">
        <f t="shared" si="67"/>
        <v>78.632663622786794</v>
      </c>
      <c r="J1473" s="40">
        <f t="shared" si="68"/>
        <v>78.623525881644014</v>
      </c>
      <c r="K1473" s="38" t="str">
        <f>IF(OR(A1473&gt;180,'1.설계입력'!$C$39&gt;=1),"",'1.설계입력'!$C$34*(1-SIN(B1473)/SQRT(1+'1.설계입력'!$C$39^2-2*'1.설계입력'!$C$39*COS(B1473)))-'1.설계입력'!$C$33*(1-'1.설계입력'!$C$39*COS(B1473)-SQRT(MAX(0,1-'1.설계입력'!$C$39^2))*SIN(B1473))/SQRT(1+'1.설계입력'!$C$39^2-2*'1.설계입력'!$C$39*COS(B1473)))</f>
        <v/>
      </c>
    </row>
    <row r="1474" spans="1:11" x14ac:dyDescent="0.3">
      <c r="A1474" s="40">
        <f>A1473+'1.설계입력'!$C$12</f>
        <v>293.59999999999189</v>
      </c>
      <c r="B1474" s="40">
        <f t="shared" si="66"/>
        <v>5.1242866838552104</v>
      </c>
      <c r="C1474" s="40">
        <f>ATAN2('1.설계입력'!$C$6/('1.설계입력'!$C$8*'1.설계입력'!$C$15)-COS((1-'1.설계입력'!$C$15)*B1474),SIN((1-'1.설계입력'!$C$15)*B1474))</f>
        <v>0.74409324739015148</v>
      </c>
      <c r="D1474" s="40">
        <f>'1.설계입력'!$C$6*COS(B1474)-'1.설계입력'!$C$7*COS(B1474+C1474)-'1.설계입력'!$C$8*COS('1.설계입력'!$C$15*B1474)</f>
        <v>30.246851275664479</v>
      </c>
      <c r="E1474" s="40">
        <f>-'1.설계입력'!$C$6*SIN(B1474)+'1.설계입력'!$C$7*SIN(B1474+C1474)+'1.설계입력'!$C$8*SIN('1.설계입력'!$C$15*B1474)</f>
        <v>72.487708992059183</v>
      </c>
      <c r="F1474" s="40">
        <f>ATAN2(('1.설계입력'!$C$6+'1.설계입력'!$C$33)/('1.설계입력'!$C$8*'1.설계입력'!$C$15)-COS((1-'1.설계입력'!$C$15)*B1474),SIN((1-'1.설계입력'!$C$15)*B1474))</f>
        <v>0.7441185357492569</v>
      </c>
      <c r="G1474" s="40">
        <f>('1.설계입력'!$C$6+'1.설계입력'!$C$33)*COS(B1474)-('1.설계입력'!$C$7+'1.설계입력'!$C$34)*COS(B1474+F1474)-'1.설계입력'!$C$8*COS('1.설계입력'!$C$15*B1474)</f>
        <v>30.238156268588458</v>
      </c>
      <c r="H1474" s="40">
        <f>-('1.설계입력'!$C$6+'1.설계입력'!$C$33)*SIN(B1474)+('1.설계입력'!$C$7+'1.설계입력'!$C$34)*SIN(B1474+F1474)+'1.설계입력'!$C$8*SIN('1.설계입력'!$C$15*B1474)</f>
        <v>72.481696634940292</v>
      </c>
      <c r="I1474" s="40">
        <f t="shared" si="67"/>
        <v>78.545146043594727</v>
      </c>
      <c r="J1474" s="40">
        <f t="shared" si="68"/>
        <v>78.536249220363786</v>
      </c>
      <c r="K1474" s="38" t="str">
        <f>IF(OR(A1474&gt;180,'1.설계입력'!$C$39&gt;=1),"",'1.설계입력'!$C$34*(1-SIN(B1474)/SQRT(1+'1.설계입력'!$C$39^2-2*'1.설계입력'!$C$39*COS(B1474)))-'1.설계입력'!$C$33*(1-'1.설계입력'!$C$39*COS(B1474)-SQRT(MAX(0,1-'1.설계입력'!$C$39^2))*SIN(B1474))/SQRT(1+'1.설계입력'!$C$39^2-2*'1.설계입력'!$C$39*COS(B1474)))</f>
        <v/>
      </c>
    </row>
    <row r="1475" spans="1:11" x14ac:dyDescent="0.3">
      <c r="A1475" s="40">
        <f>A1474+'1.설계입력'!$C$12</f>
        <v>293.79999999999188</v>
      </c>
      <c r="B1475" s="40">
        <f t="shared" si="66"/>
        <v>5.1277773423591988</v>
      </c>
      <c r="C1475" s="40">
        <f>ATAN2('1.설계입력'!$C$6/('1.설계입력'!$C$8*'1.설계입력'!$C$15)-COS((1-'1.설계입력'!$C$15)*B1475),SIN((1-'1.설계입력'!$C$15)*B1475))</f>
        <v>0.77818171208743214</v>
      </c>
      <c r="D1475" s="40">
        <f>'1.설계입력'!$C$6*COS(B1475)-'1.설계입력'!$C$7*COS(B1475+C1475)-'1.설계입력'!$C$8*COS('1.설계입력'!$C$15*B1475)</f>
        <v>30.295446907974817</v>
      </c>
      <c r="E1475" s="40">
        <f>-'1.설계입력'!$C$6*SIN(B1475)+'1.설계입력'!$C$7*SIN(B1475+C1475)+'1.설계입력'!$C$8*SIN('1.설계입력'!$C$15*B1475)</f>
        <v>72.371303973879876</v>
      </c>
      <c r="F1475" s="40">
        <f>ATAN2(('1.설계입력'!$C$6+'1.설계입력'!$C$33)/('1.설계입력'!$C$8*'1.설계입력'!$C$15)-COS((1-'1.설계입력'!$C$15)*B1475),SIN((1-'1.설계입력'!$C$15)*B1475))</f>
        <v>0.77821060252520968</v>
      </c>
      <c r="G1475" s="40">
        <f>('1.설계입력'!$C$6+'1.설계입력'!$C$33)*COS(B1475)-('1.설계입력'!$C$7+'1.설계입력'!$C$34)*COS(B1475+F1475)-'1.설계입력'!$C$8*COS('1.설계입력'!$C$15*B1475)</f>
        <v>30.286622778331193</v>
      </c>
      <c r="H1475" s="40">
        <f>-('1.설계입력'!$C$6+'1.설계입력'!$C$33)*SIN(B1475)+('1.설계입력'!$C$7+'1.설계입력'!$C$34)*SIN(B1475+F1475)+'1.설계입력'!$C$8*SIN('1.설계입력'!$C$15*B1475)</f>
        <v>72.365591674042449</v>
      </c>
      <c r="I1475" s="40">
        <f t="shared" si="67"/>
        <v>78.456483111554533</v>
      </c>
      <c r="J1475" s="40">
        <f t="shared" si="68"/>
        <v>78.447806710265468</v>
      </c>
      <c r="K1475" s="38" t="str">
        <f>IF(OR(A1475&gt;180,'1.설계입력'!$C$39&gt;=1),"",'1.설계입력'!$C$34*(1-SIN(B1475)/SQRT(1+'1.설계입력'!$C$39^2-2*'1.설계입력'!$C$39*COS(B1475)))-'1.설계입력'!$C$33*(1-'1.설계입력'!$C$39*COS(B1475)-SQRT(MAX(0,1-'1.설계입력'!$C$39^2))*SIN(B1475))/SQRT(1+'1.설계입력'!$C$39^2-2*'1.설계입력'!$C$39*COS(B1475)))</f>
        <v/>
      </c>
    </row>
    <row r="1476" spans="1:11" x14ac:dyDescent="0.3">
      <c r="A1476" s="40">
        <f>A1475+'1.설계입력'!$C$12</f>
        <v>293.99999999999187</v>
      </c>
      <c r="B1476" s="40">
        <f t="shared" si="66"/>
        <v>5.1312680008631872</v>
      </c>
      <c r="C1476" s="40">
        <f>ATAN2('1.설계입력'!$C$6/('1.설계입력'!$C$8*'1.설계입력'!$C$15)-COS((1-'1.설계입력'!$C$15)*B1476),SIN((1-'1.설계입력'!$C$15)*B1476))</f>
        <v>0.80437416500217718</v>
      </c>
      <c r="D1476" s="40">
        <f>'1.설계입력'!$C$6*COS(B1476)-'1.설계입력'!$C$7*COS(B1476+C1476)-'1.설계입력'!$C$8*COS('1.설계입력'!$C$15*B1476)</f>
        <v>30.341555418778778</v>
      </c>
      <c r="E1476" s="40">
        <f>-'1.설계입력'!$C$6*SIN(B1476)+'1.설계입력'!$C$7*SIN(B1476+C1476)+'1.설계입력'!$C$8*SIN('1.설계입력'!$C$15*B1476)</f>
        <v>72.249333945517776</v>
      </c>
      <c r="F1476" s="40">
        <f>ATAN2(('1.설계입력'!$C$6+'1.설계입력'!$C$33)/('1.설계입력'!$C$8*'1.설계입력'!$C$15)-COS((1-'1.설계입력'!$C$15)*B1476),SIN((1-'1.설계입력'!$C$15)*B1476))</f>
        <v>0.80440730939905614</v>
      </c>
      <c r="G1476" s="40">
        <f>('1.설계입력'!$C$6+'1.설계입력'!$C$33)*COS(B1476)-('1.설계입력'!$C$7+'1.설계입력'!$C$34)*COS(B1476+F1476)-'1.설계입력'!$C$8*COS('1.설계입력'!$C$15*B1476)</f>
        <v>30.332633571507142</v>
      </c>
      <c r="H1476" s="40">
        <f>-('1.설계입력'!$C$6+'1.설계입력'!$C$33)*SIN(B1476)+('1.설계입력'!$C$7+'1.설계입력'!$C$34)*SIN(B1476+F1476)+'1.설계입력'!$C$8*SIN('1.설계입력'!$C$15*B1476)</f>
        <v>72.24386808901167</v>
      </c>
      <c r="I1476" s="40">
        <f t="shared" si="67"/>
        <v>78.361828978156012</v>
      </c>
      <c r="J1476" s="40">
        <f t="shared" si="68"/>
        <v>78.353335192867448</v>
      </c>
      <c r="K1476" s="38" t="str">
        <f>IF(OR(A1476&gt;180,'1.설계입력'!$C$39&gt;=1),"",'1.설계입력'!$C$34*(1-SIN(B1476)/SQRT(1+'1.설계입력'!$C$39^2-2*'1.설계입력'!$C$39*COS(B1476)))-'1.설계입력'!$C$33*(1-'1.설계입력'!$C$39*COS(B1476)-SQRT(MAX(0,1-'1.설계입력'!$C$39^2))*SIN(B1476))/SQRT(1+'1.설계입력'!$C$39^2-2*'1.설계입력'!$C$39*COS(B1476)))</f>
        <v/>
      </c>
    </row>
    <row r="1477" spans="1:11" x14ac:dyDescent="0.3">
      <c r="A1477" s="40">
        <f>A1476+'1.설계입력'!$C$12</f>
        <v>294.19999999999186</v>
      </c>
      <c r="B1477" s="40">
        <f t="shared" si="66"/>
        <v>5.1347586593671757</v>
      </c>
      <c r="C1477" s="40">
        <f>ATAN2('1.설계입력'!$C$6/('1.설계입력'!$C$8*'1.설계입력'!$C$15)-COS((1-'1.설계입력'!$C$15)*B1477),SIN((1-'1.설계입력'!$C$15)*B1477))</f>
        <v>0.81921559339833461</v>
      </c>
      <c r="D1477" s="40">
        <f>'1.설계입력'!$C$6*COS(B1477)-'1.설계입력'!$C$7*COS(B1477+C1477)-'1.설계입력'!$C$8*COS('1.설계입력'!$C$15*B1477)</f>
        <v>30.39040785955498</v>
      </c>
      <c r="E1477" s="40">
        <f>-'1.설계입력'!$C$6*SIN(B1477)+'1.설계입력'!$C$7*SIN(B1477+C1477)+'1.설계입력'!$C$8*SIN('1.설계입력'!$C$15*B1477)</f>
        <v>72.109887537510573</v>
      </c>
      <c r="F1477" s="40">
        <f>ATAN2(('1.설계입력'!$C$6+'1.설계입력'!$C$33)/('1.설계입력'!$C$8*'1.설계입력'!$C$15)-COS((1-'1.설계입력'!$C$15)*B1477),SIN((1-'1.설계입력'!$C$15)*B1477))</f>
        <v>0.81925380583955687</v>
      </c>
      <c r="G1477" s="40">
        <f>('1.설계입력'!$C$6+'1.설계입력'!$C$33)*COS(B1477)-('1.설계입력'!$C$7+'1.설계입력'!$C$34)*COS(B1477+F1477)-'1.설계입력'!$C$8*COS('1.설계입력'!$C$15*B1477)</f>
        <v>30.381422573669024</v>
      </c>
      <c r="H1477" s="40">
        <f>-('1.설계입력'!$C$6+'1.설계입력'!$C$33)*SIN(B1477)+('1.설계입력'!$C$7+'1.설계입력'!$C$34)*SIN(B1477+F1477)+'1.설계입력'!$C$8*SIN('1.설계입력'!$C$15*B1477)</f>
        <v>72.104586198307729</v>
      </c>
      <c r="I1477" s="40">
        <f t="shared" si="67"/>
        <v>78.252238118423961</v>
      </c>
      <c r="J1477" s="40">
        <f t="shared" si="68"/>
        <v>78.243863583216765</v>
      </c>
      <c r="K1477" s="38" t="str">
        <f>IF(OR(A1477&gt;180,'1.설계입력'!$C$39&gt;=1),"",'1.설계입력'!$C$34*(1-SIN(B1477)/SQRT(1+'1.설계입력'!$C$39^2-2*'1.설계입력'!$C$39*COS(B1477)))-'1.설계입력'!$C$33*(1-'1.설계입력'!$C$39*COS(B1477)-SQRT(MAX(0,1-'1.설계입력'!$C$39^2))*SIN(B1477))/SQRT(1+'1.설계입력'!$C$39^2-2*'1.설계입력'!$C$39*COS(B1477)))</f>
        <v/>
      </c>
    </row>
    <row r="1478" spans="1:11" x14ac:dyDescent="0.3">
      <c r="A1478" s="40">
        <f>A1477+'1.설계입력'!$C$12</f>
        <v>294.39999999999185</v>
      </c>
      <c r="B1478" s="40">
        <f t="shared" ref="B1478:B1541" si="69">RADIANS(A1478)</f>
        <v>5.1382493178711641</v>
      </c>
      <c r="C1478" s="40">
        <f>ATAN2('1.설계입력'!$C$6/('1.설계입력'!$C$8*'1.설계입력'!$C$15)-COS((1-'1.설계입력'!$C$15)*B1478),SIN((1-'1.설계입력'!$C$15)*B1478))</f>
        <v>0.81709081659099614</v>
      </c>
      <c r="D1478" s="40">
        <f>'1.설계입력'!$C$6*COS(B1478)-'1.설계입력'!$C$7*COS(B1478+C1478)-'1.설계입력'!$C$8*COS('1.설계입력'!$C$15*B1478)</f>
        <v>30.450492475501012</v>
      </c>
      <c r="E1478" s="40">
        <f>-'1.설계입력'!$C$6*SIN(B1478)+'1.설계입력'!$C$7*SIN(B1478+C1478)+'1.설계입력'!$C$8*SIN('1.설계입력'!$C$15*B1478)</f>
        <v>71.932601717463029</v>
      </c>
      <c r="F1478" s="40">
        <f>ATAN2(('1.설계입력'!$C$6+'1.설계입력'!$C$33)/('1.설계입력'!$C$8*'1.설계입력'!$C$15)-COS((1-'1.설계입력'!$C$15)*B1478),SIN((1-'1.설계입력'!$C$15)*B1478))</f>
        <v>0.81713504250936708</v>
      </c>
      <c r="G1478" s="40">
        <f>('1.설계입력'!$C$6+'1.설계입력'!$C$33)*COS(B1478)-('1.설계입력'!$C$7+'1.설계입력'!$C$34)*COS(B1478+F1478)-'1.설계입력'!$C$8*COS('1.설계입력'!$C$15*B1478)</f>
        <v>30.441486195419944</v>
      </c>
      <c r="H1478" s="40">
        <f>-('1.설계입력'!$C$6+'1.설계입력'!$C$33)*SIN(B1478)+('1.설계입력'!$C$7+'1.설계입력'!$C$34)*SIN(B1478+F1478)+'1.설계입력'!$C$8*SIN('1.설계입력'!$C$15*B1478)</f>
        <v>71.927338189897625</v>
      </c>
      <c r="I1478" s="40">
        <f t="shared" ref="I1478:I1541" si="70">SQRT(D1478^2+E1478^2)</f>
        <v>78.112301731825241</v>
      </c>
      <c r="J1478" s="40">
        <f t="shared" ref="J1478:J1541" si="71">SQRT(G1478^2+H1478^2)</f>
        <v>78.103943952081238</v>
      </c>
      <c r="K1478" s="38" t="str">
        <f>IF(OR(A1478&gt;180,'1.설계입력'!$C$39&gt;=1),"",'1.설계입력'!$C$34*(1-SIN(B1478)/SQRT(1+'1.설계입력'!$C$39^2-2*'1.설계입력'!$C$39*COS(B1478)))-'1.설계입력'!$C$33*(1-'1.설계입력'!$C$39*COS(B1478)-SQRT(MAX(0,1-'1.설계입력'!$C$39^2))*SIN(B1478))/SQRT(1+'1.설계입력'!$C$39^2-2*'1.설계입력'!$C$39*COS(B1478)))</f>
        <v/>
      </c>
    </row>
    <row r="1479" spans="1:11" x14ac:dyDescent="0.3">
      <c r="A1479" s="40">
        <f>A1478+'1.설계입력'!$C$12</f>
        <v>294.59999999999184</v>
      </c>
      <c r="B1479" s="40">
        <f t="shared" si="69"/>
        <v>5.1417399763751526</v>
      </c>
      <c r="C1479" s="40">
        <f>ATAN2('1.설계입력'!$C$6/('1.설계입력'!$C$8*'1.설계입력'!$C$15)-COS((1-'1.설계입력'!$C$15)*B1479),SIN((1-'1.설계입력'!$C$15)*B1479))</f>
        <v>0.78846897180136233</v>
      </c>
      <c r="D1479" s="40">
        <f>'1.설계입력'!$C$6*COS(B1479)-'1.설계입력'!$C$7*COS(B1479+C1479)-'1.설계입력'!$C$8*COS('1.설계입력'!$C$15*B1479)</f>
        <v>30.538425793994847</v>
      </c>
      <c r="E1479" s="40">
        <f>-'1.설계입력'!$C$6*SIN(B1479)+'1.설계입력'!$C$7*SIN(B1479+C1479)+'1.설계입력'!$C$8*SIN('1.설계입력'!$C$15*B1479)</f>
        <v>71.682809319040757</v>
      </c>
      <c r="F1479" s="40">
        <f>ATAN2(('1.설계입력'!$C$6+'1.설계입력'!$C$33)/('1.설계입력'!$C$8*'1.설계입력'!$C$15)-COS((1-'1.설계입력'!$C$15)*B1479),SIN((1-'1.설계입력'!$C$15)*B1479))</f>
        <v>0.7885200350529018</v>
      </c>
      <c r="G1479" s="40">
        <f>('1.설계입력'!$C$6+'1.설계입력'!$C$33)*COS(B1479)-('1.설계입력'!$C$7+'1.설계입력'!$C$34)*COS(B1479+F1479)-'1.설계입력'!$C$8*COS('1.설계입력'!$C$15*B1479)</f>
        <v>30.529463958260433</v>
      </c>
      <c r="H1479" s="40">
        <f>-('1.설계입력'!$C$6+'1.설계입력'!$C$33)*SIN(B1479)+('1.설계입력'!$C$7+'1.설계입력'!$C$34)*SIN(B1479+F1479)+'1.설계입력'!$C$8*SIN('1.설계입력'!$C$15*B1479)</f>
        <v>71.677382630635293</v>
      </c>
      <c r="I1479" s="40">
        <f t="shared" si="70"/>
        <v>77.916754307692301</v>
      </c>
      <c r="J1479" s="40">
        <f t="shared" si="71"/>
        <v>77.908249565480688</v>
      </c>
      <c r="K1479" s="38" t="str">
        <f>IF(OR(A1479&gt;180,'1.설계입력'!$C$39&gt;=1),"",'1.설계입력'!$C$34*(1-SIN(B1479)/SQRT(1+'1.설계입력'!$C$39^2-2*'1.설계입력'!$C$39*COS(B1479)))-'1.설계입력'!$C$33*(1-'1.설계입력'!$C$39*COS(B1479)-SQRT(MAX(0,1-'1.설계입력'!$C$39^2))*SIN(B1479))/SQRT(1+'1.설계입력'!$C$39^2-2*'1.설계입력'!$C$39*COS(B1479)))</f>
        <v/>
      </c>
    </row>
    <row r="1480" spans="1:11" x14ac:dyDescent="0.3">
      <c r="A1480" s="40">
        <f>A1479+'1.설계입력'!$C$12</f>
        <v>294.79999999999183</v>
      </c>
      <c r="B1480" s="40">
        <f t="shared" si="69"/>
        <v>5.145230634879141</v>
      </c>
      <c r="C1480" s="40">
        <f>ATAN2('1.설계입력'!$C$6/('1.설계입력'!$C$8*'1.설계입력'!$C$15)-COS((1-'1.설계입력'!$C$15)*B1480),SIN((1-'1.설계입력'!$C$15)*B1480))</f>
        <v>0.71667726275145183</v>
      </c>
      <c r="D1480" s="40">
        <f>'1.설계입력'!$C$6*COS(B1480)-'1.설계입력'!$C$7*COS(B1480+C1480)-'1.설계입력'!$C$8*COS('1.설계입력'!$C$15*B1480)</f>
        <v>30.692452242011885</v>
      </c>
      <c r="E1480" s="40">
        <f>-'1.설계입력'!$C$6*SIN(B1480)+'1.설계입력'!$C$7*SIN(B1480+C1480)+'1.설계입력'!$C$8*SIN('1.설계입력'!$C$15*B1480)</f>
        <v>71.302960964825871</v>
      </c>
      <c r="F1480" s="40">
        <f>ATAN2(('1.설계입력'!$C$6+'1.설계입력'!$C$33)/('1.설계입력'!$C$8*'1.설계입력'!$C$15)-COS((1-'1.설계입력'!$C$15)*B1480),SIN((1-'1.설계입력'!$C$15)*B1480))</f>
        <v>0.71673479693719155</v>
      </c>
      <c r="G1480" s="40">
        <f>('1.설계입력'!$C$6+'1.설계입력'!$C$33)*COS(B1480)-('1.설계입력'!$C$7+'1.설계입력'!$C$34)*COS(B1480+F1480)-'1.설계입력'!$C$8*COS('1.설계입력'!$C$15*B1480)</f>
        <v>30.683665851745694</v>
      </c>
      <c r="H1480" s="40">
        <f>-('1.설계입력'!$C$6+'1.설계입력'!$C$33)*SIN(B1480)+('1.설계입력'!$C$7+'1.설계입력'!$C$34)*SIN(B1480+F1480)+'1.설계입력'!$C$8*SIN('1.설계입력'!$C$15*B1480)</f>
        <v>71.297044993186788</v>
      </c>
      <c r="I1480" s="40">
        <f t="shared" si="70"/>
        <v>77.628209221774938</v>
      </c>
      <c r="J1480" s="40">
        <f t="shared" si="71"/>
        <v>77.619301561287486</v>
      </c>
      <c r="K1480" s="38" t="str">
        <f>IF(OR(A1480&gt;180,'1.설계입력'!$C$39&gt;=1),"",'1.설계입력'!$C$34*(1-SIN(B1480)/SQRT(1+'1.설계입력'!$C$39^2-2*'1.설계입력'!$C$39*COS(B1480)))-'1.설계입력'!$C$33*(1-'1.설계입력'!$C$39*COS(B1480)-SQRT(MAX(0,1-'1.설계입력'!$C$39^2))*SIN(B1480))/SQRT(1+'1.설계입력'!$C$39^2-2*'1.설계입력'!$C$39*COS(B1480)))</f>
        <v/>
      </c>
    </row>
    <row r="1481" spans="1:11" x14ac:dyDescent="0.3">
      <c r="A1481" s="40">
        <f>A1480+'1.설계입력'!$C$12</f>
        <v>294.99999999999181</v>
      </c>
      <c r="B1481" s="40">
        <f t="shared" si="69"/>
        <v>5.1487212933831294</v>
      </c>
      <c r="C1481" s="40">
        <f>ATAN2('1.설계입력'!$C$6/('1.설계입력'!$C$8*'1.설계입력'!$C$15)-COS((1-'1.설계입력'!$C$15)*B1481),SIN((1-'1.설계입력'!$C$15)*B1481))</f>
        <v>0.57345329676481738</v>
      </c>
      <c r="D1481" s="40">
        <f>'1.설계입력'!$C$6*COS(B1481)-'1.설계입력'!$C$7*COS(B1481+C1481)-'1.설계입력'!$C$8*COS('1.설계입력'!$C$15*B1481)</f>
        <v>31.007353998589259</v>
      </c>
      <c r="E1481" s="40">
        <f>-'1.설계입력'!$C$6*SIN(B1481)+'1.설계입력'!$C$7*SIN(B1481+C1481)+'1.설계입력'!$C$8*SIN('1.설계입력'!$C$15*B1481)</f>
        <v>70.711857860972003</v>
      </c>
      <c r="F1481" s="40">
        <f>ATAN2(('1.설계입력'!$C$6+'1.설계입력'!$C$33)/('1.설계입력'!$C$8*'1.설계입력'!$C$15)-COS((1-'1.설계입력'!$C$15)*B1481),SIN((1-'1.설계입력'!$C$15)*B1481))</f>
        <v>0.57351206073136163</v>
      </c>
      <c r="G1481" s="40">
        <f>('1.설계입력'!$C$6+'1.설계입력'!$C$33)*COS(B1481)-('1.설계입력'!$C$7+'1.설계입력'!$C$34)*COS(B1481+F1481)-'1.설계입력'!$C$8*COS('1.설계입력'!$C$15*B1481)</f>
        <v>30.999060160761879</v>
      </c>
      <c r="H1481" s="40">
        <f>-('1.설계입력'!$C$6+'1.설계입력'!$C$33)*SIN(B1481)+('1.설계입력'!$C$7+'1.설계입력'!$C$34)*SIN(B1481+F1481)+'1.설계입력'!$C$8*SIN('1.설계입력'!$C$15*B1481)</f>
        <v>70.704938197208179</v>
      </c>
      <c r="I1481" s="40">
        <f t="shared" si="70"/>
        <v>77.211546054616321</v>
      </c>
      <c r="J1481" s="40">
        <f t="shared" si="71"/>
        <v>77.201878321201249</v>
      </c>
      <c r="K1481" s="38" t="str">
        <f>IF(OR(A1481&gt;180,'1.설계입력'!$C$39&gt;=1),"",'1.설계입력'!$C$34*(1-SIN(B1481)/SQRT(1+'1.설계입력'!$C$39^2-2*'1.설계입력'!$C$39*COS(B1481)))-'1.설계입력'!$C$33*(1-'1.설계입력'!$C$39*COS(B1481)-SQRT(MAX(0,1-'1.설계입력'!$C$39^2))*SIN(B1481))/SQRT(1+'1.설계입력'!$C$39^2-2*'1.설계입력'!$C$39*COS(B1481)))</f>
        <v/>
      </c>
    </row>
    <row r="1482" spans="1:11" x14ac:dyDescent="0.3">
      <c r="A1482" s="40">
        <f>A1481+'1.설계입력'!$C$12</f>
        <v>295.1999999999918</v>
      </c>
      <c r="B1482" s="40">
        <f t="shared" si="69"/>
        <v>5.1522119518871179</v>
      </c>
      <c r="C1482" s="40">
        <f>ATAN2('1.설계입력'!$C$6/('1.설계입력'!$C$8*'1.설계입력'!$C$15)-COS((1-'1.설계입력'!$C$15)*B1482),SIN((1-'1.설계입력'!$C$15)*B1482))</f>
        <v>0.32290967954347083</v>
      </c>
      <c r="D1482" s="40">
        <f>'1.설계입력'!$C$6*COS(B1482)-'1.설계입력'!$C$7*COS(B1482+C1482)-'1.설계입력'!$C$8*COS('1.설계입력'!$C$15*B1482)</f>
        <v>31.686778039530441</v>
      </c>
      <c r="E1482" s="40">
        <f>-'1.설계입력'!$C$6*SIN(B1482)+'1.설계입력'!$C$7*SIN(B1482+C1482)+'1.설계입력'!$C$8*SIN('1.설계입력'!$C$15*B1482)</f>
        <v>69.877430628315352</v>
      </c>
      <c r="F1482" s="40">
        <f>ATAN2(('1.설계입력'!$C$6+'1.설계입력'!$C$33)/('1.설계입력'!$C$8*'1.설계입력'!$C$15)-COS((1-'1.설계입력'!$C$15)*B1482),SIN((1-'1.설계입력'!$C$15)*B1482))</f>
        <v>0.32295119527220612</v>
      </c>
      <c r="G1482" s="40">
        <f>('1.설계입력'!$C$6+'1.설계입력'!$C$33)*COS(B1482)-('1.설계입력'!$C$7+'1.설계입력'!$C$34)*COS(B1482+F1482)-'1.설계입력'!$C$8*COS('1.설계입력'!$C$15*B1482)</f>
        <v>31.679741540982416</v>
      </c>
      <c r="H1482" s="40">
        <f>-('1.설계입력'!$C$6+'1.설계입력'!$C$33)*SIN(B1482)+('1.설계입력'!$C$7+'1.설계입력'!$C$34)*SIN(B1482+F1482)+'1.설계입력'!$C$8*SIN('1.설계입력'!$C$15*B1482)</f>
        <v>69.868884731212887</v>
      </c>
      <c r="I1482" s="40">
        <f t="shared" si="70"/>
        <v>76.72618336488199</v>
      </c>
      <c r="J1482" s="40">
        <f t="shared" si="71"/>
        <v>76.715494378169524</v>
      </c>
      <c r="K1482" s="38" t="str">
        <f>IF(OR(A1482&gt;180,'1.설계입력'!$C$39&gt;=1),"",'1.설계입력'!$C$34*(1-SIN(B1482)/SQRT(1+'1.설계입력'!$C$39^2-2*'1.설계입력'!$C$39*COS(B1482)))-'1.설계입력'!$C$33*(1-'1.설계입력'!$C$39*COS(B1482)-SQRT(MAX(0,1-'1.설계입력'!$C$39^2))*SIN(B1482))/SQRT(1+'1.설계입력'!$C$39^2-2*'1.설계입력'!$C$39*COS(B1482)))</f>
        <v/>
      </c>
    </row>
    <row r="1483" spans="1:11" x14ac:dyDescent="0.3">
      <c r="A1483" s="40">
        <f>A1482+'1.설계입력'!$C$12</f>
        <v>295.39999999999179</v>
      </c>
      <c r="B1483" s="40">
        <f t="shared" si="69"/>
        <v>5.1557026103911063</v>
      </c>
      <c r="C1483" s="40">
        <f>ATAN2('1.설계입력'!$C$6/('1.설계입력'!$C$8*'1.설계입력'!$C$15)-COS((1-'1.설계입력'!$C$15)*B1483),SIN((1-'1.설계입력'!$C$15)*B1483))</f>
        <v>-2.8547383674316456E-2</v>
      </c>
      <c r="D1483" s="40">
        <f>'1.설계입력'!$C$6*COS(B1483)-'1.설계입력'!$C$7*COS(B1483+C1483)-'1.설계입력'!$C$8*COS('1.설계입력'!$C$15*B1483)</f>
        <v>32.90322018856827</v>
      </c>
      <c r="E1483" s="40">
        <f>-'1.설계입력'!$C$6*SIN(B1483)+'1.설계입력'!$C$7*SIN(B1483+C1483)+'1.설계입력'!$C$8*SIN('1.설계입력'!$C$15*B1483)</f>
        <v>69.064460774873069</v>
      </c>
      <c r="F1483" s="40">
        <f>ATAN2(('1.설계입력'!$C$6+'1.설계입력'!$C$33)/('1.설계입력'!$C$8*'1.설계입력'!$C$15)-COS((1-'1.설계입력'!$C$15)*B1483),SIN((1-'1.설계입력'!$C$15)*B1483))</f>
        <v>-2.8551404039921451E-2</v>
      </c>
      <c r="G1483" s="40">
        <f>('1.설계입력'!$C$6+'1.설계입력'!$C$33)*COS(B1483)-('1.설계입력'!$C$7+'1.설계입력'!$C$34)*COS(B1483+F1483)-'1.설계입력'!$C$8*COS('1.설계입력'!$C$15*B1483)</f>
        <v>32.898641131734152</v>
      </c>
      <c r="H1483" s="40">
        <f>-('1.설계입력'!$C$6+'1.설계입력'!$C$33)*SIN(B1483)+('1.설계입력'!$C$7+'1.설계입력'!$C$34)*SIN(B1483+F1483)+'1.설계입력'!$C$8*SIN('1.설계입력'!$C$15*B1483)</f>
        <v>69.054240736533231</v>
      </c>
      <c r="I1483" s="40">
        <f t="shared" si="70"/>
        <v>76.501775410126186</v>
      </c>
      <c r="J1483" s="40">
        <f t="shared" si="71"/>
        <v>76.490579498482788</v>
      </c>
      <c r="K1483" s="38" t="str">
        <f>IF(OR(A1483&gt;180,'1.설계입력'!$C$39&gt;=1),"",'1.설계입력'!$C$34*(1-SIN(B1483)/SQRT(1+'1.설계입력'!$C$39^2-2*'1.설계입력'!$C$39*COS(B1483)))-'1.설계입력'!$C$33*(1-'1.설계입력'!$C$39*COS(B1483)-SQRT(MAX(0,1-'1.설계입력'!$C$39^2))*SIN(B1483))/SQRT(1+'1.설계입력'!$C$39^2-2*'1.설계입력'!$C$39*COS(B1483)))</f>
        <v/>
      </c>
    </row>
    <row r="1484" spans="1:11" x14ac:dyDescent="0.3">
      <c r="A1484" s="40">
        <f>A1483+'1.설계입력'!$C$12</f>
        <v>295.59999999999178</v>
      </c>
      <c r="B1484" s="40">
        <f t="shared" si="69"/>
        <v>5.1591932688950948</v>
      </c>
      <c r="C1484" s="40">
        <f>ATAN2('1.설계입력'!$C$6/('1.설계입력'!$C$8*'1.설계입력'!$C$15)-COS((1-'1.설계입력'!$C$15)*B1484),SIN((1-'1.설계입력'!$C$15)*B1484))</f>
        <v>-0.36932190354214023</v>
      </c>
      <c r="D1484" s="40">
        <f>'1.설계입력'!$C$6*COS(B1484)-'1.설계입력'!$C$7*COS(B1484+C1484)-'1.설계입력'!$C$8*COS('1.설계입력'!$C$15*B1484)</f>
        <v>34.282622524969398</v>
      </c>
      <c r="E1484" s="40">
        <f>-'1.설계입력'!$C$6*SIN(B1484)+'1.설계입력'!$C$7*SIN(B1484+C1484)+'1.설계입력'!$C$8*SIN('1.설계입력'!$C$15*B1484)</f>
        <v>68.718711840507737</v>
      </c>
      <c r="F1484" s="40">
        <f>ATAN2(('1.설계입력'!$C$6+'1.설계입력'!$C$33)/('1.설계입력'!$C$8*'1.설계입력'!$C$15)-COS((1-'1.설계입력'!$C$15)*B1484),SIN((1-'1.설계입력'!$C$15)*B1484))</f>
        <v>-0.36936799667530029</v>
      </c>
      <c r="G1484" s="40">
        <f>('1.설계입력'!$C$6+'1.설계입력'!$C$33)*COS(B1484)-('1.설계입력'!$C$7+'1.설계입력'!$C$34)*COS(B1484+F1484)-'1.설계입력'!$C$8*COS('1.설계입력'!$C$15*B1484)</f>
        <v>34.280840271548009</v>
      </c>
      <c r="H1484" s="40">
        <f>-('1.설계입력'!$C$6+'1.설계입력'!$C$33)*SIN(B1484)+('1.설계입력'!$C$7+'1.설계입력'!$C$34)*SIN(B1484+F1484)+'1.설계입력'!$C$8*SIN('1.설계입력'!$C$15*B1484)</f>
        <v>68.707826165781668</v>
      </c>
      <c r="I1484" s="40">
        <f t="shared" si="70"/>
        <v>76.795569951711911</v>
      </c>
      <c r="J1484" s="40">
        <f t="shared" si="71"/>
        <v>76.785033607797942</v>
      </c>
      <c r="K1484" s="38" t="str">
        <f>IF(OR(A1484&gt;180,'1.설계입력'!$C$39&gt;=1),"",'1.설계입력'!$C$34*(1-SIN(B1484)/SQRT(1+'1.설계입력'!$C$39^2-2*'1.설계입력'!$C$39*COS(B1484)))-'1.설계입력'!$C$33*(1-'1.설계입력'!$C$39*COS(B1484)-SQRT(MAX(0,1-'1.설계입력'!$C$39^2))*SIN(B1484))/SQRT(1+'1.설계입력'!$C$39^2-2*'1.설계입력'!$C$39*COS(B1484)))</f>
        <v/>
      </c>
    </row>
    <row r="1485" spans="1:11" x14ac:dyDescent="0.3">
      <c r="A1485" s="40">
        <f>A1484+'1.설계입력'!$C$12</f>
        <v>295.79999999999177</v>
      </c>
      <c r="B1485" s="40">
        <f t="shared" si="69"/>
        <v>5.1626839273990832</v>
      </c>
      <c r="C1485" s="40">
        <f>ATAN2('1.설계입력'!$C$6/('1.설계입력'!$C$8*'1.설계입력'!$C$15)-COS((1-'1.설계입력'!$C$15)*B1485),SIN((1-'1.설계입력'!$C$15)*B1485))</f>
        <v>-0.60163483559706799</v>
      </c>
      <c r="D1485" s="40">
        <f>'1.설계입력'!$C$6*COS(B1485)-'1.설계입력'!$C$7*COS(B1485+C1485)-'1.설계입력'!$C$8*COS('1.설계입력'!$C$15*B1485)</f>
        <v>35.288305603037024</v>
      </c>
      <c r="E1485" s="40">
        <f>-'1.설계입력'!$C$6*SIN(B1485)+'1.설계입력'!$C$7*SIN(B1485+C1485)+'1.설계입력'!$C$8*SIN('1.설계입력'!$C$15*B1485)</f>
        <v>68.75714217685308</v>
      </c>
      <c r="F1485" s="40">
        <f>ATAN2(('1.설계입력'!$C$6+'1.설계입력'!$C$33)/('1.설계입력'!$C$8*'1.설계입력'!$C$15)-COS((1-'1.설계입력'!$C$15)*B1485),SIN((1-'1.설계입력'!$C$15)*B1485))</f>
        <v>-0.60169416591486413</v>
      </c>
      <c r="G1485" s="40">
        <f>('1.설계입력'!$C$6+'1.설계입력'!$C$33)*COS(B1485)-('1.설계입력'!$C$7+'1.설계입력'!$C$34)*COS(B1485+F1485)-'1.설계입력'!$C$8*COS('1.설계입력'!$C$15*B1485)</f>
        <v>35.288412648339623</v>
      </c>
      <c r="H1485" s="40">
        <f>-('1.설계입력'!$C$6+'1.설계입력'!$C$33)*SIN(B1485)+('1.설계입력'!$C$7+'1.설계입력'!$C$34)*SIN(B1485+F1485)+'1.설계입력'!$C$8*SIN('1.설계입력'!$C$15*B1485)</f>
        <v>68.746379630641712</v>
      </c>
      <c r="I1485" s="40">
        <f t="shared" si="70"/>
        <v>77.283951197265552</v>
      </c>
      <c r="J1485" s="40">
        <f t="shared" si="71"/>
        <v>77.274425132509435</v>
      </c>
      <c r="K1485" s="38" t="str">
        <f>IF(OR(A1485&gt;180,'1.설계입력'!$C$39&gt;=1),"",'1.설계입력'!$C$34*(1-SIN(B1485)/SQRT(1+'1.설계입력'!$C$39^2-2*'1.설계입력'!$C$39*COS(B1485)))-'1.설계입력'!$C$33*(1-'1.설계입력'!$C$39*COS(B1485)-SQRT(MAX(0,1-'1.설계입력'!$C$39^2))*SIN(B1485))/SQRT(1+'1.설계입력'!$C$39^2-2*'1.설계입력'!$C$39*COS(B1485)))</f>
        <v/>
      </c>
    </row>
    <row r="1486" spans="1:11" x14ac:dyDescent="0.3">
      <c r="A1486" s="40">
        <f>A1485+'1.설계입력'!$C$12</f>
        <v>295.99999999999176</v>
      </c>
      <c r="B1486" s="40">
        <f t="shared" si="69"/>
        <v>5.1661745859030717</v>
      </c>
      <c r="C1486" s="40">
        <f>ATAN2('1.설계입력'!$C$6/('1.설계입력'!$C$8*'1.설계입력'!$C$15)-COS((1-'1.설계입력'!$C$15)*B1486),SIN((1-'1.설계입력'!$C$15)*B1486))</f>
        <v>-0.73150594024233995</v>
      </c>
      <c r="D1486" s="40">
        <f>'1.설계입력'!$C$6*COS(B1486)-'1.설계입력'!$C$7*COS(B1486+C1486)-'1.설계입력'!$C$8*COS('1.설계입력'!$C$15*B1486)</f>
        <v>35.894023562653913</v>
      </c>
      <c r="E1486" s="40">
        <f>-'1.설계입력'!$C$6*SIN(B1486)+'1.설계입력'!$C$7*SIN(B1486+C1486)+'1.설계입력'!$C$8*SIN('1.설계입력'!$C$15*B1486)</f>
        <v>68.890198626399837</v>
      </c>
      <c r="F1486" s="40">
        <f>ATAN2(('1.설계입력'!$C$6+'1.설계입력'!$C$33)/('1.설계입력'!$C$8*'1.설계입력'!$C$15)-COS((1-'1.설계입력'!$C$15)*B1486),SIN((1-'1.설계입력'!$C$15)*B1486))</f>
        <v>-0.73156262494544555</v>
      </c>
      <c r="G1486" s="40">
        <f>('1.설계입력'!$C$6+'1.설계입력'!$C$33)*COS(B1486)-('1.설계입력'!$C$7+'1.설계입력'!$C$34)*COS(B1486+F1486)-'1.설계입력'!$C$8*COS('1.설계입력'!$C$15*B1486)</f>
        <v>35.895103831519812</v>
      </c>
      <c r="H1486" s="40">
        <f>-('1.설계입력'!$C$6+'1.설계입력'!$C$33)*SIN(B1486)+('1.설계입력'!$C$7+'1.설계입력'!$C$34)*SIN(B1486+F1486)+'1.설계입력'!$C$8*SIN('1.설계입력'!$C$15*B1486)</f>
        <v>68.879685028755702</v>
      </c>
      <c r="I1486" s="40">
        <f t="shared" si="70"/>
        <v>77.680373288889228</v>
      </c>
      <c r="J1486" s="40">
        <f t="shared" si="71"/>
        <v>77.671548772611587</v>
      </c>
      <c r="K1486" s="38" t="str">
        <f>IF(OR(A1486&gt;180,'1.설계입력'!$C$39&gt;=1),"",'1.설계입력'!$C$34*(1-SIN(B1486)/SQRT(1+'1.설계입력'!$C$39^2-2*'1.설계입력'!$C$39*COS(B1486)))-'1.설계입력'!$C$33*(1-'1.설계입력'!$C$39*COS(B1486)-SQRT(MAX(0,1-'1.설계입력'!$C$39^2))*SIN(B1486))/SQRT(1+'1.설계입력'!$C$39^2-2*'1.설계입력'!$C$39*COS(B1486)))</f>
        <v/>
      </c>
    </row>
    <row r="1487" spans="1:11" x14ac:dyDescent="0.3">
      <c r="A1487" s="40">
        <f>A1486+'1.설계입력'!$C$12</f>
        <v>296.19999999999175</v>
      </c>
      <c r="B1487" s="40">
        <f t="shared" si="69"/>
        <v>5.1696652444070601</v>
      </c>
      <c r="C1487" s="40">
        <f>ATAN2('1.설계입력'!$C$6/('1.설계입력'!$C$8*'1.설계입력'!$C$15)-COS((1-'1.설계입력'!$C$15)*B1487),SIN((1-'1.설계입력'!$C$15)*B1487))</f>
        <v>-0.79515308191341549</v>
      </c>
      <c r="D1487" s="40">
        <f>'1.설계입력'!$C$6*COS(B1487)-'1.설계입력'!$C$7*COS(B1487+C1487)-'1.설계입력'!$C$8*COS('1.설계입력'!$C$15*B1487)</f>
        <v>36.257346593251931</v>
      </c>
      <c r="E1487" s="40">
        <f>-'1.설계입력'!$C$6*SIN(B1487)+'1.설계입력'!$C$7*SIN(B1487+C1487)+'1.설계입력'!$C$8*SIN('1.설계입력'!$C$15*B1487)</f>
        <v>69.006465041335716</v>
      </c>
      <c r="F1487" s="40">
        <f>ATAN2(('1.설계입력'!$C$6+'1.설계입력'!$C$33)/('1.설계입력'!$C$8*'1.설계입력'!$C$15)-COS((1-'1.설계입력'!$C$15)*B1487),SIN((1-'1.설계입력'!$C$15)*B1487))</f>
        <v>-0.79520306446727951</v>
      </c>
      <c r="G1487" s="40">
        <f>('1.설계입력'!$C$6+'1.설계입력'!$C$33)*COS(B1487)-('1.설계입력'!$C$7+'1.설계입력'!$C$34)*COS(B1487+F1487)-'1.설계입력'!$C$8*COS('1.설계입력'!$C$15*B1487)</f>
        <v>36.258851957783953</v>
      </c>
      <c r="H1487" s="40">
        <f>-('1.설계입력'!$C$6+'1.설계입력'!$C$33)*SIN(B1487)+('1.설계입력'!$C$7+'1.설계입력'!$C$34)*SIN(B1487+F1487)+'1.설계입력'!$C$8*SIN('1.설계입력'!$C$15*B1487)</f>
        <v>68.996107922315034</v>
      </c>
      <c r="I1487" s="40">
        <f t="shared" si="70"/>
        <v>77.951827428767089</v>
      </c>
      <c r="J1487" s="40">
        <f t="shared" si="71"/>
        <v>77.943359266355955</v>
      </c>
      <c r="K1487" s="38" t="str">
        <f>IF(OR(A1487&gt;180,'1.설계입력'!$C$39&gt;=1),"",'1.설계입력'!$C$34*(1-SIN(B1487)/SQRT(1+'1.설계입력'!$C$39^2-2*'1.설계입력'!$C$39*COS(B1487)))-'1.설계입력'!$C$33*(1-'1.설계입력'!$C$39*COS(B1487)-SQRT(MAX(0,1-'1.설계입력'!$C$39^2))*SIN(B1487))/SQRT(1+'1.설계입력'!$C$39^2-2*'1.설계입력'!$C$39*COS(B1487)))</f>
        <v/>
      </c>
    </row>
    <row r="1488" spans="1:11" x14ac:dyDescent="0.3">
      <c r="A1488" s="40">
        <f>A1487+'1.설계입력'!$C$12</f>
        <v>296.39999999999173</v>
      </c>
      <c r="B1488" s="40">
        <f t="shared" si="69"/>
        <v>5.1731559029110485</v>
      </c>
      <c r="C1488" s="40">
        <f>ATAN2('1.설계입력'!$C$6/('1.설계입력'!$C$8*'1.설계입력'!$C$15)-COS((1-'1.설계입력'!$C$15)*B1488),SIN((1-'1.설계입력'!$C$15)*B1488))</f>
        <v>-0.8188416892206416</v>
      </c>
      <c r="D1488" s="40">
        <f>'1.설계입력'!$C$6*COS(B1488)-'1.설계입력'!$C$7*COS(B1488+C1488)-'1.설계입력'!$C$8*COS('1.설계입력'!$C$15*B1488)</f>
        <v>36.491653553878628</v>
      </c>
      <c r="E1488" s="40">
        <f>-'1.설계입력'!$C$6*SIN(B1488)+'1.설계입력'!$C$7*SIN(B1488+C1488)+'1.설계입력'!$C$8*SIN('1.설계입력'!$C$15*B1488)</f>
        <v>69.091966179477637</v>
      </c>
      <c r="F1488" s="40">
        <f>ATAN2(('1.설계입력'!$C$6+'1.설계입력'!$C$33)/('1.설계입력'!$C$8*'1.설계입력'!$C$15)-COS((1-'1.설계입력'!$C$15)*B1488),SIN((1-'1.설계입력'!$C$15)*B1488))</f>
        <v>-0.81888492743511798</v>
      </c>
      <c r="G1488" s="40">
        <f>('1.설계입력'!$C$6+'1.설계입력'!$C$33)*COS(B1488)-('1.설계입력'!$C$7+'1.설계입력'!$C$34)*COS(B1488+F1488)-'1.설계입력'!$C$8*COS('1.설계입력'!$C$15*B1488)</f>
        <v>36.493276315824872</v>
      </c>
      <c r="H1488" s="40">
        <f>-('1.설계입력'!$C$6+'1.설계입력'!$C$33)*SIN(B1488)+('1.설계입력'!$C$7+'1.설계입력'!$C$34)*SIN(B1488+F1488)+'1.설계입력'!$C$8*SIN('1.설계입력'!$C$15*B1488)</f>
        <v>69.081663970647313</v>
      </c>
      <c r="I1488" s="40">
        <f t="shared" si="70"/>
        <v>78.13667877279137</v>
      </c>
      <c r="J1488" s="40">
        <f t="shared" si="71"/>
        <v>78.12832721373583</v>
      </c>
      <c r="K1488" s="38" t="str">
        <f>IF(OR(A1488&gt;180,'1.설계입력'!$C$39&gt;=1),"",'1.설계입력'!$C$34*(1-SIN(B1488)/SQRT(1+'1.설계입력'!$C$39^2-2*'1.설계입력'!$C$39*COS(B1488)))-'1.설계입력'!$C$33*(1-'1.설계입력'!$C$39*COS(B1488)-SQRT(MAX(0,1-'1.설계입력'!$C$39^2))*SIN(B1488))/SQRT(1+'1.설계입력'!$C$39^2-2*'1.설계입력'!$C$39*COS(B1488)))</f>
        <v/>
      </c>
    </row>
    <row r="1489" spans="1:11" x14ac:dyDescent="0.3">
      <c r="A1489" s="40">
        <f>A1488+'1.설계입력'!$C$12</f>
        <v>296.59999999999172</v>
      </c>
      <c r="B1489" s="40">
        <f t="shared" si="69"/>
        <v>5.176646561415037</v>
      </c>
      <c r="C1489" s="40">
        <f>ATAN2('1.설계입력'!$C$6/('1.설계입력'!$C$8*'1.설계입력'!$C$15)-COS((1-'1.설계입력'!$C$15)*B1489),SIN((1-'1.설계입력'!$C$15)*B1489))</f>
        <v>-0.81786223373283817</v>
      </c>
      <c r="D1489" s="40">
        <f>'1.설계입력'!$C$6*COS(B1489)-'1.설계입력'!$C$7*COS(B1489+C1489)-'1.설계입력'!$C$8*COS('1.설계입력'!$C$15*B1489)</f>
        <v>36.659479398015471</v>
      </c>
      <c r="E1489" s="40">
        <f>-'1.설계입력'!$C$6*SIN(B1489)+'1.설계입력'!$C$7*SIN(B1489+C1489)+'1.설계입력'!$C$8*SIN('1.설계입력'!$C$15*B1489)</f>
        <v>69.154669046528454</v>
      </c>
      <c r="F1489" s="40">
        <f>ATAN2(('1.설계입력'!$C$6+'1.설계입력'!$C$33)/('1.설계입력'!$C$8*'1.설계입력'!$C$15)-COS((1-'1.설계입력'!$C$15)*B1489),SIN((1-'1.설계입력'!$C$15)*B1489))</f>
        <v>-0.81789960710287246</v>
      </c>
      <c r="G1489" s="40">
        <f>('1.설계입력'!$C$6+'1.설계입력'!$C$33)*COS(B1489)-('1.설계입력'!$C$7+'1.설계입력'!$C$34)*COS(B1489+F1489)-'1.설계입력'!$C$8*COS('1.설계입력'!$C$15*B1489)</f>
        <v>36.661036753921522</v>
      </c>
      <c r="H1489" s="40">
        <f>-('1.설계입력'!$C$6+'1.설계입력'!$C$33)*SIN(B1489)+('1.설계입력'!$C$7+'1.설계입력'!$C$34)*SIN(B1489+F1489)+'1.설계입력'!$C$8*SIN('1.설계입력'!$C$15*B1489)</f>
        <v>69.144350184962619</v>
      </c>
      <c r="I1489" s="40">
        <f t="shared" si="70"/>
        <v>78.270592693989485</v>
      </c>
      <c r="J1489" s="40">
        <f t="shared" si="71"/>
        <v>78.262205299704689</v>
      </c>
      <c r="K1489" s="38" t="str">
        <f>IF(OR(A1489&gt;180,'1.설계입력'!$C$39&gt;=1),"",'1.설계입력'!$C$34*(1-SIN(B1489)/SQRT(1+'1.설계입력'!$C$39^2-2*'1.설계입력'!$C$39*COS(B1489)))-'1.설계입력'!$C$33*(1-'1.설계입력'!$C$39*COS(B1489)-SQRT(MAX(0,1-'1.설계입력'!$C$39^2))*SIN(B1489))/SQRT(1+'1.설계입력'!$C$39^2-2*'1.설계입력'!$C$39*COS(B1489)))</f>
        <v/>
      </c>
    </row>
    <row r="1490" spans="1:11" x14ac:dyDescent="0.3">
      <c r="A1490" s="40">
        <f>A1489+'1.설계입력'!$C$12</f>
        <v>296.79999999999171</v>
      </c>
      <c r="B1490" s="40">
        <f t="shared" si="69"/>
        <v>5.1801372199190254</v>
      </c>
      <c r="C1490" s="40">
        <f>ATAN2('1.설계입력'!$C$6/('1.설계입력'!$C$8*'1.설계입력'!$C$15)-COS((1-'1.설계입력'!$C$15)*B1490),SIN((1-'1.설계입력'!$C$15)*B1490))</f>
        <v>-0.80097792689444069</v>
      </c>
      <c r="D1490" s="40">
        <f>'1.설계입력'!$C$6*COS(B1490)-'1.설계입력'!$C$7*COS(B1490+C1490)-'1.설계입력'!$C$8*COS('1.설계입력'!$C$15*B1490)</f>
        <v>36.794943249637676</v>
      </c>
      <c r="E1490" s="40">
        <f>-'1.설계입력'!$C$6*SIN(B1490)+'1.설계입력'!$C$7*SIN(B1490+C1490)+'1.설계입력'!$C$8*SIN('1.설계입력'!$C$15*B1490)</f>
        <v>69.203314047023468</v>
      </c>
      <c r="F1490" s="40">
        <f>ATAN2(('1.설계입력'!$C$6+'1.설계입력'!$C$33)/('1.설계입력'!$C$8*'1.설계입력'!$C$15)-COS((1-'1.설계입력'!$C$15)*B1490),SIN((1-'1.설계입력'!$C$15)*B1490))</f>
        <v>-0.80101036800852765</v>
      </c>
      <c r="G1490" s="40">
        <f>('1.설계입력'!$C$6+'1.설계입력'!$C$33)*COS(B1490)-('1.설계입력'!$C$7+'1.설계입력'!$C$34)*COS(B1490+F1490)-'1.설계입력'!$C$8*COS('1.설계입력'!$C$15*B1490)</f>
        <v>36.796317886821974</v>
      </c>
      <c r="H1490" s="40">
        <f>-('1.설계입력'!$C$6+'1.설계입력'!$C$33)*SIN(B1490)+('1.설계입력'!$C$7+'1.설계입력'!$C$34)*SIN(B1490+F1490)+'1.설계입력'!$C$8*SIN('1.설계입력'!$C$15*B1490)</f>
        <v>69.192935138549444</v>
      </c>
      <c r="I1490" s="40">
        <f t="shared" si="70"/>
        <v>78.377079071849906</v>
      </c>
      <c r="J1490" s="40">
        <f t="shared" si="71"/>
        <v>78.368560552785226</v>
      </c>
      <c r="K1490" s="38" t="str">
        <f>IF(OR(A1490&gt;180,'1.설계입력'!$C$39&gt;=1),"",'1.설계입력'!$C$34*(1-SIN(B1490)/SQRT(1+'1.설계입력'!$C$39^2-2*'1.설계입력'!$C$39*COS(B1490)))-'1.설계입력'!$C$33*(1-'1.설계입력'!$C$39*COS(B1490)-SQRT(MAX(0,1-'1.설계입력'!$C$39^2))*SIN(B1490))/SQRT(1+'1.설계입력'!$C$39^2-2*'1.설계입력'!$C$39*COS(B1490)))</f>
        <v/>
      </c>
    </row>
    <row r="1491" spans="1:11" x14ac:dyDescent="0.3">
      <c r="A1491" s="40">
        <f>A1490+'1.설계입력'!$C$12</f>
        <v>296.9999999999917</v>
      </c>
      <c r="B1491" s="40">
        <f t="shared" si="69"/>
        <v>5.1836278784230139</v>
      </c>
      <c r="C1491" s="40">
        <f>ATAN2('1.설계입력'!$C$6/('1.설계입력'!$C$8*'1.설계입력'!$C$15)-COS((1-'1.설계입력'!$C$15)*B1491),SIN((1-'1.설계입력'!$C$15)*B1491))</f>
        <v>-0.77338463111542</v>
      </c>
      <c r="D1491" s="40">
        <f>'1.설계입력'!$C$6*COS(B1491)-'1.설계입력'!$C$7*COS(B1491+C1491)-'1.설계입력'!$C$8*COS('1.설계입력'!$C$15*B1491)</f>
        <v>36.917498666153691</v>
      </c>
      <c r="E1491" s="40">
        <f>-'1.설계입력'!$C$6*SIN(B1491)+'1.설계입력'!$C$7*SIN(B1491+C1491)+'1.설계입력'!$C$8*SIN('1.설계입력'!$C$15*B1491)</f>
        <v>69.243734251984293</v>
      </c>
      <c r="F1491" s="40">
        <f>ATAN2(('1.설계입력'!$C$6+'1.설계입력'!$C$33)/('1.설계입력'!$C$8*'1.설계입력'!$C$15)-COS((1-'1.설계입력'!$C$15)*B1491),SIN((1-'1.설계입력'!$C$15)*B1491))</f>
        <v>-0.77341292880349177</v>
      </c>
      <c r="G1491" s="40">
        <f>('1.설계입력'!$C$6+'1.설계입력'!$C$33)*COS(B1491)-('1.설계입력'!$C$7+'1.설계입력'!$C$34)*COS(B1491+F1491)-'1.설계입력'!$C$8*COS('1.설계입력'!$C$15*B1491)</f>
        <v>36.91860988950414</v>
      </c>
      <c r="H1491" s="40">
        <f>-('1.설계입력'!$C$6+'1.설계입력'!$C$33)*SIN(B1491)+('1.설계입력'!$C$7+'1.설계입력'!$C$34)*SIN(B1491+F1491)+'1.설계입력'!$C$8*SIN('1.설계입력'!$C$15*B1491)</f>
        <v>69.233272812123147</v>
      </c>
      <c r="I1491" s="40">
        <f t="shared" si="70"/>
        <v>78.470353898302776</v>
      </c>
      <c r="J1491" s="40">
        <f t="shared" si="71"/>
        <v>78.461645537493425</v>
      </c>
      <c r="K1491" s="38" t="str">
        <f>IF(OR(A1491&gt;180,'1.설계입력'!$C$39&gt;=1),"",'1.설계입력'!$C$34*(1-SIN(B1491)/SQRT(1+'1.설계입력'!$C$39^2-2*'1.설계입력'!$C$39*COS(B1491)))-'1.설계입력'!$C$33*(1-'1.설계입력'!$C$39*COS(B1491)-SQRT(MAX(0,1-'1.설계입력'!$C$39^2))*SIN(B1491))/SQRT(1+'1.설계입력'!$C$39^2-2*'1.설계입력'!$C$39*COS(B1491)))</f>
        <v/>
      </c>
    </row>
    <row r="1492" spans="1:11" x14ac:dyDescent="0.3">
      <c r="A1492" s="40">
        <f>A1491+'1.설계입력'!$C$12</f>
        <v>297.19999999999169</v>
      </c>
      <c r="B1492" s="40">
        <f t="shared" si="69"/>
        <v>5.1871185369270023</v>
      </c>
      <c r="C1492" s="40">
        <f>ATAN2('1.설계입력'!$C$6/('1.설계입력'!$C$8*'1.설계입력'!$C$15)-COS((1-'1.설계입력'!$C$15)*B1492),SIN((1-'1.설계입력'!$C$15)*B1492))</f>
        <v>-0.73830116196823226</v>
      </c>
      <c r="D1492" s="40">
        <f>'1.설계입력'!$C$6*COS(B1492)-'1.설계입력'!$C$7*COS(B1492+C1492)-'1.설계입력'!$C$8*COS('1.설계입력'!$C$15*B1492)</f>
        <v>37.038749789842413</v>
      </c>
      <c r="E1492" s="40">
        <f>-'1.설계입력'!$C$6*SIN(B1492)+'1.설계입력'!$C$7*SIN(B1492+C1492)+'1.설계입력'!$C$8*SIN('1.설계입력'!$C$15*B1492)</f>
        <v>69.279039757373894</v>
      </c>
      <c r="F1492" s="40">
        <f>ATAN2(('1.설계입력'!$C$6+'1.설계입력'!$C$33)/('1.설계입력'!$C$8*'1.설계입력'!$C$15)-COS((1-'1.설계입력'!$C$15)*B1492),SIN((1-'1.설계입력'!$C$15)*B1492))</f>
        <v>-0.73832594469585222</v>
      </c>
      <c r="G1492" s="40">
        <f>('1.설계입력'!$C$6+'1.설계입력'!$C$33)*COS(B1492)-('1.설계입력'!$C$7+'1.설계입력'!$C$34)*COS(B1492+F1492)-'1.설계입력'!$C$8*COS('1.설계입력'!$C$15*B1492)</f>
        <v>37.039538984037193</v>
      </c>
      <c r="H1492" s="40">
        <f>-('1.설계입력'!$C$6+'1.설계입력'!$C$33)*SIN(B1492)+('1.설계입력'!$C$7+'1.설계입력'!$C$34)*SIN(B1492+F1492)+'1.설계입력'!$C$8*SIN('1.설계입력'!$C$15*B1492)</f>
        <v>69.268488175155994</v>
      </c>
      <c r="I1492" s="40">
        <f t="shared" si="70"/>
        <v>78.558604466336746</v>
      </c>
      <c r="J1492" s="40">
        <f t="shared" si="71"/>
        <v>78.549671560241023</v>
      </c>
      <c r="K1492" s="38" t="str">
        <f>IF(OR(A1492&gt;180,'1.설계입력'!$C$39&gt;=1),"",'1.설계입력'!$C$34*(1-SIN(B1492)/SQRT(1+'1.설계입력'!$C$39^2-2*'1.설계입력'!$C$39*COS(B1492)))-'1.설계입력'!$C$33*(1-'1.설계입력'!$C$39*COS(B1492)-SQRT(MAX(0,1-'1.설계입력'!$C$39^2))*SIN(B1492))/SQRT(1+'1.설계입력'!$C$39^2-2*'1.설계입력'!$C$39*COS(B1492)))</f>
        <v/>
      </c>
    </row>
    <row r="1493" spans="1:11" x14ac:dyDescent="0.3">
      <c r="A1493" s="40">
        <f>A1492+'1.설계입력'!$C$12</f>
        <v>297.39999999999168</v>
      </c>
      <c r="B1493" s="40">
        <f t="shared" si="69"/>
        <v>5.1906091954309908</v>
      </c>
      <c r="C1493" s="40">
        <f>ATAN2('1.설계입력'!$C$6/('1.설계입력'!$C$8*'1.설계입력'!$C$15)-COS((1-'1.설계입력'!$C$15)*B1493),SIN((1-'1.설계입력'!$C$15)*B1493))</f>
        <v>-0.69780827511163168</v>
      </c>
      <c r="D1493" s="40">
        <f>'1.설계입력'!$C$6*COS(B1493)-'1.설계입력'!$C$7*COS(B1493+C1493)-'1.설계입력'!$C$8*COS('1.설계입력'!$C$15*B1493)</f>
        <v>37.165800182133502</v>
      </c>
      <c r="E1493" s="40">
        <f>-'1.설계입력'!$C$6*SIN(B1493)+'1.설계입력'!$C$7*SIN(B1493+C1493)+'1.설계입력'!$C$8*SIN('1.설계입력'!$C$15*B1493)</f>
        <v>69.310368558817444</v>
      </c>
      <c r="F1493" s="40">
        <f>ATAN2(('1.설계입력'!$C$6+'1.설계입력'!$C$33)/('1.설계입력'!$C$8*'1.설계입력'!$C$15)-COS((1-'1.설계입력'!$C$15)*B1493),SIN((1-'1.설계입력'!$C$15)*B1493))</f>
        <v>-0.69783003594746673</v>
      </c>
      <c r="G1493" s="40">
        <f>('1.설계입력'!$C$6+'1.설계입력'!$C$33)*COS(B1493)-('1.설계입력'!$C$7+'1.설계입력'!$C$34)*COS(B1493+F1493)-'1.설계입력'!$C$8*COS('1.설계입력'!$C$15*B1493)</f>
        <v>37.166223091325591</v>
      </c>
      <c r="H1493" s="40">
        <f>-('1.설계입력'!$C$6+'1.설계입력'!$C$33)*SIN(B1493)+('1.설계입력'!$C$7+'1.설계입력'!$C$34)*SIN(B1493+F1493)+'1.설계입력'!$C$8*SIN('1.설계입력'!$C$15*B1493)</f>
        <v>69.299729834048023</v>
      </c>
      <c r="I1493" s="40">
        <f t="shared" si="70"/>
        <v>78.646194395770891</v>
      </c>
      <c r="J1493" s="40">
        <f t="shared" si="71"/>
        <v>78.637018597771302</v>
      </c>
      <c r="K1493" s="38" t="str">
        <f>IF(OR(A1493&gt;180,'1.설계입력'!$C$39&gt;=1),"",'1.설계입력'!$C$34*(1-SIN(B1493)/SQRT(1+'1.설계입력'!$C$39^2-2*'1.설계입력'!$C$39*COS(B1493)))-'1.설계입력'!$C$33*(1-'1.설계입력'!$C$39*COS(B1493)-SQRT(MAX(0,1-'1.설계입력'!$C$39^2))*SIN(B1493))/SQRT(1+'1.설계입력'!$C$39^2-2*'1.설계입력'!$C$39*COS(B1493)))</f>
        <v/>
      </c>
    </row>
    <row r="1494" spans="1:11" x14ac:dyDescent="0.3">
      <c r="A1494" s="40">
        <f>A1493+'1.설계입력'!$C$12</f>
        <v>297.59999999999167</v>
      </c>
      <c r="B1494" s="40">
        <f t="shared" si="69"/>
        <v>5.1940998539349792</v>
      </c>
      <c r="C1494" s="40">
        <f>ATAN2('1.설계입력'!$C$6/('1.설계입력'!$C$8*'1.설계입력'!$C$15)-COS((1-'1.설계입력'!$C$15)*B1494),SIN((1-'1.설계입력'!$C$15)*B1494))</f>
        <v>-0.65330378416923673</v>
      </c>
      <c r="D1494" s="40">
        <f>'1.설계입력'!$C$6*COS(B1494)-'1.설계입력'!$C$7*COS(B1494+C1494)-'1.설계입력'!$C$8*COS('1.설계입력'!$C$15*B1494)</f>
        <v>37.302965022172948</v>
      </c>
      <c r="E1494" s="40">
        <f>-'1.설계입력'!$C$6*SIN(B1494)+'1.설계입력'!$C$7*SIN(B1494+C1494)+'1.설계입력'!$C$8*SIN('1.설계입력'!$C$15*B1494)</f>
        <v>69.337542364492251</v>
      </c>
      <c r="F1494" s="40">
        <f>ATAN2(('1.설계입력'!$C$6+'1.설계입력'!$C$33)/('1.설계입력'!$C$8*'1.설계입력'!$C$15)-COS((1-'1.설계입력'!$C$15)*B1494),SIN((1-'1.설계입력'!$C$15)*B1494))</f>
        <v>-0.65332290995819509</v>
      </c>
      <c r="G1494" s="40">
        <f>('1.설계입력'!$C$6+'1.설계입력'!$C$33)*COS(B1494)-('1.설계입력'!$C$7+'1.설계입력'!$C$34)*COS(B1494+F1494)-'1.설계입력'!$C$8*COS('1.설계입력'!$C$15*B1494)</f>
        <v>37.302987428480854</v>
      </c>
      <c r="H1494" s="40">
        <f>-('1.설계입력'!$C$6+'1.설계입력'!$C$33)*SIN(B1494)+('1.설계입력'!$C$7+'1.설계입력'!$C$34)*SIN(B1494+F1494)+'1.설계입력'!$C$8*SIN('1.설계입력'!$C$15*B1494)</f>
        <v>69.326827180048227</v>
      </c>
      <c r="I1494" s="40">
        <f t="shared" si="70"/>
        <v>78.735036550402484</v>
      </c>
      <c r="J1494" s="40">
        <f t="shared" si="71"/>
        <v>78.725611067439004</v>
      </c>
      <c r="K1494" s="38" t="str">
        <f>IF(OR(A1494&gt;180,'1.설계입력'!$C$39&gt;=1),"",'1.설계입력'!$C$34*(1-SIN(B1494)/SQRT(1+'1.설계입력'!$C$39^2-2*'1.설계입력'!$C$39*COS(B1494)))-'1.설계입력'!$C$33*(1-'1.설계입력'!$C$39*COS(B1494)-SQRT(MAX(0,1-'1.설계입력'!$C$39^2))*SIN(B1494))/SQRT(1+'1.설계입력'!$C$39^2-2*'1.설계입력'!$C$39*COS(B1494)))</f>
        <v/>
      </c>
    </row>
    <row r="1495" spans="1:11" x14ac:dyDescent="0.3">
      <c r="A1495" s="40">
        <f>A1494+'1.설계입력'!$C$12</f>
        <v>297.79999999999166</v>
      </c>
      <c r="B1495" s="40">
        <f t="shared" si="69"/>
        <v>5.1975905124389676</v>
      </c>
      <c r="C1495" s="40">
        <f>ATAN2('1.설계입력'!$C$6/('1.설계입력'!$C$8*'1.설계입력'!$C$15)-COS((1-'1.설계입력'!$C$15)*B1495),SIN((1-'1.설계입력'!$C$15)*B1495))</f>
        <v>-0.60575930585019178</v>
      </c>
      <c r="D1495" s="40">
        <f>'1.설계입력'!$C$6*COS(B1495)-'1.설계입력'!$C$7*COS(B1495+C1495)-'1.설계입력'!$C$8*COS('1.설계입력'!$C$15*B1495)</f>
        <v>37.452696168740083</v>
      </c>
      <c r="E1495" s="40">
        <f>-'1.설계입력'!$C$6*SIN(B1495)+'1.설계입력'!$C$7*SIN(B1495+C1495)+'1.설계입력'!$C$8*SIN('1.설계입력'!$C$15*B1495)</f>
        <v>69.359552027633214</v>
      </c>
      <c r="F1495" s="40">
        <f>ATAN2(('1.설계입력'!$C$6+'1.설계입력'!$C$33)/('1.설계입력'!$C$8*'1.설계입력'!$C$15)-COS((1-'1.설계입력'!$C$15)*B1495),SIN((1-'1.설계입력'!$C$15)*B1495))</f>
        <v>-0.60577610174306984</v>
      </c>
      <c r="G1495" s="40">
        <f>('1.설계입력'!$C$6+'1.설계입력'!$C$33)*COS(B1495)-('1.설계입력'!$C$7+'1.설계입력'!$C$34)*COS(B1495+F1495)-'1.설계입력'!$C$8*COS('1.설계입력'!$C$15*B1495)</f>
        <v>37.452291355285269</v>
      </c>
      <c r="H1495" s="40">
        <f>-('1.설계입력'!$C$6+'1.설계입력'!$C$33)*SIN(B1495)+('1.설계입력'!$C$7+'1.설계입력'!$C$34)*SIN(B1495+F1495)+'1.설계입력'!$C$8*SIN('1.설계입력'!$C$15*B1495)</f>
        <v>69.348776715585601</v>
      </c>
      <c r="I1495" s="40">
        <f t="shared" si="70"/>
        <v>78.825452157167589</v>
      </c>
      <c r="J1495" s="40">
        <f t="shared" si="71"/>
        <v>78.815778621474792</v>
      </c>
      <c r="K1495" s="38" t="str">
        <f>IF(OR(A1495&gt;180,'1.설계입력'!$C$39&gt;=1),"",'1.설계입력'!$C$34*(1-SIN(B1495)/SQRT(1+'1.설계입력'!$C$39^2-2*'1.설계입력'!$C$39*COS(B1495)))-'1.설계입력'!$C$33*(1-'1.설계입력'!$C$39*COS(B1495)-SQRT(MAX(0,1-'1.설계입력'!$C$39^2))*SIN(B1495))/SQRT(1+'1.설계입력'!$C$39^2-2*'1.설계입력'!$C$39*COS(B1495)))</f>
        <v/>
      </c>
    </row>
    <row r="1496" spans="1:11" x14ac:dyDescent="0.3">
      <c r="A1496" s="40">
        <f>A1495+'1.설계입력'!$C$12</f>
        <v>297.99999999999164</v>
      </c>
      <c r="B1496" s="40">
        <f t="shared" si="69"/>
        <v>5.2010811709429561</v>
      </c>
      <c r="C1496" s="40">
        <f>ATAN2('1.설계입력'!$C$6/('1.설계입력'!$C$8*'1.설계입력'!$C$15)-COS((1-'1.설계입력'!$C$15)*B1496),SIN((1-'1.설계입력'!$C$15)*B1496))</f>
        <v>-0.55587101044997522</v>
      </c>
      <c r="D1496" s="40">
        <f>'1.설계입력'!$C$6*COS(B1496)-'1.설계입력'!$C$7*COS(B1496+C1496)-'1.설계입력'!$C$8*COS('1.설계입력'!$C$15*B1496)</f>
        <v>37.616114690517932</v>
      </c>
      <c r="E1496" s="40">
        <f>-'1.설계입력'!$C$6*SIN(B1496)+'1.설계입력'!$C$7*SIN(B1496+C1496)+'1.설계입력'!$C$8*SIN('1.설계입력'!$C$15*B1496)</f>
        <v>69.374906622636516</v>
      </c>
      <c r="F1496" s="40">
        <f>ATAN2(('1.설계입력'!$C$6+'1.설계입력'!$C$33)/('1.설계입력'!$C$8*'1.설계입력'!$C$15)-COS((1-'1.설계입력'!$C$15)*B1496),SIN((1-'1.설계입력'!$C$15)*B1496))</f>
        <v>-0.55588571877272064</v>
      </c>
      <c r="G1496" s="40">
        <f>('1.설계입력'!$C$6+'1.설계입력'!$C$33)*COS(B1496)-('1.설계입력'!$C$7+'1.설계입력'!$C$34)*COS(B1496+F1496)-'1.설계입력'!$C$8*COS('1.설계입력'!$C$15*B1496)</f>
        <v>37.615261887340338</v>
      </c>
      <c r="H1496" s="40">
        <f>-('1.설계입력'!$C$6+'1.설계입력'!$C$33)*SIN(B1496)+('1.설계입력'!$C$7+'1.설계입력'!$C$34)*SIN(B1496+F1496)+'1.설계입력'!$C$8*SIN('1.설계입력'!$C$15*B1496)</f>
        <v>69.364091713659803</v>
      </c>
      <c r="I1496" s="40">
        <f t="shared" si="70"/>
        <v>78.916726701693193</v>
      </c>
      <c r="J1496" s="40">
        <f t="shared" si="71"/>
        <v>78.906813052576183</v>
      </c>
      <c r="K1496" s="38" t="str">
        <f>IF(OR(A1496&gt;180,'1.설계입력'!$C$39&gt;=1),"",'1.설계입력'!$C$34*(1-SIN(B1496)/SQRT(1+'1.설계입력'!$C$39^2-2*'1.설계입력'!$C$39*COS(B1496)))-'1.설계입력'!$C$33*(1-'1.설계입력'!$C$39*COS(B1496)-SQRT(MAX(0,1-'1.설계입력'!$C$39^2))*SIN(B1496))/SQRT(1+'1.설계입력'!$C$39^2-2*'1.설계입력'!$C$39*COS(B1496)))</f>
        <v/>
      </c>
    </row>
    <row r="1497" spans="1:11" x14ac:dyDescent="0.3">
      <c r="A1497" s="40">
        <f>A1496+'1.설계입력'!$C$12</f>
        <v>298.19999999999163</v>
      </c>
      <c r="B1497" s="40">
        <f t="shared" si="69"/>
        <v>5.2045718294469445</v>
      </c>
      <c r="C1497" s="40">
        <f>ATAN2('1.설계입력'!$C$6/('1.설계입력'!$C$8*'1.설계입력'!$C$15)-COS((1-'1.설계입력'!$C$15)*B1497),SIN((1-'1.설계입력'!$C$15)*B1497))</f>
        <v>-0.50415152838560018</v>
      </c>
      <c r="D1497" s="40">
        <f>'1.설계입력'!$C$6*COS(B1497)-'1.설계입력'!$C$7*COS(B1497+C1497)-'1.설계입력'!$C$8*COS('1.설계입력'!$C$15*B1497)</f>
        <v>37.793340384005447</v>
      </c>
      <c r="E1497" s="40">
        <f>-'1.설계입력'!$C$6*SIN(B1497)+'1.설계입력'!$C$7*SIN(B1497+C1497)+'1.설계입력'!$C$8*SIN('1.설계입력'!$C$15*B1497)</f>
        <v>69.381886802694694</v>
      </c>
      <c r="F1497" s="40">
        <f>ATAN2(('1.설계입력'!$C$6+'1.설계입력'!$C$33)/('1.설계입력'!$C$8*'1.설계입력'!$C$15)-COS((1-'1.설계입력'!$C$15)*B1497),SIN((1-'1.설계입력'!$C$15)*B1497))</f>
        <v>-0.50416434273477395</v>
      </c>
      <c r="G1497" s="40">
        <f>('1.설계입력'!$C$6+'1.설계입력'!$C$33)*COS(B1497)-('1.설계입력'!$C$7+'1.설계입력'!$C$34)*COS(B1497+F1497)-'1.설계입력'!$C$8*COS('1.설계입력'!$C$15*B1497)</f>
        <v>37.792023778132609</v>
      </c>
      <c r="H1497" s="40">
        <f>-('1.설계입력'!$C$6+'1.설계입력'!$C$33)*SIN(B1497)+('1.설계입력'!$C$7+'1.설계입력'!$C$34)*SIN(B1497+F1497)+'1.설계입력'!$C$8*SIN('1.설계입력'!$C$15*B1497)</f>
        <v>69.371055957185987</v>
      </c>
      <c r="I1497" s="40">
        <f t="shared" si="70"/>
        <v>79.007485681315273</v>
      </c>
      <c r="J1497" s="40">
        <f t="shared" si="71"/>
        <v>78.997344676020404</v>
      </c>
      <c r="K1497" s="38" t="str">
        <f>IF(OR(A1497&gt;180,'1.설계입력'!$C$39&gt;=1),"",'1.설계입력'!$C$34*(1-SIN(B1497)/SQRT(1+'1.설계입력'!$C$39^2-2*'1.설계입력'!$C$39*COS(B1497)))-'1.설계입력'!$C$33*(1-'1.설계입력'!$C$39*COS(B1497)-SQRT(MAX(0,1-'1.설계입력'!$C$39^2))*SIN(B1497))/SQRT(1+'1.설계입력'!$C$39^2-2*'1.설계입력'!$C$39*COS(B1497)))</f>
        <v/>
      </c>
    </row>
    <row r="1498" spans="1:11" x14ac:dyDescent="0.3">
      <c r="A1498" s="40">
        <f>A1497+'1.설계입력'!$C$12</f>
        <v>298.39999999999162</v>
      </c>
      <c r="B1498" s="40">
        <f t="shared" si="69"/>
        <v>5.208062487950933</v>
      </c>
      <c r="C1498" s="40">
        <f>ATAN2('1.설계입력'!$C$6/('1.설계입력'!$C$8*'1.설계입력'!$C$15)-COS((1-'1.설계입력'!$C$15)*B1498),SIN((1-'1.설계입력'!$C$15)*B1498))</f>
        <v>-0.45098794431792205</v>
      </c>
      <c r="D1498" s="40">
        <f>'1.설계입력'!$C$6*COS(B1498)-'1.설계입력'!$C$7*COS(B1498+C1498)-'1.설계입력'!$C$8*COS('1.설계입력'!$C$15*B1498)</f>
        <v>37.983713015015347</v>
      </c>
      <c r="E1498" s="40">
        <f>-'1.설계입력'!$C$6*SIN(B1498)+'1.설계입력'!$C$7*SIN(B1498+C1498)+'1.설계입력'!$C$8*SIN('1.설계입력'!$C$15*B1498)</f>
        <v>69.378732268531039</v>
      </c>
      <c r="F1498" s="40">
        <f>ATAN2(('1.설계입력'!$C$6+'1.설계입력'!$C$33)/('1.설계입력'!$C$8*'1.설계입력'!$C$15)-COS((1-'1.설계입력'!$C$15)*B1498),SIN((1-'1.설계입력'!$C$15)*B1498))</f>
        <v>-0.45099902000732595</v>
      </c>
      <c r="G1498" s="40">
        <f>('1.설계입력'!$C$6+'1.설계입력'!$C$33)*COS(B1498)-('1.설계입력'!$C$7+'1.설계입력'!$C$34)*COS(B1498+F1498)-'1.설계입력'!$C$8*COS('1.설계입력'!$C$15*B1498)</f>
        <v>37.981921095518459</v>
      </c>
      <c r="H1498" s="40">
        <f>-('1.설계입력'!$C$6+'1.설계입력'!$C$33)*SIN(B1498)+('1.설계입력'!$C$7+'1.설계입력'!$C$34)*SIN(B1498+F1498)+'1.설계입력'!$C$8*SIN('1.설계입력'!$C$15*B1498)</f>
        <v>69.367911460850934</v>
      </c>
      <c r="I1498" s="40">
        <f t="shared" si="70"/>
        <v>79.095960362053617</v>
      </c>
      <c r="J1498" s="40">
        <f t="shared" si="71"/>
        <v>79.0856084919794</v>
      </c>
      <c r="K1498" s="38" t="str">
        <f>IF(OR(A1498&gt;180,'1.설계입력'!$C$39&gt;=1),"",'1.설계입력'!$C$34*(1-SIN(B1498)/SQRT(1+'1.설계입력'!$C$39^2-2*'1.설계입력'!$C$39*COS(B1498)))-'1.설계입력'!$C$33*(1-'1.설계입력'!$C$39*COS(B1498)-SQRT(MAX(0,1-'1.설계입력'!$C$39^2))*SIN(B1498))/SQRT(1+'1.설계입력'!$C$39^2-2*'1.설계입력'!$C$39*COS(B1498)))</f>
        <v/>
      </c>
    </row>
    <row r="1499" spans="1:11" x14ac:dyDescent="0.3">
      <c r="A1499" s="40">
        <f>A1498+'1.설계입력'!$C$12</f>
        <v>298.59999999999161</v>
      </c>
      <c r="B1499" s="40">
        <f t="shared" si="69"/>
        <v>5.2115531464549214</v>
      </c>
      <c r="C1499" s="40">
        <f>ATAN2('1.설계입력'!$C$6/('1.설계입력'!$C$8*'1.설계입력'!$C$15)-COS((1-'1.설계입력'!$C$15)*B1499),SIN((1-'1.설계입력'!$C$15)*B1499))</f>
        <v>-0.39667956056282294</v>
      </c>
      <c r="D1499" s="40">
        <f>'1.설계입력'!$C$6*COS(B1499)-'1.설계입력'!$C$7*COS(B1499+C1499)-'1.설계입력'!$C$8*COS('1.설계입력'!$C$15*B1499)</f>
        <v>38.18595443579445</v>
      </c>
      <c r="E1499" s="40">
        <f>-'1.설계입력'!$C$6*SIN(B1499)+'1.설계입력'!$C$7*SIN(B1499+C1499)+'1.설계입력'!$C$8*SIN('1.설계입력'!$C$15*B1499)</f>
        <v>69.363782863880942</v>
      </c>
      <c r="F1499" s="40">
        <f>ATAN2(('1.설계입력'!$C$6+'1.설계입력'!$C$33)/('1.설계입력'!$C$8*'1.설계입력'!$C$15)-COS((1-'1.설계입력'!$C$15)*B1499),SIN((1-'1.설계입력'!$C$15)*B1499))</f>
        <v>-0.39668902236983228</v>
      </c>
      <c r="G1499" s="40">
        <f>('1.설계입력'!$C$6+'1.설계입력'!$C$33)*COS(B1499)-('1.설계입력'!$C$7+'1.설계입력'!$C$34)*COS(B1499+F1499)-'1.설계입력'!$C$8*COS('1.설계입력'!$C$15*B1499)</f>
        <v>38.183679543016993</v>
      </c>
      <c r="H1499" s="40">
        <f>-('1.설계입력'!$C$6+'1.설계입력'!$C$33)*SIN(B1499)+('1.설계입력'!$C$7+'1.설계입력'!$C$34)*SIN(B1499+F1499)+'1.설계입력'!$C$8*SIN('1.설계입력'!$C$15*B1499)</f>
        <v>69.352999737336773</v>
      </c>
      <c r="I1499" s="40">
        <f t="shared" si="70"/>
        <v>79.180183691124341</v>
      </c>
      <c r="J1499" s="40">
        <f t="shared" si="71"/>
        <v>79.169640368078277</v>
      </c>
      <c r="K1499" s="38" t="str">
        <f>IF(OR(A1499&gt;180,'1.설계입력'!$C$39&gt;=1),"",'1.설계입력'!$C$34*(1-SIN(B1499)/SQRT(1+'1.설계입력'!$C$39^2-2*'1.설계입력'!$C$39*COS(B1499)))-'1.설계입력'!$C$33*(1-'1.설계입력'!$C$39*COS(B1499)-SQRT(MAX(0,1-'1.설계입력'!$C$39^2))*SIN(B1499))/SQRT(1+'1.설계입력'!$C$39^2-2*'1.설계입력'!$C$39*COS(B1499)))</f>
        <v/>
      </c>
    </row>
    <row r="1500" spans="1:11" x14ac:dyDescent="0.3">
      <c r="A1500" s="40">
        <f>A1499+'1.설계입력'!$C$12</f>
        <v>298.7999999999916</v>
      </c>
      <c r="B1500" s="40">
        <f t="shared" si="69"/>
        <v>5.2150438049589098</v>
      </c>
      <c r="C1500" s="40">
        <f>ATAN2('1.설계입력'!$C$6/('1.설계입력'!$C$8*'1.설계입력'!$C$15)-COS((1-'1.설계입력'!$C$15)*B1500),SIN((1-'1.설계입력'!$C$15)*B1500))</f>
        <v>-0.34146321197304386</v>
      </c>
      <c r="D1500" s="40">
        <f>'1.설계입력'!$C$6*COS(B1500)-'1.설계입력'!$C$7*COS(B1500+C1500)-'1.설계입력'!$C$8*COS('1.설계입력'!$C$15*B1500)</f>
        <v>38.398297841976252</v>
      </c>
      <c r="E1500" s="40">
        <f>-'1.설계입력'!$C$6*SIN(B1500)+'1.설계입력'!$C$7*SIN(B1500+C1500)+'1.설계입력'!$C$8*SIN('1.설계입력'!$C$15*B1500)</f>
        <v>69.335585590298649</v>
      </c>
      <c r="F1500" s="40">
        <f>ATAN2(('1.설계입력'!$C$6+'1.설계입력'!$C$33)/('1.설계입력'!$C$8*'1.설계입력'!$C$15)-COS((1-'1.설계입력'!$C$15)*B1500),SIN((1-'1.설계입력'!$C$15)*B1500))</f>
        <v>-0.34147115990070614</v>
      </c>
      <c r="G1500" s="40">
        <f>('1.설계입력'!$C$6+'1.설계입력'!$C$33)*COS(B1500)-('1.설계입력'!$C$7+'1.설계입력'!$C$34)*COS(B1500+F1500)-'1.설계입력'!$C$8*COS('1.설계입력'!$C$15*B1500)</f>
        <v>38.395535843402719</v>
      </c>
      <c r="H1500" s="40">
        <f>-('1.설계입력'!$C$6+'1.설계입력'!$C$33)*SIN(B1500)+('1.설계입력'!$C$7+'1.설계입력'!$C$34)*SIN(B1500+F1500)+'1.설계입력'!$C$8*SIN('1.설계입력'!$C$15*B1500)</f>
        <v>69.324868929419679</v>
      </c>
      <c r="I1500" s="40">
        <f t="shared" si="70"/>
        <v>79.258139684897642</v>
      </c>
      <c r="J1500" s="40">
        <f t="shared" si="71"/>
        <v>79.247426613002659</v>
      </c>
      <c r="K1500" s="38" t="str">
        <f>IF(OR(A1500&gt;180,'1.설계입력'!$C$39&gt;=1),"",'1.설계입력'!$C$34*(1-SIN(B1500)/SQRT(1+'1.설계입력'!$C$39^2-2*'1.설계입력'!$C$39*COS(B1500)))-'1.설계입력'!$C$33*(1-'1.설계입력'!$C$39*COS(B1500)-SQRT(MAX(0,1-'1.설계입력'!$C$39^2))*SIN(B1500))/SQRT(1+'1.설계입력'!$C$39^2-2*'1.설계입력'!$C$39*COS(B1500)))</f>
        <v/>
      </c>
    </row>
    <row r="1501" spans="1:11" x14ac:dyDescent="0.3">
      <c r="A1501" s="40">
        <f>A1500+'1.설계입력'!$C$12</f>
        <v>298.99999999999159</v>
      </c>
      <c r="B1501" s="40">
        <f t="shared" si="69"/>
        <v>5.2185344634628983</v>
      </c>
      <c r="C1501" s="40">
        <f>ATAN2('1.설계입력'!$C$6/('1.설계입력'!$C$8*'1.설계입력'!$C$15)-COS((1-'1.설계입력'!$C$15)*B1501),SIN((1-'1.설계입력'!$C$15)*B1501))</f>
        <v>-0.28553071039303901</v>
      </c>
      <c r="D1501" s="40">
        <f>'1.설계입력'!$C$6*COS(B1501)-'1.설계입력'!$C$7*COS(B1501+C1501)-'1.설계입력'!$C$8*COS('1.설계입력'!$C$15*B1501)</f>
        <v>38.618598446083965</v>
      </c>
      <c r="E1501" s="40">
        <f>-'1.설계입력'!$C$6*SIN(B1501)+'1.설계입력'!$C$7*SIN(B1501+C1501)+'1.설계입력'!$C$8*SIN('1.설계입력'!$C$15*B1501)</f>
        <v>69.292975201714299</v>
      </c>
      <c r="F1501" s="40">
        <f>ATAN2(('1.설계입력'!$C$6+'1.설계입력'!$C$33)/('1.설계입력'!$C$8*'1.설계입력'!$C$15)-COS((1-'1.설계입력'!$C$15)*B1501),SIN((1-'1.설계입력'!$C$15)*B1501))</f>
        <v>-0.28553722396672682</v>
      </c>
      <c r="G1501" s="40">
        <f>('1.설계입력'!$C$6+'1.설계입력'!$C$33)*COS(B1501)-('1.설계입력'!$C$7+'1.설계입력'!$C$34)*COS(B1501+F1501)-'1.설계입력'!$C$8*COS('1.설계입력'!$C$15*B1501)</f>
        <v>38.615348491331638</v>
      </c>
      <c r="H1501" s="40">
        <f>-('1.설계입력'!$C$6+'1.설계입력'!$C$33)*SIN(B1501)+('1.설계입력'!$C$7+'1.설계입력'!$C$34)*SIN(B1501+F1501)+'1.설계입력'!$C$8*SIN('1.설계입력'!$C$15*B1501)</f>
        <v>69.282354486573638</v>
      </c>
      <c r="I1501" s="40">
        <f t="shared" si="70"/>
        <v>79.327880081628749</v>
      </c>
      <c r="J1501" s="40">
        <f t="shared" si="71"/>
        <v>79.317020760428463</v>
      </c>
      <c r="K1501" s="38" t="str">
        <f>IF(OR(A1501&gt;180,'1.설계입력'!$C$39&gt;=1),"",'1.설계입력'!$C$34*(1-SIN(B1501)/SQRT(1+'1.설계입력'!$C$39^2-2*'1.설계입력'!$C$39*COS(B1501)))-'1.설계입력'!$C$33*(1-'1.설계입력'!$C$39*COS(B1501)-SQRT(MAX(0,1-'1.설계입력'!$C$39^2))*SIN(B1501))/SQRT(1+'1.설계입력'!$C$39^2-2*'1.설계입력'!$C$39*COS(B1501)))</f>
        <v/>
      </c>
    </row>
    <row r="1502" spans="1:11" x14ac:dyDescent="0.3">
      <c r="A1502" s="40">
        <f>A1501+'1.설계입력'!$C$12</f>
        <v>299.19999999999158</v>
      </c>
      <c r="B1502" s="40">
        <f t="shared" si="69"/>
        <v>5.2220251219668867</v>
      </c>
      <c r="C1502" s="40">
        <f>ATAN2('1.설계입력'!$C$6/('1.설계입력'!$C$8*'1.설계입력'!$C$15)-COS((1-'1.설계입력'!$C$15)*B1502),SIN((1-'1.설계입력'!$C$15)*B1502))</f>
        <v>-0.22904119837616924</v>
      </c>
      <c r="D1502" s="40">
        <f>'1.설계입력'!$C$6*COS(B1502)-'1.설계입력'!$C$7*COS(B1502+C1502)-'1.설계입력'!$C$8*COS('1.설계입력'!$C$15*B1502)</f>
        <v>38.844433312203115</v>
      </c>
      <c r="E1502" s="40">
        <f>-'1.설계입력'!$C$6*SIN(B1502)+'1.설계입력'!$C$7*SIN(B1502+C1502)+'1.설계입력'!$C$8*SIN('1.설계입력'!$C$15*B1502)</f>
        <v>69.235133167384362</v>
      </c>
      <c r="F1502" s="40">
        <f>ATAN2(('1.설계입력'!$C$6+'1.설계입력'!$C$33)/('1.설계입력'!$C$8*'1.설계입력'!$C$15)-COS((1-'1.설계입력'!$C$15)*B1502),SIN((1-'1.설계입력'!$C$15)*B1502))</f>
        <v>-0.22904633984448006</v>
      </c>
      <c r="G1502" s="40">
        <f>('1.설계입력'!$C$6+'1.설계입력'!$C$33)*COS(B1502)-('1.설계입력'!$C$7+'1.설계입력'!$C$34)*COS(B1502+F1502)-'1.설계입력'!$C$8*COS('1.설계입력'!$C$15*B1502)</f>
        <v>38.84069763712958</v>
      </c>
      <c r="H1502" s="40">
        <f>-('1.설계입력'!$C$6+'1.설계입력'!$C$33)*SIN(B1502)+('1.설계입력'!$C$7+'1.설계입력'!$C$34)*SIN(B1502+F1502)+'1.설계입력'!$C$8*SIN('1.설계입력'!$C$15*B1502)</f>
        <v>69.22463818630581</v>
      </c>
      <c r="I1502" s="40">
        <f t="shared" si="70"/>
        <v>79.387616566134795</v>
      </c>
      <c r="J1502" s="40">
        <f t="shared" si="71"/>
        <v>79.376635888426719</v>
      </c>
      <c r="K1502" s="38" t="str">
        <f>IF(OR(A1502&gt;180,'1.설계입력'!$C$39&gt;=1),"",'1.설계입력'!$C$34*(1-SIN(B1502)/SQRT(1+'1.설계입력'!$C$39^2-2*'1.설계입력'!$C$39*COS(B1502)))-'1.설계입력'!$C$33*(1-'1.설계입력'!$C$39*COS(B1502)-SQRT(MAX(0,1-'1.설계입력'!$C$39^2))*SIN(B1502))/SQRT(1+'1.설계입력'!$C$39^2-2*'1.설계입력'!$C$39*COS(B1502)))</f>
        <v/>
      </c>
    </row>
    <row r="1503" spans="1:11" x14ac:dyDescent="0.3">
      <c r="A1503" s="40">
        <f>A1502+'1.설계입력'!$C$12</f>
        <v>299.39999999999156</v>
      </c>
      <c r="B1503" s="40">
        <f t="shared" si="69"/>
        <v>5.2255157804708752</v>
      </c>
      <c r="C1503" s="40">
        <f>ATAN2('1.설계입력'!$C$6/('1.설계입력'!$C$8*'1.설계입력'!$C$15)-COS((1-'1.설계입력'!$C$15)*B1503),SIN((1-'1.설계입력'!$C$15)*B1503))</f>
        <v>-0.17213015190324291</v>
      </c>
      <c r="D1503" s="40">
        <f>'1.설계입력'!$C$6*COS(B1503)-'1.설계입력'!$C$7*COS(B1503+C1503)-'1.설계입력'!$C$8*COS('1.설계입력'!$C$15*B1503)</f>
        <v>39.073194406995661</v>
      </c>
      <c r="E1503" s="40">
        <f>-'1.설계입력'!$C$6*SIN(B1503)+'1.설계입력'!$C$7*SIN(B1503+C1503)+'1.설계입력'!$C$8*SIN('1.설계입력'!$C$15*B1503)</f>
        <v>69.161628042689586</v>
      </c>
      <c r="F1503" s="40">
        <f>ATAN2(('1.설계입력'!$C$6+'1.설계입력'!$C$33)/('1.설계입력'!$C$8*'1.설계입력'!$C$15)-COS((1-'1.설계입력'!$C$15)*B1503),SIN((1-'1.설계입력'!$C$15)*B1503))</f>
        <v>-0.17213396860452623</v>
      </c>
      <c r="G1503" s="40">
        <f>('1.설계입력'!$C$6+'1.설계입력'!$C$33)*COS(B1503)-('1.설계입력'!$C$7+'1.설계입력'!$C$34)*COS(B1503+F1503)-'1.설계입력'!$C$8*COS('1.설계입력'!$C$15*B1503)</f>
        <v>39.068978167454091</v>
      </c>
      <c r="H1503" s="40">
        <f>-('1.설계입력'!$C$6+'1.설계입력'!$C$33)*SIN(B1503)+('1.설계입력'!$C$7+'1.설계입력'!$C$34)*SIN(B1503+F1503)+'1.설계입력'!$C$8*SIN('1.설계입력'!$C$15*B1503)</f>
        <v>69.151288547131955</v>
      </c>
      <c r="I1503" s="40">
        <f t="shared" si="70"/>
        <v>79.435793661813577</v>
      </c>
      <c r="J1503" s="40">
        <f t="shared" si="71"/>
        <v>79.424717580723623</v>
      </c>
      <c r="K1503" s="38" t="str">
        <f>IF(OR(A1503&gt;180,'1.설계입력'!$C$39&gt;=1),"",'1.설계입력'!$C$34*(1-SIN(B1503)/SQRT(1+'1.설계입력'!$C$39^2-2*'1.설계입력'!$C$39*COS(B1503)))-'1.설계입력'!$C$33*(1-'1.설계입력'!$C$39*COS(B1503)-SQRT(MAX(0,1-'1.설계입력'!$C$39^2))*SIN(B1503))/SQRT(1+'1.설계입력'!$C$39^2-2*'1.설계입력'!$C$39*COS(B1503)))</f>
        <v/>
      </c>
    </row>
    <row r="1504" spans="1:11" x14ac:dyDescent="0.3">
      <c r="A1504" s="40">
        <f>A1503+'1.설계입력'!$C$12</f>
        <v>299.59999999999155</v>
      </c>
      <c r="B1504" s="40">
        <f t="shared" si="69"/>
        <v>5.2290064389748636</v>
      </c>
      <c r="C1504" s="40">
        <f>ATAN2('1.설계입력'!$C$6/('1.설계입력'!$C$8*'1.설계입력'!$C$15)-COS((1-'1.설계입력'!$C$15)*B1504),SIN((1-'1.설계입력'!$C$15)*B1504))</f>
        <v>-0.11491615484693338</v>
      </c>
      <c r="D1504" s="40">
        <f>'1.설계입력'!$C$6*COS(B1504)-'1.설계입력'!$C$7*COS(B1504+C1504)-'1.설계입력'!$C$8*COS('1.설계입력'!$C$15*B1504)</f>
        <v>39.302176773300197</v>
      </c>
      <c r="E1504" s="40">
        <f>-'1.설계입력'!$C$6*SIN(B1504)+'1.설계입력'!$C$7*SIN(B1504+C1504)+'1.설계입력'!$C$8*SIN('1.설계입력'!$C$15*B1504)</f>
        <v>69.072439238993965</v>
      </c>
      <c r="F1504" s="40">
        <f>ATAN2(('1.설계입력'!$C$6+'1.설계입력'!$C$33)/('1.설계입력'!$C$8*'1.설계입력'!$C$15)-COS((1-'1.설계입력'!$C$15)*B1504),SIN((1-'1.설계입력'!$C$15)*B1504))</f>
        <v>-0.11491868092483916</v>
      </c>
      <c r="G1504" s="40">
        <f>('1.설계입력'!$C$6+'1.설계입력'!$C$33)*COS(B1504)-('1.설계입력'!$C$7+'1.설계입력'!$C$34)*COS(B1504+F1504)-'1.설계입력'!$C$8*COS('1.설계입력'!$C$15*B1504)</f>
        <v>39.29748789559256</v>
      </c>
      <c r="H1504" s="40">
        <f>-('1.설계입력'!$C$6+'1.설계입력'!$C$33)*SIN(B1504)+('1.설계입력'!$C$7+'1.설계입력'!$C$34)*SIN(B1504+F1504)+'1.설계입력'!$C$8*SIN('1.설계입력'!$C$15*B1504)</f>
        <v>69.062284629238206</v>
      </c>
      <c r="I1504" s="40">
        <f t="shared" si="70"/>
        <v>79.471145465157676</v>
      </c>
      <c r="J1504" s="40">
        <f t="shared" si="71"/>
        <v>79.460000711767904</v>
      </c>
      <c r="K1504" s="38" t="str">
        <f>IF(OR(A1504&gt;180,'1.설계입력'!$C$39&gt;=1),"",'1.설계입력'!$C$34*(1-SIN(B1504)/SQRT(1+'1.설계입력'!$C$39^2-2*'1.설계입력'!$C$39*COS(B1504)))-'1.설계입력'!$C$33*(1-'1.설계입력'!$C$39*COS(B1504)-SQRT(MAX(0,1-'1.설계입력'!$C$39^2))*SIN(B1504))/SQRT(1+'1.설계입력'!$C$39^2-2*'1.설계입력'!$C$39*COS(B1504)))</f>
        <v/>
      </c>
    </row>
    <row r="1505" spans="1:11" x14ac:dyDescent="0.3">
      <c r="A1505" s="40">
        <f>A1504+'1.설계입력'!$C$12</f>
        <v>299.79999999999154</v>
      </c>
      <c r="B1505" s="40">
        <f t="shared" si="69"/>
        <v>5.2324970974788521</v>
      </c>
      <c r="C1505" s="40">
        <f>ATAN2('1.설계입력'!$C$6/('1.설계입력'!$C$8*'1.설계입력'!$C$15)-COS((1-'1.설계입력'!$C$15)*B1505),SIN((1-'1.설계입력'!$C$15)*B1505))</f>
        <v>-5.7506194578095478E-2</v>
      </c>
      <c r="D1505" s="40">
        <f>'1.설계입력'!$C$6*COS(B1505)-'1.설계입력'!$C$7*COS(B1505+C1505)-'1.설계입력'!$C$8*COS('1.설계입력'!$C$15*B1505)</f>
        <v>39.52866245140433</v>
      </c>
      <c r="E1505" s="40">
        <f>-'1.설계입력'!$C$6*SIN(B1505)+'1.설계입력'!$C$7*SIN(B1505+C1505)+'1.설계입력'!$C$8*SIN('1.설계입력'!$C$15*B1505)</f>
        <v>68.967965569643425</v>
      </c>
      <c r="F1505" s="40">
        <f>ATAN2(('1.설계입력'!$C$6+'1.설계입력'!$C$33)/('1.설계입력'!$C$8*'1.설계입력'!$C$15)-COS((1-'1.설계입력'!$C$15)*B1505),SIN((1-'1.설계입력'!$C$15)*B1505))</f>
        <v>-5.7507452172863495E-2</v>
      </c>
      <c r="G1505" s="40">
        <f>('1.설계입력'!$C$6+'1.설계입력'!$C$33)*COS(B1505)-('1.설계입력'!$C$7+'1.설계입력'!$C$34)*COS(B1505+F1505)-'1.설계입력'!$C$8*COS('1.설계입력'!$C$15*B1505)</f>
        <v>39.523511490608215</v>
      </c>
      <c r="H1505" s="40">
        <f>-('1.설계입력'!$C$6+'1.설계입력'!$C$33)*SIN(B1505)+('1.설계입력'!$C$7+'1.설계입력'!$C$34)*SIN(B1505+F1505)+'1.설계입력'!$C$8*SIN('1.설계입력'!$C$15*B1505)</f>
        <v>68.958024603035327</v>
      </c>
      <c r="I1505" s="40">
        <f t="shared" si="70"/>
        <v>79.492738221881524</v>
      </c>
      <c r="J1505" s="40">
        <f t="shared" si="71"/>
        <v>79.481552058959352</v>
      </c>
      <c r="K1505" s="38" t="str">
        <f>IF(OR(A1505&gt;180,'1.설계입력'!$C$39&gt;=1),"",'1.설계입력'!$C$34*(1-SIN(B1505)/SQRT(1+'1.설계입력'!$C$39^2-2*'1.설계입력'!$C$39*COS(B1505)))-'1.설계입력'!$C$33*(1-'1.설계입력'!$C$39*COS(B1505)-SQRT(MAX(0,1-'1.설계입력'!$C$39^2))*SIN(B1505))/SQRT(1+'1.설계입력'!$C$39^2-2*'1.설계입력'!$C$39*COS(B1505)))</f>
        <v/>
      </c>
    </row>
    <row r="1506" spans="1:11" x14ac:dyDescent="0.3">
      <c r="A1506" s="40">
        <f>A1505+'1.설계입력'!$C$12</f>
        <v>299.99999999999153</v>
      </c>
      <c r="B1506" s="40">
        <f t="shared" si="69"/>
        <v>5.2359877559828405</v>
      </c>
      <c r="C1506" s="40">
        <f>ATAN2('1.설계입력'!$C$6/('1.설계입력'!$C$8*'1.설계입력'!$C$15)-COS((1-'1.설계입력'!$C$15)*B1506),SIN((1-'1.설계입력'!$C$15)*B1506))</f>
        <v>-2.4457304029712624E-12</v>
      </c>
      <c r="D1506" s="40">
        <f>'1.설계입력'!$C$6*COS(B1506)-'1.설계입력'!$C$7*COS(B1506+C1506)-'1.설계입력'!$C$8*COS('1.설계입력'!$C$15*B1506)</f>
        <v>39.749999999990756</v>
      </c>
      <c r="E1506" s="40">
        <f>-'1.설계입력'!$C$6*SIN(B1506)+'1.설계입력'!$C$7*SIN(B1506+C1506)+'1.설계입력'!$C$8*SIN('1.설계입력'!$C$15*B1506)</f>
        <v>68.849019600868218</v>
      </c>
      <c r="F1506" s="40">
        <f>ATAN2(('1.설계입력'!$C$6+'1.설계입력'!$C$33)/('1.설계입력'!$C$8*'1.설계입력'!$C$15)-COS((1-'1.설계입력'!$C$15)*B1506),SIN((1-'1.설계입력'!$C$15)*B1506))</f>
        <v>-2.4457837968428837E-12</v>
      </c>
      <c r="G1506" s="40">
        <f>('1.설계입력'!$C$6+'1.설계입력'!$C$33)*COS(B1506)-('1.설계입력'!$C$7+'1.설계입력'!$C$34)*COS(B1506+F1506)-'1.설계입력'!$C$8*COS('1.설계입력'!$C$15*B1506)</f>
        <v>39.744399999990769</v>
      </c>
      <c r="H1506" s="40">
        <f>-('1.설계입력'!$C$6+'1.설계입력'!$C$33)*SIN(B1506)+('1.설계입력'!$C$7+'1.설계입력'!$C$34)*SIN(B1506+F1506)+'1.설계입력'!$C$8*SIN('1.설계입력'!$C$15*B1506)</f>
        <v>68.839320116345817</v>
      </c>
      <c r="I1506" s="40">
        <f t="shared" si="70"/>
        <v>79.5</v>
      </c>
      <c r="J1506" s="40">
        <f t="shared" si="71"/>
        <v>79.488799999999998</v>
      </c>
      <c r="K1506" s="38" t="str">
        <f>IF(OR(A1506&gt;180,'1.설계입력'!$C$39&gt;=1),"",'1.설계입력'!$C$34*(1-SIN(B1506)/SQRT(1+'1.설계입력'!$C$39^2-2*'1.설계입력'!$C$39*COS(B1506)))-'1.설계입력'!$C$33*(1-'1.설계입력'!$C$39*COS(B1506)-SQRT(MAX(0,1-'1.설계입력'!$C$39^2))*SIN(B1506))/SQRT(1+'1.설계입력'!$C$39^2-2*'1.설계입력'!$C$39*COS(B1506)))</f>
        <v/>
      </c>
    </row>
    <row r="1507" spans="1:11" x14ac:dyDescent="0.3">
      <c r="A1507" s="40">
        <f>A1506+'1.설계입력'!$C$12</f>
        <v>300.19999999999152</v>
      </c>
      <c r="B1507" s="40">
        <f t="shared" si="69"/>
        <v>5.2394784144868289</v>
      </c>
      <c r="C1507" s="40">
        <f>ATAN2('1.설계입력'!$C$6/('1.설계입력'!$C$8*'1.설계입력'!$C$15)-COS((1-'1.설계입력'!$C$15)*B1507),SIN((1-'1.설계입력'!$C$15)*B1507))</f>
        <v>5.7506194573220093E-2</v>
      </c>
      <c r="D1507" s="40">
        <f>'1.설계입력'!$C$6*COS(B1507)-'1.설계입력'!$C$7*COS(B1507+C1507)-'1.설계입력'!$C$8*COS('1.설계입력'!$C$15*B1507)</f>
        <v>39.963679004921772</v>
      </c>
      <c r="E1507" s="40">
        <f>-'1.설계입력'!$C$6*SIN(B1507)+'1.설계입력'!$C$7*SIN(B1507+C1507)+'1.설계입력'!$C$8*SIN('1.설계입력'!$C$15*B1507)</f>
        <v>68.716808645369682</v>
      </c>
      <c r="F1507" s="40">
        <f>ATAN2(('1.설계입력'!$C$6+'1.설계입력'!$C$33)/('1.설계입력'!$C$8*'1.설계입력'!$C$15)-COS((1-'1.설계입력'!$C$15)*B1507),SIN((1-'1.설계입력'!$C$15)*B1507))</f>
        <v>5.7507452167987999E-2</v>
      </c>
      <c r="G1507" s="40">
        <f>('1.설계입력'!$C$6+'1.설계입력'!$C$33)*COS(B1507)-('1.설계입력'!$C$7+'1.설계입력'!$C$34)*COS(B1507+F1507)-'1.설계입력'!$C$8*COS('1.설계입력'!$C$15*B1507)</f>
        <v>39.957645355699086</v>
      </c>
      <c r="H1507" s="40">
        <f>-('1.설계입력'!$C$6+'1.설계입력'!$C$33)*SIN(B1507)+('1.설계입력'!$C$7+'1.설계입력'!$C$34)*SIN(B1507+F1507)+'1.설계입력'!$C$8*SIN('1.설계입력'!$C$15*B1507)</f>
        <v>68.70737729916226</v>
      </c>
      <c r="I1507" s="40">
        <f t="shared" si="70"/>
        <v>79.492738221882746</v>
      </c>
      <c r="J1507" s="40">
        <f t="shared" si="71"/>
        <v>79.48155205896056</v>
      </c>
      <c r="K1507" s="38" t="str">
        <f>IF(OR(A1507&gt;180,'1.설계입력'!$C$39&gt;=1),"",'1.설계입력'!$C$34*(1-SIN(B1507)/SQRT(1+'1.설계입력'!$C$39^2-2*'1.설계입력'!$C$39*COS(B1507)))-'1.설계입력'!$C$33*(1-'1.설계입력'!$C$39*COS(B1507)-SQRT(MAX(0,1-'1.설계입력'!$C$39^2))*SIN(B1507))/SQRT(1+'1.설계입력'!$C$39^2-2*'1.설계입력'!$C$39*COS(B1507)))</f>
        <v/>
      </c>
    </row>
    <row r="1508" spans="1:11" x14ac:dyDescent="0.3">
      <c r="A1508" s="40">
        <f>A1507+'1.설계입력'!$C$12</f>
        <v>300.39999999999151</v>
      </c>
      <c r="B1508" s="40">
        <f t="shared" si="69"/>
        <v>5.2429690729908174</v>
      </c>
      <c r="C1508" s="40">
        <f>ATAN2('1.설계입력'!$C$6/('1.설계입력'!$C$8*'1.설계입력'!$C$15)-COS((1-'1.설계입력'!$C$15)*B1508),SIN((1-'1.설계입력'!$C$15)*B1508))</f>
        <v>0.11491615484205833</v>
      </c>
      <c r="D1508" s="40">
        <f>'1.설계입력'!$C$6*COS(B1508)-'1.설계입력'!$C$7*COS(B1508+C1508)-'1.설계입력'!$C$8*COS('1.설계입력'!$C$15*B1508)</f>
        <v>40.16739869565896</v>
      </c>
      <c r="E1508" s="40">
        <f>-'1.설계입력'!$C$6*SIN(B1508)+'1.설계입력'!$C$7*SIN(B1508+C1508)+'1.설계입력'!$C$8*SIN('1.설계입력'!$C$15*B1508)</f>
        <v>68.572903129214325</v>
      </c>
      <c r="F1508" s="40">
        <f>ATAN2(('1.설계입력'!$C$6+'1.설계입력'!$C$33)/('1.설계입력'!$C$8*'1.설계입력'!$C$15)-COS((1-'1.설계입력'!$C$15)*B1508),SIN((1-'1.설계입력'!$C$15)*B1508))</f>
        <v>0.11491868091996399</v>
      </c>
      <c r="G1508" s="40">
        <f>('1.설계입력'!$C$6+'1.설계입력'!$C$33)*COS(B1508)-('1.설계입력'!$C$7+'1.설계입력'!$C$34)*COS(B1508+F1508)-'1.설계입력'!$C$8*COS('1.설계입력'!$C$15*B1508)</f>
        <v>40.160948984498802</v>
      </c>
      <c r="H1508" s="40">
        <f>-('1.설계입력'!$C$6+'1.설계입력'!$C$33)*SIN(B1508)+('1.설계입력'!$C$7+'1.설계입력'!$C$34)*SIN(B1508+F1508)+'1.설계입력'!$C$8*SIN('1.설계입력'!$C$15*B1508)</f>
        <v>68.563765137126367</v>
      </c>
      <c r="I1508" s="40">
        <f t="shared" si="70"/>
        <v>79.471145465160106</v>
      </c>
      <c r="J1508" s="40">
        <f t="shared" si="71"/>
        <v>79.46000071177032</v>
      </c>
      <c r="K1508" s="38" t="str">
        <f>IF(OR(A1508&gt;180,'1.설계입력'!$C$39&gt;=1),"",'1.설계입력'!$C$34*(1-SIN(B1508)/SQRT(1+'1.설계입력'!$C$39^2-2*'1.설계입력'!$C$39*COS(B1508)))-'1.설계입력'!$C$33*(1-'1.설계입력'!$C$39*COS(B1508)-SQRT(MAX(0,1-'1.설계입력'!$C$39^2))*SIN(B1508))/SQRT(1+'1.설계입력'!$C$39^2-2*'1.설계입력'!$C$39*COS(B1508)))</f>
        <v/>
      </c>
    </row>
    <row r="1509" spans="1:11" x14ac:dyDescent="0.3">
      <c r="A1509" s="40">
        <f>A1508+'1.설계입력'!$C$12</f>
        <v>300.5999999999915</v>
      </c>
      <c r="B1509" s="40">
        <f t="shared" si="69"/>
        <v>5.2464597314948058</v>
      </c>
      <c r="C1509" s="40">
        <f>ATAN2('1.설계입력'!$C$6/('1.설계입력'!$C$8*'1.설계입력'!$C$15)-COS((1-'1.설계입력'!$C$15)*B1509),SIN((1-'1.설계입력'!$C$15)*B1509))</f>
        <v>0.17213015189838898</v>
      </c>
      <c r="D1509" s="40">
        <f>'1.설계입력'!$C$6*COS(B1509)-'1.설계입력'!$C$7*COS(B1509+C1509)-'1.설계입력'!$C$8*COS('1.설계입력'!$C$15*B1509)</f>
        <v>40.359129648545881</v>
      </c>
      <c r="E1509" s="40">
        <f>-'1.설계입력'!$C$6*SIN(B1509)+'1.설계입력'!$C$7*SIN(B1509+C1509)+'1.설계입력'!$C$8*SIN('1.설계입력'!$C$15*B1509)</f>
        <v>68.419192984824491</v>
      </c>
      <c r="F1509" s="40">
        <f>ATAN2(('1.설계입력'!$C$6+'1.설계입력'!$C$33)/('1.설계입력'!$C$8*'1.설계입력'!$C$15)-COS((1-'1.설계입력'!$C$15)*B1509),SIN((1-'1.설계입력'!$C$15)*B1509))</f>
        <v>0.1721339685996722</v>
      </c>
      <c r="G1509" s="40">
        <f>('1.설계입력'!$C$6+'1.설계입력'!$C$33)*COS(B1509)-('1.설계입력'!$C$7+'1.설계입력'!$C$34)*COS(B1509+F1509)-'1.설계입력'!$C$8*COS('1.설계입력'!$C$15*B1509)</f>
        <v>40.352283502501464</v>
      </c>
      <c r="H1509" s="40">
        <f>-('1.설계입력'!$C$6+'1.설계입력'!$C$33)*SIN(B1509)+('1.설계입력'!$C$7+'1.설계입력'!$C$34)*SIN(B1509+F1509)+'1.설계입력'!$C$8*SIN('1.설계입력'!$C$15*B1509)</f>
        <v>68.410371866494202</v>
      </c>
      <c r="I1509" s="40">
        <f t="shared" si="70"/>
        <v>79.435793661817172</v>
      </c>
      <c r="J1509" s="40">
        <f t="shared" si="71"/>
        <v>79.424717580727176</v>
      </c>
      <c r="K1509" s="38" t="str">
        <f>IF(OR(A1509&gt;180,'1.설계입력'!$C$39&gt;=1),"",'1.설계입력'!$C$34*(1-SIN(B1509)/SQRT(1+'1.설계입력'!$C$39^2-2*'1.설계입력'!$C$39*COS(B1509)))-'1.설계입력'!$C$33*(1-'1.설계입력'!$C$39*COS(B1509)-SQRT(MAX(0,1-'1.설계입력'!$C$39^2))*SIN(B1509))/SQRT(1+'1.설계입력'!$C$39^2-2*'1.설계입력'!$C$39*COS(B1509)))</f>
        <v/>
      </c>
    </row>
    <row r="1510" spans="1:11" x14ac:dyDescent="0.3">
      <c r="A1510" s="40">
        <f>A1509+'1.설계입력'!$C$12</f>
        <v>300.79999999999148</v>
      </c>
      <c r="B1510" s="40">
        <f t="shared" si="69"/>
        <v>5.2499503899987943</v>
      </c>
      <c r="C1510" s="40">
        <f>ATAN2('1.설계입력'!$C$6/('1.설계입력'!$C$8*'1.설계입력'!$C$15)-COS((1-'1.설계입력'!$C$15)*B1510),SIN((1-'1.설계입력'!$C$15)*B1510))</f>
        <v>0.22904119837135772</v>
      </c>
      <c r="D1510" s="40">
        <f>'1.설계입력'!$C$6*COS(B1510)-'1.설계입력'!$C$7*COS(B1510+C1510)-'1.설계입력'!$C$8*COS('1.설계입력'!$C$15*B1510)</f>
        <v>40.537167501237356</v>
      </c>
      <c r="E1510" s="40">
        <f>-'1.설계입력'!$C$6*SIN(B1510)+'1.설계입력'!$C$7*SIN(B1510+C1510)+'1.설계입력'!$C$8*SIN('1.설계입력'!$C$15*B1510)</f>
        <v>68.257832627684564</v>
      </c>
      <c r="F1510" s="40">
        <f>ATAN2(('1.설계입력'!$C$6+'1.설계입력'!$C$33)/('1.설계입력'!$C$8*'1.설계입력'!$C$15)-COS((1-'1.설계입력'!$C$15)*B1510),SIN((1-'1.설계입력'!$C$15)*B1510))</f>
        <v>0.22904633983966841</v>
      </c>
      <c r="G1510" s="40">
        <f>('1.설계입력'!$C$6+'1.설계입력'!$C$33)*COS(B1510)-('1.설계입력'!$C$7+'1.설계입력'!$C$34)*COS(B1510+F1510)-'1.설계입력'!$C$8*COS('1.설계입력'!$C$15*B1510)</f>
        <v>40.529946418547887</v>
      </c>
      <c r="H1510" s="40">
        <f>-('1.설계입력'!$C$6+'1.설계입력'!$C$33)*SIN(B1510)+('1.설계입력'!$C$7+'1.설계입력'!$C$34)*SIN(B1510+F1510)+'1.설계입력'!$C$8*SIN('1.설계입력'!$C$15*B1510)</f>
        <v>68.249349947631288</v>
      </c>
      <c r="I1510" s="40">
        <f t="shared" si="70"/>
        <v>79.387616566139414</v>
      </c>
      <c r="J1510" s="40">
        <f t="shared" si="71"/>
        <v>79.376635888431309</v>
      </c>
      <c r="K1510" s="38" t="str">
        <f>IF(OR(A1510&gt;180,'1.설계입력'!$C$39&gt;=1),"",'1.설계입력'!$C$34*(1-SIN(B1510)/SQRT(1+'1.설계입력'!$C$39^2-2*'1.설계입력'!$C$39*COS(B1510)))-'1.설계입력'!$C$33*(1-'1.설계입력'!$C$39*COS(B1510)-SQRT(MAX(0,1-'1.설계입력'!$C$39^2))*SIN(B1510))/SQRT(1+'1.설계입력'!$C$39^2-2*'1.설계입력'!$C$39*COS(B1510)))</f>
        <v/>
      </c>
    </row>
    <row r="1511" spans="1:11" x14ac:dyDescent="0.3">
      <c r="A1511" s="40">
        <f>A1510+'1.설계입력'!$C$12</f>
        <v>300.99999999999147</v>
      </c>
      <c r="B1511" s="40">
        <f t="shared" si="69"/>
        <v>5.2534410485027827</v>
      </c>
      <c r="C1511" s="40">
        <f>ATAN2('1.설계입력'!$C$6/('1.설계입력'!$C$8*'1.설계입력'!$C$15)-COS((1-'1.설계입력'!$C$15)*B1511),SIN((1-'1.설계입력'!$C$15)*B1511))</f>
        <v>0.285530710388257</v>
      </c>
      <c r="D1511" s="40">
        <f>'1.설계입력'!$C$6*COS(B1511)-'1.설계입력'!$C$7*COS(B1511+C1511)-'1.설계입력'!$C$8*COS('1.설계입력'!$C$15*B1511)</f>
        <v>40.700177605434575</v>
      </c>
      <c r="E1511" s="40">
        <f>-'1.설계입력'!$C$6*SIN(B1511)+'1.설계입력'!$C$7*SIN(B1511+C1511)+'1.설계입력'!$C$8*SIN('1.설계입력'!$C$15*B1511)</f>
        <v>68.091174913730413</v>
      </c>
      <c r="F1511" s="40">
        <f>ATAN2(('1.설계입력'!$C$6+'1.설계입력'!$C$33)/('1.설계입력'!$C$8*'1.설계입력'!$C$15)-COS((1-'1.설계입력'!$C$15)*B1511),SIN((1-'1.설계입력'!$C$15)*B1511))</f>
        <v>0.2855372239619447</v>
      </c>
      <c r="G1511" s="40">
        <f>('1.설계입력'!$C$6+'1.설계입력'!$C$33)*COS(B1511)-('1.설계입력'!$C$7+'1.설계입력'!$C$34)*COS(B1511+F1511)-'1.설계입력'!$C$8*COS('1.설계입력'!$C$15*B1511)</f>
        <v>40.692604773692601</v>
      </c>
      <c r="H1511" s="40">
        <f>-('1.설계입력'!$C$6+'1.설계입력'!$C$33)*SIN(B1511)+('1.설계입력'!$C$7+'1.설계입력'!$C$34)*SIN(B1511+F1511)+'1.설계입력'!$C$8*SIN('1.설계입력'!$C$15*B1511)</f>
        <v>68.083050012783374</v>
      </c>
      <c r="I1511" s="40">
        <f t="shared" si="70"/>
        <v>79.327880081634277</v>
      </c>
      <c r="J1511" s="40">
        <f t="shared" si="71"/>
        <v>79.317020760433962</v>
      </c>
      <c r="K1511" s="38" t="str">
        <f>IF(OR(A1511&gt;180,'1.설계입력'!$C$39&gt;=1),"",'1.설계입력'!$C$34*(1-SIN(B1511)/SQRT(1+'1.설계입력'!$C$39^2-2*'1.설계입력'!$C$39*COS(B1511)))-'1.설계입력'!$C$33*(1-'1.설계입력'!$C$39*COS(B1511)-SQRT(MAX(0,1-'1.설계입력'!$C$39^2))*SIN(B1511))/SQRT(1+'1.설계입력'!$C$39^2-2*'1.설계입력'!$C$39*COS(B1511)))</f>
        <v/>
      </c>
    </row>
    <row r="1512" spans="1:11" x14ac:dyDescent="0.3">
      <c r="A1512" s="40">
        <f>A1511+'1.설계입력'!$C$12</f>
        <v>301.19999999999146</v>
      </c>
      <c r="B1512" s="40">
        <f t="shared" si="69"/>
        <v>5.2569317070067711</v>
      </c>
      <c r="C1512" s="40">
        <f>ATAN2('1.설계입력'!$C$6/('1.설계입력'!$C$8*'1.설계입력'!$C$15)-COS((1-'1.설계입력'!$C$15)*B1512),SIN((1-'1.설계입력'!$C$15)*B1512))</f>
        <v>0.34146321196832718</v>
      </c>
      <c r="D1512" s="40">
        <f>'1.설계입력'!$C$6*COS(B1512)-'1.설계입력'!$C$7*COS(B1512+C1512)-'1.설계입력'!$C$8*COS('1.설계입력'!$C$15*B1512)</f>
        <v>40.847229586468949</v>
      </c>
      <c r="E1512" s="40">
        <f>-'1.설계입력'!$C$6*SIN(B1512)+'1.설계입력'!$C$7*SIN(B1512+C1512)+'1.설계입력'!$C$8*SIN('1.설계입력'!$C$15*B1512)</f>
        <v>67.921694188396401</v>
      </c>
      <c r="F1512" s="40">
        <f>ATAN2(('1.설계입력'!$C$6+'1.설계입력'!$C$33)/('1.설계입력'!$C$8*'1.설계입력'!$C$15)-COS((1-'1.설계입력'!$C$15)*B1512),SIN((1-'1.설계입력'!$C$15)*B1512))</f>
        <v>0.34147115989598936</v>
      </c>
      <c r="G1512" s="40">
        <f>('1.설계입력'!$C$6+'1.설계입력'!$C$33)*COS(B1512)-('1.설계입력'!$C$7+'1.설계입력'!$C$34)*COS(B1512+F1512)-'1.설계입력'!$C$8*COS('1.설계입력'!$C$15*B1512)</f>
        <v>40.839329685190819</v>
      </c>
      <c r="H1512" s="40">
        <f>-('1.설계입력'!$C$6+'1.설계입력'!$C$33)*SIN(B1512)+('1.설계입력'!$C$7+'1.설계입력'!$C$34)*SIN(B1512+F1512)+'1.설계입력'!$C$8*SIN('1.설계입력'!$C$15*B1512)</f>
        <v>67.913943897026996</v>
      </c>
      <c r="I1512" s="40">
        <f t="shared" si="70"/>
        <v>79.258139684903938</v>
      </c>
      <c r="J1512" s="40">
        <f t="shared" si="71"/>
        <v>79.24742661300894</v>
      </c>
      <c r="K1512" s="38" t="str">
        <f>IF(OR(A1512&gt;180,'1.설계입력'!$C$39&gt;=1),"",'1.설계입력'!$C$34*(1-SIN(B1512)/SQRT(1+'1.설계입력'!$C$39^2-2*'1.설계입력'!$C$39*COS(B1512)))-'1.설계입력'!$C$33*(1-'1.설계입력'!$C$39*COS(B1512)-SQRT(MAX(0,1-'1.설계입력'!$C$39^2))*SIN(B1512))/SQRT(1+'1.설계입력'!$C$39^2-2*'1.설계입력'!$C$39*COS(B1512)))</f>
        <v/>
      </c>
    </row>
    <row r="1513" spans="1:11" x14ac:dyDescent="0.3">
      <c r="A1513" s="40">
        <f>A1512+'1.설계입력'!$C$12</f>
        <v>301.39999999999145</v>
      </c>
      <c r="B1513" s="40">
        <f t="shared" si="69"/>
        <v>5.2604223655107605</v>
      </c>
      <c r="C1513" s="40">
        <f>ATAN2('1.설계입력'!$C$6/('1.설계입력'!$C$8*'1.설계입력'!$C$15)-COS((1-'1.설계입력'!$C$15)*B1513),SIN((1-'1.설계입력'!$C$15)*B1513))</f>
        <v>0.39667956055818598</v>
      </c>
      <c r="D1513" s="40">
        <f>'1.설계입력'!$C$6*COS(B1513)-'1.설계입력'!$C$7*COS(B1513+C1513)-'1.설계입력'!$C$8*COS('1.설계입력'!$C$15*B1513)</f>
        <v>40.977820844801009</v>
      </c>
      <c r="E1513" s="40">
        <f>-'1.설계입력'!$C$6*SIN(B1513)+'1.설계입력'!$C$7*SIN(B1513+C1513)+'1.설계입력'!$C$8*SIN('1.설계입력'!$C$15*B1513)</f>
        <v>67.751898041107879</v>
      </c>
      <c r="F1513" s="40">
        <f>ATAN2(('1.설계입력'!$C$6+'1.설계입력'!$C$33)/('1.설계입력'!$C$8*'1.설계입력'!$C$15)-COS((1-'1.설계입력'!$C$15)*B1513),SIN((1-'1.설계입력'!$C$15)*B1513))</f>
        <v>0.39668902236519521</v>
      </c>
      <c r="G1513" s="40">
        <f>('1.설계입력'!$C$6+'1.설계입력'!$C$33)*COS(B1513)-('1.설계입력'!$C$7+'1.설계입력'!$C$34)*COS(B1513+F1513)-'1.설계입력'!$C$8*COS('1.설계입력'!$C$15*B1513)</f>
        <v>40.9696198296703</v>
      </c>
      <c r="H1513" s="40">
        <f>-('1.설계입력'!$C$6+'1.설계입력'!$C$33)*SIN(B1513)+('1.설계입력'!$C$7+'1.설계입력'!$C$34)*SIN(B1513+F1513)+'1.설계입력'!$C$8*SIN('1.설계입력'!$C$15*B1513)</f>
        <v>67.744536362899581</v>
      </c>
      <c r="I1513" s="40">
        <f t="shared" si="70"/>
        <v>79.180183691131234</v>
      </c>
      <c r="J1513" s="40">
        <f t="shared" si="71"/>
        <v>79.169640368085155</v>
      </c>
      <c r="K1513" s="38" t="str">
        <f>IF(OR(A1513&gt;180,'1.설계입력'!$C$39&gt;=1),"",'1.설계입력'!$C$34*(1-SIN(B1513)/SQRT(1+'1.설계입력'!$C$39^2-2*'1.설계입력'!$C$39*COS(B1513)))-'1.설계입력'!$C$33*(1-'1.설계입력'!$C$39*COS(B1513)-SQRT(MAX(0,1-'1.설계입력'!$C$39^2))*SIN(B1513))/SQRT(1+'1.설계입력'!$C$39^2-2*'1.설계입력'!$C$39*COS(B1513)))</f>
        <v/>
      </c>
    </row>
    <row r="1514" spans="1:11" x14ac:dyDescent="0.3">
      <c r="A1514" s="40">
        <f>A1513+'1.설계입력'!$C$12</f>
        <v>301.59999999999144</v>
      </c>
      <c r="B1514" s="40">
        <f t="shared" si="69"/>
        <v>5.2639130240147489</v>
      </c>
      <c r="C1514" s="40">
        <f>ATAN2('1.설계입력'!$C$6/('1.설계입력'!$C$8*'1.설계입력'!$C$15)-COS((1-'1.설계입력'!$C$15)*B1514),SIN((1-'1.설계입력'!$C$15)*B1514))</f>
        <v>0.45098794431336003</v>
      </c>
      <c r="D1514" s="40">
        <f>'1.설계입력'!$C$6*COS(B1514)-'1.설계입력'!$C$7*COS(B1514+C1514)-'1.설계입력'!$C$8*COS('1.설계입력'!$C$15*B1514)</f>
        <v>41.09188811939044</v>
      </c>
      <c r="E1514" s="40">
        <f>-'1.설계입력'!$C$6*SIN(B1514)+'1.설계입력'!$C$7*SIN(B1514+C1514)+'1.설계입력'!$C$8*SIN('1.설계입력'!$C$15*B1514)</f>
        <v>67.584226535340434</v>
      </c>
      <c r="F1514" s="40">
        <f>ATAN2(('1.설계입력'!$C$6+'1.설계입력'!$C$33)/('1.설계입력'!$C$8*'1.설계입력'!$C$15)-COS((1-'1.설계입력'!$C$15)*B1514),SIN((1-'1.설계입력'!$C$15)*B1514))</f>
        <v>0.45099902000276371</v>
      </c>
      <c r="G1514" s="40">
        <f>('1.설계입력'!$C$6+'1.설계입력'!$C$33)*COS(B1514)-('1.설계입력'!$C$7+'1.설계입력'!$C$34)*COS(B1514+F1514)-'1.설계입력'!$C$8*COS('1.설계입력'!$C$15*B1514)</f>
        <v>41.083412984798464</v>
      </c>
      <c r="H1514" s="40">
        <f>-('1.설계입력'!$C$6+'1.설계입력'!$C$33)*SIN(B1514)+('1.설계입력'!$C$7+'1.설계입력'!$C$34)*SIN(B1514+F1514)+'1.설계입력'!$C$8*SIN('1.설계입력'!$C$15*B1514)</f>
        <v>67.577264283694518</v>
      </c>
      <c r="I1514" s="40">
        <f t="shared" si="70"/>
        <v>79.095960362060936</v>
      </c>
      <c r="J1514" s="40">
        <f t="shared" si="71"/>
        <v>79.085608491986719</v>
      </c>
      <c r="K1514" s="38" t="str">
        <f>IF(OR(A1514&gt;180,'1.설계입력'!$C$39&gt;=1),"",'1.설계입력'!$C$34*(1-SIN(B1514)/SQRT(1+'1.설계입력'!$C$39^2-2*'1.설계입력'!$C$39*COS(B1514)))-'1.설계입력'!$C$33*(1-'1.설계입력'!$C$39*COS(B1514)-SQRT(MAX(0,1-'1.설계입력'!$C$39^2))*SIN(B1514))/SQRT(1+'1.설계입력'!$C$39^2-2*'1.설계입력'!$C$39*COS(B1514)))</f>
        <v/>
      </c>
    </row>
    <row r="1515" spans="1:11" x14ac:dyDescent="0.3">
      <c r="A1515" s="40">
        <f>A1514+'1.설계입력'!$C$12</f>
        <v>301.79999999999143</v>
      </c>
      <c r="B1515" s="40">
        <f t="shared" si="69"/>
        <v>5.2674036825187374</v>
      </c>
      <c r="C1515" s="40">
        <f>ATAN2('1.설계입력'!$C$6/('1.설계입력'!$C$8*'1.설계입력'!$C$15)-COS((1-'1.설계입력'!$C$15)*B1515),SIN((1-'1.설계입력'!$C$15)*B1515))</f>
        <v>0.50415152838115784</v>
      </c>
      <c r="D1515" s="40">
        <f>'1.설계입력'!$C$6*COS(B1515)-'1.설계입력'!$C$7*COS(B1515+C1515)-'1.설계입력'!$C$8*COS('1.설계입력'!$C$15*B1515)</f>
        <v>41.18980634161953</v>
      </c>
      <c r="E1515" s="40">
        <f>-'1.설계입력'!$C$6*SIN(B1515)+'1.설계입력'!$C$7*SIN(B1515+C1515)+'1.설계입력'!$C$8*SIN('1.설계입력'!$C$15*B1515)</f>
        <v>67.420936267782011</v>
      </c>
      <c r="F1515" s="40">
        <f>ATAN2(('1.설계입력'!$C$6+'1.설계입력'!$C$33)/('1.설계입력'!$C$8*'1.설계입력'!$C$15)-COS((1-'1.설계입력'!$C$15)*B1515),SIN((1-'1.설계입력'!$C$15)*B1515))</f>
        <v>0.50416434273033151</v>
      </c>
      <c r="G1515" s="40">
        <f>('1.설계입력'!$C$6+'1.설계입력'!$C$33)*COS(B1515)-('1.설계입력'!$C$7+'1.설계입력'!$C$34)*COS(B1515+F1515)-'1.설계입력'!$C$8*COS('1.설계입력'!$C$15*B1515)</f>
        <v>41.181084857200972</v>
      </c>
      <c r="H1515" s="40">
        <f>-('1.설계입력'!$C$6+'1.설계입력'!$C$33)*SIN(B1515)+('1.설계입력'!$C$7+'1.설계입력'!$C$34)*SIN(B1515+F1515)+'1.설계입력'!$C$8*SIN('1.설계입력'!$C$15*B1515)</f>
        <v>67.414380630894982</v>
      </c>
      <c r="I1515" s="40">
        <f t="shared" si="70"/>
        <v>79.007485681322905</v>
      </c>
      <c r="J1515" s="40">
        <f t="shared" si="71"/>
        <v>78.997344676028035</v>
      </c>
      <c r="K1515" s="38" t="str">
        <f>IF(OR(A1515&gt;180,'1.설계입력'!$C$39&gt;=1),"",'1.설계입력'!$C$34*(1-SIN(B1515)/SQRT(1+'1.설계입력'!$C$39^2-2*'1.설계입력'!$C$39*COS(B1515)))-'1.설계입력'!$C$33*(1-'1.설계입력'!$C$39*COS(B1515)-SQRT(MAX(0,1-'1.설계입력'!$C$39^2))*SIN(B1515))/SQRT(1+'1.설계입력'!$C$39^2-2*'1.설계입력'!$C$39*COS(B1515)))</f>
        <v/>
      </c>
    </row>
    <row r="1516" spans="1:11" x14ac:dyDescent="0.3">
      <c r="A1516" s="40">
        <f>A1515+'1.설계입력'!$C$12</f>
        <v>301.99999999999142</v>
      </c>
      <c r="B1516" s="40">
        <f t="shared" si="69"/>
        <v>5.2708943410227258</v>
      </c>
      <c r="C1516" s="40">
        <f>ATAN2('1.설계입력'!$C$6/('1.설계입력'!$C$8*'1.설계입력'!$C$15)-COS((1-'1.설계입력'!$C$15)*B1516),SIN((1-'1.설계입력'!$C$15)*B1516))</f>
        <v>0.55587101044567011</v>
      </c>
      <c r="D1516" s="40">
        <f>'1.설계입력'!$C$6*COS(B1516)-'1.설계입력'!$C$7*COS(B1516+C1516)-'1.설계입력'!$C$8*COS('1.설계입력'!$C$15*B1516)</f>
        <v>41.272374175111175</v>
      </c>
      <c r="E1516" s="40">
        <f>-'1.설계입력'!$C$6*SIN(B1516)+'1.설계입력'!$C$7*SIN(B1516+C1516)+'1.설계입력'!$C$8*SIN('1.설계입력'!$C$15*B1516)</f>
        <v>67.263964224988811</v>
      </c>
      <c r="F1516" s="40">
        <f>ATAN2(('1.설계입력'!$C$6+'1.설계입력'!$C$33)/('1.설계입력'!$C$8*'1.설계입력'!$C$15)-COS((1-'1.설계입력'!$C$15)*B1516),SIN((1-'1.설계입력'!$C$15)*B1516))</f>
        <v>0.5558857187684153</v>
      </c>
      <c r="G1516" s="40">
        <f>('1.설계입력'!$C$6+'1.설계입력'!$C$33)*COS(B1516)-('1.설계입력'!$C$7+'1.설계입력'!$C$34)*COS(B1516+F1516)-'1.설계입력'!$C$8*COS('1.설계입력'!$C$15*B1516)</f>
        <v>41.263434590786545</v>
      </c>
      <c r="H1516" s="40">
        <f>-('1.설계입력'!$C$6+'1.설계입력'!$C$33)*SIN(B1516)+('1.설계입력'!$C$7+'1.설계입력'!$C$34)*SIN(B1516+F1516)+'1.설계입력'!$C$8*SIN('1.설계입력'!$C$15*B1516)</f>
        <v>67.257818221284197</v>
      </c>
      <c r="I1516" s="40">
        <f t="shared" si="70"/>
        <v>78.916726701700938</v>
      </c>
      <c r="J1516" s="40">
        <f t="shared" si="71"/>
        <v>78.906813052583914</v>
      </c>
      <c r="K1516" s="38" t="str">
        <f>IF(OR(A1516&gt;180,'1.설계입력'!$C$39&gt;=1),"",'1.설계입력'!$C$34*(1-SIN(B1516)/SQRT(1+'1.설계입력'!$C$39^2-2*'1.설계입력'!$C$39*COS(B1516)))-'1.설계입력'!$C$33*(1-'1.설계입력'!$C$39*COS(B1516)-SQRT(MAX(0,1-'1.설계입력'!$C$39^2))*SIN(B1516))/SQRT(1+'1.설계입력'!$C$39^2-2*'1.설계입력'!$C$39*COS(B1516)))</f>
        <v/>
      </c>
    </row>
    <row r="1517" spans="1:11" x14ac:dyDescent="0.3">
      <c r="A1517" s="40">
        <f>A1516+'1.설계입력'!$C$12</f>
        <v>302.19999999999141</v>
      </c>
      <c r="B1517" s="40">
        <f t="shared" si="69"/>
        <v>5.2743849995267142</v>
      </c>
      <c r="C1517" s="40">
        <f>ATAN2('1.설계입력'!$C$6/('1.설계입력'!$C$8*'1.설계입력'!$C$15)-COS((1-'1.설계입력'!$C$15)*B1517),SIN((1-'1.설계입력'!$C$15)*B1517))</f>
        <v>0.60575930584605098</v>
      </c>
      <c r="D1517" s="40">
        <f>'1.설계입력'!$C$6*COS(B1517)-'1.설계입력'!$C$7*COS(B1517+C1517)-'1.설계입력'!$C$8*COS('1.설계입력'!$C$15*B1517)</f>
        <v>41.34078596666356</v>
      </c>
      <c r="E1517" s="40">
        <f>-'1.설계입력'!$C$6*SIN(B1517)+'1.설계입력'!$C$7*SIN(B1517+C1517)+'1.설계입력'!$C$8*SIN('1.설계입력'!$C$15*B1517)</f>
        <v>67.11476233617789</v>
      </c>
      <c r="F1517" s="40">
        <f>ATAN2(('1.설계입력'!$C$6+'1.설계입력'!$C$33)/('1.설계입력'!$C$8*'1.설계입력'!$C$15)-COS((1-'1.설계입력'!$C$15)*B1517),SIN((1-'1.설계입력'!$C$15)*B1517))</f>
        <v>0.60577610173892893</v>
      </c>
      <c r="G1517" s="40">
        <f>('1.설계입력'!$C$6+'1.설계입력'!$C$33)*COS(B1517)-('1.설계입력'!$C$7+'1.설계입력'!$C$34)*COS(B1517+F1517)-'1.설계입력'!$C$8*COS('1.설계입력'!$C$15*B1517)</f>
        <v>41.331656679424057</v>
      </c>
      <c r="H1517" s="40">
        <f>-('1.설계입력'!$C$6+'1.설계입력'!$C$33)*SIN(B1517)+('1.설계입력'!$C$7+'1.설계입력'!$C$34)*SIN(B1517+F1517)+'1.설계입력'!$C$8*SIN('1.설계입력'!$C$15*B1517)</f>
        <v>67.109024101418385</v>
      </c>
      <c r="I1517" s="40">
        <f t="shared" si="70"/>
        <v>78.825452157175278</v>
      </c>
      <c r="J1517" s="40">
        <f t="shared" si="71"/>
        <v>78.815778621482465</v>
      </c>
      <c r="K1517" s="38" t="str">
        <f>IF(OR(A1517&gt;180,'1.설계입력'!$C$39&gt;=1),"",'1.설계입력'!$C$34*(1-SIN(B1517)/SQRT(1+'1.설계입력'!$C$39^2-2*'1.설계입력'!$C$39*COS(B1517)))-'1.설계입력'!$C$33*(1-'1.설계입력'!$C$39*COS(B1517)-SQRT(MAX(0,1-'1.설계입력'!$C$39^2))*SIN(B1517))/SQRT(1+'1.설계입력'!$C$39^2-2*'1.설계입력'!$C$39*COS(B1517)))</f>
        <v/>
      </c>
    </row>
    <row r="1518" spans="1:11" x14ac:dyDescent="0.3">
      <c r="A1518" s="40">
        <f>A1517+'1.설계입력'!$C$12</f>
        <v>302.39999999999139</v>
      </c>
      <c r="B1518" s="40">
        <f t="shared" si="69"/>
        <v>5.2778756580307027</v>
      </c>
      <c r="C1518" s="40">
        <f>ATAN2('1.설계입력'!$C$6/('1.설계입력'!$C$8*'1.설계입력'!$C$15)-COS((1-'1.설계입력'!$C$15)*B1518),SIN((1-'1.설계입력'!$C$15)*B1518))</f>
        <v>0.65330378416533086</v>
      </c>
      <c r="D1518" s="40">
        <f>'1.설계입력'!$C$6*COS(B1518)-'1.설계입력'!$C$7*COS(B1518+C1518)-'1.설계입력'!$C$8*COS('1.설계입력'!$C$15*B1518)</f>
        <v>41.396590612539299</v>
      </c>
      <c r="E1518" s="40">
        <f>-'1.설계입력'!$C$6*SIN(B1518)+'1.설계입력'!$C$7*SIN(B1518+C1518)+'1.설계입력'!$C$8*SIN('1.설계입력'!$C$15*B1518)</f>
        <v>66.974086527941822</v>
      </c>
      <c r="F1518" s="40">
        <f>ATAN2(('1.설계입력'!$C$6+'1.설계입력'!$C$33)/('1.설계입력'!$C$8*'1.설계입력'!$C$15)-COS((1-'1.설계입력'!$C$15)*B1518),SIN((1-'1.설계입력'!$C$15)*B1518))</f>
        <v>0.65332290995428899</v>
      </c>
      <c r="G1518" s="40">
        <f>('1.설계입력'!$C$6+'1.설계입력'!$C$33)*COS(B1518)-('1.설계입력'!$C$7+'1.설계입력'!$C$34)*COS(B1518+F1518)-'1.설계입력'!$C$8*COS('1.설계입력'!$C$15*B1518)</f>
        <v>41.387299787450594</v>
      </c>
      <c r="H1518" s="40">
        <f>-('1.설계입력'!$C$6+'1.설계입력'!$C$33)*SIN(B1518)+('1.설계입력'!$C$7+'1.설계입력'!$C$34)*SIN(B1518+F1518)+'1.설계입력'!$C$8*SIN('1.설계입력'!$C$15*B1518)</f>
        <v>66.968748340151635</v>
      </c>
      <c r="I1518" s="40">
        <f t="shared" si="70"/>
        <v>78.735036550410101</v>
      </c>
      <c r="J1518" s="40">
        <f t="shared" si="71"/>
        <v>78.725611067446593</v>
      </c>
      <c r="K1518" s="38" t="str">
        <f>IF(OR(A1518&gt;180,'1.설계입력'!$C$39&gt;=1),"",'1.설계입력'!$C$34*(1-SIN(B1518)/SQRT(1+'1.설계입력'!$C$39^2-2*'1.설계입력'!$C$39*COS(B1518)))-'1.설계입력'!$C$33*(1-'1.설계입력'!$C$39*COS(B1518)-SQRT(MAX(0,1-'1.설계입력'!$C$39^2))*SIN(B1518))/SQRT(1+'1.설계입력'!$C$39^2-2*'1.설계입력'!$C$39*COS(B1518)))</f>
        <v/>
      </c>
    </row>
    <row r="1519" spans="1:11" x14ac:dyDescent="0.3">
      <c r="A1519" s="40">
        <f>A1518+'1.설계입력'!$C$12</f>
        <v>302.59999999999138</v>
      </c>
      <c r="B1519" s="40">
        <f t="shared" si="69"/>
        <v>5.2813663165346911</v>
      </c>
      <c r="C1519" s="40">
        <f>ATAN2('1.설계입력'!$C$6/('1.설계입력'!$C$8*'1.설계입력'!$C$15)-COS((1-'1.설계입력'!$C$15)*B1519),SIN((1-'1.설계입력'!$C$15)*B1519))</f>
        <v>0.69780827510801924</v>
      </c>
      <c r="D1519" s="40">
        <f>'1.설계입력'!$C$6*COS(B1519)-'1.설계입력'!$C$7*COS(B1519+C1519)-'1.설계입력'!$C$8*COS('1.설계입력'!$C$15*B1519)</f>
        <v>41.441639826527961</v>
      </c>
      <c r="E1519" s="40">
        <f>-'1.설계입력'!$C$6*SIN(B1519)+'1.설계입력'!$C$7*SIN(B1519+C1519)+'1.설계입력'!$C$8*SIN('1.설계입력'!$C$15*B1519)</f>
        <v>66.841711389123546</v>
      </c>
      <c r="F1519" s="40">
        <f>ATAN2(('1.설계입력'!$C$6+'1.설계입력'!$C$33)/('1.설계입력'!$C$8*'1.설계입력'!$C$15)-COS((1-'1.설계입력'!$C$15)*B1519),SIN((1-'1.설계입력'!$C$15)*B1519))</f>
        <v>0.69783003594385407</v>
      </c>
      <c r="G1519" s="40">
        <f>('1.설계입력'!$C$6+'1.설계입력'!$C$33)*COS(B1519)-('1.설계입력'!$C$7+'1.설계입력'!$C$34)*COS(B1519+F1519)-'1.설계입력'!$C$8*COS('1.설계입력'!$C$15*B1519)</f>
        <v>41.432214966017753</v>
      </c>
      <c r="H1519" s="40">
        <f>-('1.설계입력'!$C$6+'1.설계입력'!$C$33)*SIN(B1519)+('1.설계입력'!$C$7+'1.설계입력'!$C$34)*SIN(B1519+F1519)+'1.설계입력'!$C$8*SIN('1.설계입력'!$C$15*B1519)</f>
        <v>66.836758276842644</v>
      </c>
      <c r="I1519" s="40">
        <f t="shared" si="70"/>
        <v>78.646194395778338</v>
      </c>
      <c r="J1519" s="40">
        <f t="shared" si="71"/>
        <v>78.637018597778734</v>
      </c>
      <c r="K1519" s="38" t="str">
        <f>IF(OR(A1519&gt;180,'1.설계입력'!$C$39&gt;=1),"",'1.설계입력'!$C$34*(1-SIN(B1519)/SQRT(1+'1.설계입력'!$C$39^2-2*'1.설계입력'!$C$39*COS(B1519)))-'1.설계입력'!$C$33*(1-'1.설계입력'!$C$39*COS(B1519)-SQRT(MAX(0,1-'1.설계입력'!$C$39^2))*SIN(B1519))/SQRT(1+'1.설계입력'!$C$39^2-2*'1.설계입력'!$C$39*COS(B1519)))</f>
        <v/>
      </c>
    </row>
    <row r="1520" spans="1:11" x14ac:dyDescent="0.3">
      <c r="A1520" s="40">
        <f>A1519+'1.설계입력'!$C$12</f>
        <v>302.79999999999137</v>
      </c>
      <c r="B1520" s="40">
        <f t="shared" si="69"/>
        <v>5.2848569750386796</v>
      </c>
      <c r="C1520" s="40">
        <f>ATAN2('1.설계입력'!$C$6/('1.설계입력'!$C$8*'1.설계입력'!$C$15)-COS((1-'1.설계입력'!$C$15)*B1520),SIN((1-'1.설계입력'!$C$15)*B1520))</f>
        <v>0.73830116196500306</v>
      </c>
      <c r="D1520" s="40">
        <f>'1.설계입력'!$C$6*COS(B1520)-'1.설계입력'!$C$7*COS(B1520+C1520)-'1.설계입력'!$C$8*COS('1.설계입력'!$C$15*B1520)</f>
        <v>41.478033484753936</v>
      </c>
      <c r="E1520" s="40">
        <f>-'1.설계입력'!$C$6*SIN(B1520)+'1.설계입력'!$C$7*SIN(B1520+C1520)+'1.설계입력'!$C$8*SIN('1.설계입력'!$C$15*B1520)</f>
        <v>66.716018121116434</v>
      </c>
      <c r="F1520" s="40">
        <f>ATAN2(('1.설계입력'!$C$6+'1.설계입력'!$C$33)/('1.설계입력'!$C$8*'1.설계입력'!$C$15)-COS((1-'1.설계입력'!$C$15)*B1520),SIN((1-'1.설계입력'!$C$15)*B1520))</f>
        <v>0.7383259446926228</v>
      </c>
      <c r="G1520" s="40">
        <f>('1.설계입력'!$C$6+'1.설계입력'!$C$33)*COS(B1520)-('1.설계입력'!$C$7+'1.설계입력'!$C$34)*COS(B1520+F1520)-'1.설계입력'!$C$8*COS('1.설계입력'!$C$15*B1520)</f>
        <v>41.46850094940573</v>
      </c>
      <c r="H1520" s="40">
        <f>-('1.설계입력'!$C$6+'1.설계입력'!$C$33)*SIN(B1520)+('1.설계입력'!$C$7+'1.설계입력'!$C$34)*SIN(B1520+F1520)+'1.설계입력'!$C$8*SIN('1.설계입력'!$C$15*B1520)</f>
        <v>66.711425792228681</v>
      </c>
      <c r="I1520" s="40">
        <f t="shared" si="70"/>
        <v>78.558604466344136</v>
      </c>
      <c r="J1520" s="40">
        <f t="shared" si="71"/>
        <v>78.549671560248413</v>
      </c>
      <c r="K1520" s="38" t="str">
        <f>IF(OR(A1520&gt;180,'1.설계입력'!$C$39&gt;=1),"",'1.설계입력'!$C$34*(1-SIN(B1520)/SQRT(1+'1.설계입력'!$C$39^2-2*'1.설계입력'!$C$39*COS(B1520)))-'1.설계입력'!$C$33*(1-'1.설계입력'!$C$39*COS(B1520)-SQRT(MAX(0,1-'1.설계입력'!$C$39^2))*SIN(B1520))/SQRT(1+'1.설계입력'!$C$39^2-2*'1.설계입력'!$C$39*COS(B1520)))</f>
        <v/>
      </c>
    </row>
    <row r="1521" spans="1:11" x14ac:dyDescent="0.3">
      <c r="A1521" s="40">
        <f>A1520+'1.설계입력'!$C$12</f>
        <v>302.99999999999136</v>
      </c>
      <c r="B1521" s="40">
        <f t="shared" si="69"/>
        <v>5.288347633542668</v>
      </c>
      <c r="C1521" s="40">
        <f>ATAN2('1.설계입력'!$C$6/('1.설계입력'!$C$8*'1.설계입력'!$C$15)-COS((1-'1.설계입력'!$C$15)*B1521),SIN((1-'1.설계입력'!$C$15)*B1521))</f>
        <v>0.77338463111273248</v>
      </c>
      <c r="D1521" s="40">
        <f>'1.설계입력'!$C$6*COS(B1521)-'1.설계입력'!$C$7*COS(B1521+C1521)-'1.설계입력'!$C$8*COS('1.설계입력'!$C$15*B1521)</f>
        <v>41.50808358203787</v>
      </c>
      <c r="E1521" s="40">
        <f>-'1.설계입력'!$C$6*SIN(B1521)+'1.설계입력'!$C$7*SIN(B1521+C1521)+'1.설계입력'!$C$8*SIN('1.설계입력'!$C$15*B1521)</f>
        <v>66.593358815069791</v>
      </c>
      <c r="F1521" s="40">
        <f>ATAN2(('1.설계입력'!$C$6+'1.설계입력'!$C$33)/('1.설계입력'!$C$8*'1.설계입력'!$C$15)-COS((1-'1.설계입력'!$C$15)*B1521),SIN((1-'1.설계입력'!$C$15)*B1521))</f>
        <v>0.77341292880080392</v>
      </c>
      <c r="G1521" s="40">
        <f>('1.설계입력'!$C$6+'1.설계입력'!$C$33)*COS(B1521)-('1.설계입력'!$C$7+'1.설계입력'!$C$34)*COS(B1521+F1521)-'1.설계입력'!$C$8*COS('1.설계입력'!$C$15*B1521)</f>
        <v>41.498468097682739</v>
      </c>
      <c r="H1521" s="40">
        <f>-('1.설계입력'!$C$6+'1.설계입력'!$C$33)*SIN(B1521)+('1.설계입력'!$C$7+'1.설계입력'!$C$34)*SIN(B1521+F1521)+'1.설계입력'!$C$8*SIN('1.설계입력'!$C$15*B1521)</f>
        <v>66.589090442789967</v>
      </c>
      <c r="I1521" s="40">
        <f t="shared" si="70"/>
        <v>78.470353898310378</v>
      </c>
      <c r="J1521" s="40">
        <f t="shared" si="71"/>
        <v>78.461645537501028</v>
      </c>
      <c r="K1521" s="38" t="str">
        <f>IF(OR(A1521&gt;180,'1.설계입력'!$C$39&gt;=1),"",'1.설계입력'!$C$34*(1-SIN(B1521)/SQRT(1+'1.설계입력'!$C$39^2-2*'1.설계입력'!$C$39*COS(B1521)))-'1.설계입력'!$C$33*(1-'1.설계입력'!$C$39*COS(B1521)-SQRT(MAX(0,1-'1.설계입력'!$C$39^2))*SIN(B1521))/SQRT(1+'1.설계입력'!$C$39^2-2*'1.설계입력'!$C$39*COS(B1521)))</f>
        <v/>
      </c>
    </row>
    <row r="1522" spans="1:11" x14ac:dyDescent="0.3">
      <c r="A1522" s="40">
        <f>A1521+'1.설계입력'!$C$12</f>
        <v>303.19999999999135</v>
      </c>
      <c r="B1522" s="40">
        <f t="shared" si="69"/>
        <v>5.2918382920466565</v>
      </c>
      <c r="C1522" s="40">
        <f>ATAN2('1.설계입력'!$C$6/('1.설계입력'!$C$8*'1.설계입력'!$C$15)-COS((1-'1.설계입력'!$C$15)*B1522),SIN((1-'1.설계입력'!$C$15)*B1522))</f>
        <v>0.80097792689249792</v>
      </c>
      <c r="D1522" s="40">
        <f>'1.설계입력'!$C$6*COS(B1522)-'1.설계입력'!$C$7*COS(B1522+C1522)-'1.설계입력'!$C$8*COS('1.설계입력'!$C$15*B1522)</f>
        <v>41.534356365973842</v>
      </c>
      <c r="E1522" s="40">
        <f>-'1.설계입력'!$C$6*SIN(B1522)+'1.설계입력'!$C$7*SIN(B1522+C1522)+'1.설계입력'!$C$8*SIN('1.설계입력'!$C$15*B1522)</f>
        <v>66.467012608515844</v>
      </c>
      <c r="F1522" s="40">
        <f>ATAN2(('1.설계입력'!$C$6+'1.설계입력'!$C$33)/('1.설계입력'!$C$8*'1.설계입력'!$C$15)-COS((1-'1.설계입력'!$C$15)*B1522),SIN((1-'1.설계입력'!$C$15)*B1522))</f>
        <v>0.80101036800658443</v>
      </c>
      <c r="G1522" s="40">
        <f>('1.설계입력'!$C$6+'1.설계입력'!$C$33)*COS(B1522)-('1.설계입력'!$C$7+'1.설계입력'!$C$34)*COS(B1522+F1522)-'1.설계입력'!$C$8*COS('1.설계입력'!$C$15*B1522)</f>
        <v>41.52468064897964</v>
      </c>
      <c r="H1522" s="40">
        <f>-('1.설계입력'!$C$6+'1.설계입력'!$C$33)*SIN(B1522)+('1.설계입력'!$C$7+'1.설계입력'!$C$34)*SIN(B1522+F1522)+'1.설계입력'!$C$8*SIN('1.설계입력'!$C$15*B1522)</f>
        <v>66.463013625001395</v>
      </c>
      <c r="I1522" s="40">
        <f t="shared" si="70"/>
        <v>78.377079071858219</v>
      </c>
      <c r="J1522" s="40">
        <f t="shared" si="71"/>
        <v>78.368560552793525</v>
      </c>
      <c r="K1522" s="38" t="str">
        <f>IF(OR(A1522&gt;180,'1.설계입력'!$C$39&gt;=1),"",'1.설계입력'!$C$34*(1-SIN(B1522)/SQRT(1+'1.설계입력'!$C$39^2-2*'1.설계입력'!$C$39*COS(B1522)))-'1.설계입력'!$C$33*(1-'1.설계입력'!$C$39*COS(B1522)-SQRT(MAX(0,1-'1.설계입력'!$C$39^2))*SIN(B1522))/SQRT(1+'1.설계입력'!$C$39^2-2*'1.설계입력'!$C$39*COS(B1522)))</f>
        <v/>
      </c>
    </row>
    <row r="1523" spans="1:11" x14ac:dyDescent="0.3">
      <c r="A1523" s="40">
        <f>A1522+'1.설계입력'!$C$12</f>
        <v>303.39999999999134</v>
      </c>
      <c r="B1523" s="40">
        <f t="shared" si="69"/>
        <v>5.2953289505506449</v>
      </c>
      <c r="C1523" s="40">
        <f>ATAN2('1.설계입력'!$C$6/('1.설계입력'!$C$8*'1.설계입력'!$C$15)-COS((1-'1.설계입력'!$C$15)*B1523),SIN((1-'1.설계입력'!$C$15)*B1523))</f>
        <v>0.81786223373198985</v>
      </c>
      <c r="D1523" s="40">
        <f>'1.설계입력'!$C$6*COS(B1523)-'1.설계입력'!$C$7*COS(B1523+C1523)-'1.설계입력'!$C$8*COS('1.설계입력'!$C$15*B1523)</f>
        <v>41.559960485589052</v>
      </c>
      <c r="E1523" s="40">
        <f>-'1.설계입력'!$C$6*SIN(B1523)+'1.설계입력'!$C$7*SIN(B1523+C1523)+'1.설계입력'!$C$8*SIN('1.설계입력'!$C$15*B1523)</f>
        <v>66.325374971471021</v>
      </c>
      <c r="F1523" s="40">
        <f>ATAN2(('1.설계입력'!$C$6+'1.설계입력'!$C$33)/('1.설계입력'!$C$8*'1.설계입력'!$C$15)-COS((1-'1.설계입력'!$C$15)*B1523),SIN((1-'1.설계입력'!$C$15)*B1523))</f>
        <v>0.81789960710202381</v>
      </c>
      <c r="G1523" s="40">
        <f>('1.설계입력'!$C$6+'1.설계입력'!$C$33)*COS(B1523)-('1.설계입력'!$C$7+'1.설계입력'!$C$34)*COS(B1523+F1523)-'1.설계입력'!$C$8*COS('1.설계입력'!$C$15*B1523)</f>
        <v>41.550245411381887</v>
      </c>
      <c r="H1523" s="40">
        <f>-('1.설계입력'!$C$6+'1.설계입력'!$C$33)*SIN(B1523)+('1.설계입력'!$C$7+'1.설계입력'!$C$34)*SIN(B1523+F1523)+'1.설계입력'!$C$8*SIN('1.설계입력'!$C$15*B1523)</f>
        <v>66.321564250465471</v>
      </c>
      <c r="I1523" s="40">
        <f t="shared" si="70"/>
        <v>78.270592693999433</v>
      </c>
      <c r="J1523" s="40">
        <f t="shared" si="71"/>
        <v>78.262205299714637</v>
      </c>
      <c r="K1523" s="38" t="str">
        <f>IF(OR(A1523&gt;180,'1.설계입력'!$C$39&gt;=1),"",'1.설계입력'!$C$34*(1-SIN(B1523)/SQRT(1+'1.설계입력'!$C$39^2-2*'1.설계입력'!$C$39*COS(B1523)))-'1.설계입력'!$C$33*(1-'1.설계입력'!$C$39*COS(B1523)-SQRT(MAX(0,1-'1.설계입력'!$C$39^2))*SIN(B1523))/SQRT(1+'1.설계입력'!$C$39^2-2*'1.설계입력'!$C$39*COS(B1523)))</f>
        <v/>
      </c>
    </row>
    <row r="1524" spans="1:11" x14ac:dyDescent="0.3">
      <c r="A1524" s="40">
        <f>A1523+'1.설계입력'!$C$12</f>
        <v>303.59999999999133</v>
      </c>
      <c r="B1524" s="40">
        <f t="shared" si="69"/>
        <v>5.2988196090546333</v>
      </c>
      <c r="C1524" s="40">
        <f>ATAN2('1.설계입력'!$C$6/('1.설계입력'!$C$8*'1.설계입력'!$C$15)-COS((1-'1.설계입력'!$C$15)*B1524),SIN((1-'1.설계입력'!$C$15)*B1524))</f>
        <v>0.81884168922144362</v>
      </c>
      <c r="D1524" s="40">
        <f>'1.설계입력'!$C$6*COS(B1524)-'1.설계입력'!$C$7*COS(B1524+C1524)-'1.설계입력'!$C$8*COS('1.설계입력'!$C$15*B1524)</f>
        <v>41.589571131900705</v>
      </c>
      <c r="E1524" s="40">
        <f>-'1.설계입력'!$C$6*SIN(B1524)+'1.설계입력'!$C$7*SIN(B1524+C1524)+'1.설계입력'!$C$8*SIN('1.설계입력'!$C$15*B1524)</f>
        <v>66.148682093515674</v>
      </c>
      <c r="F1524" s="40">
        <f>ATAN2(('1.설계입력'!$C$6+'1.설계입력'!$C$33)/('1.설계입력'!$C$8*'1.설계입력'!$C$15)-COS((1-'1.설계입력'!$C$15)*B1524),SIN((1-'1.설계입력'!$C$15)*B1524))</f>
        <v>0.81888492743591956</v>
      </c>
      <c r="G1524" s="40">
        <f>('1.설계입력'!$C$6+'1.설계입력'!$C$33)*COS(B1524)-('1.설계입력'!$C$7+'1.설계입력'!$C$34)*COS(B1524+F1524)-'1.설계입력'!$C$8*COS('1.설계입력'!$C$15*B1524)</f>
        <v>41.57983777636543</v>
      </c>
      <c r="H1524" s="40">
        <f>-('1.설계입력'!$C$6+'1.설계입력'!$C$33)*SIN(B1524)+('1.설계입력'!$C$7+'1.설계입력'!$C$34)*SIN(B1524+F1524)+'1.설계입력'!$C$8*SIN('1.설계입력'!$C$15*B1524)</f>
        <v>66.144936342170254</v>
      </c>
      <c r="I1524" s="40">
        <f t="shared" si="70"/>
        <v>78.136678772804444</v>
      </c>
      <c r="J1524" s="40">
        <f t="shared" si="71"/>
        <v>78.128327213748932</v>
      </c>
      <c r="K1524" s="38" t="str">
        <f>IF(OR(A1524&gt;180,'1.설계입력'!$C$39&gt;=1),"",'1.설계입력'!$C$34*(1-SIN(B1524)/SQRT(1+'1.설계입력'!$C$39^2-2*'1.설계입력'!$C$39*COS(B1524)))-'1.설계입력'!$C$33*(1-'1.설계입력'!$C$39*COS(B1524)-SQRT(MAX(0,1-'1.설계입력'!$C$39^2))*SIN(B1524))/SQRT(1+'1.설계입력'!$C$39^2-2*'1.설계입력'!$C$39*COS(B1524)))</f>
        <v/>
      </c>
    </row>
    <row r="1525" spans="1:11" x14ac:dyDescent="0.3">
      <c r="A1525" s="40">
        <f>A1524+'1.설계입력'!$C$12</f>
        <v>303.79999999999131</v>
      </c>
      <c r="B1525" s="40">
        <f t="shared" si="69"/>
        <v>5.3023102675586218</v>
      </c>
      <c r="C1525" s="40">
        <f>ATAN2('1.설계입력'!$C$6/('1.설계입력'!$C$8*'1.설계입력'!$C$15)-COS((1-'1.설계입력'!$C$15)*B1525),SIN((1-'1.설계입력'!$C$15)*B1525))</f>
        <v>0.79515308191683964</v>
      </c>
      <c r="D1525" s="40">
        <f>'1.설계입력'!$C$6*COS(B1525)-'1.설계입력'!$C$7*COS(B1525+C1525)-'1.설계입력'!$C$8*COS('1.설계입력'!$C$15*B1525)</f>
        <v>41.632678454528822</v>
      </c>
      <c r="E1525" s="40">
        <f>-'1.설계입력'!$C$6*SIN(B1525)+'1.설계입력'!$C$7*SIN(B1525+C1525)+'1.설계입력'!$C$8*SIN('1.설계입력'!$C$15*B1525)</f>
        <v>65.903015744266341</v>
      </c>
      <c r="F1525" s="40">
        <f>ATAN2(('1.설계입력'!$C$6+'1.설계입력'!$C$33)/('1.설계입력'!$C$8*'1.설계입력'!$C$15)-COS((1-'1.설계입력'!$C$15)*B1525),SIN((1-'1.설계입력'!$C$15)*B1525))</f>
        <v>0.7952030644707031</v>
      </c>
      <c r="G1525" s="40">
        <f>('1.설계입력'!$C$6+'1.설계입력'!$C$33)*COS(B1525)-('1.설계입력'!$C$7+'1.설계입력'!$C$34)*COS(B1525+F1525)-'1.설계입력'!$C$8*COS('1.설계입력'!$C$15*B1525)</f>
        <v>41.622956244080868</v>
      </c>
      <c r="H1525" s="40">
        <f>-('1.설계입력'!$C$6+'1.설계입력'!$C$33)*SIN(B1525)+('1.설계입력'!$C$7+'1.설계입력'!$C$34)*SIN(B1525+F1525)+'1.설계입력'!$C$8*SIN('1.설계입력'!$C$15*B1525)</f>
        <v>65.899140868682707</v>
      </c>
      <c r="I1525" s="40">
        <f t="shared" si="70"/>
        <v>77.951827428785819</v>
      </c>
      <c r="J1525" s="40">
        <f t="shared" si="71"/>
        <v>77.943359266374699</v>
      </c>
      <c r="K1525" s="38" t="str">
        <f>IF(OR(A1525&gt;180,'1.설계입력'!$C$39&gt;=1),"",'1.설계입력'!$C$34*(1-SIN(B1525)/SQRT(1+'1.설계입력'!$C$39^2-2*'1.설계입력'!$C$39*COS(B1525)))-'1.설계입력'!$C$33*(1-'1.설계입력'!$C$39*COS(B1525)-SQRT(MAX(0,1-'1.설계입력'!$C$39^2))*SIN(B1525))/SQRT(1+'1.설계입력'!$C$39^2-2*'1.설계입력'!$C$39*COS(B1525)))</f>
        <v/>
      </c>
    </row>
    <row r="1526" spans="1:11" x14ac:dyDescent="0.3">
      <c r="A1526" s="40">
        <f>A1525+'1.설계입력'!$C$12</f>
        <v>303.9999999999913</v>
      </c>
      <c r="B1526" s="40">
        <f t="shared" si="69"/>
        <v>5.3058009260626102</v>
      </c>
      <c r="C1526" s="40">
        <f>ATAN2('1.설계입력'!$C$6/('1.설계입력'!$C$8*'1.설계입력'!$C$15)-COS((1-'1.설계입력'!$C$15)*B1526),SIN((1-'1.설계입력'!$C$15)*B1526))</f>
        <v>0.73150594025006144</v>
      </c>
      <c r="D1526" s="40">
        <f>'1.설계입력'!$C$6*COS(B1526)-'1.설계입력'!$C$7*COS(B1526+C1526)-'1.설계입력'!$C$8*COS('1.설계입력'!$C$15*B1526)</f>
        <v>41.713650300881305</v>
      </c>
      <c r="E1526" s="40">
        <f>-'1.설계입력'!$C$6*SIN(B1526)+'1.설계입력'!$C$7*SIN(B1526+C1526)+'1.설계입력'!$C$8*SIN('1.설계입력'!$C$15*B1526)</f>
        <v>65.530235562534699</v>
      </c>
      <c r="F1526" s="40">
        <f>ATAN2(('1.설계입력'!$C$6+'1.설계입력'!$C$33)/('1.설계입력'!$C$8*'1.설계입력'!$C$15)-COS((1-'1.설계입력'!$C$15)*B1526),SIN((1-'1.설계입력'!$C$15)*B1526))</f>
        <v>0.73156262495316648</v>
      </c>
      <c r="G1526" s="40">
        <f>('1.설계입력'!$C$6+'1.설계입력'!$C$33)*COS(B1526)-('1.설계입력'!$C$7+'1.설계입력'!$C$34)*COS(B1526+F1526)-'1.설계입력'!$C$8*COS('1.설계입력'!$C$15*B1526)</f>
        <v>41.704005123803348</v>
      </c>
      <c r="H1526" s="40">
        <f>-('1.설계입력'!$C$6+'1.설계입력'!$C$33)*SIN(B1526)+('1.설계입력'!$C$7+'1.설계입력'!$C$34)*SIN(B1526+F1526)+'1.설계입력'!$C$8*SIN('1.설계입력'!$C$15*B1526)</f>
        <v>65.525914303993474</v>
      </c>
      <c r="I1526" s="40">
        <f t="shared" si="70"/>
        <v>77.680373288917082</v>
      </c>
      <c r="J1526" s="40">
        <f t="shared" si="71"/>
        <v>77.671548772639468</v>
      </c>
      <c r="K1526" s="38" t="str">
        <f>IF(OR(A1526&gt;180,'1.설계입력'!$C$39&gt;=1),"",'1.설계입력'!$C$34*(1-SIN(B1526)/SQRT(1+'1.설계입력'!$C$39^2-2*'1.설계입력'!$C$39*COS(B1526)))-'1.설계입력'!$C$33*(1-'1.설계입력'!$C$39*COS(B1526)-SQRT(MAX(0,1-'1.설계입력'!$C$39^2))*SIN(B1526))/SQRT(1+'1.설계입력'!$C$39^2-2*'1.설계입력'!$C$39*COS(B1526)))</f>
        <v/>
      </c>
    </row>
    <row r="1527" spans="1:11" x14ac:dyDescent="0.3">
      <c r="A1527" s="40">
        <f>A1526+'1.설계입력'!$C$12</f>
        <v>304.19999999999129</v>
      </c>
      <c r="B1527" s="40">
        <f t="shared" si="69"/>
        <v>5.3092915845665987</v>
      </c>
      <c r="C1527" s="40">
        <f>ATAN2('1.설계입력'!$C$6/('1.설계입력'!$C$8*'1.설계입력'!$C$15)-COS((1-'1.설계입력'!$C$15)*B1527),SIN((1-'1.설계입력'!$C$15)*B1527))</f>
        <v>0.60163483561187914</v>
      </c>
      <c r="D1527" s="40">
        <f>'1.설계입력'!$C$6*COS(B1527)-'1.설계입력'!$C$7*COS(B1527+C1527)-'1.설계입력'!$C$8*COS('1.설계입력'!$C$15*B1527)</f>
        <v>41.901279015230443</v>
      </c>
      <c r="E1527" s="40">
        <f>-'1.설계입력'!$C$6*SIN(B1527)+'1.설계입력'!$C$7*SIN(B1527+C1527)+'1.설계입력'!$C$8*SIN('1.설계입력'!$C$15*B1527)</f>
        <v>64.939140197227573</v>
      </c>
      <c r="F1527" s="40">
        <f>ATAN2(('1.설계입력'!$C$6+'1.설계입력'!$C$33)/('1.설계입력'!$C$8*'1.설계입력'!$C$15)-COS((1-'1.설계입력'!$C$15)*B1527),SIN((1-'1.설계입력'!$C$15)*B1527))</f>
        <v>0.60169416592967551</v>
      </c>
      <c r="G1527" s="40">
        <f>('1.설계입력'!$C$6+'1.설계입력'!$C$33)*COS(B1527)-('1.설계입력'!$C$7+'1.설계입력'!$C$34)*COS(B1527+F1527)-'1.설계입력'!$C$8*COS('1.설계입력'!$C$15*B1527)</f>
        <v>41.891904854150653</v>
      </c>
      <c r="H1527" s="40">
        <f>-('1.설계입력'!$C$6+'1.설계입력'!$C$33)*SIN(B1527)+('1.설계입력'!$C$7+'1.설계입력'!$C$34)*SIN(B1527+F1527)+'1.설계입력'!$C$8*SIN('1.설계입력'!$C$15*B1527)</f>
        <v>64.933851628073398</v>
      </c>
      <c r="I1527" s="40">
        <f t="shared" si="70"/>
        <v>77.28395119730466</v>
      </c>
      <c r="J1527" s="40">
        <f t="shared" si="71"/>
        <v>77.274425132548615</v>
      </c>
      <c r="K1527" s="38" t="str">
        <f>IF(OR(A1527&gt;180,'1.설계입력'!$C$39&gt;=1),"",'1.설계입력'!$C$34*(1-SIN(B1527)/SQRT(1+'1.설계입력'!$C$39^2-2*'1.설계입력'!$C$39*COS(B1527)))-'1.설계입력'!$C$33*(1-'1.설계입력'!$C$39*COS(B1527)-SQRT(MAX(0,1-'1.설계입력'!$C$39^2))*SIN(B1527))/SQRT(1+'1.설계입력'!$C$39^2-2*'1.설계입력'!$C$39*COS(B1527)))</f>
        <v/>
      </c>
    </row>
    <row r="1528" spans="1:11" x14ac:dyDescent="0.3">
      <c r="A1528" s="40">
        <f>A1527+'1.설계입력'!$C$12</f>
        <v>304.39999999999128</v>
      </c>
      <c r="B1528" s="40">
        <f t="shared" si="69"/>
        <v>5.3127822430705871</v>
      </c>
      <c r="C1528" s="40">
        <f>ATAN2('1.설계입력'!$C$6/('1.설계입력'!$C$8*'1.설계입력'!$C$15)-COS((1-'1.설계입력'!$C$15)*B1528),SIN((1-'1.설계입력'!$C$15)*B1528))</f>
        <v>0.36932190356690087</v>
      </c>
      <c r="D1528" s="40">
        <f>'1.설계입력'!$C$6*COS(B1528)-'1.설계입력'!$C$7*COS(B1528+C1528)-'1.설계입력'!$C$8*COS('1.설계입력'!$C$15*B1528)</f>
        <v>42.370838906678109</v>
      </c>
      <c r="E1528" s="40">
        <f>-'1.설계입력'!$C$6*SIN(B1528)+'1.설계입력'!$C$7*SIN(B1528+C1528)+'1.설계입력'!$C$8*SIN('1.설계입력'!$C$15*B1528)</f>
        <v>64.048977935316614</v>
      </c>
      <c r="F1528" s="40">
        <f>ATAN2(('1.설계입력'!$C$6+'1.설계입력'!$C$33)/('1.설계입력'!$C$8*'1.설계입력'!$C$15)-COS((1-'1.설계입력'!$C$15)*B1528),SIN((1-'1.설계입력'!$C$15)*B1528))</f>
        <v>0.36936799670006326</v>
      </c>
      <c r="G1528" s="40">
        <f>('1.설계입력'!$C$6+'1.설계입력'!$C$33)*COS(B1528)-('1.설계입력'!$C$7+'1.설계입력'!$C$34)*COS(B1528+F1528)-'1.설계입력'!$C$8*COS('1.설계입력'!$C$15*B1528)</f>
        <v>42.362302762538583</v>
      </c>
      <c r="H1528" s="40">
        <f>-('1.설계입력'!$C$6+'1.설계입력'!$C$33)*SIN(B1528)+('1.설계입력'!$C$7+'1.설계입력'!$C$34)*SIN(B1528+F1528)+'1.설계입력'!$C$8*SIN('1.설계입력'!$C$15*B1528)</f>
        <v>64.041991621214848</v>
      </c>
      <c r="I1528" s="40">
        <f t="shared" si="70"/>
        <v>76.795569951751389</v>
      </c>
      <c r="J1528" s="40">
        <f t="shared" si="71"/>
        <v>76.785033607837519</v>
      </c>
      <c r="K1528" s="38" t="str">
        <f>IF(OR(A1528&gt;180,'1.설계입력'!$C$39&gt;=1),"",'1.설계입력'!$C$34*(1-SIN(B1528)/SQRT(1+'1.설계입력'!$C$39^2-2*'1.설계입력'!$C$39*COS(B1528)))-'1.설계입력'!$C$33*(1-'1.설계입력'!$C$39*COS(B1528)-SQRT(MAX(0,1-'1.설계입력'!$C$39^2))*SIN(B1528))/SQRT(1+'1.설계입력'!$C$39^2-2*'1.설계입력'!$C$39*COS(B1528)))</f>
        <v/>
      </c>
    </row>
    <row r="1529" spans="1:11" x14ac:dyDescent="0.3">
      <c r="A1529" s="40">
        <f>A1528+'1.설계입력'!$C$12</f>
        <v>304.59999999999127</v>
      </c>
      <c r="B1529" s="40">
        <f t="shared" si="69"/>
        <v>5.3162729015745755</v>
      </c>
      <c r="C1529" s="40">
        <f>ATAN2('1.설계입력'!$C$6/('1.설계입력'!$C$8*'1.설계입력'!$C$15)-COS((1-'1.설계입력'!$C$15)*B1529),SIN((1-'1.설계입력'!$C$15)*B1529))</f>
        <v>2.8547383705692191E-2</v>
      </c>
      <c r="D1529" s="40">
        <f>'1.설계입력'!$C$6*COS(B1529)-'1.설계입력'!$C$7*COS(B1529+C1529)-'1.설계입력'!$C$8*COS('1.설계입력'!$C$15*B1529)</f>
        <v>43.359967435324329</v>
      </c>
      <c r="E1529" s="40">
        <f>-'1.설계입력'!$C$6*SIN(B1529)+'1.설계입력'!$C$7*SIN(B1529+C1529)+'1.설계입력'!$C$8*SIN('1.설계입력'!$C$15*B1529)</f>
        <v>63.027254937126997</v>
      </c>
      <c r="F1529" s="40">
        <f>ATAN2(('1.설계입력'!$C$6+'1.설계입력'!$C$33)/('1.설계입력'!$C$8*'1.설계입력'!$C$15)-COS((1-'1.설계입력'!$C$15)*B1529),SIN((1-'1.설계입력'!$C$15)*B1529))</f>
        <v>2.8551404071301599E-2</v>
      </c>
      <c r="G1529" s="40">
        <f>('1.설계입력'!$C$6+'1.설계입력'!$C$33)*COS(B1529)-('1.설계입력'!$C$7+'1.설계입력'!$C$34)*COS(B1529+F1529)-'1.설계입력'!$C$8*COS('1.설계입력'!$C$15*B1529)</f>
        <v>43.353406150911198</v>
      </c>
      <c r="H1529" s="40">
        <f>-('1.설계입력'!$C$6+'1.설계입력'!$C$33)*SIN(B1529)+('1.설계입력'!$C$7+'1.설계입력'!$C$34)*SIN(B1529+F1529)+'1.설계입력'!$C$8*SIN('1.설계입력'!$C$15*B1529)</f>
        <v>63.018179338413518</v>
      </c>
      <c r="I1529" s="40">
        <f t="shared" si="70"/>
        <v>76.501775410130094</v>
      </c>
      <c r="J1529" s="40">
        <f t="shared" si="71"/>
        <v>76.490579498486696</v>
      </c>
      <c r="K1529" s="38" t="str">
        <f>IF(OR(A1529&gt;180,'1.설계입력'!$C$39&gt;=1),"",'1.설계입력'!$C$34*(1-SIN(B1529)/SQRT(1+'1.설계입력'!$C$39^2-2*'1.설계입력'!$C$39*COS(B1529)))-'1.설계입력'!$C$33*(1-'1.설계입력'!$C$39*COS(B1529)-SQRT(MAX(0,1-'1.설계입력'!$C$39^2))*SIN(B1529))/SQRT(1+'1.설계입력'!$C$39^2-2*'1.설계입력'!$C$39*COS(B1529)))</f>
        <v/>
      </c>
    </row>
    <row r="1530" spans="1:11" x14ac:dyDescent="0.3">
      <c r="A1530" s="40">
        <f>A1529+'1.설계입력'!$C$12</f>
        <v>304.79999999999126</v>
      </c>
      <c r="B1530" s="40">
        <f t="shared" si="69"/>
        <v>5.319763560078564</v>
      </c>
      <c r="C1530" s="40">
        <f>ATAN2('1.설계입력'!$C$6/('1.설계입력'!$C$8*'1.설계입력'!$C$15)-COS((1-'1.설계입력'!$C$15)*B1530),SIN((1-'1.설계입력'!$C$15)*B1530))</f>
        <v>-0.32290967951712524</v>
      </c>
      <c r="D1530" s="40">
        <f>'1.설계입력'!$C$6*COS(B1530)-'1.설계입력'!$C$7*COS(B1530+C1530)-'1.설계입력'!$C$8*COS('1.설계입력'!$C$15*B1530)</f>
        <v>44.672241055433965</v>
      </c>
      <c r="E1530" s="40">
        <f>-'1.설계입력'!$C$6*SIN(B1530)+'1.설계입력'!$C$7*SIN(B1530+C1530)+'1.설계입력'!$C$8*SIN('1.설계입력'!$C$15*B1530)</f>
        <v>62.380270060501097</v>
      </c>
      <c r="F1530" s="40">
        <f>ATAN2(('1.설계입력'!$C$6+'1.설계입력'!$C$33)/('1.설계입력'!$C$8*'1.설계입력'!$C$15)-COS((1-'1.설계입력'!$C$15)*B1530),SIN((1-'1.설계입력'!$C$15)*B1530))</f>
        <v>-0.3229511952458578</v>
      </c>
      <c r="G1530" s="40">
        <f>('1.설계입력'!$C$6+'1.설계입력'!$C$33)*COS(B1530)-('1.설계입력'!$C$7+'1.설계입력'!$C$34)*COS(B1530+F1530)-'1.설계입력'!$C$8*COS('1.설계입력'!$C$15*B1530)</f>
        <v>44.668358340718896</v>
      </c>
      <c r="H1530" s="40">
        <f>-('1.설계입력'!$C$6+'1.설계입력'!$C$33)*SIN(B1530)+('1.설계입력'!$C$7+'1.설계입력'!$C$34)*SIN(B1530+F1530)+'1.설계입력'!$C$8*SIN('1.설계입력'!$C$15*B1530)</f>
        <v>62.369903325453656</v>
      </c>
      <c r="I1530" s="40">
        <f t="shared" si="70"/>
        <v>76.726183364845198</v>
      </c>
      <c r="J1530" s="40">
        <f t="shared" si="71"/>
        <v>76.715494378132675</v>
      </c>
      <c r="K1530" s="38" t="str">
        <f>IF(OR(A1530&gt;180,'1.설계입력'!$C$39&gt;=1),"",'1.설계입력'!$C$34*(1-SIN(B1530)/SQRT(1+'1.설계입력'!$C$39^2-2*'1.설계입력'!$C$39*COS(B1530)))-'1.설계입력'!$C$33*(1-'1.설계입력'!$C$39*COS(B1530)-SQRT(MAX(0,1-'1.설계입력'!$C$39^2))*SIN(B1530))/SQRT(1+'1.설계입력'!$C$39^2-2*'1.설계입력'!$C$39*COS(B1530)))</f>
        <v/>
      </c>
    </row>
    <row r="1531" spans="1:11" x14ac:dyDescent="0.3">
      <c r="A1531" s="40">
        <f>A1530+'1.설계입력'!$C$12</f>
        <v>304.99999999999125</v>
      </c>
      <c r="B1531" s="40">
        <f t="shared" si="69"/>
        <v>5.3232542185825524</v>
      </c>
      <c r="C1531" s="40">
        <f>ATAN2('1.설계입력'!$C$6/('1.설계입력'!$C$8*'1.설계입력'!$C$15)-COS((1-'1.설계입력'!$C$15)*B1531),SIN((1-'1.설계입력'!$C$15)*B1531))</f>
        <v>-0.57345329674861467</v>
      </c>
      <c r="D1531" s="40">
        <f>'1.설계입력'!$C$6*COS(B1531)-'1.설계입력'!$C$7*COS(B1531+C1531)-'1.설계입력'!$C$8*COS('1.설계입력'!$C$15*B1531)</f>
        <v>45.734588257029451</v>
      </c>
      <c r="E1531" s="40">
        <f>-'1.설계입력'!$C$6*SIN(B1531)+'1.설계입력'!$C$7*SIN(B1531+C1531)+'1.설계입력'!$C$8*SIN('1.설계입력'!$C$15*B1531)</f>
        <v>62.209085197403986</v>
      </c>
      <c r="F1531" s="40">
        <f>ATAN2(('1.설계입력'!$C$6+'1.설계입력'!$C$33)/('1.설계입력'!$C$8*'1.설계입력'!$C$15)-COS((1-'1.설계입력'!$C$15)*B1531),SIN((1-'1.설계입력'!$C$15)*B1531))</f>
        <v>-0.57351206071515848</v>
      </c>
      <c r="G1531" s="40">
        <f>('1.설계입력'!$C$6+'1.설계입력'!$C$33)*COS(B1531)-('1.설계입력'!$C$7+'1.설계입력'!$C$34)*COS(B1531+F1531)-'1.설계입력'!$C$8*COS('1.설계입력'!$C$15*B1531)</f>
        <v>45.732742571337894</v>
      </c>
      <c r="H1531" s="40">
        <f>-('1.설계입력'!$C$6+'1.설계입력'!$C$33)*SIN(B1531)+('1.설계입력'!$C$7+'1.설계입력'!$C$34)*SIN(B1531+F1531)+'1.설계입력'!$C$8*SIN('1.설계입력'!$C$15*B1531)</f>
        <v>62.198442691268681</v>
      </c>
      <c r="I1531" s="40">
        <f t="shared" si="70"/>
        <v>77.211546054575834</v>
      </c>
      <c r="J1531" s="40">
        <f t="shared" si="71"/>
        <v>77.201878321160649</v>
      </c>
      <c r="K1531" s="38" t="str">
        <f>IF(OR(A1531&gt;180,'1.설계입력'!$C$39&gt;=1),"",'1.설계입력'!$C$34*(1-SIN(B1531)/SQRT(1+'1.설계입력'!$C$39^2-2*'1.설계입력'!$C$39*COS(B1531)))-'1.설계입력'!$C$33*(1-'1.설계입력'!$C$39*COS(B1531)-SQRT(MAX(0,1-'1.설계입력'!$C$39^2))*SIN(B1531))/SQRT(1+'1.설계입력'!$C$39^2-2*'1.설계입력'!$C$39*COS(B1531)))</f>
        <v/>
      </c>
    </row>
    <row r="1532" spans="1:11" x14ac:dyDescent="0.3">
      <c r="A1532" s="40">
        <f>A1531+'1.설계입력'!$C$12</f>
        <v>305.19999999999123</v>
      </c>
      <c r="B1532" s="40">
        <f t="shared" si="69"/>
        <v>5.3267448770865409</v>
      </c>
      <c r="C1532" s="40">
        <f>ATAN2('1.설계입력'!$C$6/('1.설계입력'!$C$8*'1.설계입력'!$C$15)-COS((1-'1.설계입력'!$C$15)*B1532),SIN((1-'1.설계입력'!$C$15)*B1532))</f>
        <v>-0.71667726274284971</v>
      </c>
      <c r="D1532" s="40">
        <f>'1.설계입력'!$C$6*COS(B1532)-'1.설계입력'!$C$7*COS(B1532+C1532)-'1.설계입력'!$C$8*COS('1.설계입력'!$C$15*B1532)</f>
        <v>46.403949439540007</v>
      </c>
      <c r="E1532" s="40">
        <f>-'1.설계입력'!$C$6*SIN(B1532)+'1.설계입력'!$C$7*SIN(B1532+C1532)+'1.설계입력'!$C$8*SIN('1.설계입력'!$C$15*B1532)</f>
        <v>62.231923828431412</v>
      </c>
      <c r="F1532" s="40">
        <f>ATAN2(('1.설계입력'!$C$6+'1.설계입력'!$C$33)/('1.설계입력'!$C$8*'1.설계입력'!$C$15)-COS((1-'1.설계입력'!$C$15)*B1532),SIN((1-'1.설계입력'!$C$15)*B1532))</f>
        <v>-0.71673479692858988</v>
      </c>
      <c r="G1532" s="40">
        <f>('1.설계입력'!$C$6+'1.설계입력'!$C$33)*COS(B1532)-('1.설계입력'!$C$7+'1.설계입력'!$C$34)*COS(B1532+F1532)-'1.설계입력'!$C$8*COS('1.설계입력'!$C$15*B1532)</f>
        <v>46.403219252945505</v>
      </c>
      <c r="H1532" s="40">
        <f>-('1.설계입력'!$C$6+'1.설계입력'!$C$33)*SIN(B1532)+('1.설계입력'!$C$7+'1.설계입력'!$C$34)*SIN(B1532+F1532)+'1.설계입력'!$C$8*SIN('1.설계입력'!$C$15*B1532)</f>
        <v>62.221356605433769</v>
      </c>
      <c r="I1532" s="40">
        <f t="shared" si="70"/>
        <v>77.628209221745379</v>
      </c>
      <c r="J1532" s="40">
        <f t="shared" si="71"/>
        <v>77.619301561257871</v>
      </c>
      <c r="K1532" s="38" t="str">
        <f>IF(OR(A1532&gt;180,'1.설계입력'!$C$39&gt;=1),"",'1.설계입력'!$C$34*(1-SIN(B1532)/SQRT(1+'1.설계입력'!$C$39^2-2*'1.설계입력'!$C$39*COS(B1532)))-'1.설계입력'!$C$33*(1-'1.설계입력'!$C$39*COS(B1532)-SQRT(MAX(0,1-'1.설계입력'!$C$39^2))*SIN(B1532))/SQRT(1+'1.설계입력'!$C$39^2-2*'1.설계입력'!$C$39*COS(B1532)))</f>
        <v/>
      </c>
    </row>
    <row r="1533" spans="1:11" x14ac:dyDescent="0.3">
      <c r="A1533" s="40">
        <f>A1532+'1.설계입력'!$C$12</f>
        <v>305.39999999999122</v>
      </c>
      <c r="B1533" s="40">
        <f t="shared" si="69"/>
        <v>5.3302355355905293</v>
      </c>
      <c r="C1533" s="40">
        <f>ATAN2('1.설계입력'!$C$6/('1.설계입력'!$C$8*'1.설계입력'!$C$15)-COS((1-'1.설계입력'!$C$15)*B1533),SIN((1-'1.설계입력'!$C$15)*B1533))</f>
        <v>-0.78846897179740871</v>
      </c>
      <c r="D1533" s="40">
        <f>'1.설계입력'!$C$6*COS(B1533)-'1.설계입력'!$C$7*COS(B1533+C1533)-'1.설계입력'!$C$8*COS('1.설계입력'!$C$15*B1533)</f>
        <v>46.80992098790081</v>
      </c>
      <c r="E1533" s="40">
        <f>-'1.설계입력'!$C$6*SIN(B1533)+'1.설계입력'!$C$7*SIN(B1533+C1533)+'1.설계입력'!$C$8*SIN('1.설계입력'!$C$15*B1533)</f>
        <v>62.288457188701223</v>
      </c>
      <c r="F1533" s="40">
        <f>ATAN2(('1.설계입력'!$C$6+'1.설계입력'!$C$33)/('1.설계입력'!$C$8*'1.설계입력'!$C$15)-COS((1-'1.설계입력'!$C$15)*B1533),SIN((1-'1.설계입력'!$C$15)*B1533))</f>
        <v>-0.78852003504894874</v>
      </c>
      <c r="G1533" s="40">
        <f>('1.설계입력'!$C$6+'1.설계입력'!$C$33)*COS(B1533)-('1.설계입력'!$C$7+'1.설계입력'!$C$34)*COS(B1533+F1533)-'1.설계입력'!$C$8*COS('1.설계입력'!$C$15*B1533)</f>
        <v>46.809702255750423</v>
      </c>
      <c r="H1533" s="40">
        <f>-('1.설계입력'!$C$6+'1.설계입력'!$C$33)*SIN(B1533)+('1.설계입력'!$C$7+'1.설계입력'!$C$34)*SIN(B1533+F1533)+'1.설계입력'!$C$8*SIN('1.설계입력'!$C$15*B1533)</f>
        <v>62.27798266708794</v>
      </c>
      <c r="I1533" s="40">
        <f t="shared" si="70"/>
        <v>77.916754307672377</v>
      </c>
      <c r="J1533" s="40">
        <f t="shared" si="71"/>
        <v>77.908249565460721</v>
      </c>
      <c r="K1533" s="38" t="str">
        <f>IF(OR(A1533&gt;180,'1.설계입력'!$C$39&gt;=1),"",'1.설계입력'!$C$34*(1-SIN(B1533)/SQRT(1+'1.설계입력'!$C$39^2-2*'1.설계입력'!$C$39*COS(B1533)))-'1.설계입력'!$C$33*(1-'1.설계입력'!$C$39*COS(B1533)-SQRT(MAX(0,1-'1.설계입력'!$C$39^2))*SIN(B1533))/SQRT(1+'1.설계입력'!$C$39^2-2*'1.설계입력'!$C$39*COS(B1533)))</f>
        <v/>
      </c>
    </row>
    <row r="1534" spans="1:11" x14ac:dyDescent="0.3">
      <c r="A1534" s="40">
        <f>A1533+'1.설계입력'!$C$12</f>
        <v>305.59999999999121</v>
      </c>
      <c r="B1534" s="40">
        <f t="shared" si="69"/>
        <v>5.3337261940945178</v>
      </c>
      <c r="C1534" s="40">
        <f>ATAN2('1.설계입력'!$C$6/('1.설계입력'!$C$8*'1.설계입력'!$C$15)-COS((1-'1.설계입력'!$C$15)*B1534),SIN((1-'1.설계입력'!$C$15)*B1534))</f>
        <v>-0.81709081658986826</v>
      </c>
      <c r="D1534" s="40">
        <f>'1.설계입력'!$C$6*COS(B1534)-'1.설계입력'!$C$7*COS(B1534+C1534)-'1.설계입력'!$C$8*COS('1.설계입력'!$C$15*B1534)</f>
        <v>47.070214209862527</v>
      </c>
      <c r="E1534" s="40">
        <f>-'1.설계입력'!$C$6*SIN(B1534)+'1.설계입력'!$C$7*SIN(B1534+C1534)+'1.설계입력'!$C$8*SIN('1.설계입력'!$C$15*B1534)</f>
        <v>62.337200900258686</v>
      </c>
      <c r="F1534" s="40">
        <f>ATAN2(('1.설계입력'!$C$6+'1.설계입력'!$C$33)/('1.설계입력'!$C$8*'1.설계입력'!$C$15)-COS((1-'1.설계입력'!$C$15)*B1534),SIN((1-'1.설계입력'!$C$15)*B1534))</f>
        <v>-0.81713504250823976</v>
      </c>
      <c r="G1534" s="40">
        <f>('1.설계입력'!$C$6+'1.설계입력'!$C$33)*COS(B1534)-('1.설계입력'!$C$7+'1.설계입력'!$C$34)*COS(B1534+F1534)-'1.설계입력'!$C$8*COS('1.설계입력'!$C$15*B1534)</f>
        <v>47.070159001317904</v>
      </c>
      <c r="H1534" s="40">
        <f>-('1.설계입력'!$C$6+'1.설계입력'!$C$33)*SIN(B1534)+('1.설계입력'!$C$7+'1.설계입력'!$C$34)*SIN(B1534+F1534)+'1.설계입력'!$C$8*SIN('1.설계입력'!$C$15*B1534)</f>
        <v>62.326769469132188</v>
      </c>
      <c r="I1534" s="40">
        <f t="shared" si="70"/>
        <v>78.112301731811456</v>
      </c>
      <c r="J1534" s="40">
        <f t="shared" si="71"/>
        <v>78.103943952067468</v>
      </c>
      <c r="K1534" s="38" t="str">
        <f>IF(OR(A1534&gt;180,'1.설계입력'!$C$39&gt;=1),"",'1.설계입력'!$C$34*(1-SIN(B1534)/SQRT(1+'1.설계입력'!$C$39^2-2*'1.설계입력'!$C$39*COS(B1534)))-'1.설계입력'!$C$33*(1-'1.설계입력'!$C$39*COS(B1534)-SQRT(MAX(0,1-'1.설계입력'!$C$39^2))*SIN(B1534))/SQRT(1+'1.설계입력'!$C$39^2-2*'1.설계입력'!$C$39*COS(B1534)))</f>
        <v/>
      </c>
    </row>
    <row r="1535" spans="1:11" x14ac:dyDescent="0.3">
      <c r="A1535" s="40">
        <f>A1534+'1.설계입력'!$C$12</f>
        <v>305.7999999999912</v>
      </c>
      <c r="B1535" s="40">
        <f t="shared" si="69"/>
        <v>5.3372168525985062</v>
      </c>
      <c r="C1535" s="40">
        <f>ATAN2('1.설계입력'!$C$6/('1.설계입력'!$C$8*'1.설계입력'!$C$15)-COS((1-'1.설계입력'!$C$15)*B1535),SIN((1-'1.설계입력'!$C$15)*B1535))</f>
        <v>-0.81921559339897276</v>
      </c>
      <c r="D1535" s="40">
        <f>'1.설계입력'!$C$6*COS(B1535)-'1.설계입력'!$C$7*COS(B1535+C1535)-'1.설계입력'!$C$8*COS('1.설계입력'!$C$15*B1535)</f>
        <v>47.253790541732059</v>
      </c>
      <c r="E1535" s="40">
        <f>-'1.설계입력'!$C$6*SIN(B1535)+'1.설계입력'!$C$7*SIN(B1535+C1535)+'1.설계입력'!$C$8*SIN('1.설계입력'!$C$15*B1535)</f>
        <v>62.373809006497488</v>
      </c>
      <c r="F1535" s="40">
        <f>ATAN2(('1.설계입력'!$C$6+'1.설계입력'!$C$33)/('1.설계입력'!$C$8*'1.설계입력'!$C$15)-COS((1-'1.설계입력'!$C$15)*B1535),SIN((1-'1.설계입력'!$C$15)*B1535))</f>
        <v>-0.81925380584019558</v>
      </c>
      <c r="G1535" s="40">
        <f>('1.설계입력'!$C$6+'1.설계입력'!$C$33)*COS(B1535)-('1.설계입력'!$C$7+'1.설계입력'!$C$34)*COS(B1535+F1535)-'1.설계입력'!$C$8*COS('1.설계입력'!$C$15*B1535)</f>
        <v>47.253692090251292</v>
      </c>
      <c r="H1535" s="40">
        <f>-('1.설계입력'!$C$6+'1.설계입력'!$C$33)*SIN(B1535)+('1.설계입력'!$C$7+'1.설계입력'!$C$34)*SIN(B1535+F1535)+'1.설계입력'!$C$8*SIN('1.설계입력'!$C$15*B1535)</f>
        <v>62.363376851058561</v>
      </c>
      <c r="I1535" s="40">
        <f t="shared" si="70"/>
        <v>78.252238118413672</v>
      </c>
      <c r="J1535" s="40">
        <f t="shared" si="71"/>
        <v>78.243863583206476</v>
      </c>
      <c r="K1535" s="38" t="str">
        <f>IF(OR(A1535&gt;180,'1.설계입력'!$C$39&gt;=1),"",'1.설계입력'!$C$34*(1-SIN(B1535)/SQRT(1+'1.설계입력'!$C$39^2-2*'1.설계입력'!$C$39*COS(B1535)))-'1.설계입력'!$C$33*(1-'1.설계입력'!$C$39*COS(B1535)-SQRT(MAX(0,1-'1.설계입력'!$C$39^2))*SIN(B1535))/SQRT(1+'1.설계입력'!$C$39^2-2*'1.설계입력'!$C$39*COS(B1535)))</f>
        <v/>
      </c>
    </row>
    <row r="1536" spans="1:11" x14ac:dyDescent="0.3">
      <c r="A1536" s="40">
        <f>A1535+'1.설계입력'!$C$12</f>
        <v>305.99999999999119</v>
      </c>
      <c r="B1536" s="40">
        <f t="shared" si="69"/>
        <v>5.3407075111024946</v>
      </c>
      <c r="C1536" s="40">
        <f>ATAN2('1.설계입력'!$C$6/('1.설계입력'!$C$8*'1.설계입력'!$C$15)-COS((1-'1.설계입력'!$C$15)*B1536),SIN((1-'1.설계입력'!$C$15)*B1536))</f>
        <v>-0.80437416500397829</v>
      </c>
      <c r="D1536" s="40">
        <f>'1.설계입력'!$C$6*COS(B1536)-'1.설계입력'!$C$7*COS(B1536+C1536)-'1.설계입력'!$C$8*COS('1.설계입력'!$C$15*B1536)</f>
        <v>47.398980893923046</v>
      </c>
      <c r="E1536" s="40">
        <f>-'1.설계입력'!$C$6*SIN(B1536)+'1.설계입력'!$C$7*SIN(B1536+C1536)+'1.설계입력'!$C$8*SIN('1.설계입력'!$C$15*B1536)</f>
        <v>62.401224755752665</v>
      </c>
      <c r="F1536" s="40">
        <f>ATAN2(('1.설계입력'!$C$6+'1.설계입력'!$C$33)/('1.설계입력'!$C$8*'1.설계입력'!$C$15)-COS((1-'1.설계입력'!$C$15)*B1536),SIN((1-'1.설계입력'!$C$15)*B1536))</f>
        <v>-0.80440730940085758</v>
      </c>
      <c r="G1536" s="40">
        <f>('1.설계입력'!$C$6+'1.설계입력'!$C$33)*COS(B1536)-('1.설계입력'!$C$7+'1.설계입력'!$C$34)*COS(B1536+F1536)-'1.설계입력'!$C$8*COS('1.설계입력'!$C$15*B1536)</f>
        <v>47.398708246971154</v>
      </c>
      <c r="H1536" s="40">
        <f>-('1.설계입력'!$C$6+'1.설계입력'!$C$33)*SIN(B1536)+('1.설계입력'!$C$7+'1.설계입력'!$C$34)*SIN(B1536+F1536)+'1.설계입력'!$C$8*SIN('1.설계입력'!$C$15*B1536)</f>
        <v>62.390765281113694</v>
      </c>
      <c r="I1536" s="40">
        <f t="shared" si="70"/>
        <v>78.361828978147528</v>
      </c>
      <c r="J1536" s="40">
        <f t="shared" si="71"/>
        <v>78.353335192858978</v>
      </c>
      <c r="K1536" s="38" t="str">
        <f>IF(OR(A1536&gt;180,'1.설계입력'!$C$39&gt;=1),"",'1.설계입력'!$C$34*(1-SIN(B1536)/SQRT(1+'1.설계입력'!$C$39^2-2*'1.설계입력'!$C$39*COS(B1536)))-'1.설계입력'!$C$33*(1-'1.설계입력'!$C$39*COS(B1536)-SQRT(MAX(0,1-'1.설계입력'!$C$39^2))*SIN(B1536))/SQRT(1+'1.설계입력'!$C$39^2-2*'1.설계입력'!$C$39*COS(B1536)))</f>
        <v/>
      </c>
    </row>
    <row r="1537" spans="1:11" x14ac:dyDescent="0.3">
      <c r="A1537" s="40">
        <f>A1536+'1.설계입력'!$C$12</f>
        <v>306.19999999999118</v>
      </c>
      <c r="B1537" s="40">
        <f t="shared" si="69"/>
        <v>5.3441981696064831</v>
      </c>
      <c r="C1537" s="40">
        <f>ATAN2('1.설계입력'!$C$6/('1.설계입력'!$C$8*'1.설계입력'!$C$15)-COS((1-'1.설계입력'!$C$15)*B1537),SIN((1-'1.설계입력'!$C$15)*B1537))</f>
        <v>-0.77818171209002074</v>
      </c>
      <c r="D1537" s="40">
        <f>'1.설계입력'!$C$6*COS(B1537)-'1.설계입력'!$C$7*COS(B1537+C1537)-'1.설계입력'!$C$8*COS('1.설계입력'!$C$15*B1537)</f>
        <v>47.527664292387648</v>
      </c>
      <c r="E1537" s="40">
        <f>-'1.설계입력'!$C$6*SIN(B1537)+'1.설계입력'!$C$7*SIN(B1537+C1537)+'1.설계입력'!$C$8*SIN('1.설계입력'!$C$15*B1537)</f>
        <v>62.422278628247277</v>
      </c>
      <c r="F1537" s="40">
        <f>ATAN2(('1.설계입력'!$C$6+'1.설계입력'!$C$33)/('1.설계입력'!$C$8*'1.설계입력'!$C$15)-COS((1-'1.설계입력'!$C$15)*B1537),SIN((1-'1.설계입력'!$C$15)*B1537))</f>
        <v>-0.77821060252779861</v>
      </c>
      <c r="G1537" s="40">
        <f>('1.설계입력'!$C$6+'1.설계입력'!$C$33)*COS(B1537)-('1.설계입력'!$C$7+'1.설계입력'!$C$34)*COS(B1537+F1537)-'1.설계입력'!$C$8*COS('1.설계입력'!$C$15*B1537)</f>
        <v>47.527129360436248</v>
      </c>
      <c r="H1537" s="40">
        <f>-('1.설계입력'!$C$6+'1.설계입력'!$C$33)*SIN(B1537)+('1.설계입력'!$C$7+'1.설계입력'!$C$34)*SIN(B1537+F1537)+'1.설계입력'!$C$8*SIN('1.설계입력'!$C$15*B1537)</f>
        <v>62.411780557890907</v>
      </c>
      <c r="I1537" s="40">
        <f t="shared" si="70"/>
        <v>78.456483111546859</v>
      </c>
      <c r="J1537" s="40">
        <f t="shared" si="71"/>
        <v>78.447806710257808</v>
      </c>
      <c r="K1537" s="38" t="str">
        <f>IF(OR(A1537&gt;180,'1.설계입력'!$C$39&gt;=1),"",'1.설계입력'!$C$34*(1-SIN(B1537)/SQRT(1+'1.설계입력'!$C$39^2-2*'1.설계입력'!$C$39*COS(B1537)))-'1.설계입력'!$C$33*(1-'1.설계입력'!$C$39*COS(B1537)-SQRT(MAX(0,1-'1.설계입력'!$C$39^2))*SIN(B1537))/SQRT(1+'1.설계입력'!$C$39^2-2*'1.설계입력'!$C$39*COS(B1537)))</f>
        <v/>
      </c>
    </row>
    <row r="1538" spans="1:11" x14ac:dyDescent="0.3">
      <c r="A1538" s="40">
        <f>A1537+'1.설계입력'!$C$12</f>
        <v>306.39999999999117</v>
      </c>
      <c r="B1538" s="40">
        <f t="shared" si="69"/>
        <v>5.3476888281104715</v>
      </c>
      <c r="C1538" s="40">
        <f>ATAN2('1.설계입력'!$C$6/('1.설계입력'!$C$8*'1.설계입력'!$C$15)-COS((1-'1.설계입력'!$C$15)*B1538),SIN((1-'1.설계입력'!$C$15)*B1538))</f>
        <v>-0.74409324739330895</v>
      </c>
      <c r="D1538" s="40">
        <f>'1.설계입력'!$C$6*COS(B1538)-'1.설계입력'!$C$7*COS(B1538+C1538)-'1.설계입력'!$C$8*COS('1.설계입력'!$C$15*B1538)</f>
        <v>47.652771811414013</v>
      </c>
      <c r="E1538" s="40">
        <f>-'1.설계입력'!$C$6*SIN(B1538)+'1.설계입력'!$C$7*SIN(B1538+C1538)+'1.설계입력'!$C$8*SIN('1.설계입력'!$C$15*B1538)</f>
        <v>62.43839608524361</v>
      </c>
      <c r="F1538" s="40">
        <f>ATAN2(('1.설계입력'!$C$6+'1.설계입력'!$C$33)/('1.설계입력'!$C$8*'1.설계입력'!$C$15)-COS((1-'1.설계입력'!$C$15)*B1538),SIN((1-'1.설계입력'!$C$15)*B1538))</f>
        <v>-0.7441185357524146</v>
      </c>
      <c r="G1538" s="40">
        <f>('1.설계입력'!$C$6+'1.설계입력'!$C$33)*COS(B1538)-('1.설계입력'!$C$7+'1.설계입력'!$C$34)*COS(B1538+F1538)-'1.설계입력'!$C$8*COS('1.설계입력'!$C$15*B1538)</f>
        <v>47.651912460950477</v>
      </c>
      <c r="H1538" s="40">
        <f>-('1.설계입력'!$C$6+'1.설계입력'!$C$33)*SIN(B1538)+('1.설계입력'!$C$7+'1.설계입력'!$C$34)*SIN(B1538+F1538)+'1.설계입력'!$C$8*SIN('1.설계입력'!$C$15*B1538)</f>
        <v>62.427859809670252</v>
      </c>
      <c r="I1538" s="40">
        <f t="shared" si="70"/>
        <v>78.545146043587309</v>
      </c>
      <c r="J1538" s="40">
        <f t="shared" si="71"/>
        <v>78.536249220356396</v>
      </c>
      <c r="K1538" s="38" t="str">
        <f>IF(OR(A1538&gt;180,'1.설계입력'!$C$39&gt;=1),"",'1.설계입력'!$C$34*(1-SIN(B1538)/SQRT(1+'1.설계입력'!$C$39^2-2*'1.설계입력'!$C$39*COS(B1538)))-'1.설계입력'!$C$33*(1-'1.설계입력'!$C$39*COS(B1538)-SQRT(MAX(0,1-'1.설계입력'!$C$39^2))*SIN(B1538))/SQRT(1+'1.설계입력'!$C$39^2-2*'1.설계입력'!$C$39*COS(B1538)))</f>
        <v/>
      </c>
    </row>
    <row r="1539" spans="1:11" x14ac:dyDescent="0.3">
      <c r="A1539" s="40">
        <f>A1538+'1.설계입력'!$C$12</f>
        <v>306.59999999999116</v>
      </c>
      <c r="B1539" s="40">
        <f t="shared" si="69"/>
        <v>5.35117948661446</v>
      </c>
      <c r="C1539" s="40">
        <f>ATAN2('1.설계입력'!$C$6/('1.설계입력'!$C$8*'1.설계입력'!$C$15)-COS((1-'1.설계입력'!$C$15)*B1539),SIN((1-'1.설계입력'!$C$15)*B1539))</f>
        <v>-0.70432816899652695</v>
      </c>
      <c r="D1539" s="40">
        <f>'1.설계입력'!$C$6*COS(B1539)-'1.설계입력'!$C$7*COS(B1539+C1539)-'1.설계입력'!$C$8*COS('1.설계입력'!$C$15*B1539)</f>
        <v>47.782084587800298</v>
      </c>
      <c r="E1539" s="40">
        <f>-'1.설계입력'!$C$6*SIN(B1539)+'1.설계입력'!$C$7*SIN(B1539+C1539)+'1.설계입력'!$C$8*SIN('1.설계입력'!$C$15*B1539)</f>
        <v>62.449725226436833</v>
      </c>
      <c r="F1539" s="40">
        <f>ATAN2(('1.설계입력'!$C$6+'1.설계입력'!$C$33)/('1.설계입력'!$C$8*'1.설계입력'!$C$15)-COS((1-'1.설계입력'!$C$15)*B1539),SIN((1-'1.설계입력'!$C$15)*B1539))</f>
        <v>-0.70435036721291799</v>
      </c>
      <c r="G1539" s="40">
        <f>('1.설계입력'!$C$6+'1.설계입력'!$C$33)*COS(B1539)-('1.설계입력'!$C$7+'1.설계입력'!$C$34)*COS(B1539+F1539)-'1.설계입력'!$C$8*COS('1.설계입력'!$C$15*B1539)</f>
        <v>47.780855547415541</v>
      </c>
      <c r="H1539" s="40">
        <f>-('1.설계입력'!$C$6+'1.설계입력'!$C$33)*SIN(B1539)+('1.설계입력'!$C$7+'1.설계입력'!$C$34)*SIN(B1539+F1539)+'1.설계입력'!$C$8*SIN('1.설계입력'!$C$15*B1539)</f>
        <v>62.439159709411406</v>
      </c>
      <c r="I1539" s="40">
        <f t="shared" si="70"/>
        <v>78.632663622779333</v>
      </c>
      <c r="J1539" s="40">
        <f t="shared" si="71"/>
        <v>78.623525881636567</v>
      </c>
      <c r="K1539" s="38" t="str">
        <f>IF(OR(A1539&gt;180,'1.설계입력'!$C$39&gt;=1),"",'1.설계입력'!$C$34*(1-SIN(B1539)/SQRT(1+'1.설계입력'!$C$39^2-2*'1.설계입력'!$C$39*COS(B1539)))-'1.설계입력'!$C$33*(1-'1.설계입력'!$C$39*COS(B1539)-SQRT(MAX(0,1-'1.설계입력'!$C$39^2))*SIN(B1539))/SQRT(1+'1.설계입력'!$C$39^2-2*'1.설계입력'!$C$39*COS(B1539)))</f>
        <v/>
      </c>
    </row>
    <row r="1540" spans="1:11" x14ac:dyDescent="0.3">
      <c r="A1540" s="40">
        <f>A1539+'1.설계입력'!$C$12</f>
        <v>306.79999999999114</v>
      </c>
      <c r="B1540" s="40">
        <f t="shared" si="69"/>
        <v>5.3546701451184484</v>
      </c>
      <c r="C1540" s="40">
        <f>ATAN2('1.설계입력'!$C$6/('1.설계입력'!$C$8*'1.설계입력'!$C$15)-COS((1-'1.설계입력'!$C$15)*B1540),SIN((1-'1.설계입력'!$C$15)*B1540))</f>
        <v>-0.66036906278132002</v>
      </c>
      <c r="D1540" s="40">
        <f>'1.설계입력'!$C$6*COS(B1540)-'1.설계입력'!$C$7*COS(B1540+C1540)-'1.설계입력'!$C$8*COS('1.설계입력'!$C$15*B1540)</f>
        <v>47.920210581046568</v>
      </c>
      <c r="E1540" s="40">
        <f>-'1.설계입력'!$C$6*SIN(B1540)+'1.설계입력'!$C$7*SIN(B1540+C1540)+'1.설계입력'!$C$8*SIN('1.설계입력'!$C$15*B1540)</f>
        <v>62.455505640417165</v>
      </c>
      <c r="F1540" s="40">
        <f>ATAN2(('1.설계입력'!$C$6+'1.설계입력'!$C$33)/('1.설계입력'!$C$8*'1.설계입력'!$C$15)-COS((1-'1.설계입력'!$C$15)*B1540),SIN((1-'1.설계입력'!$C$15)*B1540))</f>
        <v>-0.6603885722998718</v>
      </c>
      <c r="G1540" s="40">
        <f>('1.설계입력'!$C$6+'1.설계입력'!$C$33)*COS(B1540)-('1.설계입력'!$C$7+'1.설계입력'!$C$34)*COS(B1540+F1540)-'1.설계입력'!$C$8*COS('1.설계입력'!$C$15*B1540)</f>
        <v>47.918578295172452</v>
      </c>
      <c r="H1540" s="40">
        <f>-('1.설계입력'!$C$6+'1.설계입력'!$C$33)*SIN(B1540)+('1.설계입력'!$C$7+'1.설계입력'!$C$34)*SIN(B1540+F1540)+'1.설계입력'!$C$8*SIN('1.설계입력'!$C$15*B1540)</f>
        <v>62.444926113266561</v>
      </c>
      <c r="I1540" s="40">
        <f t="shared" si="70"/>
        <v>78.721259942483314</v>
      </c>
      <c r="J1540" s="40">
        <f t="shared" si="71"/>
        <v>78.711872948888043</v>
      </c>
      <c r="K1540" s="38" t="str">
        <f>IF(OR(A1540&gt;180,'1.설계입력'!$C$39&gt;=1),"",'1.설계입력'!$C$34*(1-SIN(B1540)/SQRT(1+'1.설계입력'!$C$39^2-2*'1.설계입력'!$C$39*COS(B1540)))-'1.설계입력'!$C$33*(1-'1.설계입력'!$C$39*COS(B1540)-SQRT(MAX(0,1-'1.설계입력'!$C$39^2))*SIN(B1540))/SQRT(1+'1.설계입력'!$C$39^2-2*'1.설계입력'!$C$39*COS(B1540)))</f>
        <v/>
      </c>
    </row>
    <row r="1541" spans="1:11" x14ac:dyDescent="0.3">
      <c r="A1541" s="40">
        <f>A1540+'1.설계입력'!$C$12</f>
        <v>306.99999999999113</v>
      </c>
      <c r="B1541" s="40">
        <f t="shared" si="69"/>
        <v>5.3581608036224369</v>
      </c>
      <c r="C1541" s="40">
        <f>ATAN2('1.설계입력'!$C$6/('1.설계입력'!$C$8*'1.설계입력'!$C$15)-COS((1-'1.설계입력'!$C$15)*B1541),SIN((1-'1.설계입력'!$C$15)*B1541))</f>
        <v>-0.61324134615358405</v>
      </c>
      <c r="D1541" s="40">
        <f>'1.설계입력'!$C$6*COS(B1541)-'1.설계입력'!$C$7*COS(B1541+C1541)-'1.설계입력'!$C$8*COS('1.설계입력'!$C$15*B1541)</f>
        <v>48.06966627408233</v>
      </c>
      <c r="E1541" s="40">
        <f>-'1.설계입력'!$C$6*SIN(B1541)+'1.설계입력'!$C$7*SIN(B1541+C1541)+'1.설계입력'!$C$8*SIN('1.설계입력'!$C$15*B1541)</f>
        <v>62.454409515651093</v>
      </c>
      <c r="F1541" s="40">
        <f>ATAN2(('1.설계입력'!$C$6+'1.설계입력'!$C$33)/('1.설계입력'!$C$8*'1.설계입력'!$C$15)-COS((1-'1.설계입력'!$C$15)*B1541),SIN((1-'1.설계입력'!$C$15)*B1541))</f>
        <v>-0.6132584833304201</v>
      </c>
      <c r="G1541" s="40">
        <f>('1.설계입력'!$C$6+'1.설계입력'!$C$33)*COS(B1541)-('1.설계입력'!$C$7+'1.설계입력'!$C$34)*COS(B1541+F1541)-'1.설계입력'!$C$8*COS('1.설계입력'!$C$15*B1541)</f>
        <v>48.067605848314336</v>
      </c>
      <c r="H1541" s="40">
        <f>-('1.설계입력'!$C$6+'1.설계입력'!$C$33)*SIN(B1541)+('1.설계입력'!$C$7+'1.설계입력'!$C$34)*SIN(B1541+F1541)+'1.설계입력'!$C$8*SIN('1.설계입력'!$C$15*B1541)</f>
        <v>62.443835797575936</v>
      </c>
      <c r="I1541" s="40">
        <f t="shared" si="70"/>
        <v>78.811459088449169</v>
      </c>
      <c r="J1541" s="40">
        <f t="shared" si="71"/>
        <v>78.801823336161007</v>
      </c>
      <c r="K1541" s="38" t="str">
        <f>IF(OR(A1541&gt;180,'1.설계입력'!$C$39&gt;=1),"",'1.설계입력'!$C$34*(1-SIN(B1541)/SQRT(1+'1.설계입력'!$C$39^2-2*'1.설계입력'!$C$39*COS(B1541)))-'1.설계입력'!$C$33*(1-'1.설계입력'!$C$39*COS(B1541)-SQRT(MAX(0,1-'1.설계입력'!$C$39^2))*SIN(B1541))/SQRT(1+'1.설계입력'!$C$39^2-2*'1.설계입력'!$C$39*COS(B1541)))</f>
        <v/>
      </c>
    </row>
    <row r="1542" spans="1:11" x14ac:dyDescent="0.3">
      <c r="A1542" s="40">
        <f>A1541+'1.설계입력'!$C$12</f>
        <v>307.19999999999112</v>
      </c>
      <c r="B1542" s="40">
        <f t="shared" ref="B1542:B1605" si="72">RADIANS(A1542)</f>
        <v>5.3616514621264253</v>
      </c>
      <c r="C1542" s="40">
        <f>ATAN2('1.설계입력'!$C$6/('1.설계입력'!$C$8*'1.설계입력'!$C$15)-COS((1-'1.설계입력'!$C$15)*B1542),SIN((1-'1.설계입력'!$C$15)*B1542))</f>
        <v>-0.56367647495651163</v>
      </c>
      <c r="D1542" s="40">
        <f>'1.설계입력'!$C$6*COS(B1542)-'1.설계입력'!$C$7*COS(B1542+C1542)-'1.설계입력'!$C$8*COS('1.설계입력'!$C$15*B1542)</f>
        <v>48.23150527195186</v>
      </c>
      <c r="E1542" s="40">
        <f>-'1.설계입력'!$C$6*SIN(B1542)+'1.설계입력'!$C$7*SIN(B1542+C1542)+'1.설계입력'!$C$8*SIN('1.설계입력'!$C$15*B1542)</f>
        <v>62.44481150498207</v>
      </c>
      <c r="F1542" s="40">
        <f>ATAN2(('1.설계입력'!$C$6+'1.설계입력'!$C$33)/('1.설계입력'!$C$8*'1.설계입력'!$C$15)-COS((1-'1.설계입력'!$C$15)*B1542),SIN((1-'1.설계입력'!$C$15)*B1542))</f>
        <v>-0.56369149075940495</v>
      </c>
      <c r="G1542" s="40">
        <f>('1.설계입력'!$C$6+'1.설계입력'!$C$33)*COS(B1542)-('1.설계입력'!$C$7+'1.설계입력'!$C$34)*COS(B1542+F1542)-'1.설계입력'!$C$8*COS('1.설계입력'!$C$15*B1542)</f>
        <v>48.228998578652245</v>
      </c>
      <c r="H1542" s="40">
        <f>-('1.설계입력'!$C$6+'1.설계입력'!$C$33)*SIN(B1542)+('1.설계입력'!$C$7+'1.설계입력'!$C$34)*SIN(B1542+F1542)+'1.설계입력'!$C$8*SIN('1.설계입력'!$C$15*B1542)</f>
        <v>62.434266765994735</v>
      </c>
      <c r="I1542" s="40">
        <f t="shared" ref="I1542:I1605" si="73">SQRT(D1542^2+E1542^2)</f>
        <v>78.902677931050349</v>
      </c>
      <c r="J1542" s="40">
        <f t="shared" ref="J1542:J1605" si="74">SQRT(G1542^2+H1542^2)</f>
        <v>78.892800498569173</v>
      </c>
      <c r="K1542" s="38" t="str">
        <f>IF(OR(A1542&gt;180,'1.설계입력'!$C$39&gt;=1),"",'1.설계입력'!$C$34*(1-SIN(B1542)/SQRT(1+'1.설계입력'!$C$39^2-2*'1.설계입력'!$C$39*COS(B1542)))-'1.설계입력'!$C$33*(1-'1.설계입력'!$C$39*COS(B1542)-SQRT(MAX(0,1-'1.설계입력'!$C$39^2))*SIN(B1542))/SQRT(1+'1.설계입력'!$C$39^2-2*'1.설계입력'!$C$39*COS(B1542)))</f>
        <v/>
      </c>
    </row>
    <row r="1543" spans="1:11" x14ac:dyDescent="0.3">
      <c r="A1543" s="40">
        <f>A1542+'1.설계입력'!$C$12</f>
        <v>307.39999999999111</v>
      </c>
      <c r="B1543" s="40">
        <f t="shared" si="72"/>
        <v>5.3651421206304137</v>
      </c>
      <c r="C1543" s="40">
        <f>ATAN2('1.설계입력'!$C$6/('1.설계입력'!$C$8*'1.설계입력'!$C$15)-COS((1-'1.설계입력'!$C$15)*B1543),SIN((1-'1.설계입력'!$C$15)*B1543))</f>
        <v>-0.51221089029253464</v>
      </c>
      <c r="D1543" s="40">
        <f>'1.설계입력'!$C$6*COS(B1543)-'1.설계입력'!$C$7*COS(B1543+C1543)-'1.설계입력'!$C$8*COS('1.설계입력'!$C$15*B1543)</f>
        <v>48.405709347364578</v>
      </c>
      <c r="E1543" s="40">
        <f>-'1.설계입력'!$C$6*SIN(B1543)+'1.설계입력'!$C$7*SIN(B1543+C1543)+'1.설계입력'!$C$8*SIN('1.설계입력'!$C$15*B1543)</f>
        <v>62.424994509179847</v>
      </c>
      <c r="F1543" s="40">
        <f>ATAN2(('1.설계입력'!$C$6+'1.설계입력'!$C$33)/('1.설계입력'!$C$8*'1.설계입력'!$C$15)-COS((1-'1.설계입력'!$C$15)*B1543),SIN((1-'1.설계입력'!$C$15)*B1543))</f>
        <v>-0.51222398505571487</v>
      </c>
      <c r="G1543" s="40">
        <f>('1.설계입력'!$C$6+'1.설계입력'!$C$33)*COS(B1543)-('1.설계입력'!$C$7+'1.설계입력'!$C$34)*COS(B1543+F1543)-'1.설계입력'!$C$8*COS('1.설계입력'!$C$15*B1543)</f>
        <v>48.402743801622904</v>
      </c>
      <c r="H1543" s="40">
        <f>-('1.설계입력'!$C$6+'1.설계입력'!$C$33)*SIN(B1543)+('1.설계입력'!$C$7+'1.설계입력'!$C$34)*SIN(B1543+F1543)+'1.설계입력'!$C$8*SIN('1.설계입력'!$C$15*B1543)</f>
        <v>62.414504336593296</v>
      </c>
      <c r="I1543" s="40">
        <f t="shared" si="73"/>
        <v>78.99362402683316</v>
      </c>
      <c r="J1543" s="40">
        <f t="shared" si="74"/>
        <v>78.983517008982119</v>
      </c>
      <c r="K1543" s="38" t="str">
        <f>IF(OR(A1543&gt;180,'1.설계입력'!$C$39&gt;=1),"",'1.설계입력'!$C$34*(1-SIN(B1543)/SQRT(1+'1.설계입력'!$C$39^2-2*'1.설계입력'!$C$39*COS(B1543)))-'1.설계입력'!$C$33*(1-'1.설계입력'!$C$39*COS(B1543)-SQRT(MAX(0,1-'1.설계입력'!$C$39^2))*SIN(B1543))/SQRT(1+'1.설계입력'!$C$39^2-2*'1.설계입력'!$C$39*COS(B1543)))</f>
        <v/>
      </c>
    </row>
    <row r="1544" spans="1:11" x14ac:dyDescent="0.3">
      <c r="A1544" s="40">
        <f>A1543+'1.설계입력'!$C$12</f>
        <v>307.5999999999911</v>
      </c>
      <c r="B1544" s="40">
        <f t="shared" si="72"/>
        <v>5.3686327791344022</v>
      </c>
      <c r="C1544" s="40">
        <f>ATAN2('1.설계입력'!$C$6/('1.설계입력'!$C$8*'1.설계입력'!$C$15)-COS((1-'1.설계입력'!$C$15)*B1544),SIN((1-'1.설계입력'!$C$15)*B1544))</f>
        <v>-0.45924813815318249</v>
      </c>
      <c r="D1544" s="40">
        <f>'1.설계입력'!$C$6*COS(B1544)-'1.설계입력'!$C$7*COS(B1544+C1544)-'1.설계입력'!$C$8*COS('1.설계입력'!$C$15*B1544)</f>
        <v>48.591450775753067</v>
      </c>
      <c r="E1544" s="40">
        <f>-'1.설계입력'!$C$6*SIN(B1544)+'1.설계입력'!$C$7*SIN(B1544+C1544)+'1.설계입력'!$C$8*SIN('1.설계입력'!$C$15*B1544)</f>
        <v>62.393305728666476</v>
      </c>
      <c r="F1544" s="40">
        <f>ATAN2(('1.설계입력'!$C$6+'1.설계입력'!$C$33)/('1.설계입력'!$C$8*'1.설계입력'!$C$15)-COS((1-'1.설계입력'!$C$15)*B1544),SIN((1-'1.설계입력'!$C$15)*B1544))</f>
        <v>-0.45925947251769056</v>
      </c>
      <c r="G1544" s="40">
        <f>('1.설계입력'!$C$6+'1.설계입력'!$C$33)*COS(B1544)-('1.설계입력'!$C$7+'1.설계입력'!$C$34)*COS(B1544+F1544)-'1.설계입력'!$C$8*COS('1.설계입력'!$C$15*B1544)</f>
        <v>48.588018512128897</v>
      </c>
      <c r="H1544" s="40">
        <f>-('1.설계입력'!$C$6+'1.설계입력'!$C$33)*SIN(B1544)+('1.설계입력'!$C$7+'1.설계입력'!$C$34)*SIN(B1544+F1544)+'1.설계입력'!$C$8*SIN('1.설계입력'!$C$15*B1544)</f>
        <v>62.382897401333224</v>
      </c>
      <c r="I1544" s="40">
        <f t="shared" si="73"/>
        <v>79.08257512400111</v>
      </c>
      <c r="J1544" s="40">
        <f t="shared" si="74"/>
        <v>79.072254496253294</v>
      </c>
      <c r="K1544" s="38" t="str">
        <f>IF(OR(A1544&gt;180,'1.설계입력'!$C$39&gt;=1),"",'1.설계입력'!$C$34*(1-SIN(B1544)/SQRT(1+'1.설계입력'!$C$39^2-2*'1.설계입력'!$C$39*COS(B1544)))-'1.설계입력'!$C$33*(1-'1.설계입력'!$C$39*COS(B1544)-SQRT(MAX(0,1-'1.설계입력'!$C$39^2))*SIN(B1544))/SQRT(1+'1.설계입력'!$C$39^2-2*'1.설계입력'!$C$39*COS(B1544)))</f>
        <v/>
      </c>
    </row>
    <row r="1545" spans="1:11" x14ac:dyDescent="0.3">
      <c r="A1545" s="40">
        <f>A1544+'1.설계입력'!$C$12</f>
        <v>307.79999999999109</v>
      </c>
      <c r="B1545" s="40">
        <f t="shared" si="72"/>
        <v>5.3721234376383906</v>
      </c>
      <c r="C1545" s="40">
        <f>ATAN2('1.설계입력'!$C$6/('1.설계입력'!$C$8*'1.설계입력'!$C$15)-COS((1-'1.설계입력'!$C$15)*B1545),SIN((1-'1.설계입력'!$C$15)*B1545))</f>
        <v>-0.40509913106898021</v>
      </c>
      <c r="D1545" s="40">
        <f>'1.설계입력'!$C$6*COS(B1545)-'1.설계입력'!$C$7*COS(B1545+C1545)-'1.설계입력'!$C$8*COS('1.설계입력'!$C$15*B1545)</f>
        <v>48.787282866348349</v>
      </c>
      <c r="E1545" s="40">
        <f>-'1.설계입력'!$C$6*SIN(B1545)+'1.설계입력'!$C$7*SIN(B1545+C1545)+'1.설계입력'!$C$8*SIN('1.설계입력'!$C$15*B1545)</f>
        <v>62.348274914699182</v>
      </c>
      <c r="F1545" s="40">
        <f>ATAN2(('1.설계입력'!$C$6+'1.설계입력'!$C$33)/('1.설계입력'!$C$8*'1.설계입력'!$C$15)-COS((1-'1.설계입력'!$C$15)*B1545),SIN((1-'1.설계입력'!$C$15)*B1545))</f>
        <v>-0.40510883409224091</v>
      </c>
      <c r="G1545" s="40">
        <f>('1.설계입력'!$C$6+'1.설계입력'!$C$33)*COS(B1545)-('1.설계입력'!$C$7+'1.설계입력'!$C$34)*COS(B1545+F1545)-'1.설계입력'!$C$8*COS('1.설계입력'!$C$15*B1545)</f>
        <v>48.783380161861089</v>
      </c>
      <c r="H1545" s="40">
        <f>-('1.설계입력'!$C$6+'1.설계입력'!$C$33)*SIN(B1545)+('1.설계입력'!$C$7+'1.설계입력'!$C$34)*SIN(B1545+F1545)+'1.설계입력'!$C$8*SIN('1.설계입력'!$C$15*B1545)</f>
        <v>62.337976820799511</v>
      </c>
      <c r="I1545" s="40">
        <f t="shared" si="73"/>
        <v>79.167583986881866</v>
      </c>
      <c r="J1545" s="40">
        <f t="shared" si="74"/>
        <v>79.15706875653747</v>
      </c>
      <c r="K1545" s="38" t="str">
        <f>IF(OR(A1545&gt;180,'1.설계입력'!$C$39&gt;=1),"",'1.설계입력'!$C$34*(1-SIN(B1545)/SQRT(1+'1.설계입력'!$C$39^2-2*'1.설계입력'!$C$39*COS(B1545)))-'1.설계입력'!$C$33*(1-'1.설계입력'!$C$39*COS(B1545)-SQRT(MAX(0,1-'1.설계입력'!$C$39^2))*SIN(B1545))/SQRT(1+'1.설계입력'!$C$39^2-2*'1.설계입력'!$C$39*COS(B1545)))</f>
        <v/>
      </c>
    </row>
    <row r="1546" spans="1:11" x14ac:dyDescent="0.3">
      <c r="A1546" s="40">
        <f>A1545+'1.설계입력'!$C$12</f>
        <v>307.99999999999108</v>
      </c>
      <c r="B1546" s="40">
        <f t="shared" si="72"/>
        <v>5.3756140961423791</v>
      </c>
      <c r="C1546" s="40">
        <f>ATAN2('1.설계입력'!$C$6/('1.설계입력'!$C$8*'1.설계입력'!$C$15)-COS((1-'1.설계입력'!$C$15)*B1546),SIN((1-'1.설계입력'!$C$15)*B1546))</f>
        <v>-0.35000902060363309</v>
      </c>
      <c r="D1546" s="40">
        <f>'1.설계입력'!$C$6*COS(B1546)-'1.설계입력'!$C$7*COS(B1546+C1546)-'1.설계입력'!$C$8*COS('1.설계입력'!$C$15*B1546)</f>
        <v>48.991289314614455</v>
      </c>
      <c r="E1546" s="40">
        <f>-'1.설계입력'!$C$6*SIN(B1546)+'1.설계입력'!$C$7*SIN(B1546+C1546)+'1.설계입력'!$C$8*SIN('1.설계입력'!$C$15*B1546)</f>
        <v>62.288703229842994</v>
      </c>
      <c r="F1546" s="40">
        <f>ATAN2(('1.설계입력'!$C$6+'1.설계입력'!$C$33)/('1.설계입력'!$C$8*'1.설계입력'!$C$15)-COS((1-'1.설계입력'!$C$15)*B1546),SIN((1-'1.설계입력'!$C$15)*B1546))</f>
        <v>-0.35001719578868495</v>
      </c>
      <c r="G1546" s="40">
        <f>('1.설계입력'!$C$6+'1.설계입력'!$C$33)*COS(B1546)-('1.설계입력'!$C$7+'1.설계입력'!$C$34)*COS(B1546+F1546)-'1.설계입력'!$C$8*COS('1.설계입력'!$C$15*B1546)</f>
        <v>48.986916166072511</v>
      </c>
      <c r="H1546" s="40">
        <f>-('1.설계입력'!$C$6+'1.설계입력'!$C$33)*SIN(B1546)+('1.설계입력'!$C$7+'1.설계입력'!$C$34)*SIN(B1546+F1546)+'1.설계입력'!$C$8*SIN('1.설계입력'!$C$15*B1546)</f>
        <v>62.278544385337952</v>
      </c>
      <c r="I1546" s="40">
        <f t="shared" si="73"/>
        <v>79.246633863929574</v>
      </c>
      <c r="J1546" s="40">
        <f t="shared" si="74"/>
        <v>79.235945417583849</v>
      </c>
      <c r="K1546" s="38" t="str">
        <f>IF(OR(A1546&gt;180,'1.설계입력'!$C$39&gt;=1),"",'1.설계입력'!$C$34*(1-SIN(B1546)/SQRT(1+'1.설계입력'!$C$39^2-2*'1.설계입력'!$C$39*COS(B1546)))-'1.설계입력'!$C$33*(1-'1.설계입력'!$C$39*COS(B1546)-SQRT(MAX(0,1-'1.설계입력'!$C$39^2))*SIN(B1546))/SQRT(1+'1.설계입력'!$C$39^2-2*'1.설계입력'!$C$39*COS(B1546)))</f>
        <v/>
      </c>
    </row>
    <row r="1547" spans="1:11" x14ac:dyDescent="0.3">
      <c r="A1547" s="40">
        <f>A1546+'1.설계입력'!$C$12</f>
        <v>308.19999999999106</v>
      </c>
      <c r="B1547" s="40">
        <f t="shared" si="72"/>
        <v>5.3791047546463675</v>
      </c>
      <c r="C1547" s="40">
        <f>ATAN2('1.설계입력'!$C$6/('1.설계입력'!$C$8*'1.설계입력'!$C$15)-COS((1-'1.설계입력'!$C$15)*B1547),SIN((1-'1.설계입력'!$C$15)*B1547))</f>
        <v>-0.29417563771397859</v>
      </c>
      <c r="D1547" s="40">
        <f>'1.설계입력'!$C$6*COS(B1547)-'1.설계입력'!$C$7*COS(B1547+C1547)-'1.설계입력'!$C$8*COS('1.설계입력'!$C$15*B1547)</f>
        <v>49.20120916800888</v>
      </c>
      <c r="E1547" s="40">
        <f>-'1.설계입력'!$C$6*SIN(B1547)+'1.설계입력'!$C$7*SIN(B1547+C1547)+'1.설계입력'!$C$8*SIN('1.설계입력'!$C$15*B1547)</f>
        <v>62.213728336136882</v>
      </c>
      <c r="F1547" s="40">
        <f>ATAN2(('1.설계입력'!$C$6+'1.설계입력'!$C$33)/('1.설계입력'!$C$8*'1.설계입력'!$C$15)-COS((1-'1.설계입력'!$C$15)*B1547),SIN((1-'1.설계입력'!$C$15)*B1547))</f>
        <v>-0.29418236750430871</v>
      </c>
      <c r="G1547" s="40">
        <f>('1.설계입력'!$C$6+'1.설계입력'!$C$33)*COS(B1547)-('1.설계입력'!$C$7+'1.설계입력'!$C$34)*COS(B1547+F1547)-'1.설계입력'!$C$8*COS('1.설계입력'!$C$15*B1547)</f>
        <v>49.196368967188427</v>
      </c>
      <c r="H1547" s="40">
        <f>-('1.설계입력'!$C$6+'1.설계입력'!$C$33)*SIN(B1547)+('1.설계입력'!$C$7+'1.설계입력'!$C$34)*SIN(B1547+F1547)+'1.설계입력'!$C$8*SIN('1.설계입력'!$C$15*B1547)</f>
        <v>62.203737975039552</v>
      </c>
      <c r="I1547" s="40">
        <f t="shared" si="73"/>
        <v>79.317759531373568</v>
      </c>
      <c r="J1547" s="40">
        <f t="shared" si="74"/>
        <v>79.306921120562478</v>
      </c>
      <c r="K1547" s="38" t="str">
        <f>IF(OR(A1547&gt;180,'1.설계입력'!$C$39&gt;=1),"",'1.설계입력'!$C$34*(1-SIN(B1547)/SQRT(1+'1.설계입력'!$C$39^2-2*'1.설계입력'!$C$39*COS(B1547)))-'1.설계입력'!$C$33*(1-'1.설계입력'!$C$39*COS(B1547)-SQRT(MAX(0,1-'1.설계입력'!$C$39^2))*SIN(B1547))/SQRT(1+'1.설계입력'!$C$39^2-2*'1.설계입력'!$C$39*COS(B1547)))</f>
        <v/>
      </c>
    </row>
    <row r="1548" spans="1:11" x14ac:dyDescent="0.3">
      <c r="A1548" s="40">
        <f>A1547+'1.설계입력'!$C$12</f>
        <v>308.39999999999105</v>
      </c>
      <c r="B1548" s="40">
        <f t="shared" si="72"/>
        <v>5.3825954131503559</v>
      </c>
      <c r="C1548" s="40">
        <f>ATAN2('1.설계입력'!$C$6/('1.설계입력'!$C$8*'1.설계입력'!$C$15)-COS((1-'1.설계입력'!$C$15)*B1548),SIN((1-'1.설계입력'!$C$15)*B1548))</f>
        <v>-0.23776249646380976</v>
      </c>
      <c r="D1548" s="40">
        <f>'1.설계입력'!$C$6*COS(B1548)-'1.설계입력'!$C$7*COS(B1548+C1548)-'1.설계입력'!$C$8*COS('1.설계입력'!$C$15*B1548)</f>
        <v>49.414546639051082</v>
      </c>
      <c r="E1548" s="40">
        <f>-'1.설계입력'!$C$6*SIN(B1548)+'1.설계입력'!$C$7*SIN(B1548+C1548)+'1.설계입력'!$C$8*SIN('1.설계입력'!$C$15*B1548)</f>
        <v>62.122869421953553</v>
      </c>
      <c r="F1548" s="40">
        <f>ATAN2(('1.설계입력'!$C$6+'1.설계입력'!$C$33)/('1.설계입력'!$C$8*'1.설계입력'!$C$15)-COS((1-'1.설계입력'!$C$15)*B1548),SIN((1-'1.설계입력'!$C$15)*B1548))</f>
        <v>-0.23776784559350714</v>
      </c>
      <c r="G1548" s="40">
        <f>('1.설계입력'!$C$6+'1.설계입력'!$C$33)*COS(B1548)-('1.설계입력'!$C$7+'1.설계입력'!$C$34)*COS(B1548+F1548)-'1.설계입력'!$C$8*COS('1.설계입력'!$C$15*B1548)</f>
        <v>49.409245909963133</v>
      </c>
      <c r="H1548" s="40">
        <f>-('1.설계입력'!$C$6+'1.설계입력'!$C$33)*SIN(B1548)+('1.설계입력'!$C$7+'1.설계입력'!$C$34)*SIN(B1548+F1548)+'1.설계입력'!$C$8*SIN('1.설계입력'!$C$15*B1548)</f>
        <v>62.113076638774174</v>
      </c>
      <c r="I1548" s="40">
        <f t="shared" si="73"/>
        <v>79.379142882498087</v>
      </c>
      <c r="J1548" s="40">
        <f t="shared" si="74"/>
        <v>79.36817920883307</v>
      </c>
      <c r="K1548" s="38" t="str">
        <f>IF(OR(A1548&gt;180,'1.설계입력'!$C$39&gt;=1),"",'1.설계입력'!$C$34*(1-SIN(B1548)/SQRT(1+'1.설계입력'!$C$39^2-2*'1.설계입력'!$C$39*COS(B1548)))-'1.설계입력'!$C$33*(1-'1.설계입력'!$C$39*COS(B1548)-SQRT(MAX(0,1-'1.설계입력'!$C$39^2))*SIN(B1548))/SQRT(1+'1.설계입력'!$C$39^2-2*'1.설계입력'!$C$39*COS(B1548)))</f>
        <v/>
      </c>
    </row>
    <row r="1549" spans="1:11" x14ac:dyDescent="0.3">
      <c r="A1549" s="40">
        <f>A1548+'1.설계입력'!$C$12</f>
        <v>308.59999999999104</v>
      </c>
      <c r="B1549" s="40">
        <f t="shared" si="72"/>
        <v>5.3860860716543444</v>
      </c>
      <c r="C1549" s="40">
        <f>ATAN2('1.설계입력'!$C$6/('1.설계입력'!$C$8*'1.설계입력'!$C$15)-COS((1-'1.설계입력'!$C$15)*B1549),SIN((1-'1.설계입력'!$C$15)*B1549))</f>
        <v>-0.18090822721879485</v>
      </c>
      <c r="D1549" s="40">
        <f>'1.설계입력'!$C$6*COS(B1549)-'1.설계입력'!$C$7*COS(B1549+C1549)-'1.설계입력'!$C$8*COS('1.설계입력'!$C$15*B1549)</f>
        <v>49.62867072889167</v>
      </c>
      <c r="E1549" s="40">
        <f>-'1.설계입력'!$C$6*SIN(B1549)+'1.설계입력'!$C$7*SIN(B1549+C1549)+'1.설계입력'!$C$8*SIN('1.설계입력'!$C$15*B1549)</f>
        <v>62.016054658147326</v>
      </c>
      <c r="F1549" s="40">
        <f>ATAN2(('1.설계입력'!$C$6+'1.설계입력'!$C$33)/('1.설계입력'!$C$8*'1.설계입력'!$C$15)-COS((1-'1.설계입력'!$C$15)*B1549),SIN((1-'1.설계입력'!$C$15)*B1549))</f>
        <v>-0.18091224519383958</v>
      </c>
      <c r="G1549" s="40">
        <f>('1.설계입력'!$C$6+'1.설계입력'!$C$33)*COS(B1549)-('1.설계입력'!$C$7+'1.설계입력'!$C$34)*COS(B1549+F1549)-'1.설계입력'!$C$8*COS('1.설계입력'!$C$15*B1549)</f>
        <v>49.622918903880922</v>
      </c>
      <c r="H1549" s="40">
        <f>-('1.설계입력'!$C$6+'1.설계입력'!$C$33)*SIN(B1549)+('1.설계입력'!$C$7+'1.설계입력'!$C$34)*SIN(B1549+F1549)+'1.설계입력'!$C$8*SIN('1.설계입력'!$C$15*B1549)</f>
        <v>62.006488088912469</v>
      </c>
      <c r="I1549" s="40">
        <f t="shared" si="73"/>
        <v>79.429188549796137</v>
      </c>
      <c r="J1549" s="40">
        <f t="shared" si="74"/>
        <v>79.418125422737006</v>
      </c>
      <c r="K1549" s="38" t="str">
        <f>IF(OR(A1549&gt;180,'1.설계입력'!$C$39&gt;=1),"",'1.설계입력'!$C$34*(1-SIN(B1549)/SQRT(1+'1.설계입력'!$C$39^2-2*'1.설계입력'!$C$39*COS(B1549)))-'1.설계입력'!$C$33*(1-'1.설계입력'!$C$39*COS(B1549)-SQRT(MAX(0,1-'1.설계입력'!$C$39^2))*SIN(B1549))/SQRT(1+'1.설계입력'!$C$39^2-2*'1.설계입력'!$C$39*COS(B1549)))</f>
        <v/>
      </c>
    </row>
    <row r="1550" spans="1:11" x14ac:dyDescent="0.3">
      <c r="A1550" s="40">
        <f>A1549+'1.설계입력'!$C$12</f>
        <v>308.79999999999103</v>
      </c>
      <c r="B1550" s="40">
        <f t="shared" si="72"/>
        <v>5.3895767301583328</v>
      </c>
      <c r="C1550" s="40">
        <f>ATAN2('1.설계입력'!$C$6/('1.설계입력'!$C$8*'1.설계입력'!$C$15)-COS((1-'1.설계입력'!$C$15)*B1550),SIN((1-'1.설계입력'!$C$15)*B1550))</f>
        <v>-0.12373363783350368</v>
      </c>
      <c r="D1550" s="40">
        <f>'1.설계입력'!$C$6*COS(B1550)-'1.설계입력'!$C$7*COS(B1550+C1550)-'1.설계입력'!$C$8*COS('1.설계입력'!$C$15*B1550)</f>
        <v>49.840907141401154</v>
      </c>
      <c r="E1550" s="40">
        <f>-'1.설계입력'!$C$6*SIN(B1550)+'1.설계입력'!$C$7*SIN(B1550+C1550)+'1.설계입력'!$C$8*SIN('1.설계입력'!$C$15*B1550)</f>
        <v>61.893632827169256</v>
      </c>
      <c r="F1550" s="40">
        <f>ATAN2(('1.설계입력'!$C$6+'1.설계입력'!$C$33)/('1.설계입력'!$C$8*'1.설계입력'!$C$15)-COS((1-'1.설계입력'!$C$15)*B1550),SIN((1-'1.설계입력'!$C$15)*B1550))</f>
        <v>-0.12373636073799529</v>
      </c>
      <c r="G1550" s="40">
        <f>('1.설계입력'!$C$6+'1.설계입력'!$C$33)*COS(B1550)-('1.설계입력'!$C$7+'1.설계입력'!$C$34)*COS(B1550+F1550)-'1.설계입력'!$C$8*COS('1.설계입력'!$C$15*B1550)</f>
        <v>49.834716360565594</v>
      </c>
      <c r="H1550" s="40">
        <f>-('1.설계입력'!$C$6+'1.설계입력'!$C$33)*SIN(B1550)+('1.설계입력'!$C$7+'1.설계입력'!$C$34)*SIN(B1550+F1550)+'1.설계입력'!$C$8*SIN('1.설계입력'!$C$15*B1550)</f>
        <v>61.884320359389164</v>
      </c>
      <c r="I1550" s="40">
        <f t="shared" si="73"/>
        <v>79.466582971851864</v>
      </c>
      <c r="J1550" s="40">
        <f t="shared" si="74"/>
        <v>79.45544701958157</v>
      </c>
      <c r="K1550" s="38" t="str">
        <f>IF(OR(A1550&gt;180,'1.설계입력'!$C$39&gt;=1),"",'1.설계입력'!$C$34*(1-SIN(B1550)/SQRT(1+'1.설계입력'!$C$39^2-2*'1.설계입력'!$C$39*COS(B1550)))-'1.설계입력'!$C$33*(1-'1.설계입력'!$C$39*COS(B1550)-SQRT(MAX(0,1-'1.설계입력'!$C$39^2))*SIN(B1550))/SQRT(1+'1.설계입력'!$C$39^2-2*'1.설계입력'!$C$39*COS(B1550)))</f>
        <v/>
      </c>
    </row>
    <row r="1551" spans="1:11" x14ac:dyDescent="0.3">
      <c r="A1551" s="40">
        <f>A1550+'1.설계입력'!$C$12</f>
        <v>308.99999999999102</v>
      </c>
      <c r="B1551" s="40">
        <f t="shared" si="72"/>
        <v>5.3930673886623213</v>
      </c>
      <c r="C1551" s="40">
        <f>ATAN2('1.설계입력'!$C$6/('1.설계입력'!$C$8*'1.설계입력'!$C$15)-COS((1-'1.설계입력'!$C$15)*B1551),SIN((1-'1.설계입력'!$C$15)*B1551))</f>
        <v>-6.6347198378748903E-2</v>
      </c>
      <c r="D1551" s="40">
        <f>'1.설계입력'!$C$6*COS(B1551)-'1.설계입력'!$C$7*COS(B1551+C1551)-'1.설계입력'!$C$8*COS('1.설계입력'!$C$15*B1551)</f>
        <v>50.048623492872814</v>
      </c>
      <c r="E1551" s="40">
        <f>-'1.설계입력'!$C$6*SIN(B1551)+'1.설계입력'!$C$7*SIN(B1551+C1551)+'1.설계입력'!$C$8*SIN('1.설계입력'!$C$15*B1551)</f>
        <v>61.756370431732179</v>
      </c>
      <c r="F1551" s="40">
        <f>ATAN2(('1.설계입력'!$C$6+'1.설계입력'!$C$33)/('1.설계입력'!$C$8*'1.설계입력'!$C$15)-COS((1-'1.설계입력'!$C$15)*B1551),SIN((1-'1.설계입력'!$C$15)*B1551))</f>
        <v>-6.6348650140424029E-2</v>
      </c>
      <c r="G1551" s="40">
        <f>('1.설계입력'!$C$6+'1.설계입력'!$C$33)*COS(B1551)-('1.설계입력'!$C$7+'1.설계입력'!$C$34)*COS(B1551+F1551)-'1.설계입력'!$C$8*COS('1.설계입력'!$C$15*B1551)</f>
        <v>50.042008416192687</v>
      </c>
      <c r="H1551" s="40">
        <f>-('1.설계입력'!$C$6+'1.설계입력'!$C$33)*SIN(B1551)+('1.설계입력'!$C$7+'1.설계입력'!$C$34)*SIN(B1551+F1551)+'1.설계입력'!$C$8*SIN('1.설계입력'!$C$15*B1551)</f>
        <v>61.74733893628499</v>
      </c>
      <c r="I1551" s="40">
        <f t="shared" si="73"/>
        <v>79.490339050935404</v>
      </c>
      <c r="J1551" s="40">
        <f t="shared" si="74"/>
        <v>79.479157469356437</v>
      </c>
      <c r="K1551" s="38" t="str">
        <f>IF(OR(A1551&gt;180,'1.설계입력'!$C$39&gt;=1),"",'1.설계입력'!$C$34*(1-SIN(B1551)/SQRT(1+'1.설계입력'!$C$39^2-2*'1.설계입력'!$C$39*COS(B1551)))-'1.설계입력'!$C$33*(1-'1.설계입력'!$C$39*COS(B1551)-SQRT(MAX(0,1-'1.설계입력'!$C$39^2))*SIN(B1551))/SQRT(1+'1.설계입력'!$C$39^2-2*'1.설계입력'!$C$39*COS(B1551)))</f>
        <v/>
      </c>
    </row>
    <row r="1552" spans="1:11" x14ac:dyDescent="0.3">
      <c r="A1552" s="40">
        <f>A1551+'1.설계입력'!$C$12</f>
        <v>309.19999999999101</v>
      </c>
      <c r="B1552" s="40">
        <f t="shared" si="72"/>
        <v>5.3965580471663097</v>
      </c>
      <c r="C1552" s="40">
        <f>ATAN2('1.설계입력'!$C$6/('1.설계입력'!$C$8*'1.설계입력'!$C$15)-COS((1-'1.설계입력'!$C$15)*B1552),SIN((1-'1.설계입력'!$C$15)*B1552))</f>
        <v>-8.849498888315056E-3</v>
      </c>
      <c r="D1552" s="40">
        <f>'1.설계입력'!$C$6*COS(B1552)-'1.설계입력'!$C$7*COS(B1552+C1552)-'1.설계입력'!$C$8*COS('1.설계입력'!$C$15*B1552)</f>
        <v>50.24930793672592</v>
      </c>
      <c r="E1552" s="40">
        <f>-'1.설계입력'!$C$6*SIN(B1552)+'1.설계입력'!$C$7*SIN(B1552+C1552)+'1.설계입력'!$C$8*SIN('1.설계입력'!$C$15*B1552)</f>
        <v>61.605435347556813</v>
      </c>
      <c r="F1552" s="40">
        <f>ATAN2(('1.설계입력'!$C$6+'1.설계입력'!$C$33)/('1.설계입력'!$C$8*'1.설계입력'!$C$15)-COS((1-'1.설계입력'!$C$15)*B1552),SIN((1-'1.설계입력'!$C$15)*B1552))</f>
        <v>-8.849692093636027E-3</v>
      </c>
      <c r="G1552" s="40">
        <f>('1.설계입력'!$C$6+'1.설계입력'!$C$33)*COS(B1552)-('1.설계입력'!$C$7+'1.설계입력'!$C$34)*COS(B1552+F1552)-'1.설계입력'!$C$8*COS('1.설계입력'!$C$15*B1552)</f>
        <v>50.242285561434862</v>
      </c>
      <c r="H1552" s="40">
        <f>-('1.설계입력'!$C$6+'1.설계입력'!$C$33)*SIN(B1552)+('1.설계입력'!$C$7+'1.설계입력'!$C$34)*SIN(B1552+F1552)+'1.설계입력'!$C$8*SIN('1.설계입력'!$C$15*B1552)</f>
        <v>61.596710427102188</v>
      </c>
      <c r="I1552" s="40">
        <f t="shared" si="73"/>
        <v>79.499827751271951</v>
      </c>
      <c r="J1552" s="40">
        <f t="shared" si="74"/>
        <v>79.488628078971431</v>
      </c>
      <c r="K1552" s="38" t="str">
        <f>IF(OR(A1552&gt;180,'1.설계입력'!$C$39&gt;=1),"",'1.설계입력'!$C$34*(1-SIN(B1552)/SQRT(1+'1.설계입력'!$C$39^2-2*'1.설계입력'!$C$39*COS(B1552)))-'1.설계입력'!$C$33*(1-'1.설계입력'!$C$39*COS(B1552)-SQRT(MAX(0,1-'1.설계입력'!$C$39^2))*SIN(B1552))/SQRT(1+'1.설계입력'!$C$39^2-2*'1.설계입력'!$C$39*COS(B1552)))</f>
        <v/>
      </c>
    </row>
    <row r="1553" spans="1:11" x14ac:dyDescent="0.3">
      <c r="A1553" s="40">
        <f>A1552+'1.설계입력'!$C$12</f>
        <v>309.399999999991</v>
      </c>
      <c r="B1553" s="40">
        <f t="shared" si="72"/>
        <v>5.4000487056702982</v>
      </c>
      <c r="C1553" s="40">
        <f>ATAN2('1.설계입력'!$C$6/('1.설계입력'!$C$8*'1.설계입력'!$C$15)-COS((1-'1.설계입력'!$C$15)*B1553),SIN((1-'1.설계입력'!$C$15)*B1553))</f>
        <v>4.8662919699731896E-2</v>
      </c>
      <c r="D1553" s="40">
        <f>'1.설계입력'!$C$6*COS(B1553)-'1.설계입력'!$C$7*COS(B1553+C1553)-'1.설계입력'!$C$8*COS('1.설계입력'!$C$15*B1553)</f>
        <v>50.440640793002487</v>
      </c>
      <c r="E1553" s="40">
        <f>-'1.설계입력'!$C$6*SIN(B1553)+'1.설계입력'!$C$7*SIN(B1553+C1553)+'1.설계입력'!$C$8*SIN('1.설계입력'!$C$15*B1553)</f>
        <v>61.442367958298973</v>
      </c>
      <c r="F1553" s="40">
        <f>ATAN2(('1.설계입력'!$C$6+'1.설계입력'!$C$33)/('1.설계입력'!$C$8*'1.설계입력'!$C$15)-COS((1-'1.설계입력'!$C$15)*B1553),SIN((1-'1.설계입력'!$C$15)*B1553))</f>
        <v>4.8663983384611753E-2</v>
      </c>
      <c r="G1553" s="40">
        <f>('1.설계입력'!$C$6+'1.설계입력'!$C$33)*COS(B1553)-('1.설계입력'!$C$7+'1.설계입력'!$C$34)*COS(B1553+F1553)-'1.설계입력'!$C$8*COS('1.설계입력'!$C$15*B1553)</f>
        <v>50.433230270754201</v>
      </c>
      <c r="H1553" s="40">
        <f>-('1.설계입력'!$C$6+'1.설계입력'!$C$33)*SIN(B1553)+('1.설계입력'!$C$7+'1.설계입력'!$C$34)*SIN(B1553+F1553)+'1.설계입력'!$C$8*SIN('1.설계입력'!$C$15*B1553)</f>
        <v>61.433973707790798</v>
      </c>
      <c r="I1553" s="40">
        <f t="shared" si="73"/>
        <v>79.494797464561856</v>
      </c>
      <c r="J1553" s="40">
        <f t="shared" si="74"/>
        <v>79.483607373297104</v>
      </c>
      <c r="K1553" s="38" t="str">
        <f>IF(OR(A1553&gt;180,'1.설계입력'!$C$39&gt;=1),"",'1.설계입력'!$C$34*(1-SIN(B1553)/SQRT(1+'1.설계입력'!$C$39^2-2*'1.설계입력'!$C$39*COS(B1553)))-'1.설계입력'!$C$33*(1-'1.설계입력'!$C$39*COS(B1553)-SQRT(MAX(0,1-'1.설계입력'!$C$39^2))*SIN(B1553))/SQRT(1+'1.설계입력'!$C$39^2-2*'1.설계입력'!$C$39*COS(B1553)))</f>
        <v/>
      </c>
    </row>
    <row r="1554" spans="1:11" x14ac:dyDescent="0.3">
      <c r="A1554" s="40">
        <f>A1553+'1.설계입력'!$C$12</f>
        <v>309.59999999999098</v>
      </c>
      <c r="B1554" s="40">
        <f t="shared" si="72"/>
        <v>5.4035393641742866</v>
      </c>
      <c r="C1554" s="40">
        <f>ATAN2('1.설계입력'!$C$6/('1.설계입력'!$C$8*'1.설계입력'!$C$15)-COS((1-'1.설계입력'!$C$15)*B1554),SIN((1-'1.설계입력'!$C$15)*B1554))</f>
        <v>0.10609404750713348</v>
      </c>
      <c r="D1554" s="40">
        <f>'1.설계입력'!$C$6*COS(B1554)-'1.설계입력'!$C$7*COS(B1554+C1554)-'1.설계입력'!$C$8*COS('1.설계입력'!$C$15*B1554)</f>
        <v>50.620558464428193</v>
      </c>
      <c r="E1554" s="40">
        <f>-'1.설계입력'!$C$6*SIN(B1554)+'1.설계입력'!$C$7*SIN(B1554+C1554)+'1.설계입력'!$C$8*SIN('1.설계입력'!$C$15*B1554)</f>
        <v>61.269040643117116</v>
      </c>
      <c r="F1554" s="40">
        <f>ATAN2(('1.설계입력'!$C$6+'1.설계입력'!$C$33)/('1.설계입력'!$C$8*'1.설계입력'!$C$15)-COS((1-'1.설계입력'!$C$15)*B1554),SIN((1-'1.설계입력'!$C$15)*B1554))</f>
        <v>0.10609637728104837</v>
      </c>
      <c r="G1554" s="40">
        <f>('1.설계입력'!$C$6+'1.설계입력'!$C$33)*COS(B1554)-('1.설계입력'!$C$7+'1.설계입력'!$C$34)*COS(B1554+F1554)-'1.설계입력'!$C$8*COS('1.설계입력'!$C$15*B1554)</f>
        <v>50.612780914082066</v>
      </c>
      <c r="H1554" s="40">
        <f>-('1.설계입력'!$C$6+'1.설계입력'!$C$33)*SIN(B1554)+('1.설계입력'!$C$7+'1.설계입력'!$C$34)*SIN(B1554+F1554)+'1.설계입력'!$C$8*SIN('1.설계입력'!$C$15*B1554)</f>
        <v>61.260999418402349</v>
      </c>
      <c r="I1554" s="40">
        <f t="shared" si="73"/>
        <v>79.47538160071035</v>
      </c>
      <c r="J1554" s="40">
        <f t="shared" si="74"/>
        <v>79.464228691898612</v>
      </c>
      <c r="K1554" s="38" t="str">
        <f>IF(OR(A1554&gt;180,'1.설계입력'!$C$39&gt;=1),"",'1.설계입력'!$C$34*(1-SIN(B1554)/SQRT(1+'1.설계입력'!$C$39^2-2*'1.설계입력'!$C$39*COS(B1554)))-'1.설계입력'!$C$33*(1-'1.설계입력'!$C$39*COS(B1554)-SQRT(MAX(0,1-'1.설계입력'!$C$39^2))*SIN(B1554))/SQRT(1+'1.설계입력'!$C$39^2-2*'1.설계입력'!$C$39*COS(B1554)))</f>
        <v/>
      </c>
    </row>
    <row r="1555" spans="1:11" x14ac:dyDescent="0.3">
      <c r="A1555" s="40">
        <f>A1554+'1.설계입력'!$C$12</f>
        <v>309.79999999999097</v>
      </c>
      <c r="B1555" s="40">
        <f t="shared" si="72"/>
        <v>5.407030022678275</v>
      </c>
      <c r="C1555" s="40">
        <f>ATAN2('1.설계입력'!$C$6/('1.설계입력'!$C$8*'1.설계입력'!$C$15)-COS((1-'1.설계입력'!$C$15)*B1555),SIN((1-'1.설계입력'!$C$15)*B1555))</f>
        <v>0.1633449282472603</v>
      </c>
      <c r="D1555" s="40">
        <f>'1.설계입력'!$C$6*COS(B1555)-'1.설계입력'!$C$7*COS(B1555+C1555)-'1.설계입력'!$C$8*COS('1.설계입력'!$C$15*B1555)</f>
        <v>50.787308753124087</v>
      </c>
      <c r="E1555" s="40">
        <f>-'1.설계입력'!$C$6*SIN(B1555)+'1.설계입력'!$C$7*SIN(B1555+C1555)+'1.설계입력'!$C$8*SIN('1.설계입력'!$C$15*B1555)</f>
        <v>61.087606434328961</v>
      </c>
      <c r="F1555" s="40">
        <f>ATAN2(('1.설계입력'!$C$6+'1.설계입력'!$C$33)/('1.설계입력'!$C$8*'1.설계입력'!$C$15)-COS((1-'1.설계입력'!$C$15)*B1555),SIN((1-'1.설계입력'!$C$15)*B1555))</f>
        <v>0.16334854448064295</v>
      </c>
      <c r="G1555" s="40">
        <f>('1.설계입력'!$C$6+'1.설계입력'!$C$33)*COS(B1555)-('1.설계입력'!$C$7+'1.설계입력'!$C$34)*COS(B1555+F1555)-'1.설계입력'!$C$8*COS('1.설계입력'!$C$15*B1555)</f>
        <v>50.779187065708761</v>
      </c>
      <c r="H1555" s="40">
        <f>-('1.설계입력'!$C$6+'1.설계입력'!$C$33)*SIN(B1555)+('1.설계입력'!$C$7+'1.설계입력'!$C$34)*SIN(B1555+F1555)+'1.설계입력'!$C$8*SIN('1.설계입력'!$C$15*B1555)</f>
        <v>61.079938624760324</v>
      </c>
      <c r="I1555" s="40">
        <f t="shared" si="73"/>
        <v>79.442094573724731</v>
      </c>
      <c r="J1555" s="40">
        <f t="shared" si="74"/>
        <v>79.431006171763499</v>
      </c>
      <c r="K1555" s="38" t="str">
        <f>IF(OR(A1555&gt;180,'1.설계입력'!$C$39&gt;=1),"",'1.설계입력'!$C$34*(1-SIN(B1555)/SQRT(1+'1.설계입력'!$C$39^2-2*'1.설계입력'!$C$39*COS(B1555)))-'1.설계입력'!$C$33*(1-'1.설계입력'!$C$39*COS(B1555)-SQRT(MAX(0,1-'1.설계입력'!$C$39^2))*SIN(B1555))/SQRT(1+'1.설계입력'!$C$39^2-2*'1.설계입력'!$C$39*COS(B1555)))</f>
        <v/>
      </c>
    </row>
    <row r="1556" spans="1:11" x14ac:dyDescent="0.3">
      <c r="A1556" s="40">
        <f>A1555+'1.설계입력'!$C$12</f>
        <v>309.99999999999096</v>
      </c>
      <c r="B1556" s="40">
        <f t="shared" si="72"/>
        <v>5.4105206811822635</v>
      </c>
      <c r="C1556" s="40">
        <f>ATAN2('1.설계입력'!$C$6/('1.설계입력'!$C$8*'1.설계입력'!$C$15)-COS((1-'1.설계입력'!$C$15)*B1556),SIN((1-'1.설계입력'!$C$15)*B1556))</f>
        <v>0.22030995529749514</v>
      </c>
      <c r="D1556" s="40">
        <f>'1.설계입력'!$C$6*COS(B1556)-'1.설계입력'!$C$7*COS(B1556+C1556)-'1.설계입력'!$C$8*COS('1.설계입력'!$C$15*B1556)</f>
        <v>50.939496612516386</v>
      </c>
      <c r="E1556" s="40">
        <f>-'1.설계입력'!$C$6*SIN(B1556)+'1.설계입력'!$C$7*SIN(B1556+C1556)+'1.설계입력'!$C$8*SIN('1.설계입력'!$C$15*B1556)</f>
        <v>60.90043758484402</v>
      </c>
      <c r="F1556" s="40">
        <f>ATAN2(('1.설계입력'!$C$6+'1.설계입력'!$C$33)/('1.설계입력'!$C$8*'1.설계입력'!$C$15)-COS((1-'1.설계입력'!$C$15)*B1556),SIN((1-'1.설계입력'!$C$15)*B1556))</f>
        <v>0.22031489022158171</v>
      </c>
      <c r="G1556" s="40">
        <f>('1.설계입력'!$C$6+'1.설계입력'!$C$33)*COS(B1556)-('1.설계입력'!$C$7+'1.설계입력'!$C$34)*COS(B1556+F1556)-'1.설계입력'!$C$8*COS('1.설계입력'!$C$15*B1556)</f>
        <v>50.931055245250427</v>
      </c>
      <c r="H1556" s="40">
        <f>-('1.설계입력'!$C$6+'1.설계입력'!$C$33)*SIN(B1556)+('1.설계입력'!$C$7+'1.설계입력'!$C$34)*SIN(B1556+F1556)+'1.설계입력'!$C$8*SIN('1.설계입력'!$C$15*B1556)</f>
        <v>60.893161385288266</v>
      </c>
      <c r="I1556" s="40">
        <f t="shared" si="73"/>
        <v>79.395816093557784</v>
      </c>
      <c r="J1556" s="40">
        <f t="shared" si="74"/>
        <v>79.384819026621912</v>
      </c>
      <c r="K1556" s="38" t="str">
        <f>IF(OR(A1556&gt;180,'1.설계입력'!$C$39&gt;=1),"",'1.설계입력'!$C$34*(1-SIN(B1556)/SQRT(1+'1.설계입력'!$C$39^2-2*'1.설계입력'!$C$39*COS(B1556)))-'1.설계입력'!$C$33*(1-'1.설계입력'!$C$39*COS(B1556)-SQRT(MAX(0,1-'1.설계입력'!$C$39^2))*SIN(B1556))/SQRT(1+'1.설계입력'!$C$39^2-2*'1.설계입력'!$C$39*COS(B1556)))</f>
        <v/>
      </c>
    </row>
    <row r="1557" spans="1:11" x14ac:dyDescent="0.3">
      <c r="A1557" s="40">
        <f>A1556+'1.설계입력'!$C$12</f>
        <v>310.19999999999095</v>
      </c>
      <c r="B1557" s="40">
        <f t="shared" si="72"/>
        <v>5.4140113396862519</v>
      </c>
      <c r="C1557" s="40">
        <f>ATAN2('1.설계입력'!$C$6/('1.설계입력'!$C$8*'1.설계입력'!$C$15)-COS((1-'1.설계입력'!$C$15)*B1557),SIN((1-'1.설계입력'!$C$15)*B1557))</f>
        <v>0.27687264440898318</v>
      </c>
      <c r="D1557" s="40">
        <f>'1.설계입력'!$C$6*COS(B1557)-'1.설계입력'!$C$7*COS(B1557+C1557)-'1.설계입력'!$C$8*COS('1.설계입력'!$C$15*B1557)</f>
        <v>51.076119340858462</v>
      </c>
      <c r="E1557" s="40">
        <f>-'1.설계입력'!$C$6*SIN(B1557)+'1.설계입력'!$C$7*SIN(B1557+C1557)+'1.설계입력'!$C$8*SIN('1.설계입력'!$C$15*B1557)</f>
        <v>60.71005464059057</v>
      </c>
      <c r="F1557" s="40">
        <f>ATAN2(('1.설계입력'!$C$6+'1.설계입력'!$C$33)/('1.설계입력'!$C$8*'1.설계입력'!$C$15)-COS((1-'1.설계입력'!$C$15)*B1557),SIN((1-'1.설계입력'!$C$15)*B1557))</f>
        <v>0.27687894323485696</v>
      </c>
      <c r="G1557" s="40">
        <f>('1.설계입력'!$C$6+'1.설계입력'!$C$33)*COS(B1557)-('1.설계입력'!$C$7+'1.설계입력'!$C$34)*COS(B1557+F1557)-'1.설계입력'!$C$8*COS('1.설계입력'!$C$15*B1557)</f>
        <v>51.067384097062941</v>
      </c>
      <c r="H1557" s="40">
        <f>-('1.설계입력'!$C$6+'1.설계입력'!$C$33)*SIN(B1557)+('1.설계입력'!$C$7+'1.설계입력'!$C$34)*SIN(B1557+F1557)+'1.설계입력'!$C$8*SIN('1.설계입력'!$C$15*B1557)</f>
        <v>60.703185817095239</v>
      </c>
      <c r="I1557" s="40">
        <f t="shared" si="73"/>
        <v>79.337763400445752</v>
      </c>
      <c r="J1557" s="40">
        <f t="shared" si="74"/>
        <v>79.326883758671315</v>
      </c>
      <c r="K1557" s="38" t="str">
        <f>IF(OR(A1557&gt;180,'1.설계입력'!$C$39&gt;=1),"",'1.설계입력'!$C$34*(1-SIN(B1557)/SQRT(1+'1.설계입력'!$C$39^2-2*'1.설계입력'!$C$39*COS(B1557)))-'1.설계입력'!$C$33*(1-'1.설계입력'!$C$39*COS(B1557)-SQRT(MAX(0,1-'1.설계입력'!$C$39^2))*SIN(B1557))/SQRT(1+'1.설계입력'!$C$39^2-2*'1.설계입력'!$C$39*COS(B1557)))</f>
        <v/>
      </c>
    </row>
    <row r="1558" spans="1:11" x14ac:dyDescent="0.3">
      <c r="A1558" s="40">
        <f>A1557+'1.설계입력'!$C$12</f>
        <v>310.39999999999094</v>
      </c>
      <c r="B1558" s="40">
        <f t="shared" si="72"/>
        <v>5.4175019981902404</v>
      </c>
      <c r="C1558" s="40">
        <f>ATAN2('1.설계입력'!$C$6/('1.설계입력'!$C$8*'1.설계입력'!$C$15)-COS((1-'1.설계입력'!$C$15)*B1558),SIN((1-'1.설계입력'!$C$15)*B1558))</f>
        <v>0.33290051505117657</v>
      </c>
      <c r="D1558" s="40">
        <f>'1.설계입력'!$C$6*COS(B1558)-'1.설계입력'!$C$7*COS(B1558+C1558)-'1.설계입력'!$C$8*COS('1.설계입력'!$C$15*B1558)</f>
        <v>51.196590216751261</v>
      </c>
      <c r="E1558" s="40">
        <f>-'1.설계입력'!$C$6*SIN(B1558)+'1.설계입력'!$C$7*SIN(B1558+C1558)+'1.설계입력'!$C$8*SIN('1.설계입력'!$C$15*B1558)</f>
        <v>60.519046348716941</v>
      </c>
      <c r="F1558" s="40">
        <f>ATAN2(('1.설계입력'!$C$6+'1.설계입력'!$C$33)/('1.설계입력'!$C$8*'1.설계입력'!$C$15)-COS((1-'1.설계입력'!$C$15)*B1558),SIN((1-'1.설계입력'!$C$15)*B1558))</f>
        <v>0.33290823759760796</v>
      </c>
      <c r="G1558" s="40">
        <f>('1.설계입력'!$C$6+'1.설계입력'!$C$33)*COS(B1558)-('1.설계입력'!$C$7+'1.설계입력'!$C$34)*COS(B1558+F1558)-'1.설계입력'!$C$8*COS('1.설계입력'!$C$15*B1558)</f>
        <v>51.187588008077142</v>
      </c>
      <c r="H1558" s="40">
        <f>-('1.설계입력'!$C$6+'1.설계입력'!$C$33)*SIN(B1558)+('1.설계입력'!$C$7+'1.설계입력'!$C$34)*SIN(B1558+F1558)+'1.설계입력'!$C$8*SIN('1.설계입력'!$C$15*B1558)</f>
        <v>60.512597990218907</v>
      </c>
      <c r="I1558" s="40">
        <f t="shared" si="73"/>
        <v>79.269450741001734</v>
      </c>
      <c r="J1558" s="40">
        <f t="shared" si="74"/>
        <v>79.258713600527784</v>
      </c>
      <c r="K1558" s="38" t="str">
        <f>IF(OR(A1558&gt;180,'1.설계입력'!$C$39&gt;=1),"",'1.설계입력'!$C$34*(1-SIN(B1558)/SQRT(1+'1.설계입력'!$C$39^2-2*'1.설계입력'!$C$39*COS(B1558)))-'1.설계입력'!$C$33*(1-'1.설계입력'!$C$39*COS(B1558)-SQRT(MAX(0,1-'1.설계입력'!$C$39^2))*SIN(B1558))/SQRT(1+'1.설계입력'!$C$39^2-2*'1.설계입력'!$C$39*COS(B1558)))</f>
        <v/>
      </c>
    </row>
    <row r="1559" spans="1:11" x14ac:dyDescent="0.3">
      <c r="A1559" s="40">
        <f>A1558+'1.설계입력'!$C$12</f>
        <v>310.59999999999093</v>
      </c>
      <c r="B1559" s="40">
        <f t="shared" si="72"/>
        <v>5.4209926566942288</v>
      </c>
      <c r="C1559" s="40">
        <f>ATAN2('1.설계입력'!$C$6/('1.설계입력'!$C$8*'1.설계입력'!$C$15)-COS((1-'1.설계입력'!$C$15)*B1559),SIN((1-'1.설계입력'!$C$15)*B1559))</f>
        <v>0.38823858520193327</v>
      </c>
      <c r="D1559" s="40">
        <f>'1.설계입력'!$C$6*COS(B1559)-'1.설계입력'!$C$7*COS(B1559+C1559)-'1.설계입력'!$C$8*COS('1.설계입력'!$C$15*B1559)</f>
        <v>51.300749566135686</v>
      </c>
      <c r="E1559" s="40">
        <f>-'1.설계입력'!$C$6*SIN(B1559)+'1.설계입력'!$C$7*SIN(B1559+C1559)+'1.설계입력'!$C$8*SIN('1.설계입력'!$C$15*B1559)</f>
        <v>60.329980270628432</v>
      </c>
      <c r="F1559" s="40">
        <f>ATAN2(('1.설계입력'!$C$6+'1.설계입력'!$C$33)/('1.설계입력'!$C$8*'1.설계입력'!$C$15)-COS((1-'1.설계입력'!$C$15)*B1559),SIN((1-'1.설계입력'!$C$15)*B1559))</f>
        <v>0.38824780815144577</v>
      </c>
      <c r="G1559" s="40">
        <f>('1.설계입력'!$C$6+'1.설계입력'!$C$33)*COS(B1559)-('1.설계입력'!$C$7+'1.설계입력'!$C$34)*COS(B1559+F1559)-'1.설계입력'!$C$8*COS('1.설계입력'!$C$15*B1559)</f>
        <v>51.291508152695457</v>
      </c>
      <c r="H1559" s="40">
        <f>-('1.설계입력'!$C$6+'1.설계입력'!$C$33)*SIN(B1559)+('1.설계입력'!$C$7+'1.설계입력'!$C$34)*SIN(B1559+F1559)+'1.설계입력'!$C$8*SIN('1.설계입력'!$C$15*B1559)</f>
        <v>60.323962516115216</v>
      </c>
      <c r="I1559" s="40">
        <f t="shared" si="73"/>
        <v>79.192634919554152</v>
      </c>
      <c r="J1559" s="40">
        <f t="shared" si="74"/>
        <v>79.182064018461261</v>
      </c>
      <c r="K1559" s="38" t="str">
        <f>IF(OR(A1559&gt;180,'1.설계입력'!$C$39&gt;=1),"",'1.설계입력'!$C$34*(1-SIN(B1559)/SQRT(1+'1.설계입력'!$C$39^2-2*'1.설계입력'!$C$39*COS(B1559)))-'1.설계입력'!$C$33*(1-'1.설계입력'!$C$39*COS(B1559)-SQRT(MAX(0,1-'1.설계입력'!$C$39^2))*SIN(B1559))/SQRT(1+'1.설계입력'!$C$39^2-2*'1.설계입력'!$C$39*COS(B1559)))</f>
        <v/>
      </c>
    </row>
    <row r="1560" spans="1:11" x14ac:dyDescent="0.3">
      <c r="A1560" s="40">
        <f>A1559+'1.설계입력'!$C$12</f>
        <v>310.79999999999092</v>
      </c>
      <c r="B1560" s="40">
        <f t="shared" si="72"/>
        <v>5.4244833151982181</v>
      </c>
      <c r="C1560" s="40">
        <f>ATAN2('1.설계입력'!$C$6/('1.설계입력'!$C$8*'1.설계입력'!$C$15)-COS((1-'1.설계입력'!$C$15)*B1560),SIN((1-'1.설계입력'!$C$15)*B1560))</f>
        <v>0.44270077298169352</v>
      </c>
      <c r="D1560" s="40">
        <f>'1.설계입력'!$C$6*COS(B1560)-'1.설계입력'!$C$7*COS(B1560+C1560)-'1.설계입력'!$C$8*COS('1.설계입력'!$C$15*B1560)</f>
        <v>51.388862206405641</v>
      </c>
      <c r="E1560" s="40">
        <f>-'1.설계입력'!$C$6*SIN(B1560)+'1.설계입력'!$C$7*SIN(B1560+C1560)+'1.설계입력'!$C$8*SIN('1.설계입력'!$C$15*B1560)</f>
        <v>60.145303187263949</v>
      </c>
      <c r="F1560" s="40">
        <f>ATAN2(('1.설계입력'!$C$6+'1.설계입력'!$C$33)/('1.설계입력'!$C$8*'1.설계입력'!$C$15)-COS((1-'1.설계입력'!$C$15)*B1560),SIN((1-'1.설계입력'!$C$15)*B1560))</f>
        <v>0.44271159293833795</v>
      </c>
      <c r="G1560" s="40">
        <f>('1.설계입력'!$C$6+'1.설계입력'!$C$33)*COS(B1560)-('1.설계입력'!$C$7+'1.설계입력'!$C$34)*COS(B1560+F1560)-'1.설계입력'!$C$8*COS('1.설계입력'!$C$15*B1560)</f>
        <v>51.379409909033697</v>
      </c>
      <c r="H1560" s="40">
        <f>-('1.설계입력'!$C$6+'1.설계입력'!$C$33)*SIN(B1560)+('1.설계입력'!$C$7+'1.설계입력'!$C$34)*SIN(B1560+F1560)+'1.설계입력'!$C$8*SIN('1.설계입력'!$C$15*B1560)</f>
        <v>60.139722913161712</v>
      </c>
      <c r="I1560" s="40">
        <f t="shared" si="73"/>
        <v>79.109245062488426</v>
      </c>
      <c r="J1560" s="40">
        <f t="shared" si="74"/>
        <v>79.098862410734952</v>
      </c>
      <c r="K1560" s="38" t="str">
        <f>IF(OR(A1560&gt;180,'1.설계입력'!$C$39&gt;=1),"",'1.설계입력'!$C$34*(1-SIN(B1560)/SQRT(1+'1.설계입력'!$C$39^2-2*'1.설계입력'!$C$39*COS(B1560)))-'1.설계입력'!$C$33*(1-'1.설계입력'!$C$39*COS(B1560)-SQRT(MAX(0,1-'1.설계입력'!$C$39^2))*SIN(B1560))/SQRT(1+'1.설계입력'!$C$39^2-2*'1.설계입력'!$C$39*COS(B1560)))</f>
        <v/>
      </c>
    </row>
    <row r="1561" spans="1:11" x14ac:dyDescent="0.3">
      <c r="A1561" s="40">
        <f>A1560+'1.설계입력'!$C$12</f>
        <v>310.99999999999091</v>
      </c>
      <c r="B1561" s="40">
        <f t="shared" si="72"/>
        <v>5.4279739737022066</v>
      </c>
      <c r="C1561" s="40">
        <f>ATAN2('1.설계입력'!$C$6/('1.설계입력'!$C$8*'1.설계입력'!$C$15)-COS((1-'1.설계입력'!$C$15)*B1561),SIN((1-'1.설계입력'!$C$15)*B1561))</f>
        <v>0.49605815253306706</v>
      </c>
      <c r="D1561" s="40">
        <f>'1.설계입력'!$C$6*COS(B1561)-'1.설계입력'!$C$7*COS(B1561+C1561)-'1.설계입력'!$C$8*COS('1.설계입력'!$C$15*B1561)</f>
        <v>51.461600105958361</v>
      </c>
      <c r="E1561" s="40">
        <f>-'1.설계입력'!$C$6*SIN(B1561)+'1.설계입력'!$C$7*SIN(B1561+C1561)+'1.설계입력'!$C$8*SIN('1.설계입력'!$C$15*B1561)</f>
        <v>59.967229076108225</v>
      </c>
      <c r="F1561" s="40">
        <f>ATAN2(('1.설계입력'!$C$6+'1.설계입력'!$C$33)/('1.설계입력'!$C$8*'1.설계입력'!$C$15)-COS((1-'1.설계입력'!$C$15)*B1561),SIN((1-'1.설계입력'!$C$15)*B1561))</f>
        <v>0.49607069012956434</v>
      </c>
      <c r="G1561" s="40">
        <f>('1.설계입력'!$C$6+'1.설계입력'!$C$33)*COS(B1561)-('1.설계입력'!$C$7+'1.설계입력'!$C$34)*COS(B1561+F1561)-'1.설계입력'!$C$8*COS('1.설계입력'!$C$15*B1561)</f>
        <v>51.451965482747433</v>
      </c>
      <c r="H1561" s="40">
        <f>-('1.설계입력'!$C$6+'1.설계입력'!$C$33)*SIN(B1561)+('1.설계입력'!$C$7+'1.설계입력'!$C$34)*SIN(B1561+F1561)+'1.설계입력'!$C$8*SIN('1.설계입력'!$C$15*B1561)</f>
        <v>59.962089521394134</v>
      </c>
      <c r="I1561" s="40">
        <f t="shared" si="73"/>
        <v>79.021293639955132</v>
      </c>
      <c r="J1561" s="40">
        <f t="shared" si="74"/>
        <v>79.011119039091696</v>
      </c>
      <c r="K1561" s="38" t="str">
        <f>IF(OR(A1561&gt;180,'1.설계입력'!$C$39&gt;=1),"",'1.설계입력'!$C$34*(1-SIN(B1561)/SQRT(1+'1.설계입력'!$C$39^2-2*'1.설계입력'!$C$39*COS(B1561)))-'1.설계입력'!$C$33*(1-'1.설계입력'!$C$39*COS(B1561)-SQRT(MAX(0,1-'1.설계입력'!$C$39^2))*SIN(B1561))/SQRT(1+'1.설계입력'!$C$39^2-2*'1.설계입력'!$C$39*COS(B1561)))</f>
        <v/>
      </c>
    </row>
    <row r="1562" spans="1:11" x14ac:dyDescent="0.3">
      <c r="A1562" s="40">
        <f>A1561+'1.설계입력'!$C$12</f>
        <v>311.19999999999089</v>
      </c>
      <c r="B1562" s="40">
        <f t="shared" si="72"/>
        <v>5.431464632206195</v>
      </c>
      <c r="C1562" s="40">
        <f>ATAN2('1.설계입력'!$C$6/('1.설계입력'!$C$8*'1.설계입력'!$C$15)-COS((1-'1.설계입력'!$C$15)*B1562),SIN((1-'1.설계입력'!$C$15)*B1562))</f>
        <v>0.54802244106705922</v>
      </c>
      <c r="D1562" s="40">
        <f>'1.설계입력'!$C$6*COS(B1562)-'1.설계입력'!$C$7*COS(B1562+C1562)-'1.설계입력'!$C$8*COS('1.설계입력'!$C$15*B1562)</f>
        <v>51.520008896059032</v>
      </c>
      <c r="E1562" s="40">
        <f>-'1.설계입력'!$C$6*SIN(B1562)+'1.설계입력'!$C$7*SIN(B1562+C1562)+'1.설계입력'!$C$8*SIN('1.설계입력'!$C$15*B1562)</f>
        <v>59.797610243283799</v>
      </c>
      <c r="F1562" s="40">
        <f>ATAN2(('1.설계입력'!$C$6+'1.설계입력'!$C$33)/('1.설계입력'!$C$8*'1.설계입력'!$C$15)-COS((1-'1.설계입력'!$C$15)*B1562),SIN((1-'1.설계입력'!$C$15)*B1562))</f>
        <v>0.54803684647194961</v>
      </c>
      <c r="G1562" s="40">
        <f>('1.설계입력'!$C$6+'1.설계입력'!$C$33)*COS(B1562)-('1.설계입력'!$C$7+'1.설계입력'!$C$34)*COS(B1562+F1562)-'1.설계입력'!$C$8*COS('1.설계입력'!$C$15*B1562)</f>
        <v>51.510220372267064</v>
      </c>
      <c r="H1562" s="40">
        <f>-('1.설계입력'!$C$6+'1.설계입력'!$C$33)*SIN(B1562)+('1.설계입력'!$C$7+'1.설계입력'!$C$34)*SIN(B1562+F1562)+'1.설계입력'!$C$8*SIN('1.설계입력'!$C$15*B1562)</f>
        <v>59.792910538211608</v>
      </c>
      <c r="I1562" s="40">
        <f t="shared" si="73"/>
        <v>78.930764011617683</v>
      </c>
      <c r="J1562" s="40">
        <f t="shared" si="74"/>
        <v>78.920814449865475</v>
      </c>
      <c r="K1562" s="38" t="str">
        <f>IF(OR(A1562&gt;180,'1.설계입력'!$C$39&gt;=1),"",'1.설계입력'!$C$34*(1-SIN(B1562)/SQRT(1+'1.설계입력'!$C$39^2-2*'1.설계입력'!$C$39*COS(B1562)))-'1.설계입력'!$C$33*(1-'1.설계입력'!$C$39*COS(B1562)-SQRT(MAX(0,1-'1.설계입력'!$C$39^2))*SIN(B1562))/SQRT(1+'1.설계입력'!$C$39^2-2*'1.설계입력'!$C$39*COS(B1562)))</f>
        <v/>
      </c>
    </row>
    <row r="1563" spans="1:11" x14ac:dyDescent="0.3">
      <c r="A1563" s="40">
        <f>A1562+'1.설계입력'!$C$12</f>
        <v>311.39999999999088</v>
      </c>
      <c r="B1563" s="40">
        <f t="shared" si="72"/>
        <v>5.4349552907101835</v>
      </c>
      <c r="C1563" s="40">
        <f>ATAN2('1.설계입력'!$C$6/('1.설계입력'!$C$8*'1.설계입력'!$C$15)-COS((1-'1.설계입력'!$C$15)*B1563),SIN((1-'1.설계입력'!$C$15)*B1563))</f>
        <v>0.59822213579331696</v>
      </c>
      <c r="D1563" s="40">
        <f>'1.설계입력'!$C$6*COS(B1563)-'1.설계입력'!$C$7*COS(B1563+C1563)-'1.설계입력'!$C$8*COS('1.설계입력'!$C$15*B1563)</f>
        <v>51.565456560217328</v>
      </c>
      <c r="E1563" s="40">
        <f>-'1.설계입력'!$C$6*SIN(B1563)+'1.설계입력'!$C$7*SIN(B1563+C1563)+'1.설계입력'!$C$8*SIN('1.설계입력'!$C$15*B1563)</f>
        <v>59.637783451548117</v>
      </c>
      <c r="F1563" s="40">
        <f>ATAN2(('1.설계입력'!$C$6+'1.설계입력'!$C$33)/('1.설계입력'!$C$8*'1.설계입력'!$C$15)-COS((1-'1.설계입력'!$C$15)*B1563),SIN((1-'1.설계입력'!$C$15)*B1563))</f>
        <v>0.59823859611091779</v>
      </c>
      <c r="G1563" s="40">
        <f>('1.설계입력'!$C$6+'1.설계입력'!$C$33)*COS(B1563)-('1.설계입력'!$C$7+'1.설계입력'!$C$34)*COS(B1563+F1563)-'1.설계입력'!$C$8*COS('1.설계입력'!$C$15*B1563)</f>
        <v>51.555541996257205</v>
      </c>
      <c r="H1563" s="40">
        <f>-('1.설계입력'!$C$6+'1.설계입력'!$C$33)*SIN(B1563)+('1.설계입력'!$C$7+'1.설계입력'!$C$34)*SIN(B1563+F1563)+'1.설계입력'!$C$8*SIN('1.설계입력'!$C$15*B1563)</f>
        <v>59.63351799692748</v>
      </c>
      <c r="I1563" s="40">
        <f t="shared" si="73"/>
        <v>78.839466799804057</v>
      </c>
      <c r="J1563" s="40">
        <f t="shared" si="74"/>
        <v>78.829755671432309</v>
      </c>
      <c r="K1563" s="38" t="str">
        <f>IF(OR(A1563&gt;180,'1.설계입력'!$C$39&gt;=1),"",'1.설계입력'!$C$34*(1-SIN(B1563)/SQRT(1+'1.설계입력'!$C$39^2-2*'1.설계입력'!$C$39*COS(B1563)))-'1.설계입력'!$C$33*(1-'1.설계입력'!$C$39*COS(B1563)-SQRT(MAX(0,1-'1.설계입력'!$C$39^2))*SIN(B1563))/SQRT(1+'1.설계입력'!$C$39^2-2*'1.설계입력'!$C$39*COS(B1563)))</f>
        <v/>
      </c>
    </row>
    <row r="1564" spans="1:11" x14ac:dyDescent="0.3">
      <c r="A1564" s="40">
        <f>A1563+'1.설계입력'!$C$12</f>
        <v>311.59999999999087</v>
      </c>
      <c r="B1564" s="40">
        <f t="shared" si="72"/>
        <v>5.4384459492141719</v>
      </c>
      <c r="C1564" s="40">
        <f>ATAN2('1.설계입력'!$C$6/('1.설계입력'!$C$8*'1.설계입력'!$C$15)-COS((1-'1.설계입력'!$C$15)*B1564),SIN((1-'1.설계입력'!$C$15)*B1564))</f>
        <v>0.64616706942834912</v>
      </c>
      <c r="D1564" s="40">
        <f>'1.설계입력'!$C$6*COS(B1564)-'1.설계입력'!$C$7*COS(B1564+C1564)-'1.설계입력'!$C$8*COS('1.설계입력'!$C$15*B1564)</f>
        <v>51.599562252541901</v>
      </c>
      <c r="E1564" s="40">
        <f>-'1.설계입력'!$C$6*SIN(B1564)+'1.설계입력'!$C$7*SIN(B1564+C1564)+'1.설계입력'!$C$8*SIN('1.설계입력'!$C$15*B1564)</f>
        <v>59.488376359194554</v>
      </c>
      <c r="F1564" s="40">
        <f>ATAN2(('1.설계입력'!$C$6+'1.설계입력'!$C$33)/('1.설계입력'!$C$8*'1.설계입력'!$C$15)-COS((1-'1.설계입력'!$C$15)*B1564),SIN((1-'1.설계입력'!$C$15)*B1564))</f>
        <v>0.64618581867415914</v>
      </c>
      <c r="G1564" s="40">
        <f>('1.설계입력'!$C$6+'1.설계입력'!$C$33)*COS(B1564)-('1.설계입력'!$C$7+'1.설계입력'!$C$34)*COS(B1564+F1564)-'1.설계입력'!$C$8*COS('1.설계입력'!$C$15*B1564)</f>
        <v>51.589548428675513</v>
      </c>
      <c r="H1564" s="40">
        <f>-('1.설계입력'!$C$6+'1.설계입력'!$C$33)*SIN(B1564)+('1.설계입력'!$C$7+'1.설계입력'!$C$34)*SIN(B1564+F1564)+'1.설계입력'!$C$8*SIN('1.설계입력'!$C$15*B1564)</f>
        <v>59.484533971371974</v>
      </c>
      <c r="I1564" s="40">
        <f t="shared" si="73"/>
        <v>78.748852350412861</v>
      </c>
      <c r="J1564" s="40">
        <f t="shared" si="74"/>
        <v>78.739388420700621</v>
      </c>
      <c r="K1564" s="38" t="str">
        <f>IF(OR(A1564&gt;180,'1.설계입력'!$C$39&gt;=1),"",'1.설계입력'!$C$34*(1-SIN(B1564)/SQRT(1+'1.설계입력'!$C$39^2-2*'1.설계입력'!$C$39*COS(B1564)))-'1.설계입력'!$C$33*(1-'1.설계입력'!$C$39*COS(B1564)-SQRT(MAX(0,1-'1.설계입력'!$C$39^2))*SIN(B1564))/SQRT(1+'1.설계입력'!$C$39^2-2*'1.설계입력'!$C$39*COS(B1564)))</f>
        <v/>
      </c>
    </row>
    <row r="1565" spans="1:11" x14ac:dyDescent="0.3">
      <c r="A1565" s="40">
        <f>A1564+'1.설계입력'!$C$12</f>
        <v>311.79999999999086</v>
      </c>
      <c r="B1565" s="40">
        <f t="shared" si="72"/>
        <v>5.4419366077181603</v>
      </c>
      <c r="C1565" s="40">
        <f>ATAN2('1.설계입력'!$C$6/('1.설계입력'!$C$8*'1.설계입력'!$C$15)-COS((1-'1.설계입력'!$C$15)*B1565),SIN((1-'1.설계입력'!$C$15)*B1565))</f>
        <v>0.69119422737100567</v>
      </c>
      <c r="D1565" s="40">
        <f>'1.설계입력'!$C$6*COS(B1565)-'1.설계입력'!$C$7*COS(B1565+C1565)-'1.설계입력'!$C$8*COS('1.설계입력'!$C$15*B1565)</f>
        <v>51.624103028394821</v>
      </c>
      <c r="E1565" s="40">
        <f>-'1.설계입력'!$C$6*SIN(B1565)+'1.설계입력'!$C$7*SIN(B1565+C1565)+'1.설계입력'!$C$8*SIN('1.설계입력'!$C$15*B1565)</f>
        <v>59.349047872881471</v>
      </c>
      <c r="F1565" s="40">
        <f>ATAN2(('1.설계입력'!$C$6+'1.설계입력'!$C$33)/('1.설계입력'!$C$8*'1.설계입력'!$C$15)-COS((1-'1.설계입력'!$C$15)*B1565),SIN((1-'1.설계입력'!$C$15)*B1565))</f>
        <v>0.69121555993506656</v>
      </c>
      <c r="G1565" s="40">
        <f>('1.설계입력'!$C$6+'1.설계입력'!$C$33)*COS(B1565)-('1.설계입력'!$C$7+'1.설계입력'!$C$34)*COS(B1565+F1565)-'1.설계입력'!$C$8*COS('1.설계입력'!$C$15*B1565)</f>
        <v>51.614015016833747</v>
      </c>
      <c r="H1565" s="40">
        <f>-('1.설계입력'!$C$6+'1.설계입력'!$C$33)*SIN(B1565)+('1.설계입력'!$C$7+'1.설계입력'!$C$34)*SIN(B1565+F1565)+'1.설계입력'!$C$8*SIN('1.설계입력'!$C$15*B1565)</f>
        <v>59.345610554524875</v>
      </c>
      <c r="I1565" s="40">
        <f t="shared" si="73"/>
        <v>78.659757798406048</v>
      </c>
      <c r="J1565" s="40">
        <f t="shared" si="74"/>
        <v>78.650543788630443</v>
      </c>
      <c r="K1565" s="38" t="str">
        <f>IF(OR(A1565&gt;180,'1.설계입력'!$C$39&gt;=1),"",'1.설계입력'!$C$34*(1-SIN(B1565)/SQRT(1+'1.설계입력'!$C$39^2-2*'1.설계입력'!$C$39*COS(B1565)))-'1.설계입력'!$C$33*(1-'1.설계입력'!$C$39*COS(B1565)-SQRT(MAX(0,1-'1.설계입력'!$C$39^2))*SIN(B1565))/SQRT(1+'1.설계입력'!$C$39^2-2*'1.설계입력'!$C$39*COS(B1565)))</f>
        <v/>
      </c>
    </row>
    <row r="1566" spans="1:11" x14ac:dyDescent="0.3">
      <c r="A1566" s="40">
        <f>A1565+'1.설계입력'!$C$12</f>
        <v>311.99999999999085</v>
      </c>
      <c r="B1566" s="40">
        <f t="shared" si="72"/>
        <v>5.4454272662221488</v>
      </c>
      <c r="C1566" s="40">
        <f>ATAN2('1.설계입력'!$C$6/('1.설계입력'!$C$8*'1.설계입력'!$C$15)-COS((1-'1.설계입력'!$C$15)*B1566),SIN((1-'1.설계입력'!$C$15)*B1566))</f>
        <v>0.73238231098033157</v>
      </c>
      <c r="D1566" s="40">
        <f>'1.설계입력'!$C$6*COS(B1566)-'1.설계입력'!$C$7*COS(B1566+C1566)-'1.설계입력'!$C$8*COS('1.설계입력'!$C$15*B1566)</f>
        <v>51.640897267998866</v>
      </c>
      <c r="E1566" s="40">
        <f>-'1.설계입력'!$C$6*SIN(B1566)+'1.설계입력'!$C$7*SIN(B1566+C1566)+'1.설계입력'!$C$8*SIN('1.설계입력'!$C$15*B1566)</f>
        <v>59.218114295123407</v>
      </c>
      <c r="F1566" s="40">
        <f>ATAN2(('1.설계입력'!$C$6+'1.설계입력'!$C$33)/('1.설계입력'!$C$8*'1.설계입력'!$C$15)-COS((1-'1.설계입력'!$C$15)*B1566),SIN((1-'1.설계입력'!$C$15)*B1566))</f>
        <v>0.73240659968893762</v>
      </c>
      <c r="G1566" s="40">
        <f>('1.설계입력'!$C$6+'1.설계입력'!$C$33)*COS(B1566)-('1.설계입력'!$C$7+'1.설계입력'!$C$34)*COS(B1566+F1566)-'1.설계입력'!$C$8*COS('1.설계입력'!$C$15*B1566)</f>
        <v>51.630757654558202</v>
      </c>
      <c r="H1566" s="40">
        <f>-('1.설계입력'!$C$6+'1.설계입력'!$C$33)*SIN(B1566)+('1.설계입력'!$C$7+'1.설계입력'!$C$34)*SIN(B1566+F1566)+'1.설계입력'!$C$8*SIN('1.설계입력'!$C$15*B1566)</f>
        <v>59.215055393204658</v>
      </c>
      <c r="I1566" s="40">
        <f t="shared" si="73"/>
        <v>78.572051846151453</v>
      </c>
      <c r="J1566" s="40">
        <f t="shared" si="74"/>
        <v>78.563082431915916</v>
      </c>
      <c r="K1566" s="38" t="str">
        <f>IF(OR(A1566&gt;180,'1.설계입력'!$C$39&gt;=1),"",'1.설계입력'!$C$34*(1-SIN(B1566)/SQRT(1+'1.설계입력'!$C$39^2-2*'1.설계입력'!$C$39*COS(B1566)))-'1.설계입력'!$C$33*(1-'1.설계입력'!$C$39*COS(B1566)-SQRT(MAX(0,1-'1.설계입력'!$C$39^2))*SIN(B1566))/SQRT(1+'1.설계입력'!$C$39^2-2*'1.설계입력'!$C$39*COS(B1566)))</f>
        <v/>
      </c>
    </row>
    <row r="1567" spans="1:11" x14ac:dyDescent="0.3">
      <c r="A1567" s="40">
        <f>A1566+'1.설계입력'!$C$12</f>
        <v>312.19999999999084</v>
      </c>
      <c r="B1567" s="40">
        <f t="shared" si="72"/>
        <v>5.4489179247261372</v>
      </c>
      <c r="C1567" s="40">
        <f>ATAN2('1.설계입력'!$C$6/('1.설계입력'!$C$8*'1.설계입력'!$C$15)-COS((1-'1.설계입력'!$C$15)*B1567),SIN((1-'1.설계입력'!$C$15)*B1567))</f>
        <v>0.7684123686307287</v>
      </c>
      <c r="D1567" s="40">
        <f>'1.설계입력'!$C$6*COS(B1567)-'1.설계입력'!$C$7*COS(B1567+C1567)-'1.설계입력'!$C$8*COS('1.설계입력'!$C$15*B1567)</f>
        <v>51.651668845993747</v>
      </c>
      <c r="E1567" s="40">
        <f>-'1.설계입력'!$C$6*SIN(B1567)+'1.설계입력'!$C$7*SIN(B1567+C1567)+'1.설계입력'!$C$8*SIN('1.설계입력'!$C$15*B1567)</f>
        <v>59.091971420754334</v>
      </c>
      <c r="F1567" s="40">
        <f>ATAN2(('1.설계입력'!$C$6+'1.설계입력'!$C$33)/('1.설계입력'!$C$8*'1.설계입력'!$C$15)-COS((1-'1.설계입력'!$C$15)*B1567),SIN((1-'1.설계입력'!$C$15)*B1567))</f>
        <v>0.76844008838865874</v>
      </c>
      <c r="G1567" s="40">
        <f>('1.설계입력'!$C$6+'1.설계입력'!$C$33)*COS(B1567)-('1.설계입력'!$C$7+'1.설계입력'!$C$34)*COS(B1567+F1567)-'1.설계입력'!$C$8*COS('1.설계입력'!$C$15*B1567)</f>
        <v>51.641496760292831</v>
      </c>
      <c r="H1567" s="40">
        <f>-('1.설계입력'!$C$6+'1.설계입력'!$C$33)*SIN(B1567)+('1.설계입력'!$C$7+'1.설계입력'!$C$34)*SIN(B1567+F1567)+'1.설계입력'!$C$8*SIN('1.설계입력'!$C$15*B1567)</f>
        <v>59.089252749206253</v>
      </c>
      <c r="I1567" s="40">
        <f t="shared" si="73"/>
        <v>78.48411292081633</v>
      </c>
      <c r="J1567" s="40">
        <f t="shared" si="74"/>
        <v>78.475371793339818</v>
      </c>
      <c r="K1567" s="38" t="str">
        <f>IF(OR(A1567&gt;180,'1.설계입력'!$C$39&gt;=1),"",'1.설계입력'!$C$34*(1-SIN(B1567)/SQRT(1+'1.설계입력'!$C$39^2-2*'1.설계입력'!$C$39*COS(B1567)))-'1.설계입력'!$C$33*(1-'1.설계입력'!$C$39*COS(B1567)-SQRT(MAX(0,1-'1.설계입력'!$C$39^2))*SIN(B1567))/SQRT(1+'1.설계입력'!$C$39^2-2*'1.설계입력'!$C$39*COS(B1567)))</f>
        <v/>
      </c>
    </row>
    <row r="1568" spans="1:11" x14ac:dyDescent="0.3">
      <c r="A1568" s="40">
        <f>A1567+'1.설계입력'!$C$12</f>
        <v>312.39999999999083</v>
      </c>
      <c r="B1568" s="40">
        <f t="shared" si="72"/>
        <v>5.4524085832301257</v>
      </c>
      <c r="C1568" s="40">
        <f>ATAN2('1.설계입력'!$C$6/('1.설계입력'!$C$8*'1.설계입력'!$C$15)-COS((1-'1.설계입력'!$C$15)*B1568),SIN((1-'1.설계입력'!$C$15)*B1568))</f>
        <v>0.79733184953323477</v>
      </c>
      <c r="D1568" s="40">
        <f>'1.설계입력'!$C$6*COS(B1568)-'1.설계입력'!$C$7*COS(B1568+C1568)-'1.설계입력'!$C$8*COS('1.설계입력'!$C$15*B1568)</f>
        <v>51.657915535992402</v>
      </c>
      <c r="E1568" s="40">
        <f>-'1.설계입력'!$C$6*SIN(B1568)+'1.설계입력'!$C$7*SIN(B1568+C1568)+'1.설계입력'!$C$8*SIN('1.설계입력'!$C$15*B1568)</f>
        <v>58.964139782917385</v>
      </c>
      <c r="F1568" s="40">
        <f>ATAN2(('1.설계입력'!$C$6+'1.설계입력'!$C$33)/('1.설계입력'!$C$8*'1.설계입력'!$C$15)-COS((1-'1.설계입력'!$C$15)*B1568),SIN((1-'1.설계입력'!$C$15)*B1568))</f>
        <v>0.79736360603963785</v>
      </c>
      <c r="G1568" s="40">
        <f>('1.설계입력'!$C$6+'1.설계입력'!$C$33)*COS(B1568)-('1.설계입력'!$C$7+'1.설계입력'!$C$34)*COS(B1568+F1568)-'1.설계입력'!$C$8*COS('1.설계입력'!$C$15*B1568)</f>
        <v>51.647725474176163</v>
      </c>
      <c r="H1568" s="40">
        <f>-('1.설계입력'!$C$6+'1.설계입력'!$C$33)*SIN(B1568)+('1.설계입력'!$C$7+'1.설계입력'!$C$34)*SIN(B1568+F1568)+'1.설계입력'!$C$8*SIN('1.설계입력'!$C$15*B1568)</f>
        <v>58.961706930520016</v>
      </c>
      <c r="I1568" s="40">
        <f t="shared" si="73"/>
        <v>78.392027769813083</v>
      </c>
      <c r="J1568" s="40">
        <f t="shared" si="74"/>
        <v>78.383483150574506</v>
      </c>
      <c r="K1568" s="38" t="str">
        <f>IF(OR(A1568&gt;180,'1.설계입력'!$C$39&gt;=1),"",'1.설계입력'!$C$34*(1-SIN(B1568)/SQRT(1+'1.설계입력'!$C$39^2-2*'1.설계입력'!$C$39*COS(B1568)))-'1.설계입력'!$C$33*(1-'1.설계입력'!$C$39*COS(B1568)-SQRT(MAX(0,1-'1.설계입력'!$C$39^2))*SIN(B1568))/SQRT(1+'1.설계입력'!$C$39^2-2*'1.설계입력'!$C$39*COS(B1568)))</f>
        <v/>
      </c>
    </row>
    <row r="1569" spans="1:11" x14ac:dyDescent="0.3">
      <c r="A1569" s="40">
        <f>A1568+'1.설계입력'!$C$12</f>
        <v>312.59999999999081</v>
      </c>
      <c r="B1569" s="40">
        <f t="shared" si="72"/>
        <v>5.4558992417341141</v>
      </c>
      <c r="C1569" s="40">
        <f>ATAN2('1.설계입력'!$C$6/('1.설계입력'!$C$8*'1.설계입력'!$C$15)-COS((1-'1.설계입력'!$C$15)*B1569),SIN((1-'1.설계입력'!$C$15)*B1569))</f>
        <v>0.81613895239443379</v>
      </c>
      <c r="D1569" s="40">
        <f>'1.설계입력'!$C$6*COS(B1569)-'1.설계입력'!$C$7*COS(B1569+C1569)-'1.설계입력'!$C$8*COS('1.설계입력'!$C$15*B1569)</f>
        <v>51.66087072256493</v>
      </c>
      <c r="E1569" s="40">
        <f>-'1.설계입력'!$C$6*SIN(B1569)+'1.설계입력'!$C$7*SIN(B1569+C1569)+'1.설계입력'!$C$8*SIN('1.설계입력'!$C$15*B1569)</f>
        <v>58.823590771978743</v>
      </c>
      <c r="F1569" s="40">
        <f>ATAN2(('1.설계입력'!$C$6+'1.설계입력'!$C$33)/('1.설계입력'!$C$8*'1.설계입력'!$C$15)-COS((1-'1.설계입력'!$C$15)*B1569),SIN((1-'1.설계입력'!$C$15)*B1569))</f>
        <v>0.81617550904678282</v>
      </c>
      <c r="G1569" s="40">
        <f>('1.설계입력'!$C$6+'1.설계입력'!$C$33)*COS(B1569)-('1.설계입력'!$C$7+'1.설계입력'!$C$34)*COS(B1569+F1569)-'1.설계입력'!$C$8*COS('1.설계입력'!$C$15*B1569)</f>
        <v>51.650671279705669</v>
      </c>
      <c r="H1569" s="40">
        <f>-('1.설계입력'!$C$6+'1.설계입력'!$C$33)*SIN(B1569)+('1.설계입력'!$C$7+'1.설계입력'!$C$34)*SIN(B1569+F1569)+'1.설계입력'!$C$8*SIN('1.설계입력'!$C$15*B1569)</f>
        <v>58.821365094907726</v>
      </c>
      <c r="I1569" s="40">
        <f t="shared" si="73"/>
        <v>78.288315827604762</v>
      </c>
      <c r="J1569" s="40">
        <f t="shared" si="74"/>
        <v>78.27991335759539</v>
      </c>
      <c r="K1569" s="38" t="str">
        <f>IF(OR(A1569&gt;180,'1.설계입력'!$C$39&gt;=1),"",'1.설계입력'!$C$34*(1-SIN(B1569)/SQRT(1+'1.설계입력'!$C$39^2-2*'1.설계입력'!$C$39*COS(B1569)))-'1.설계입력'!$C$33*(1-'1.설계입력'!$C$39*COS(B1569)-SQRT(MAX(0,1-'1.설계입력'!$C$39^2))*SIN(B1569))/SQRT(1+'1.설계입력'!$C$39^2-2*'1.설계입력'!$C$39*COS(B1569)))</f>
        <v/>
      </c>
    </row>
    <row r="1570" spans="1:11" x14ac:dyDescent="0.3">
      <c r="A1570" s="40">
        <f>A1569+'1.설계입력'!$C$12</f>
        <v>312.7999999999908</v>
      </c>
      <c r="B1570" s="40">
        <f t="shared" si="72"/>
        <v>5.4593899002381026</v>
      </c>
      <c r="C1570" s="40">
        <f>ATAN2('1.설계입력'!$C$6/('1.설계입력'!$C$8*'1.설계입력'!$C$15)-COS((1-'1.설계입력'!$C$15)*B1570),SIN((1-'1.설계입력'!$C$15)*B1570))</f>
        <v>0.82002074287662674</v>
      </c>
      <c r="D1570" s="40">
        <f>'1.설계입력'!$C$6*COS(B1570)-'1.설계입력'!$C$7*COS(B1570+C1570)-'1.설계입력'!$C$8*COS('1.설계입력'!$C$15*B1570)</f>
        <v>51.661866200534362</v>
      </c>
      <c r="E1570" s="40">
        <f>-'1.설계입력'!$C$6*SIN(B1570)+'1.설계입력'!$C$7*SIN(B1570+C1570)+'1.설계입력'!$C$8*SIN('1.설계입력'!$C$15*B1570)</f>
        <v>58.651664028310854</v>
      </c>
      <c r="F1570" s="40">
        <f>ATAN2(('1.설계입력'!$C$6+'1.설계입력'!$C$33)/('1.설계입력'!$C$8*'1.설계입력'!$C$15)-COS((1-'1.설계입력'!$C$15)*B1570),SIN((1-'1.설계입력'!$C$15)*B1570))</f>
        <v>0.82006301553629912</v>
      </c>
      <c r="G1570" s="40">
        <f>('1.설계입력'!$C$6+'1.설계입력'!$C$33)*COS(B1570)-('1.설계입력'!$C$7+'1.설계입력'!$C$34)*COS(B1570+F1570)-'1.설계입력'!$C$8*COS('1.설계입력'!$C$15*B1570)</f>
        <v>51.651659354225693</v>
      </c>
      <c r="H1570" s="40">
        <f>-('1.설계입력'!$C$6+'1.설계입력'!$C$33)*SIN(B1570)+('1.설계입력'!$C$7+'1.설계입력'!$C$34)*SIN(B1570+F1570)+'1.설계입력'!$C$8*SIN('1.설계입력'!$C$15*B1570)</f>
        <v>58.649528322878226</v>
      </c>
      <c r="I1570" s="40">
        <f t="shared" si="73"/>
        <v>78.15987533646512</v>
      </c>
      <c r="J1570" s="40">
        <f t="shared" si="74"/>
        <v>78.151526450486344</v>
      </c>
      <c r="K1570" s="38" t="str">
        <f>IF(OR(A1570&gt;180,'1.설계입력'!$C$39&gt;=1),"",'1.설계입력'!$C$34*(1-SIN(B1570)/SQRT(1+'1.설계입력'!$C$39^2-2*'1.설계입력'!$C$39*COS(B1570)))-'1.설계입력'!$C$33*(1-'1.설계입력'!$C$39*COS(B1570)-SQRT(MAX(0,1-'1.설계입력'!$C$39^2))*SIN(B1570))/SQRT(1+'1.설계입력'!$C$39^2-2*'1.설계입력'!$C$39*COS(B1570)))</f>
        <v/>
      </c>
    </row>
    <row r="1571" spans="1:11" x14ac:dyDescent="0.3">
      <c r="A1571" s="40">
        <f>A1570+'1.설계입력'!$C$12</f>
        <v>312.99999999999079</v>
      </c>
      <c r="B1571" s="40">
        <f t="shared" si="72"/>
        <v>5.462880558742091</v>
      </c>
      <c r="C1571" s="40">
        <f>ATAN2('1.설계입력'!$C$6/('1.설계입력'!$C$8*'1.설계입력'!$C$15)-COS((1-'1.설계입력'!$C$15)*B1571),SIN((1-'1.설계입력'!$C$15)*B1571))</f>
        <v>0.80091285278380941</v>
      </c>
      <c r="D1571" s="40">
        <f>'1.설계입력'!$C$6*COS(B1571)-'1.설계입력'!$C$7*COS(B1571+C1571)-'1.설계입력'!$C$8*COS('1.설계입력'!$C$15*B1571)</f>
        <v>51.664145326290317</v>
      </c>
      <c r="E1571" s="40">
        <f>-'1.설계입력'!$C$6*SIN(B1571)+'1.설계입력'!$C$7*SIN(B1571+C1571)+'1.설계입력'!$C$8*SIN('1.설계입력'!$C$15*B1571)</f>
        <v>58.416229182046408</v>
      </c>
      <c r="F1571" s="40">
        <f>ATAN2(('1.설계입력'!$C$6+'1.설계입력'!$C$33)/('1.설계입력'!$C$8*'1.설계입력'!$C$15)-COS((1-'1.설계입력'!$C$15)*B1571),SIN((1-'1.설계입력'!$C$15)*B1571))</f>
        <v>0.80096175867937125</v>
      </c>
      <c r="G1571" s="40">
        <f>('1.설계입력'!$C$6+'1.설계입력'!$C$33)*COS(B1571)-('1.설계입력'!$C$7+'1.설계입력'!$C$34)*COS(B1571+F1571)-'1.설계입력'!$C$8*COS('1.설계입력'!$C$15*B1571)</f>
        <v>51.653928858147779</v>
      </c>
      <c r="H1571" s="40">
        <f>-('1.설계입력'!$C$6+'1.설계입력'!$C$33)*SIN(B1571)+('1.설계입력'!$C$7+'1.설계입력'!$C$34)*SIN(B1571+F1571)+'1.설계입력'!$C$8*SIN('1.설계입력'!$C$15*B1571)</f>
        <v>58.414000904018771</v>
      </c>
      <c r="I1571" s="40">
        <f t="shared" si="73"/>
        <v>77.984868687107607</v>
      </c>
      <c r="J1571" s="40">
        <f t="shared" si="74"/>
        <v>77.976431491171084</v>
      </c>
      <c r="K1571" s="38" t="str">
        <f>IF(OR(A1571&gt;180,'1.설계입력'!$C$39&gt;=1),"",'1.설계입력'!$C$34*(1-SIN(B1571)/SQRT(1+'1.설계입력'!$C$39^2-2*'1.설계입력'!$C$39*COS(B1571)))-'1.설계입력'!$C$33*(1-'1.설계입력'!$C$39*COS(B1571)-SQRT(MAX(0,1-'1.설계입력'!$C$39^2))*SIN(B1571))/SQRT(1+'1.설계입력'!$C$39^2-2*'1.설계입력'!$C$39*COS(B1571)))</f>
        <v/>
      </c>
    </row>
    <row r="1572" spans="1:11" x14ac:dyDescent="0.3">
      <c r="A1572" s="40">
        <f>A1571+'1.설계입력'!$C$12</f>
        <v>313.19999999999078</v>
      </c>
      <c r="B1572" s="40">
        <f t="shared" si="72"/>
        <v>5.4663712172460794</v>
      </c>
      <c r="C1572" s="40">
        <f>ATAN2('1.설계입력'!$C$6/('1.설계입력'!$C$8*'1.설계입력'!$C$15)-COS((1-'1.설계입력'!$C$15)*B1572),SIN((1-'1.설계입력'!$C$15)*B1572))</f>
        <v>0.74479458537223497</v>
      </c>
      <c r="D1572" s="40">
        <f>'1.설계입력'!$C$6*COS(B1572)-'1.설계입력'!$C$7*COS(B1572+C1572)-'1.설계입력'!$C$8*COS('1.설계입력'!$C$15*B1572)</f>
        <v>51.67970632960796</v>
      </c>
      <c r="E1572" s="40">
        <f>-'1.설계입력'!$C$6*SIN(B1572)+'1.설계입력'!$C$7*SIN(B1572+C1572)+'1.설계입력'!$C$8*SIN('1.설계입력'!$C$15*B1572)</f>
        <v>58.061013625575356</v>
      </c>
      <c r="F1572" s="40">
        <f>ATAN2(('1.설계입력'!$C$6+'1.설계입력'!$C$33)/('1.설계입력'!$C$8*'1.설계입력'!$C$15)-COS((1-'1.설계입력'!$C$15)*B1572),SIN((1-'1.설계입력'!$C$15)*B1572))</f>
        <v>0.74485034013255658</v>
      </c>
      <c r="G1572" s="40">
        <f>('1.설계입력'!$C$6+'1.설계입력'!$C$33)*COS(B1572)-('1.설계입력'!$C$7+'1.설계입력'!$C$34)*COS(B1572+F1572)-'1.설계입력'!$C$8*COS('1.설계입력'!$C$15*B1572)</f>
        <v>51.66948915695513</v>
      </c>
      <c r="H1572" s="40">
        <f>-('1.설계입력'!$C$6+'1.설계입력'!$C$33)*SIN(B1572)+('1.설계입력'!$C$7+'1.설계입력'!$C$34)*SIN(B1572+F1572)+'1.설계입력'!$C$8*SIN('1.설계입력'!$C$15*B1572)</f>
        <v>58.058393860810696</v>
      </c>
      <c r="I1572" s="40">
        <f t="shared" si="73"/>
        <v>77.729488288189373</v>
      </c>
      <c r="J1572" s="40">
        <f t="shared" si="74"/>
        <v>77.720738592976105</v>
      </c>
      <c r="K1572" s="38" t="str">
        <f>IF(OR(A1572&gt;180,'1.설계입력'!$C$39&gt;=1),"",'1.설계입력'!$C$34*(1-SIN(B1572)/SQRT(1+'1.설계입력'!$C$39^2-2*'1.설계입력'!$C$39*COS(B1572)))-'1.설계입력'!$C$33*(1-'1.설계입력'!$C$39*COS(B1572)-SQRT(MAX(0,1-'1.설계입력'!$C$39^2))*SIN(B1572))/SQRT(1+'1.설계입력'!$C$39^2-2*'1.설계입력'!$C$39*COS(B1572)))</f>
        <v/>
      </c>
    </row>
    <row r="1573" spans="1:11" x14ac:dyDescent="0.3">
      <c r="A1573" s="40">
        <f>A1572+'1.설계입력'!$C$12</f>
        <v>313.39999999999077</v>
      </c>
      <c r="B1573" s="40">
        <f t="shared" si="72"/>
        <v>5.4698618757500679</v>
      </c>
      <c r="C1573" s="40">
        <f>ATAN2('1.설계입력'!$C$6/('1.설계입력'!$C$8*'1.설계입력'!$C$15)-COS((1-'1.설계입력'!$C$15)*B1573),SIN((1-'1.설계입력'!$C$15)*B1573))</f>
        <v>0.62735856663121303</v>
      </c>
      <c r="D1573" s="40">
        <f>'1.설계입력'!$C$6*COS(B1573)-'1.설계입력'!$C$7*COS(B1573+C1573)-'1.설계입력'!$C$8*COS('1.설계입력'!$C$15*B1573)</f>
        <v>51.752585927443484</v>
      </c>
      <c r="E1573" s="40">
        <f>-'1.설계입력'!$C$6*SIN(B1573)+'1.설계입력'!$C$7*SIN(B1573+C1573)+'1.설계입력'!$C$8*SIN('1.설계입력'!$C$15*B1573)</f>
        <v>57.49135255679893</v>
      </c>
      <c r="F1573" s="40">
        <f>ATAN2(('1.설계입력'!$C$6+'1.설계입력'!$C$33)/('1.설계입력'!$C$8*'1.설계입력'!$C$15)-COS((1-'1.설계입력'!$C$15)*B1573),SIN((1-'1.설계입력'!$C$15)*B1573))</f>
        <v>0.62741810600095915</v>
      </c>
      <c r="G1573" s="40">
        <f>('1.설계입력'!$C$6+'1.설계입력'!$C$33)*COS(B1573)-('1.설계입력'!$C$7+'1.설계입력'!$C$34)*COS(B1573+F1573)-'1.설계입력'!$C$8*COS('1.설계입력'!$C$15*B1573)</f>
        <v>51.74245149757413</v>
      </c>
      <c r="H1573" s="40">
        <f>-('1.설계입력'!$C$6+'1.설계입력'!$C$33)*SIN(B1573)+('1.설계입력'!$C$7+'1.설계입력'!$C$34)*SIN(B1573+F1573)+'1.설계입력'!$C$8*SIN('1.설계입력'!$C$15*B1573)</f>
        <v>57.487837053555957</v>
      </c>
      <c r="I1573" s="40">
        <f t="shared" si="73"/>
        <v>77.353640954951643</v>
      </c>
      <c r="J1573" s="40">
        <f t="shared" si="74"/>
        <v>77.344247983124205</v>
      </c>
      <c r="K1573" s="38" t="str">
        <f>IF(OR(A1573&gt;180,'1.설계입력'!$C$39&gt;=1),"",'1.설계입력'!$C$34*(1-SIN(B1573)/SQRT(1+'1.설계입력'!$C$39^2-2*'1.설계입력'!$C$39*COS(B1573)))-'1.설계입력'!$C$33*(1-'1.설계입력'!$C$39*COS(B1573)-SQRT(MAX(0,1-'1.설계입력'!$C$39^2))*SIN(B1573))/SQRT(1+'1.설계입력'!$C$39^2-2*'1.설계입력'!$C$39*COS(B1573)))</f>
        <v/>
      </c>
    </row>
    <row r="1574" spans="1:11" x14ac:dyDescent="0.3">
      <c r="A1574" s="40">
        <f>A1573+'1.설계입력'!$C$12</f>
        <v>313.59999999999076</v>
      </c>
      <c r="B1574" s="40">
        <f t="shared" si="72"/>
        <v>5.4733525342540563</v>
      </c>
      <c r="C1574" s="40">
        <f>ATAN2('1.설계입력'!$C$6/('1.설계입력'!$C$8*'1.설계입력'!$C$15)-COS((1-'1.설계입력'!$C$15)*B1574),SIN((1-'1.설계입력'!$C$15)*B1574))</f>
        <v>0.41290720169523204</v>
      </c>
      <c r="D1574" s="40">
        <f>'1.설계입력'!$C$6*COS(B1574)-'1.설계입력'!$C$7*COS(B1574+C1574)-'1.설계입력'!$C$8*COS('1.설계입력'!$C$15*B1574)</f>
        <v>52.020997718759951</v>
      </c>
      <c r="E1574" s="40">
        <f>-'1.설계입력'!$C$6*SIN(B1574)+'1.설계입력'!$C$7*SIN(B1574+C1574)+'1.설계입력'!$C$8*SIN('1.설계입력'!$C$15*B1574)</f>
        <v>56.59219719928538</v>
      </c>
      <c r="F1574" s="40">
        <f>ATAN2(('1.설계입력'!$C$6+'1.설계입력'!$C$33)/('1.설계입력'!$C$8*'1.설계입력'!$C$15)-COS((1-'1.설계입력'!$C$15)*B1574),SIN((1-'1.설계입력'!$C$15)*B1574))</f>
        <v>0.41295709325128288</v>
      </c>
      <c r="G1574" s="40">
        <f>('1.설계입력'!$C$6+'1.설계입력'!$C$33)*COS(B1574)-('1.설계입력'!$C$7+'1.설계입력'!$C$34)*COS(B1574+F1574)-'1.설계입력'!$C$8*COS('1.설계입력'!$C$15*B1574)</f>
        <v>52.011312340872337</v>
      </c>
      <c r="H1574" s="40">
        <f>-('1.설계입력'!$C$6+'1.설계입력'!$C$33)*SIN(B1574)+('1.설계입력'!$C$7+'1.설계입력'!$C$34)*SIN(B1574+F1574)+'1.설계입력'!$C$8*SIN('1.설계입력'!$C$15*B1574)</f>
        <v>56.5870053552337</v>
      </c>
      <c r="I1574" s="40">
        <f t="shared" si="73"/>
        <v>76.869115953665244</v>
      </c>
      <c r="J1574" s="40">
        <f t="shared" si="74"/>
        <v>76.858739167989384</v>
      </c>
      <c r="K1574" s="38" t="str">
        <f>IF(OR(A1574&gt;180,'1.설계입력'!$C$39&gt;=1),"",'1.설계입력'!$C$34*(1-SIN(B1574)/SQRT(1+'1.설계입력'!$C$39^2-2*'1.설계입력'!$C$39*COS(B1574)))-'1.설계입력'!$C$33*(1-'1.설계입력'!$C$39*COS(B1574)-SQRT(MAX(0,1-'1.설계입력'!$C$39^2))*SIN(B1574))/SQRT(1+'1.설계입력'!$C$39^2-2*'1.설계입력'!$C$39*COS(B1574)))</f>
        <v/>
      </c>
    </row>
    <row r="1575" spans="1:11" x14ac:dyDescent="0.3">
      <c r="A1575" s="40">
        <f>A1574+'1.설계입력'!$C$12</f>
        <v>313.79999999999075</v>
      </c>
      <c r="B1575" s="40">
        <f t="shared" si="72"/>
        <v>5.4768431927580448</v>
      </c>
      <c r="C1575" s="40">
        <f>ATAN2('1.설계입력'!$C$6/('1.설계입력'!$C$8*'1.설계입력'!$C$15)-COS((1-'1.설계입력'!$C$15)*B1575),SIN((1-'1.설계입력'!$C$15)*B1575))</f>
        <v>8.5342777063033587E-2</v>
      </c>
      <c r="D1575" s="40">
        <f>'1.설계입력'!$C$6*COS(B1575)-'1.설계입력'!$C$7*COS(B1575+C1575)-'1.설계입력'!$C$8*COS('1.설계입력'!$C$15*B1575)</f>
        <v>52.747458723394999</v>
      </c>
      <c r="E1575" s="40">
        <f>-'1.설계입력'!$C$6*SIN(B1575)+'1.설계입력'!$C$7*SIN(B1575+C1575)+'1.설계입력'!$C$8*SIN('1.설계입력'!$C$15*B1575)</f>
        <v>55.429078865282804</v>
      </c>
      <c r="F1575" s="40">
        <f>ATAN2(('1.설계입력'!$C$6+'1.설계입력'!$C$33)/('1.설계입력'!$C$8*'1.설계입력'!$C$15)-COS((1-'1.설계입력'!$C$15)*B1575),SIN((1-'1.설계입력'!$C$15)*B1575))</f>
        <v>8.5354729916415573E-2</v>
      </c>
      <c r="G1575" s="40">
        <f>('1.설계입력'!$C$6+'1.설계입력'!$C$33)*COS(B1575)-('1.설계입력'!$C$7+'1.설계입력'!$C$34)*COS(B1575+F1575)-'1.설계입력'!$C$8*COS('1.설계입력'!$C$15*B1575)</f>
        <v>52.739197167949939</v>
      </c>
      <c r="H1575" s="40">
        <f>-('1.설계입력'!$C$6+'1.설계입력'!$C$33)*SIN(B1575)+('1.설계입력'!$C$7+'1.설계입력'!$C$34)*SIN(B1575+F1575)+'1.설계입력'!$C$8*SIN('1.설계입력'!$C$15*B1575)</f>
        <v>55.421530296094573</v>
      </c>
      <c r="I1575" s="40">
        <f t="shared" si="73"/>
        <v>76.515862313836607</v>
      </c>
      <c r="J1575" s="40">
        <f t="shared" si="74"/>
        <v>76.504698798706656</v>
      </c>
      <c r="K1575" s="38" t="str">
        <f>IF(OR(A1575&gt;180,'1.설계입력'!$C$39&gt;=1),"",'1.설계입력'!$C$34*(1-SIN(B1575)/SQRT(1+'1.설계입력'!$C$39^2-2*'1.설계입력'!$C$39*COS(B1575)))-'1.설계입력'!$C$33*(1-'1.설계입력'!$C$39*COS(B1575)-SQRT(MAX(0,1-'1.설계입력'!$C$39^2))*SIN(B1575))/SQRT(1+'1.설계입력'!$C$39^2-2*'1.설계입력'!$C$39*COS(B1575)))</f>
        <v/>
      </c>
    </row>
    <row r="1576" spans="1:11" x14ac:dyDescent="0.3">
      <c r="A1576" s="40">
        <f>A1575+'1.설계입력'!$C$12</f>
        <v>313.99999999999073</v>
      </c>
      <c r="B1576" s="40">
        <f t="shared" si="72"/>
        <v>5.4803338512620332</v>
      </c>
      <c r="C1576" s="40">
        <f>ATAN2('1.설계입력'!$C$6/('1.설계입력'!$C$8*'1.설계입력'!$C$15)-COS((1-'1.설계입력'!$C$15)*B1576),SIN((1-'1.설계입력'!$C$15)*B1576))</f>
        <v>-0.27382563586325626</v>
      </c>
      <c r="D1576" s="40">
        <f>'1.설계입력'!$C$6*COS(B1576)-'1.설계입력'!$C$7*COS(B1576+C1576)-'1.설계입력'!$C$8*COS('1.설계입력'!$C$15*B1576)</f>
        <v>53.915894026993357</v>
      </c>
      <c r="E1576" s="40">
        <f>-'1.설계입력'!$C$6*SIN(B1576)+'1.설계입력'!$C$7*SIN(B1576+C1576)+'1.설계입력'!$C$8*SIN('1.설계입력'!$C$15*B1576)</f>
        <v>54.500135174396355</v>
      </c>
      <c r="F1576" s="40">
        <f>ATAN2(('1.설계입력'!$C$6+'1.설계입력'!$C$33)/('1.설계입력'!$C$8*'1.설계입력'!$C$15)-COS((1-'1.설계입력'!$C$15)*B1576),SIN((1-'1.설계입력'!$C$15)*B1576))</f>
        <v>-0.27386178502090824</v>
      </c>
      <c r="G1576" s="40">
        <f>('1.설계입력'!$C$6+'1.설계입력'!$C$33)*COS(B1576)-('1.설계입력'!$C$7+'1.설계입력'!$C$34)*COS(B1576+F1576)-'1.설계입력'!$C$8*COS('1.설계입력'!$C$15*B1576)</f>
        <v>53.910026669016347</v>
      </c>
      <c r="H1576" s="40">
        <f>-('1.설계입력'!$C$6+'1.설계입력'!$C$33)*SIN(B1576)+('1.설계입력'!$C$7+'1.설계입력'!$C$34)*SIN(B1576+F1576)+'1.설계입력'!$C$8*SIN('1.설계입력'!$C$15*B1576)</f>
        <v>54.49070537582049</v>
      </c>
      <c r="I1576" s="40">
        <f t="shared" si="73"/>
        <v>76.662822559291754</v>
      </c>
      <c r="J1576" s="40">
        <f t="shared" si="74"/>
        <v>76.651992458177659</v>
      </c>
      <c r="K1576" s="38" t="str">
        <f>IF(OR(A1576&gt;180,'1.설계입력'!$C$39&gt;=1),"",'1.설계입력'!$C$34*(1-SIN(B1576)/SQRT(1+'1.설계입력'!$C$39^2-2*'1.설계입력'!$C$39*COS(B1576)))-'1.설계입력'!$C$33*(1-'1.설계입력'!$C$39*COS(B1576)-SQRT(MAX(0,1-'1.설계입력'!$C$39^2))*SIN(B1576))/SQRT(1+'1.설계입력'!$C$39^2-2*'1.설계입력'!$C$39*COS(B1576)))</f>
        <v/>
      </c>
    </row>
    <row r="1577" spans="1:11" x14ac:dyDescent="0.3">
      <c r="A1577" s="40">
        <f>A1576+'1.설계입력'!$C$12</f>
        <v>314.19999999999072</v>
      </c>
      <c r="B1577" s="40">
        <f t="shared" si="72"/>
        <v>5.4838245097660216</v>
      </c>
      <c r="C1577" s="40">
        <f>ATAN2('1.설계입력'!$C$6/('1.설계입력'!$C$8*'1.설계입력'!$C$15)-COS((1-'1.설계입력'!$C$15)*B1577),SIN((1-'1.설계입력'!$C$15)*B1577))</f>
        <v>-0.54267331613653658</v>
      </c>
      <c r="D1577" s="40">
        <f>'1.설계입력'!$C$6*COS(B1577)-'1.설계입력'!$C$7*COS(B1577+C1577)-'1.설계입력'!$C$8*COS('1.설계입력'!$C$15*B1577)</f>
        <v>54.98837765851038</v>
      </c>
      <c r="E1577" s="40">
        <f>-'1.설계입력'!$C$6*SIN(B1577)+'1.설계입력'!$C$7*SIN(B1577+C1577)+'1.설계입력'!$C$8*SIN('1.설계입력'!$C$15*B1577)</f>
        <v>54.095999584560523</v>
      </c>
      <c r="F1577" s="40">
        <f>ATAN2(('1.설계입력'!$C$6+'1.설계입력'!$C$33)/('1.설계입력'!$C$8*'1.설계입력'!$C$15)-COS((1-'1.설계입력'!$C$15)*B1577),SIN((1-'1.설계입력'!$C$15)*B1577))</f>
        <v>-0.54273108858231212</v>
      </c>
      <c r="G1577" s="40">
        <f>('1.설계입력'!$C$6+'1.설계입력'!$C$33)*COS(B1577)-('1.설계입력'!$C$7+'1.설계입력'!$C$34)*COS(B1577+F1577)-'1.설계입력'!$C$8*COS('1.설계입력'!$C$15*B1577)</f>
        <v>54.984605118889647</v>
      </c>
      <c r="H1577" s="40">
        <f>-('1.설계입력'!$C$6+'1.설계입력'!$C$33)*SIN(B1577)+('1.설계입력'!$C$7+'1.설계입력'!$C$34)*SIN(B1577+F1577)+'1.설계입력'!$C$8*SIN('1.설계입력'!$C$15*B1577)</f>
        <v>54.085835679866541</v>
      </c>
      <c r="I1577" s="40">
        <f t="shared" si="73"/>
        <v>77.136883840143142</v>
      </c>
      <c r="J1577" s="40">
        <f t="shared" si="74"/>
        <v>77.127066722842187</v>
      </c>
      <c r="K1577" s="38" t="str">
        <f>IF(OR(A1577&gt;180,'1.설계입력'!$C$39&gt;=1),"",'1.설계입력'!$C$34*(1-SIN(B1577)/SQRT(1+'1.설계입력'!$C$39^2-2*'1.설계입력'!$C$39*COS(B1577)))-'1.설계입력'!$C$33*(1-'1.설계입력'!$C$39*COS(B1577)-SQRT(MAX(0,1-'1.설계입력'!$C$39^2))*SIN(B1577))/SQRT(1+'1.설계입력'!$C$39^2-2*'1.설계입력'!$C$39*COS(B1577)))</f>
        <v/>
      </c>
    </row>
    <row r="1578" spans="1:11" x14ac:dyDescent="0.3">
      <c r="A1578" s="40">
        <f>A1577+'1.설계입력'!$C$12</f>
        <v>314.39999999999071</v>
      </c>
      <c r="B1578" s="40">
        <f t="shared" si="72"/>
        <v>5.4873151682700101</v>
      </c>
      <c r="C1578" s="40">
        <f>ATAN2('1.설계입력'!$C$6/('1.설계입력'!$C$8*'1.설계입력'!$C$15)-COS((1-'1.설계입력'!$C$15)*B1578),SIN((1-'1.설계입력'!$C$15)*B1578))</f>
        <v>-0.70018345076341149</v>
      </c>
      <c r="D1578" s="40">
        <f>'1.설계입력'!$C$6*COS(B1578)-'1.설계입력'!$C$7*COS(B1578+C1578)-'1.설계입력'!$C$8*COS('1.설계입력'!$C$15*B1578)</f>
        <v>55.70338307510395</v>
      </c>
      <c r="E1578" s="40">
        <f>-'1.설계입력'!$C$6*SIN(B1578)+'1.설계입력'!$C$7*SIN(B1578+C1578)+'1.설계입력'!$C$8*SIN('1.설계입력'!$C$15*B1578)</f>
        <v>53.987822518296269</v>
      </c>
      <c r="F1578" s="40">
        <f>ATAN2(('1.설계입력'!$C$6+'1.설계입력'!$C$33)/('1.설계입력'!$C$8*'1.설계입력'!$C$15)-COS((1-'1.설계입력'!$C$15)*B1578),SIN((1-'1.설계입력'!$C$15)*B1578))</f>
        <v>-0.70024172815799313</v>
      </c>
      <c r="G1578" s="40">
        <f>('1.설계입력'!$C$6+'1.설계입력'!$C$33)*COS(B1578)-('1.설계입력'!$C$7+'1.설계입력'!$C$34)*COS(B1578+F1578)-'1.설계입력'!$C$8*COS('1.설계입력'!$C$15*B1578)</f>
        <v>55.700842196098662</v>
      </c>
      <c r="H1578" s="40">
        <f>-('1.설계입력'!$C$6+'1.설계입력'!$C$33)*SIN(B1578)+('1.설계입력'!$C$7+'1.설계입력'!$C$34)*SIN(B1578+F1578)+'1.설계입력'!$C$8*SIN('1.설계입력'!$C$15*B1578)</f>
        <v>53.97751283219727</v>
      </c>
      <c r="I1578" s="40">
        <f t="shared" si="73"/>
        <v>77.572880997671049</v>
      </c>
      <c r="J1578" s="40">
        <f t="shared" si="74"/>
        <v>77.563881497155023</v>
      </c>
      <c r="K1578" s="38" t="str">
        <f>IF(OR(A1578&gt;180,'1.설계입력'!$C$39&gt;=1),"",'1.설계입력'!$C$34*(1-SIN(B1578)/SQRT(1+'1.설계입력'!$C$39^2-2*'1.설계입력'!$C$39*COS(B1578)))-'1.설계입력'!$C$33*(1-'1.설계입력'!$C$39*COS(B1578)-SQRT(MAX(0,1-'1.설계입력'!$C$39^2))*SIN(B1578))/SQRT(1+'1.설계입력'!$C$39^2-2*'1.설계입력'!$C$39*COS(B1578)))</f>
        <v/>
      </c>
    </row>
    <row r="1579" spans="1:11" x14ac:dyDescent="0.3">
      <c r="A1579" s="40">
        <f>A1578+'1.설계입력'!$C$12</f>
        <v>314.5999999999907</v>
      </c>
      <c r="B1579" s="40">
        <f t="shared" si="72"/>
        <v>5.4908058267739985</v>
      </c>
      <c r="C1579" s="40">
        <f>ATAN2('1.설계입력'!$C$6/('1.설계입력'!$C$8*'1.설계입력'!$C$15)-COS((1-'1.설계입력'!$C$15)*B1579),SIN((1-'1.설계입력'!$C$15)*B1579))</f>
        <v>-0.78078617049586518</v>
      </c>
      <c r="D1579" s="40">
        <f>'1.설계입력'!$C$6*COS(B1579)-'1.설계입력'!$C$7*COS(B1579+C1579)-'1.설계입력'!$C$8*COS('1.설계입력'!$C$15*B1579)</f>
        <v>56.144135089248152</v>
      </c>
      <c r="E1579" s="40">
        <f>-'1.설계입력'!$C$6*SIN(B1579)+'1.설계입력'!$C$7*SIN(B1579+C1579)+'1.설계입력'!$C$8*SIN('1.설계입력'!$C$15*B1579)</f>
        <v>53.972690964924411</v>
      </c>
      <c r="F1579" s="40">
        <f>ATAN2(('1.설계입력'!$C$6+'1.설계입력'!$C$33)/('1.설계입력'!$C$8*'1.설계입력'!$C$15)-COS((1-'1.설계입력'!$C$15)*B1579),SIN((1-'1.설계입력'!$C$15)*B1579))</f>
        <v>-0.78083831187211106</v>
      </c>
      <c r="G1579" s="40">
        <f>('1.설계입력'!$C$6+'1.설계입력'!$C$33)*COS(B1579)-('1.설계입력'!$C$7+'1.설계입력'!$C$34)*COS(B1579+F1579)-'1.설계입력'!$C$8*COS('1.설계입력'!$C$15*B1579)</f>
        <v>56.142186593541709</v>
      </c>
      <c r="H1579" s="40">
        <f>-('1.설계입력'!$C$6+'1.설계입력'!$C$33)*SIN(B1579)+('1.설계입력'!$C$7+'1.설계입력'!$C$34)*SIN(B1579+F1579)+'1.설계입력'!$C$8*SIN('1.설계입력'!$C$15*B1579)</f>
        <v>53.962384207525218</v>
      </c>
      <c r="I1579" s="40">
        <f t="shared" si="73"/>
        <v>77.879492004731119</v>
      </c>
      <c r="J1579" s="40">
        <f t="shared" si="74"/>
        <v>77.870944676847358</v>
      </c>
      <c r="K1579" s="38" t="str">
        <f>IF(OR(A1579&gt;180,'1.설계입력'!$C$39&gt;=1),"",'1.설계입력'!$C$34*(1-SIN(B1579)/SQRT(1+'1.설계입력'!$C$39^2-2*'1.설계입력'!$C$39*COS(B1579)))-'1.설계입력'!$C$33*(1-'1.설계입력'!$C$39*COS(B1579)-SQRT(MAX(0,1-'1.설계입력'!$C$39^2))*SIN(B1579))/SQRT(1+'1.설계입력'!$C$39^2-2*'1.설계입력'!$C$39*COS(B1579)))</f>
        <v/>
      </c>
    </row>
    <row r="1580" spans="1:11" x14ac:dyDescent="0.3">
      <c r="A1580" s="40">
        <f>A1579+'1.설계입력'!$C$12</f>
        <v>314.79999999999069</v>
      </c>
      <c r="B1580" s="40">
        <f t="shared" si="72"/>
        <v>5.494296485277987</v>
      </c>
      <c r="C1580" s="40">
        <f>ATAN2('1.설계입력'!$C$6/('1.설계입력'!$C$8*'1.설계입력'!$C$15)-COS((1-'1.설계입력'!$C$15)*B1580),SIN((1-'1.설계입력'!$C$15)*B1580))</f>
        <v>-0.81472602006380268</v>
      </c>
      <c r="D1580" s="40">
        <f>'1.설계입력'!$C$6*COS(B1580)-'1.설계입력'!$C$7*COS(B1580+C1580)-'1.설계입력'!$C$8*COS('1.설계입력'!$C$15*B1580)</f>
        <v>56.42585361094946</v>
      </c>
      <c r="E1580" s="40">
        <f>-'1.설계입력'!$C$6*SIN(B1580)+'1.설계입력'!$C$7*SIN(B1580+C1580)+'1.설계입력'!$C$8*SIN('1.설계입력'!$C$15*B1580)</f>
        <v>53.97819466109604</v>
      </c>
      <c r="F1580" s="40">
        <f>ATAN2(('1.설계입력'!$C$6+'1.설계입력'!$C$33)/('1.설계입력'!$C$8*'1.설계입력'!$C$15)-COS((1-'1.설계입력'!$C$15)*B1580),SIN((1-'1.설계입력'!$C$15)*B1580))</f>
        <v>-0.81477125483683033</v>
      </c>
      <c r="G1580" s="40">
        <f>('1.설계입력'!$C$6+'1.설계입력'!$C$33)*COS(B1580)-('1.설계입력'!$C$7+'1.설계입력'!$C$34)*COS(B1580+F1580)-'1.설계입력'!$C$8*COS('1.설계입력'!$C$15*B1580)</f>
        <v>56.424116234885041</v>
      </c>
      <c r="H1580" s="40">
        <f>-('1.설계입력'!$C$6+'1.설계입력'!$C$33)*SIN(B1580)+('1.설계입력'!$C$7+'1.설계입력'!$C$34)*SIN(B1580+F1580)+'1.설계입력'!$C$8*SIN('1.설계입력'!$C$15*B1580)</f>
        <v>53.967905306701269</v>
      </c>
      <c r="I1580" s="40">
        <f t="shared" si="73"/>
        <v>78.086634289073288</v>
      </c>
      <c r="J1580" s="40">
        <f t="shared" si="74"/>
        <v>78.078266477175916</v>
      </c>
      <c r="K1580" s="38" t="str">
        <f>IF(OR(A1580&gt;180,'1.설계입력'!$C$39&gt;=1),"",'1.설계입력'!$C$34*(1-SIN(B1580)/SQRT(1+'1.설계입력'!$C$39^2-2*'1.설계입력'!$C$39*COS(B1580)))-'1.설계입력'!$C$33*(1-'1.설계입력'!$C$39*COS(B1580)-SQRT(MAX(0,1-'1.설계입력'!$C$39^2))*SIN(B1580))/SQRT(1+'1.설계입력'!$C$39^2-2*'1.설계입력'!$C$39*COS(B1580)))</f>
        <v/>
      </c>
    </row>
    <row r="1581" spans="1:11" x14ac:dyDescent="0.3">
      <c r="A1581" s="40">
        <f>A1580+'1.설계입력'!$C$12</f>
        <v>314.99999999999068</v>
      </c>
      <c r="B1581" s="40">
        <f t="shared" si="72"/>
        <v>5.4977871437819754</v>
      </c>
      <c r="C1581" s="40">
        <f>ATAN2('1.설계입력'!$C$6/('1.설계입력'!$C$8*'1.설계입력'!$C$15)-COS((1-'1.설계입력'!$C$15)*B1581),SIN((1-'1.설계입력'!$C$15)*B1581))</f>
        <v>-0.82017454861985251</v>
      </c>
      <c r="D1581" s="40">
        <f>'1.설계입력'!$C$6*COS(B1581)-'1.설계입력'!$C$7*COS(B1581+C1581)-'1.설계입력'!$C$8*COS('1.설계입력'!$C$15*B1581)</f>
        <v>56.621833560903269</v>
      </c>
      <c r="E1581" s="40">
        <f>-'1.설계입력'!$C$6*SIN(B1581)+'1.설계입력'!$C$7*SIN(B1581+C1581)+'1.설계입력'!$C$8*SIN('1.설계입력'!$C$15*B1581)</f>
        <v>53.985174607471208</v>
      </c>
      <c r="F1581" s="40">
        <f>ATAN2(('1.설계입력'!$C$6+'1.설계입력'!$C$33)/('1.설계입력'!$C$8*'1.설계입력'!$C$15)-COS((1-'1.설계입력'!$C$15)*B1581),SIN((1-'1.설계입력'!$C$15)*B1581))</f>
        <v>-0.82021362287653587</v>
      </c>
      <c r="G1581" s="40">
        <f>('1.설계입력'!$C$6+'1.설계입력'!$C$33)*COS(B1581)-('1.설계입력'!$C$7+'1.설계입력'!$C$34)*COS(B1581+F1581)-'1.설계입력'!$C$8*COS('1.설계입력'!$C$15*B1581)</f>
        <v>56.620079680553779</v>
      </c>
      <c r="H1581" s="40">
        <f>-('1.설계입력'!$C$6+'1.설계입력'!$C$33)*SIN(B1581)+('1.설계입력'!$C$7+'1.설계입력'!$C$34)*SIN(B1581+F1581)+'1.설계입력'!$C$8*SIN('1.설계입력'!$C$15*B1581)</f>
        <v>53.9748929224262</v>
      </c>
      <c r="I1581" s="40">
        <f t="shared" si="73"/>
        <v>78.233184219982931</v>
      </c>
      <c r="J1581" s="40">
        <f t="shared" si="74"/>
        <v>78.224820159714227</v>
      </c>
      <c r="K1581" s="38" t="str">
        <f>IF(OR(A1581&gt;180,'1.설계입력'!$C$39&gt;=1),"",'1.설계입력'!$C$34*(1-SIN(B1581)/SQRT(1+'1.설계입력'!$C$39^2-2*'1.설계입력'!$C$39*COS(B1581)))-'1.설계입력'!$C$33*(1-'1.설계입력'!$C$39*COS(B1581)-SQRT(MAX(0,1-'1.설계입력'!$C$39^2))*SIN(B1581))/SQRT(1+'1.설계입력'!$C$39^2-2*'1.설계입력'!$C$39*COS(B1581)))</f>
        <v/>
      </c>
    </row>
    <row r="1582" spans="1:11" x14ac:dyDescent="0.3">
      <c r="A1582" s="40">
        <f>A1581+'1.설계입력'!$C$12</f>
        <v>315.19999999999067</v>
      </c>
      <c r="B1582" s="40">
        <f t="shared" si="72"/>
        <v>5.5012778022859639</v>
      </c>
      <c r="C1582" s="40">
        <f>ATAN2('1.설계입력'!$C$6/('1.설계입력'!$C$8*'1.설계입력'!$C$15)-COS((1-'1.설계입력'!$C$15)*B1582),SIN((1-'1.설계입력'!$C$15)*B1582))</f>
        <v>-0.80750570064785743</v>
      </c>
      <c r="D1582" s="40">
        <f>'1.설계입력'!$C$6*COS(B1582)-'1.설계입력'!$C$7*COS(B1582+C1582)-'1.설계입력'!$C$8*COS('1.설계입력'!$C$15*B1582)</f>
        <v>56.773861506339109</v>
      </c>
      <c r="E1582" s="40">
        <f>-'1.설계입력'!$C$6*SIN(B1582)+'1.설계입력'!$C$7*SIN(B1582+C1582)+'1.설계입력'!$C$8*SIN('1.설계입력'!$C$15*B1582)</f>
        <v>53.989458024782842</v>
      </c>
      <c r="F1582" s="40">
        <f>ATAN2(('1.설계입력'!$C$6+'1.설계입력'!$C$33)/('1.설계입력'!$C$8*'1.설계입력'!$C$15)-COS((1-'1.설계입력'!$C$15)*B1582),SIN((1-'1.설계입력'!$C$15)*B1582))</f>
        <v>-0.80753956762181511</v>
      </c>
      <c r="G1582" s="40">
        <f>('1.설계입력'!$C$6+'1.설계입력'!$C$33)*COS(B1582)-('1.설계입력'!$C$7+'1.설계입력'!$C$34)*COS(B1582+F1582)-'1.설계입력'!$C$8*COS('1.설계입력'!$C$15*B1582)</f>
        <v>56.771948343715977</v>
      </c>
      <c r="H1582" s="40">
        <f>-('1.설계입력'!$C$6+'1.설계입력'!$C$33)*SIN(B1582)+('1.설계입력'!$C$7+'1.설계입력'!$C$34)*SIN(B1582+F1582)+'1.설계입력'!$C$8*SIN('1.설계입력'!$C$15*B1582)</f>
        <v>53.979177591622147</v>
      </c>
      <c r="I1582" s="40">
        <f t="shared" si="73"/>
        <v>78.346237485604647</v>
      </c>
      <c r="J1582" s="40">
        <f t="shared" si="74"/>
        <v>78.337766959554301</v>
      </c>
      <c r="K1582" s="38" t="str">
        <f>IF(OR(A1582&gt;180,'1.설계입력'!$C$39&gt;=1),"",'1.설계입력'!$C$34*(1-SIN(B1582)/SQRT(1+'1.설계입력'!$C$39^2-2*'1.설계입력'!$C$39*COS(B1582)))-'1.설계입력'!$C$33*(1-'1.설계입력'!$C$39*COS(B1582)-SQRT(MAX(0,1-'1.설계입력'!$C$39^2))*SIN(B1582))/SQRT(1+'1.설계입력'!$C$39^2-2*'1.설계입력'!$C$39*COS(B1582)))</f>
        <v/>
      </c>
    </row>
    <row r="1583" spans="1:11" x14ac:dyDescent="0.3">
      <c r="A1583" s="40">
        <f>A1582+'1.설계입력'!$C$12</f>
        <v>315.39999999999065</v>
      </c>
      <c r="B1583" s="40">
        <f t="shared" si="72"/>
        <v>5.5047684607899523</v>
      </c>
      <c r="C1583" s="40">
        <f>ATAN2('1.설계입력'!$C$6/('1.설계입력'!$C$8*'1.설계입력'!$C$15)-COS((1-'1.설계입력'!$C$15)*B1583),SIN((1-'1.설계입력'!$C$15)*B1583))</f>
        <v>-0.78279418385728206</v>
      </c>
      <c r="D1583" s="40">
        <f>'1.설계입력'!$C$6*COS(B1583)-'1.설계입력'!$C$7*COS(B1583+C1583)-'1.설계입력'!$C$8*COS('1.설계입력'!$C$15*B1583)</f>
        <v>56.905902628265537</v>
      </c>
      <c r="E1583" s="40">
        <f>-'1.설계입력'!$C$6*SIN(B1583)+'1.설계입력'!$C$7*SIN(B1583+C1583)+'1.설계입력'!$C$8*SIN('1.설계입력'!$C$15*B1583)</f>
        <v>53.990190133741862</v>
      </c>
      <c r="F1583" s="40">
        <f>ATAN2(('1.설계입력'!$C$6+'1.설계입력'!$C$33)/('1.설계입력'!$C$8*'1.설계입력'!$C$15)-COS((1-'1.설계입력'!$C$15)*B1583),SIN((1-'1.설계입력'!$C$15)*B1583))</f>
        <v>-0.78282368242204214</v>
      </c>
      <c r="G1583" s="40">
        <f>('1.설계입력'!$C$6+'1.설계입력'!$C$33)*COS(B1583)-('1.설계입력'!$C$7+'1.설계입력'!$C$34)*COS(B1583+F1583)-'1.설계입력'!$C$8*COS('1.설계입력'!$C$15*B1583)</f>
        <v>56.903735935592479</v>
      </c>
      <c r="H1583" s="40">
        <f>-('1.설계입력'!$C$6+'1.설계입력'!$C$33)*SIN(B1583)+('1.설계입력'!$C$7+'1.설계입력'!$C$34)*SIN(B1583+F1583)+'1.설계입력'!$C$8*SIN('1.설계입력'!$C$15*B1583)</f>
        <v>53.979912699841137</v>
      </c>
      <c r="I1583" s="40">
        <f t="shared" si="73"/>
        <v>78.442478190169609</v>
      </c>
      <c r="J1583" s="40">
        <f t="shared" si="74"/>
        <v>78.433832868922764</v>
      </c>
      <c r="K1583" s="38" t="str">
        <f>IF(OR(A1583&gt;180,'1.설계입력'!$C$39&gt;=1),"",'1.설계입력'!$C$34*(1-SIN(B1583)/SQRT(1+'1.설계입력'!$C$39^2-2*'1.설계입력'!$C$39*COS(B1583)))-'1.설계입력'!$C$33*(1-'1.설계입력'!$C$39*COS(B1583)-SQRT(MAX(0,1-'1.설계입력'!$C$39^2))*SIN(B1583))/SQRT(1+'1.설계입력'!$C$39^2-2*'1.설계입력'!$C$39*COS(B1583)))</f>
        <v/>
      </c>
    </row>
    <row r="1584" spans="1:11" x14ac:dyDescent="0.3">
      <c r="A1584" s="40">
        <f>A1583+'1.설계입력'!$C$12</f>
        <v>315.59999999999064</v>
      </c>
      <c r="B1584" s="40">
        <f t="shared" si="72"/>
        <v>5.5082591192939407</v>
      </c>
      <c r="C1584" s="40">
        <f>ATAN2('1.설계입력'!$C$6/('1.설계입력'!$C$8*'1.설계입력'!$C$15)-COS((1-'1.설계입력'!$C$15)*B1584),SIN((1-'1.설계입력'!$C$15)*B1584))</f>
        <v>-0.7497523419401626</v>
      </c>
      <c r="D1584" s="40">
        <f>'1.설계입력'!$C$6*COS(B1584)-'1.설계입력'!$C$7*COS(B1584+C1584)-'1.설계입력'!$C$8*COS('1.설계입력'!$C$15*B1584)</f>
        <v>57.032035739043941</v>
      </c>
      <c r="E1584" s="40">
        <f>-'1.설계입력'!$C$6*SIN(B1584)+'1.설계입력'!$C$7*SIN(B1584+C1584)+'1.설계입력'!$C$8*SIN('1.설계입력'!$C$15*B1584)</f>
        <v>53.986751835242259</v>
      </c>
      <c r="F1584" s="40">
        <f>ATAN2(('1.설계입력'!$C$6+'1.설계입력'!$C$33)/('1.설계입력'!$C$8*'1.설계입력'!$C$15)-COS((1-'1.설계입력'!$C$15)*B1584),SIN((1-'1.설계입력'!$C$15)*B1584))</f>
        <v>-0.74977814798877418</v>
      </c>
      <c r="G1584" s="40">
        <f>('1.설계입력'!$C$6+'1.설계입력'!$C$33)*COS(B1584)-('1.설계입력'!$C$7+'1.설계입력'!$C$34)*COS(B1584+F1584)-'1.설계입력'!$C$8*COS('1.설계입력'!$C$15*B1584)</f>
        <v>57.029550775294148</v>
      </c>
      <c r="H1584" s="40">
        <f>-('1.설계입력'!$C$6+'1.설계입력'!$C$33)*SIN(B1584)+('1.설계입력'!$C$7+'1.설계입력'!$C$34)*SIN(B1584+F1584)+'1.설계입력'!$C$8*SIN('1.설계입력'!$C$15*B1584)</f>
        <v>53.97648672401894</v>
      </c>
      <c r="I1584" s="40">
        <f t="shared" si="73"/>
        <v>78.531665423952518</v>
      </c>
      <c r="J1584" s="40">
        <f t="shared" si="74"/>
        <v>78.522804208077332</v>
      </c>
      <c r="K1584" s="38" t="str">
        <f>IF(OR(A1584&gt;180,'1.설계입력'!$C$39&gt;=1),"",'1.설계입력'!$C$34*(1-SIN(B1584)/SQRT(1+'1.설계입력'!$C$39^2-2*'1.설계입력'!$C$39*COS(B1584)))-'1.설계입력'!$C$33*(1-'1.설계입력'!$C$39*COS(B1584)-SQRT(MAX(0,1-'1.설계입력'!$C$39^2))*SIN(B1584))/SQRT(1+'1.설계입력'!$C$39^2-2*'1.설계입력'!$C$39*COS(B1584)))</f>
        <v/>
      </c>
    </row>
    <row r="1585" spans="1:11" x14ac:dyDescent="0.3">
      <c r="A1585" s="40">
        <f>A1584+'1.설계입력'!$C$12</f>
        <v>315.79999999999063</v>
      </c>
      <c r="B1585" s="40">
        <f t="shared" si="72"/>
        <v>5.5117497777979292</v>
      </c>
      <c r="C1585" s="40">
        <f>ATAN2('1.설계입력'!$C$6/('1.설계입력'!$C$8*'1.설계입력'!$C$15)-COS((1-'1.설계입력'!$C$15)*B1585),SIN((1-'1.설계입력'!$C$15)*B1585))</f>
        <v>-0.71074964848227129</v>
      </c>
      <c r="D1585" s="40">
        <f>'1.설계입력'!$C$6*COS(B1585)-'1.설계입력'!$C$7*COS(B1585+C1585)-'1.설계입력'!$C$8*COS('1.설계입력'!$C$15*B1585)</f>
        <v>57.160616751326131</v>
      </c>
      <c r="E1585" s="40">
        <f>-'1.설계입력'!$C$6*SIN(B1585)+'1.설계입력'!$C$7*SIN(B1585+C1585)+'1.설계입력'!$C$8*SIN('1.설계입력'!$C$15*B1585)</f>
        <v>53.978110929061771</v>
      </c>
      <c r="F1585" s="40">
        <f>ATAN2(('1.설계입력'!$C$6+'1.설계입력'!$C$33)/('1.설계입력'!$C$8*'1.설계입력'!$C$15)-COS((1-'1.설계입력'!$C$15)*B1585),SIN((1-'1.설계입력'!$C$15)*B1585))</f>
        <v>-0.71077229353175875</v>
      </c>
      <c r="G1585" s="40">
        <f>('1.설계입력'!$C$6+'1.설계입력'!$C$33)*COS(B1585)-('1.설계입력'!$C$7+'1.설계입력'!$C$34)*COS(B1585+F1585)-'1.설계입력'!$C$8*COS('1.설계입력'!$C$15*B1585)</f>
        <v>57.157767924667411</v>
      </c>
      <c r="H1585" s="40">
        <f>-('1.설계입력'!$C$6+'1.설계입력'!$C$33)*SIN(B1585)+('1.설계입력'!$C$7+'1.설계입력'!$C$34)*SIN(B1585+F1585)+'1.설계입력'!$C$8*SIN('1.설계입력'!$C$15*B1585)</f>
        <v>53.967873465655849</v>
      </c>
      <c r="I1585" s="40">
        <f t="shared" si="73"/>
        <v>78.619161575674937</v>
      </c>
      <c r="J1585" s="40">
        <f t="shared" si="74"/>
        <v>78.610061700364909</v>
      </c>
      <c r="K1585" s="38" t="str">
        <f>IF(OR(A1585&gt;180,'1.설계입력'!$C$39&gt;=1),"",'1.설계입력'!$C$34*(1-SIN(B1585)/SQRT(1+'1.설계입력'!$C$39^2-2*'1.설계입력'!$C$39*COS(B1585)))-'1.설계입력'!$C$33*(1-'1.설계입력'!$C$39*COS(B1585)-SQRT(MAX(0,1-'1.설계입력'!$C$39^2))*SIN(B1585))/SQRT(1+'1.설계입력'!$C$39^2-2*'1.설계입력'!$C$39*COS(B1585)))</f>
        <v/>
      </c>
    </row>
    <row r="1586" spans="1:11" x14ac:dyDescent="0.3">
      <c r="A1586" s="40">
        <f>A1585+'1.설계입력'!$C$12</f>
        <v>315.99999999999062</v>
      </c>
      <c r="B1586" s="40">
        <f t="shared" si="72"/>
        <v>5.5152404363019176</v>
      </c>
      <c r="C1586" s="40">
        <f>ATAN2('1.설계입력'!$C$6/('1.설계입력'!$C$8*'1.설계입력'!$C$15)-COS((1-'1.설계입력'!$C$15)*B1586),SIN((1-'1.설계입력'!$C$15)*B1586))</f>
        <v>-0.66735989530201634</v>
      </c>
      <c r="D1586" s="40">
        <f>'1.설계입력'!$C$6*COS(B1586)-'1.설계입력'!$C$7*COS(B1586+C1586)-'1.설계입력'!$C$8*COS('1.설계입력'!$C$15*B1586)</f>
        <v>57.296487431895009</v>
      </c>
      <c r="E1586" s="40">
        <f>-'1.설계입력'!$C$6*SIN(B1586)+'1.설계입력'!$C$7*SIN(B1586+C1586)+'1.설계입력'!$C$8*SIN('1.설계입력'!$C$15*B1586)</f>
        <v>53.962827583391793</v>
      </c>
      <c r="F1586" s="40">
        <f>ATAN2(('1.설계입력'!$C$6+'1.설계입력'!$C$33)/('1.설계입력'!$C$8*'1.설계입력'!$C$15)-COS((1-'1.설계입력'!$C$15)*B1586),SIN((1-'1.설계입력'!$C$15)*B1586))</f>
        <v>-0.6673797960001997</v>
      </c>
      <c r="G1586" s="40">
        <f>('1.설계입력'!$C$6+'1.설계입력'!$C$33)*COS(B1586)-('1.설계입력'!$C$7+'1.설계입력'!$C$34)*COS(B1586+F1586)-'1.설계입력'!$C$8*COS('1.설계입력'!$C$15*B1586)</f>
        <v>57.293242384776121</v>
      </c>
      <c r="H1586" s="40">
        <f>-('1.설계입력'!$C$6+'1.설계입력'!$C$33)*SIN(B1586)+('1.설계입력'!$C$7+'1.설계입력'!$C$34)*SIN(B1586+F1586)+'1.설계입력'!$C$8*SIN('1.설계입력'!$C$15*B1586)</f>
        <v>53.952637604996205</v>
      </c>
      <c r="I1586" s="40">
        <f t="shared" si="73"/>
        <v>78.70752335595482</v>
      </c>
      <c r="J1586" s="40">
        <f t="shared" si="74"/>
        <v>78.698174867634364</v>
      </c>
      <c r="K1586" s="38" t="str">
        <f>IF(OR(A1586&gt;180,'1.설계입력'!$C$39&gt;=1),"",'1.설계입력'!$C$34*(1-SIN(B1586)/SQRT(1+'1.설계입력'!$C$39^2-2*'1.설계입력'!$C$39*COS(B1586)))-'1.설계입력'!$C$33*(1-'1.설계입력'!$C$39*COS(B1586)-SQRT(MAX(0,1-'1.설계입력'!$C$39^2))*SIN(B1586))/SQRT(1+'1.설계입력'!$C$39^2-2*'1.설계입력'!$C$39*COS(B1586)))</f>
        <v/>
      </c>
    </row>
    <row r="1587" spans="1:11" x14ac:dyDescent="0.3">
      <c r="A1587" s="40">
        <f>A1586+'1.설계입력'!$C$12</f>
        <v>316.19999999999061</v>
      </c>
      <c r="B1587" s="40">
        <f t="shared" si="72"/>
        <v>5.5187310948059061</v>
      </c>
      <c r="C1587" s="40">
        <f>ATAN2('1.설계입력'!$C$6/('1.설계입력'!$C$8*'1.설계입력'!$C$15)-COS((1-'1.설계입력'!$C$15)*B1587),SIN((1-'1.설계입력'!$C$15)*B1587))</f>
        <v>-0.62066606893468834</v>
      </c>
      <c r="D1587" s="40">
        <f>'1.설계입력'!$C$6*COS(B1587)-'1.설계입력'!$C$7*COS(B1587+C1587)-'1.설계입력'!$C$8*COS('1.설계입력'!$C$15*B1587)</f>
        <v>57.442198790278901</v>
      </c>
      <c r="E1587" s="40">
        <f>-'1.설계입력'!$C$6*SIN(B1587)+'1.설계입력'!$C$7*SIN(B1587+C1587)+'1.설계입력'!$C$8*SIN('1.설계입력'!$C$15*B1587)</f>
        <v>53.939210816406217</v>
      </c>
      <c r="F1587" s="40">
        <f>ATAN2(('1.설계입력'!$C$6+'1.설계입력'!$C$33)/('1.설계입력'!$C$8*'1.설계입력'!$C$15)-COS((1-'1.설계입력'!$C$15)*B1587),SIN((1-'1.설계입력'!$C$15)*B1587))</f>
        <v>-0.62068355330743863</v>
      </c>
      <c r="G1587" s="40">
        <f>('1.설계입력'!$C$6+'1.설계입력'!$C$33)*COS(B1587)-('1.설계입력'!$C$7+'1.설계입력'!$C$34)*COS(B1587+F1587)-'1.설계입력'!$C$8*COS('1.설계입력'!$C$15*B1587)</f>
        <v>57.438534859147786</v>
      </c>
      <c r="H1587" s="40">
        <f>-('1.설계입력'!$C$6+'1.설계입력'!$C$33)*SIN(B1587)+('1.설계입력'!$C$7+'1.설계입력'!$C$34)*SIN(B1587+F1587)+'1.설계입력'!$C$8*SIN('1.설계입력'!$C$15*B1587)</f>
        <v>53.929091461268513</v>
      </c>
      <c r="I1587" s="40">
        <f t="shared" si="73"/>
        <v>78.797491491535638</v>
      </c>
      <c r="J1587" s="40">
        <f t="shared" si="74"/>
        <v>78.787893693151858</v>
      </c>
      <c r="K1587" s="38" t="str">
        <f>IF(OR(A1587&gt;180,'1.설계입력'!$C$39&gt;=1),"",'1.설계입력'!$C$34*(1-SIN(B1587)/SQRT(1+'1.설계입력'!$C$39^2-2*'1.설계입력'!$C$39*COS(B1587)))-'1.설계입력'!$C$33*(1-'1.설계입력'!$C$39*COS(B1587)-SQRT(MAX(0,1-'1.설계입력'!$C$39^2))*SIN(B1587))/SQRT(1+'1.설계입력'!$C$39^2-2*'1.설계입력'!$C$39*COS(B1587)))</f>
        <v/>
      </c>
    </row>
    <row r="1588" spans="1:11" x14ac:dyDescent="0.3">
      <c r="A1588" s="40">
        <f>A1587+'1.설계입력'!$C$12</f>
        <v>316.3999999999906</v>
      </c>
      <c r="B1588" s="40">
        <f t="shared" si="72"/>
        <v>5.5222217533098945</v>
      </c>
      <c r="C1588" s="40">
        <f>ATAN2('1.설계입력'!$C$6/('1.설계입력'!$C$8*'1.설계입력'!$C$15)-COS((1-'1.설계입력'!$C$15)*B1588),SIN((1-'1.설계입력'!$C$15)*B1588))</f>
        <v>-0.57143720274604115</v>
      </c>
      <c r="D1588" s="40">
        <f>'1.설계입력'!$C$6*COS(B1588)-'1.설계입력'!$C$7*COS(B1588+C1588)-'1.설계입력'!$C$8*COS('1.설계입력'!$C$15*B1588)</f>
        <v>57.598727772503146</v>
      </c>
      <c r="E1588" s="40">
        <f>-'1.설계입력'!$C$6*SIN(B1588)+'1.설계입력'!$C$7*SIN(B1588+C1588)+'1.설계입력'!$C$8*SIN('1.설계입력'!$C$15*B1588)</f>
        <v>53.905486538504505</v>
      </c>
      <c r="F1588" s="40">
        <f>ATAN2(('1.설계입력'!$C$6+'1.설계입력'!$C$33)/('1.설계입력'!$C$8*'1.설계입력'!$C$15)-COS((1-'1.설계입력'!$C$15)*B1588),SIN((1-'1.설계입력'!$C$15)*B1588))</f>
        <v>-0.57145253074990565</v>
      </c>
      <c r="G1588" s="40">
        <f>('1.설계입력'!$C$6+'1.설계입력'!$C$33)*COS(B1588)-('1.설계입력'!$C$7+'1.설계입력'!$C$34)*COS(B1588+F1588)-'1.설계입력'!$C$8*COS('1.설계입력'!$C$15*B1588)</f>
        <v>57.594629773076534</v>
      </c>
      <c r="H1588" s="40">
        <f>-('1.설계입력'!$C$6+'1.설계입력'!$C$33)*SIN(B1588)+('1.설계입력'!$C$7+'1.설계입력'!$C$34)*SIN(B1588+F1588)+'1.설계입력'!$C$8*SIN('1.설계입력'!$C$15*B1588)</f>
        <v>53.895463293977031</v>
      </c>
      <c r="I1588" s="40">
        <f t="shared" si="73"/>
        <v>78.888623514191295</v>
      </c>
      <c r="J1588" s="40">
        <f t="shared" si="74"/>
        <v>78.87878258676524</v>
      </c>
      <c r="K1588" s="38" t="str">
        <f>IF(OR(A1588&gt;180,'1.설계입력'!$C$39&gt;=1),"",'1.설계입력'!$C$34*(1-SIN(B1588)/SQRT(1+'1.설계입력'!$C$39^2-2*'1.설계입력'!$C$39*COS(B1588)))-'1.설계입력'!$C$33*(1-'1.설계입력'!$C$39*COS(B1588)-SQRT(MAX(0,1-'1.설계입력'!$C$39^2))*SIN(B1588))/SQRT(1+'1.설계입력'!$C$39^2-2*'1.설계입력'!$C$39*COS(B1588)))</f>
        <v/>
      </c>
    </row>
    <row r="1589" spans="1:11" x14ac:dyDescent="0.3">
      <c r="A1589" s="40">
        <f>A1588+'1.설계입력'!$C$12</f>
        <v>316.59999999999059</v>
      </c>
      <c r="B1589" s="40">
        <f t="shared" si="72"/>
        <v>5.525712411813883</v>
      </c>
      <c r="C1589" s="40">
        <f>ATAN2('1.설계입력'!$C$6/('1.설계입력'!$C$8*'1.설계입력'!$C$15)-COS((1-'1.설계입력'!$C$15)*B1589),SIN((1-'1.설계입력'!$C$15)*B1589))</f>
        <v>-0.5202349913841724</v>
      </c>
      <c r="D1589" s="40">
        <f>'1.설계입력'!$C$6*COS(B1589)-'1.설계입력'!$C$7*COS(B1589+C1589)-'1.설계입력'!$C$8*COS('1.설계입력'!$C$15*B1589)</f>
        <v>57.76592495787056</v>
      </c>
      <c r="E1589" s="40">
        <f>-'1.설계입력'!$C$6*SIN(B1589)+'1.설계입력'!$C$7*SIN(B1589+C1589)+'1.설계입력'!$C$8*SIN('1.설계입력'!$C$15*B1589)</f>
        <v>53.859942313293026</v>
      </c>
      <c r="F1589" s="40">
        <f>ATAN2(('1.설계입력'!$C$6+'1.설계입력'!$C$33)/('1.설계입력'!$C$8*'1.설계입력'!$C$15)-COS((1-'1.설계입력'!$C$15)*B1589),SIN((1-'1.설계입력'!$C$15)*B1589))</f>
        <v>-0.52024837034808713</v>
      </c>
      <c r="G1589" s="40">
        <f>('1.설계입력'!$C$6+'1.설계입력'!$C$33)*COS(B1589)-('1.설계입력'!$C$7+'1.설계입력'!$C$34)*COS(B1589+F1589)-'1.설계입력'!$C$8*COS('1.설계입력'!$C$15*B1589)</f>
        <v>57.761383740259959</v>
      </c>
      <c r="H1589" s="40">
        <f>-('1.설계입력'!$C$6+'1.설계입력'!$C$33)*SIN(B1589)+('1.설계입력'!$C$7+'1.설계입력'!$C$34)*SIN(B1589+F1589)+'1.설계입력'!$C$8*SIN('1.설계입력'!$C$15*B1589)</f>
        <v>53.850042264859745</v>
      </c>
      <c r="I1589" s="40">
        <f t="shared" si="73"/>
        <v>78.979715574504226</v>
      </c>
      <c r="J1589" s="40">
        <f t="shared" si="74"/>
        <v>78.969642923827053</v>
      </c>
      <c r="K1589" s="38" t="str">
        <f>IF(OR(A1589&gt;180,'1.설계입력'!$C$39&gt;=1),"",'1.설계입력'!$C$34*(1-SIN(B1589)/SQRT(1+'1.설계입력'!$C$39^2-2*'1.설계입력'!$C$39*COS(B1589)))-'1.설계입력'!$C$33*(1-'1.설계입력'!$C$39*COS(B1589)-SQRT(MAX(0,1-'1.설계입력'!$C$39^2))*SIN(B1589))/SQRT(1+'1.설계입력'!$C$39^2-2*'1.설계입력'!$C$39*COS(B1589)))</f>
        <v/>
      </c>
    </row>
    <row r="1590" spans="1:11" x14ac:dyDescent="0.3">
      <c r="A1590" s="40">
        <f>A1589+'1.설계입력'!$C$12</f>
        <v>316.79999999999058</v>
      </c>
      <c r="B1590" s="40">
        <f t="shared" si="72"/>
        <v>5.5292030703178714</v>
      </c>
      <c r="C1590" s="40">
        <f>ATAN2('1.설계입력'!$C$6/('1.설계입력'!$C$8*'1.설계입력'!$C$15)-COS((1-'1.설계입력'!$C$15)*B1590),SIN((1-'1.설계입력'!$C$15)*B1590))</f>
        <v>-0.46748037950767446</v>
      </c>
      <c r="D1590" s="40">
        <f>'1.설계입력'!$C$6*COS(B1590)-'1.설계입력'!$C$7*COS(B1590+C1590)-'1.설계입력'!$C$8*COS('1.설계입력'!$C$15*B1590)</f>
        <v>57.942814608401463</v>
      </c>
      <c r="E1590" s="40">
        <f>-'1.설계입력'!$C$6*SIN(B1590)+'1.설계입력'!$C$7*SIN(B1590+C1590)+'1.설계입력'!$C$8*SIN('1.설계입력'!$C$15*B1590)</f>
        <v>53.801043566396785</v>
      </c>
      <c r="F1590" s="40">
        <f>ATAN2(('1.설계입력'!$C$6+'1.설계입력'!$C$33)/('1.설계입력'!$C$8*'1.설계입력'!$C$15)-COS((1-'1.설계입력'!$C$15)*B1590),SIN((1-'1.설계입력'!$C$15)*B1590))</f>
        <v>-0.46749197559042704</v>
      </c>
      <c r="G1590" s="40">
        <f>('1.설계입력'!$C$6+'1.설계입력'!$C$33)*COS(B1590)-('1.설계입력'!$C$7+'1.설계입력'!$C$34)*COS(B1590+F1590)-'1.설계입력'!$C$8*COS('1.설계입력'!$C$15*B1590)</f>
        <v>57.9378260748855</v>
      </c>
      <c r="H1590" s="40">
        <f>-('1.설계입력'!$C$6+'1.설계입력'!$C$33)*SIN(B1590)+('1.설계입력'!$C$7+'1.설계입력'!$C$34)*SIN(B1590+F1590)+'1.설계입력'!$C$8*SIN('1.설계입력'!$C$15*B1590)</f>
        <v>53.791294794536647</v>
      </c>
      <c r="I1590" s="40">
        <f t="shared" si="73"/>
        <v>79.069096703939323</v>
      </c>
      <c r="J1590" s="40">
        <f t="shared" si="74"/>
        <v>79.058807769637085</v>
      </c>
      <c r="K1590" s="38" t="str">
        <f>IF(OR(A1590&gt;180,'1.설계입력'!$C$39&gt;=1),"",'1.설계입력'!$C$34*(1-SIN(B1590)/SQRT(1+'1.설계입력'!$C$39^2-2*'1.설계입력'!$C$39*COS(B1590)))-'1.설계입력'!$C$33*(1-'1.설계입력'!$C$39*COS(B1590)-SQRT(MAX(0,1-'1.설계입력'!$C$39^2))*SIN(B1590))/SQRT(1+'1.설계입력'!$C$39^2-2*'1.설계입력'!$C$39*COS(B1590)))</f>
        <v/>
      </c>
    </row>
    <row r="1591" spans="1:11" x14ac:dyDescent="0.3">
      <c r="A1591" s="40">
        <f>A1590+'1.설계입력'!$C$12</f>
        <v>316.99999999999056</v>
      </c>
      <c r="B1591" s="40">
        <f t="shared" si="72"/>
        <v>5.5326937288218598</v>
      </c>
      <c r="C1591" s="40">
        <f>ATAN2('1.설계입력'!$C$6/('1.설계입력'!$C$8*'1.설계입력'!$C$15)-COS((1-'1.설계입력'!$C$15)*B1591),SIN((1-'1.설계입력'!$C$15)*B1591))</f>
        <v>-0.41349651672039894</v>
      </c>
      <c r="D1591" s="40">
        <f>'1.설계입력'!$C$6*COS(B1591)-'1.설계입력'!$C$7*COS(B1591+C1591)-'1.설계입력'!$C$8*COS('1.설계입력'!$C$15*B1591)</f>
        <v>58.127811004617286</v>
      </c>
      <c r="E1591" s="40">
        <f>-'1.설계입력'!$C$6*SIN(B1591)+'1.설계입력'!$C$7*SIN(B1591+C1591)+'1.설계입력'!$C$8*SIN('1.설계입력'!$C$15*B1591)</f>
        <v>53.727523483693382</v>
      </c>
      <c r="F1591" s="40">
        <f>ATAN2(('1.설계입력'!$C$6+'1.설계입력'!$C$33)/('1.설계입력'!$C$8*'1.설계입력'!$C$15)-COS((1-'1.설계입력'!$C$15)*B1591),SIN((1-'1.설계입력'!$C$15)*B1591))</f>
        <v>-0.41350646340112912</v>
      </c>
      <c r="G1591" s="40">
        <f>('1.설계입력'!$C$6+'1.설계입력'!$C$33)*COS(B1591)-('1.설계입력'!$C$7+'1.설계입력'!$C$34)*COS(B1591+F1591)-'1.설계입력'!$C$8*COS('1.설계입력'!$C$15*B1591)</f>
        <v>58.122375413349232</v>
      </c>
      <c r="H1591" s="40">
        <f>-('1.설계입력'!$C$6+'1.설계입력'!$C$33)*SIN(B1591)+('1.설계입력'!$C$7+'1.설계입력'!$C$34)*SIN(B1591+F1591)+'1.설계입력'!$C$8*SIN('1.설계입력'!$C$15*B1591)</f>
        <v>53.717954568083265</v>
      </c>
      <c r="I1591" s="40">
        <f t="shared" si="73"/>
        <v>79.154843135965663</v>
      </c>
      <c r="J1591" s="40">
        <f t="shared" si="74"/>
        <v>79.144356505495452</v>
      </c>
      <c r="K1591" s="38" t="str">
        <f>IF(OR(A1591&gt;180,'1.설계입력'!$C$39&gt;=1),"",'1.설계입력'!$C$34*(1-SIN(B1591)/SQRT(1+'1.설계입력'!$C$39^2-2*'1.설계입력'!$C$39*COS(B1591)))-'1.설계입력'!$C$33*(1-'1.설계입력'!$C$39*COS(B1591)-SQRT(MAX(0,1-'1.설계입력'!$C$39^2))*SIN(B1591))/SQRT(1+'1.설계입력'!$C$39^2-2*'1.설계입력'!$C$39*COS(B1591)))</f>
        <v/>
      </c>
    </row>
    <row r="1592" spans="1:11" x14ac:dyDescent="0.3">
      <c r="A1592" s="40">
        <f>A1591+'1.설계입력'!$C$12</f>
        <v>317.19999999999055</v>
      </c>
      <c r="B1592" s="40">
        <f t="shared" si="72"/>
        <v>5.5361843873258483</v>
      </c>
      <c r="C1592" s="40">
        <f>ATAN2('1.설계입력'!$C$6/('1.설계입력'!$C$8*'1.설계입력'!$C$15)-COS((1-'1.설계입력'!$C$15)*B1592),SIN((1-'1.설계입력'!$C$15)*B1592))</f>
        <v>-0.35853730218626478</v>
      </c>
      <c r="D1592" s="40">
        <f>'1.설계입력'!$C$6*COS(B1592)-'1.설계입력'!$C$7*COS(B1592+C1592)-'1.설계입력'!$C$8*COS('1.설계입력'!$C$15*B1592)</f>
        <v>58.318885699752371</v>
      </c>
      <c r="E1592" s="40">
        <f>-'1.설계입력'!$C$6*SIN(B1592)+'1.설계입력'!$C$7*SIN(B1592+C1592)+'1.설계입력'!$C$8*SIN('1.설계입력'!$C$15*B1592)</f>
        <v>53.638450006868922</v>
      </c>
      <c r="F1592" s="40">
        <f>ATAN2(('1.설계입력'!$C$6+'1.설계입력'!$C$33)/('1.설계입력'!$C$8*'1.설계입력'!$C$15)-COS((1-'1.설계입력'!$C$15)*B1592),SIN((1-'1.설계입력'!$C$15)*B1592))</f>
        <v>-0.35854570657364904</v>
      </c>
      <c r="G1592" s="40">
        <f>('1.설계입력'!$C$6+'1.설계입력'!$C$33)*COS(B1592)-('1.설계입력'!$C$7+'1.설계입력'!$C$34)*COS(B1592+F1592)-'1.설계입력'!$C$8*COS('1.설계입력'!$C$15*B1592)</f>
        <v>58.313007149036849</v>
      </c>
      <c r="H1592" s="40">
        <f>-('1.설계입력'!$C$6+'1.설계입력'!$C$33)*SIN(B1592)+('1.설계입력'!$C$7+'1.설계입력'!$C$34)*SIN(B1592+F1592)+'1.설계입력'!$C$8*SIN('1.설계입력'!$C$15*B1592)</f>
        <v>53.62908960883329</v>
      </c>
      <c r="I1592" s="40">
        <f t="shared" si="73"/>
        <v>79.234940199385264</v>
      </c>
      <c r="J1592" s="40">
        <f t="shared" si="74"/>
        <v>79.224276929713241</v>
      </c>
      <c r="K1592" s="38" t="str">
        <f>IF(OR(A1592&gt;180,'1.설계입력'!$C$39&gt;=1),"",'1.설계입력'!$C$34*(1-SIN(B1592)/SQRT(1+'1.설계입력'!$C$39^2-2*'1.설계입력'!$C$39*COS(B1592)))-'1.설계입력'!$C$33*(1-'1.설계입력'!$C$39*COS(B1592)-SQRT(MAX(0,1-'1.설계입력'!$C$39^2))*SIN(B1592))/SQRT(1+'1.설계입력'!$C$39^2-2*'1.설계입력'!$C$39*COS(B1592)))</f>
        <v/>
      </c>
    </row>
    <row r="1593" spans="1:11" x14ac:dyDescent="0.3">
      <c r="A1593" s="40">
        <f>A1592+'1.설계입력'!$C$12</f>
        <v>317.39999999999054</v>
      </c>
      <c r="B1593" s="40">
        <f t="shared" si="72"/>
        <v>5.5396750458298367</v>
      </c>
      <c r="C1593" s="40">
        <f>ATAN2('1.설계입력'!$C$6/('1.설계입력'!$C$8*'1.설계입력'!$C$15)-COS((1-'1.설계입력'!$C$15)*B1593),SIN((1-'1.설계입력'!$C$15)*B1593))</f>
        <v>-0.30280689027247587</v>
      </c>
      <c r="D1593" s="40">
        <f>'1.설계입력'!$C$6*COS(B1593)-'1.설계입력'!$C$7*COS(B1593+C1593)-'1.설계입력'!$C$8*COS('1.설계입력'!$C$15*B1593)</f>
        <v>58.513704820610471</v>
      </c>
      <c r="E1593" s="40">
        <f>-'1.설계입력'!$C$6*SIN(B1593)+'1.설계입력'!$C$7*SIN(B1593+C1593)+'1.설계입력'!$C$8*SIN('1.설계입력'!$C$15*B1593)</f>
        <v>53.533272883343528</v>
      </c>
      <c r="F1593" s="40">
        <f>ATAN2(('1.설계입력'!$C$6+'1.설계입력'!$C$33)/('1.설계입력'!$C$8*'1.설계입력'!$C$15)-COS((1-'1.설계입력'!$C$15)*B1593),SIN((1-'1.설계입력'!$C$15)*B1593))</f>
        <v>-0.30281383780688625</v>
      </c>
      <c r="G1593" s="40">
        <f>('1.설계입력'!$C$6+'1.설계입력'!$C$33)*COS(B1593)-('1.설계입력'!$C$7+'1.설계입력'!$C$34)*COS(B1593+F1593)-'1.설계입력'!$C$8*COS('1.설계입력'!$C$15*B1593)</f>
        <v>58.507390848860652</v>
      </c>
      <c r="H1593" s="40">
        <f>-('1.설계입력'!$C$6+'1.설계입력'!$C$33)*SIN(B1593)+('1.설계입력'!$C$7+'1.설계입력'!$C$34)*SIN(B1593+F1593)+'1.설계입력'!$C$8*SIN('1.설계입력'!$C$15*B1593)</f>
        <v>53.52414938605461</v>
      </c>
      <c r="I1593" s="40">
        <f t="shared" si="73"/>
        <v>79.307407960644227</v>
      </c>
      <c r="J1593" s="40">
        <f t="shared" si="74"/>
        <v>79.296591045530036</v>
      </c>
      <c r="K1593" s="38" t="str">
        <f>IF(OR(A1593&gt;180,'1.설계입력'!$C$39&gt;=1),"",'1.설계입력'!$C$34*(1-SIN(B1593)/SQRT(1+'1.설계입력'!$C$39^2-2*'1.설계입력'!$C$39*COS(B1593)))-'1.설계입력'!$C$33*(1-'1.설계입력'!$C$39*COS(B1593)-SQRT(MAX(0,1-'1.설계입력'!$C$39^2))*SIN(B1593))/SQRT(1+'1.설계입력'!$C$39^2-2*'1.설계입력'!$C$39*COS(B1593)))</f>
        <v/>
      </c>
    </row>
    <row r="1594" spans="1:11" x14ac:dyDescent="0.3">
      <c r="A1594" s="40">
        <f>A1593+'1.설계입력'!$C$12</f>
        <v>317.59999999999053</v>
      </c>
      <c r="B1594" s="40">
        <f t="shared" si="72"/>
        <v>5.5431657043338252</v>
      </c>
      <c r="C1594" s="40">
        <f>ATAN2('1.설계입력'!$C$6/('1.설계입력'!$C$8*'1.설계입력'!$C$15)-COS((1-'1.설계입력'!$C$15)*B1594),SIN((1-'1.설계입력'!$C$15)*B1594))</f>
        <v>-0.2464733875803044</v>
      </c>
      <c r="D1594" s="40">
        <f>'1.설계입력'!$C$6*COS(B1594)-'1.설계입력'!$C$7*COS(B1594+C1594)-'1.설계입력'!$C$8*COS('1.설계입력'!$C$15*B1594)</f>
        <v>58.709747048759844</v>
      </c>
      <c r="E1594" s="40">
        <f>-'1.설계입력'!$C$6*SIN(B1594)+'1.설계입력'!$C$7*SIN(B1594+C1594)+'1.설계입력'!$C$8*SIN('1.설계입력'!$C$15*B1594)</f>
        <v>53.41185304822875</v>
      </c>
      <c r="F1594" s="40">
        <f>ATAN2(('1.설계입력'!$C$6+'1.설계입력'!$C$33)/('1.설계입력'!$C$8*'1.설계입력'!$C$15)-COS((1-'1.설계입력'!$C$15)*B1594),SIN((1-'1.설계입력'!$C$15)*B1594))</f>
        <v>-0.24647894553968294</v>
      </c>
      <c r="G1594" s="40">
        <f>('1.설계입력'!$C$6+'1.설계입력'!$C$33)*COS(B1594)-('1.설계입력'!$C$7+'1.설계입력'!$C$34)*COS(B1594+F1594)-'1.설계입력'!$C$8*COS('1.설계입력'!$C$15*B1594)</f>
        <v>58.703008308993248</v>
      </c>
      <c r="H1594" s="40">
        <f>-('1.설계입력'!$C$6+'1.설계입력'!$C$33)*SIN(B1594)+('1.설계입력'!$C$7+'1.설계입력'!$C$34)*SIN(B1594+F1594)+'1.설계입력'!$C$8*SIN('1.설계입력'!$C$15*B1594)</f>
        <v>53.402994240249761</v>
      </c>
      <c r="I1594" s="40">
        <f t="shared" si="73"/>
        <v>79.370400304993723</v>
      </c>
      <c r="J1594" s="40">
        <f t="shared" si="74"/>
        <v>79.359454246799601</v>
      </c>
      <c r="K1594" s="38" t="str">
        <f>IF(OR(A1594&gt;180,'1.설계입력'!$C$39&gt;=1),"",'1.설계입력'!$C$34*(1-SIN(B1594)/SQRT(1+'1.설계입력'!$C$39^2-2*'1.설계입력'!$C$39*COS(B1594)))-'1.설계입력'!$C$33*(1-'1.설계입력'!$C$39*COS(B1594)-SQRT(MAX(0,1-'1.설계입력'!$C$39^2))*SIN(B1594))/SQRT(1+'1.설계입력'!$C$39^2-2*'1.설계입력'!$C$39*COS(B1594)))</f>
        <v/>
      </c>
    </row>
    <row r="1595" spans="1:11" x14ac:dyDescent="0.3">
      <c r="A1595" s="40">
        <f>A1594+'1.설계입력'!$C$12</f>
        <v>317.79999999999052</v>
      </c>
      <c r="B1595" s="40">
        <f t="shared" si="72"/>
        <v>5.5466563628378136</v>
      </c>
      <c r="C1595" s="40">
        <f>ATAN2('1.설계입력'!$C$6/('1.설계입력'!$C$8*'1.설계입력'!$C$15)-COS((1-'1.설계입력'!$C$15)*B1595),SIN((1-'1.설계입력'!$C$15)*B1595))</f>
        <v>-0.18967874449522065</v>
      </c>
      <c r="D1595" s="40">
        <f>'1.설계입력'!$C$6*COS(B1595)-'1.설계입력'!$C$7*COS(B1595+C1595)-'1.설계입력'!$C$8*COS('1.설계입력'!$C$15*B1595)</f>
        <v>58.904408112241732</v>
      </c>
      <c r="E1595" s="40">
        <f>-'1.설계입력'!$C$6*SIN(B1595)+'1.설계입력'!$C$7*SIN(B1595+C1595)+'1.설계입력'!$C$8*SIN('1.설계입력'!$C$15*B1595)</f>
        <v>53.274476068181059</v>
      </c>
      <c r="F1595" s="40">
        <f>ATAN2(('1.설계입력'!$C$6+'1.설계입력'!$C$33)/('1.설계입력'!$C$8*'1.설계입력'!$C$15)-COS((1-'1.설계입력'!$C$15)*B1595),SIN((1-'1.설계입력'!$C$15)*B1595))</f>
        <v>-0.18968296459567399</v>
      </c>
      <c r="G1595" s="40">
        <f>('1.설계입력'!$C$6+'1.설계입력'!$C$33)*COS(B1595)-('1.설계입력'!$C$7+'1.설계입력'!$C$34)*COS(B1595+F1595)-'1.설계입력'!$C$8*COS('1.설계입력'!$C$15*B1595)</f>
        <v>58.897258094323732</v>
      </c>
      <c r="H1595" s="40">
        <f>-('1.설계입력'!$C$6+'1.설계입력'!$C$33)*SIN(B1595)+('1.설계입력'!$C$7+'1.설계입력'!$C$34)*SIN(B1595+F1595)+'1.설계입력'!$C$8*SIN('1.설계입력'!$C$15*B1595)</f>
        <v>53.265908860144549</v>
      </c>
      <c r="I1595" s="40">
        <f t="shared" si="73"/>
        <v>79.422283368036744</v>
      </c>
      <c r="J1595" s="40">
        <f t="shared" si="74"/>
        <v>79.411233825741604</v>
      </c>
      <c r="K1595" s="38" t="str">
        <f>IF(OR(A1595&gt;180,'1.설계입력'!$C$39&gt;=1),"",'1.설계입력'!$C$34*(1-SIN(B1595)/SQRT(1+'1.설계입력'!$C$39^2-2*'1.설계입력'!$C$39*COS(B1595)))-'1.설계입력'!$C$33*(1-'1.설계입력'!$C$39*COS(B1595)-SQRT(MAX(0,1-'1.설계입력'!$C$39^2))*SIN(B1595))/SQRT(1+'1.설계입력'!$C$39^2-2*'1.설계입력'!$C$39*COS(B1595)))</f>
        <v/>
      </c>
    </row>
    <row r="1596" spans="1:11" x14ac:dyDescent="0.3">
      <c r="A1596" s="40">
        <f>A1595+'1.설계입력'!$C$12</f>
        <v>317.99999999999051</v>
      </c>
      <c r="B1596" s="40">
        <f t="shared" si="72"/>
        <v>5.550147021341802</v>
      </c>
      <c r="C1596" s="40">
        <f>ATAN2('1.설계입력'!$C$6/('1.설계입력'!$C$8*'1.설계입력'!$C$15)-COS((1-'1.설계입력'!$C$15)*B1596),SIN((1-'1.설계입력'!$C$15)*B1596))</f>
        <v>-0.13254612163527363</v>
      </c>
      <c r="D1596" s="40">
        <f>'1.설계입력'!$C$6*COS(B1596)-'1.설계입력'!$C$7*COS(B1596+C1596)-'1.설계입력'!$C$8*COS('1.설계입력'!$C$15*B1596)</f>
        <v>59.095094828382891</v>
      </c>
      <c r="E1596" s="40">
        <f>-'1.설계입력'!$C$6*SIN(B1596)+'1.설계입력'!$C$7*SIN(B1596+C1596)+'1.설계입력'!$C$8*SIN('1.설계입력'!$C$15*B1596)</f>
        <v>53.121851012032153</v>
      </c>
      <c r="F1596" s="40">
        <f>ATAN2(('1.설계입력'!$C$6+'1.설계입력'!$C$33)/('1.설계입력'!$C$8*'1.설계입력'!$C$15)-COS((1-'1.설계입력'!$C$15)*B1596),SIN((1-'1.설계입력'!$C$15)*B1596))</f>
        <v>-0.13254904193113257</v>
      </c>
      <c r="G1596" s="40">
        <f>('1.설계입력'!$C$6+'1.설계입력'!$C$33)*COS(B1596)-('1.설계입력'!$C$7+'1.설계입력'!$C$34)*COS(B1596+F1596)-'1.설계입력'!$C$8*COS('1.설계입력'!$C$15*B1596)</f>
        <v>59.087549611124054</v>
      </c>
      <c r="H1596" s="40">
        <f>-('1.설계입력'!$C$6+'1.설계입력'!$C$33)*SIN(B1596)+('1.설계입력'!$C$7+'1.설계입력'!$C$34)*SIN(B1596+F1596)+'1.설계입력'!$C$8*SIN('1.설계입력'!$C$15*B1596)</f>
        <v>53.113601179095028</v>
      </c>
      <c r="I1596" s="40">
        <f t="shared" si="73"/>
        <v>79.461696984900271</v>
      </c>
      <c r="J1596" s="40">
        <f t="shared" si="74"/>
        <v>79.450570477870144</v>
      </c>
      <c r="K1596" s="38" t="str">
        <f>IF(OR(A1596&gt;180,'1.설계입력'!$C$39&gt;=1),"",'1.설계입력'!$C$34*(1-SIN(B1596)/SQRT(1+'1.설계입력'!$C$39^2-2*'1.설계입력'!$C$39*COS(B1596)))-'1.설계입력'!$C$33*(1-'1.설계입력'!$C$39*COS(B1596)-SQRT(MAX(0,1-'1.설계입력'!$C$39^2))*SIN(B1596))/SQRT(1+'1.설계입력'!$C$39^2-2*'1.설계입력'!$C$39*COS(B1596)))</f>
        <v/>
      </c>
    </row>
    <row r="1597" spans="1:11" x14ac:dyDescent="0.3">
      <c r="A1597" s="40">
        <f>A1596+'1.설계입력'!$C$12</f>
        <v>318.1999999999905</v>
      </c>
      <c r="B1597" s="40">
        <f t="shared" si="72"/>
        <v>5.5536376798457905</v>
      </c>
      <c r="C1597" s="40">
        <f>ATAN2('1.설계입력'!$C$6/('1.설계입력'!$C$8*'1.설계입력'!$C$15)-COS((1-'1.설계입력'!$C$15)*B1597),SIN((1-'1.설계입력'!$C$15)*B1597))</f>
        <v>-7.5185576524907399E-2</v>
      </c>
      <c r="D1597" s="40">
        <f>'1.설계입력'!$C$6*COS(B1597)-'1.설계입력'!$C$7*COS(B1597+C1597)-'1.설계입력'!$C$8*COS('1.설계입력'!$C$15*B1597)</f>
        <v>59.279310086223248</v>
      </c>
      <c r="E1597" s="40">
        <f>-'1.설계입력'!$C$6*SIN(B1597)+'1.설계입력'!$C$7*SIN(B1597+C1597)+'1.설계입력'!$C$8*SIN('1.설계입력'!$C$15*B1597)</f>
        <v>52.955095899105991</v>
      </c>
      <c r="F1597" s="40">
        <f>ATAN2(('1.설계입력'!$C$6+'1.설계입력'!$C$33)/('1.설계입력'!$C$8*'1.설계입력'!$C$15)-COS((1-'1.설계입력'!$C$15)*B1597),SIN((1-'1.설계입력'!$C$15)*B1597))</f>
        <v>-7.5187222750590546E-2</v>
      </c>
      <c r="G1597" s="40">
        <f>('1.설계입력'!$C$6+'1.설계입력'!$C$33)*COS(B1597)-('1.설계입력'!$C$7+'1.설계입력'!$C$34)*COS(B1597+F1597)-'1.설계입력'!$C$8*COS('1.설계입력'!$C$15*B1597)</f>
        <v>59.271388107065221</v>
      </c>
      <c r="H1597" s="40">
        <f>-('1.설계입력'!$C$6+'1.설계입력'!$C$33)*SIN(B1597)+('1.설계입력'!$C$7+'1.설계입력'!$C$34)*SIN(B1597+F1597)+'1.설계입력'!$C$8*SIN('1.설계입력'!$C$15*B1597)</f>
        <v>52.9471878437177</v>
      </c>
      <c r="I1597" s="40">
        <f t="shared" si="73"/>
        <v>79.487601460744315</v>
      </c>
      <c r="J1597" s="40">
        <f t="shared" si="74"/>
        <v>79.476425112710501</v>
      </c>
      <c r="K1597" s="38" t="str">
        <f>IF(OR(A1597&gt;180,'1.설계입력'!$C$39&gt;=1),"",'1.설계입력'!$C$34*(1-SIN(B1597)/SQRT(1+'1.설계입력'!$C$39^2-2*'1.설계입력'!$C$39*COS(B1597)))-'1.설계입력'!$C$33*(1-'1.설계입력'!$C$39*COS(B1597)-SQRT(MAX(0,1-'1.설계입력'!$C$39^2))*SIN(B1597))/SQRT(1+'1.설계입력'!$C$39^2-2*'1.설계입력'!$C$39*COS(B1597)))</f>
        <v/>
      </c>
    </row>
    <row r="1598" spans="1:11" x14ac:dyDescent="0.3">
      <c r="A1598" s="40">
        <f>A1597+'1.설계입력'!$C$12</f>
        <v>318.39999999999048</v>
      </c>
      <c r="B1598" s="40">
        <f t="shared" si="72"/>
        <v>5.5571283383497789</v>
      </c>
      <c r="C1598" s="40">
        <f>ATAN2('1.설계입력'!$C$6/('1.설계입력'!$C$8*'1.설계입력'!$C$15)-COS((1-'1.설계입력'!$C$15)*B1598),SIN((1-'1.설계입력'!$C$15)*B1598))</f>
        <v>-1.7698650405695009E-2</v>
      </c>
      <c r="D1598" s="40">
        <f>'1.설계입력'!$C$6*COS(B1598)-'1.설계입력'!$C$7*COS(B1598+C1598)-'1.설계입력'!$C$8*COS('1.설계입력'!$C$15*B1598)</f>
        <v>59.454729168940595</v>
      </c>
      <c r="E1598" s="40">
        <f>-'1.설계입력'!$C$6*SIN(B1598)+'1.설계입력'!$C$7*SIN(B1598+C1598)+'1.설계입력'!$C$8*SIN('1.설계입력'!$C$15*B1598)</f>
        <v>52.77571076706235</v>
      </c>
      <c r="F1598" s="40">
        <f>ATAN2(('1.설계입력'!$C$6+'1.설계입력'!$C$33)/('1.설계입력'!$C$8*'1.설계입력'!$C$15)-COS((1-'1.설계입력'!$C$15)*B1598),SIN((1-'1.설계입력'!$C$15)*B1598))</f>
        <v>-1.7699036855666879E-2</v>
      </c>
      <c r="G1598" s="40">
        <f>('1.설계입력'!$C$6+'1.설계입력'!$C$33)*COS(B1598)-('1.설계입력'!$C$7+'1.설계입력'!$C$34)*COS(B1598+F1598)-'1.설계입력'!$C$8*COS('1.설계입력'!$C$15*B1598)</f>
        <v>59.446451002569894</v>
      </c>
      <c r="H1598" s="40">
        <f>-('1.설계입력'!$C$6+'1.설계입력'!$C$33)*SIN(B1598)+('1.설계입력'!$C$7+'1.설계입력'!$C$34)*SIN(B1598+F1598)+'1.설계입력'!$C$8*SIN('1.설계입력'!$C$15*B1598)</f>
        <v>52.768167297789738</v>
      </c>
      <c r="I1598" s="40">
        <f t="shared" si="73"/>
        <v>79.499311113497683</v>
      </c>
      <c r="J1598" s="40">
        <f t="shared" si="74"/>
        <v>79.488112424239063</v>
      </c>
      <c r="K1598" s="38" t="str">
        <f>IF(OR(A1598&gt;180,'1.설계입력'!$C$39&gt;=1),"",'1.설계입력'!$C$34*(1-SIN(B1598)/SQRT(1+'1.설계입력'!$C$39^2-2*'1.설계입력'!$C$39*COS(B1598)))-'1.설계입력'!$C$33*(1-'1.설계입력'!$C$39*COS(B1598)-SQRT(MAX(0,1-'1.설계입력'!$C$39^2))*SIN(B1598))/SQRT(1+'1.설계입력'!$C$39^2-2*'1.설계입력'!$C$39*COS(B1598)))</f>
        <v/>
      </c>
    </row>
    <row r="1599" spans="1:11" x14ac:dyDescent="0.3">
      <c r="A1599" s="40">
        <f>A1598+'1.설계입력'!$C$12</f>
        <v>318.59999999999047</v>
      </c>
      <c r="B1599" s="40">
        <f t="shared" si="72"/>
        <v>5.5606189968537674</v>
      </c>
      <c r="C1599" s="40">
        <f>ATAN2('1.설계입력'!$C$6/('1.설계입력'!$C$8*'1.설계입력'!$C$15)-COS((1-'1.설계입력'!$C$15)*B1599),SIN((1-'1.설계입력'!$C$15)*B1599))</f>
        <v>3.9817726401384673E-2</v>
      </c>
      <c r="D1599" s="40">
        <f>'1.설계입력'!$C$6*COS(B1599)-'1.설계입력'!$C$7*COS(B1599+C1599)-'1.설계입력'!$C$8*COS('1.설계입력'!$C$15*B1599)</f>
        <v>59.619267227798431</v>
      </c>
      <c r="E1599" s="40">
        <f>-'1.설계입력'!$C$6*SIN(B1599)+'1.설계입력'!$C$7*SIN(B1599+C1599)+'1.설계입력'!$C$8*SIN('1.설계입력'!$C$15*B1599)</f>
        <v>52.585539354883757</v>
      </c>
      <c r="F1599" s="40">
        <f>ATAN2(('1.설계입력'!$C$6+'1.설계입력'!$C$33)/('1.설계입력'!$C$8*'1.설계입력'!$C$15)-COS((1-'1.설계입력'!$C$15)*B1599),SIN((1-'1.설계입력'!$C$15)*B1599))</f>
        <v>3.9818596393515114E-2</v>
      </c>
      <c r="G1599" s="40">
        <f>('1.설계입력'!$C$6+'1.설계입력'!$C$33)*COS(B1599)-('1.설계입력'!$C$7+'1.설계입력'!$C$34)*COS(B1599+F1599)-'1.설계입력'!$C$8*COS('1.설계입력'!$C$15*B1599)</f>
        <v>59.610655367332285</v>
      </c>
      <c r="H1599" s="40">
        <f>-('1.설계입력'!$C$6+'1.설계입력'!$C$33)*SIN(B1599)+('1.설계입력'!$C$7+'1.설계입력'!$C$34)*SIN(B1599+F1599)+'1.설계입력'!$C$8*SIN('1.설계입력'!$C$15*B1599)</f>
        <v>52.578381477726253</v>
      </c>
      <c r="I1599" s="40">
        <f t="shared" si="73"/>
        <v>79.496515483533415</v>
      </c>
      <c r="J1599" s="40">
        <f t="shared" si="74"/>
        <v>79.48532211760967</v>
      </c>
      <c r="K1599" s="38" t="str">
        <f>IF(OR(A1599&gt;180,'1.설계입력'!$C$39&gt;=1),"",'1.설계입력'!$C$34*(1-SIN(B1599)/SQRT(1+'1.설계입력'!$C$39^2-2*'1.설계입력'!$C$39*COS(B1599)))-'1.설계입력'!$C$33*(1-'1.설계입력'!$C$39*COS(B1599)-SQRT(MAX(0,1-'1.설계입력'!$C$39^2))*SIN(B1599))/SQRT(1+'1.설계입력'!$C$39^2-2*'1.설계입력'!$C$39*COS(B1599)))</f>
        <v/>
      </c>
    </row>
    <row r="1600" spans="1:11" x14ac:dyDescent="0.3">
      <c r="A1600" s="40">
        <f>A1599+'1.설계입력'!$C$12</f>
        <v>318.79999999999046</v>
      </c>
      <c r="B1600" s="40">
        <f t="shared" si="72"/>
        <v>5.5641096553577558</v>
      </c>
      <c r="C1600" s="40">
        <f>ATAN2('1.설계입력'!$C$6/('1.설계입력'!$C$8*'1.설계입력'!$C$15)-COS((1-'1.설계입력'!$C$15)*B1600),SIN((1-'1.설계입력'!$C$15)*B1600))</f>
        <v>9.7267686645226475E-2</v>
      </c>
      <c r="D1600" s="40">
        <f>'1.설계입력'!$C$6*COS(B1600)-'1.설계입력'!$C$7*COS(B1600+C1600)-'1.설계입력'!$C$8*COS('1.설계입력'!$C$15*B1600)</f>
        <v>59.771137375840837</v>
      </c>
      <c r="E1600" s="40">
        <f>-'1.설계입력'!$C$6*SIN(B1600)+'1.설계입력'!$C$7*SIN(B1600+C1600)+'1.설계입력'!$C$8*SIN('1.설계입력'!$C$15*B1600)</f>
        <v>52.386720377859064</v>
      </c>
      <c r="F1600" s="40">
        <f>ATAN2(('1.설계입력'!$C$6+'1.설계입력'!$C$33)/('1.설계입력'!$C$8*'1.설계입력'!$C$15)-COS((1-'1.설계입력'!$C$15)*B1600),SIN((1-'1.설계입력'!$C$15)*B1600))</f>
        <v>9.7269820595975665E-2</v>
      </c>
      <c r="G1600" s="40">
        <f>('1.설계입력'!$C$6+'1.설계입력'!$C$33)*COS(B1600)-('1.설계입력'!$C$7+'1.설계입력'!$C$34)*COS(B1600+F1600)-'1.설계입력'!$C$8*COS('1.설계입력'!$C$15*B1600)</f>
        <v>59.762216011659042</v>
      </c>
      <c r="H1600" s="40">
        <f>-('1.설계입력'!$C$6+'1.설계입력'!$C$33)*SIN(B1600)+('1.설계입력'!$C$7+'1.설계입력'!$C$34)*SIN(B1600+F1600)+'1.설계입력'!$C$8*SIN('1.설계입력'!$C$15*B1600)</f>
        <v>52.379967096756204</v>
      </c>
      <c r="I1600" s="40">
        <f t="shared" si="73"/>
        <v>79.479288718191427</v>
      </c>
      <c r="J1600" s="40">
        <f t="shared" si="74"/>
        <v>79.468128301108607</v>
      </c>
      <c r="K1600" s="38" t="str">
        <f>IF(OR(A1600&gt;180,'1.설계입력'!$C$39&gt;=1),"",'1.설계입력'!$C$34*(1-SIN(B1600)/SQRT(1+'1.설계입력'!$C$39^2-2*'1.설계입력'!$C$39*COS(B1600)))-'1.설계입력'!$C$33*(1-'1.설계입력'!$C$39*COS(B1600)-SQRT(MAX(0,1-'1.설계입력'!$C$39^2))*SIN(B1600))/SQRT(1+'1.설계입력'!$C$39^2-2*'1.설계입력'!$C$39*COS(B1600)))</f>
        <v/>
      </c>
    </row>
    <row r="1601" spans="1:11" x14ac:dyDescent="0.3">
      <c r="A1601" s="40">
        <f>A1600+'1.설계입력'!$C$12</f>
        <v>318.99999999999045</v>
      </c>
      <c r="B1601" s="40">
        <f t="shared" si="72"/>
        <v>5.5676003138617443</v>
      </c>
      <c r="C1601" s="40">
        <f>ATAN2('1.설계입력'!$C$6/('1.설계입력'!$C$8*'1.설계입력'!$C$15)-COS((1-'1.설계입력'!$C$15)*B1601),SIN((1-'1.설계입력'!$C$15)*B1601))</f>
        <v>0.15455295955289708</v>
      </c>
      <c r="D1601" s="40">
        <f>'1.설계입력'!$C$6*COS(B1601)-'1.설계입력'!$C$7*COS(B1601+C1601)-'1.설계입력'!$C$8*COS('1.설계입력'!$C$15*B1601)</f>
        <v>59.908898678169727</v>
      </c>
      <c r="E1601" s="40">
        <f>-'1.설계입력'!$C$6*SIN(B1601)+'1.설계입력'!$C$7*SIN(B1601+C1601)+'1.설계입력'!$C$8*SIN('1.설계입력'!$C$15*B1601)</f>
        <v>52.181629349164872</v>
      </c>
      <c r="F1601" s="40">
        <f>ATAN2(('1.설계입력'!$C$6+'1.설계입력'!$C$33)/('1.설계입력'!$C$8*'1.설계입력'!$C$15)-COS((1-'1.설계입력'!$C$15)*B1601),SIN((1-'1.설계입력'!$C$15)*B1601))</f>
        <v>0.15455637607911354</v>
      </c>
      <c r="G1601" s="40">
        <f>('1.설계입력'!$C$6+'1.설계입력'!$C$33)*COS(B1601)-('1.설계입력'!$C$7+'1.설계입력'!$C$34)*COS(B1601+F1601)-'1.설계입력'!$C$8*COS('1.설계입력'!$C$15*B1601)</f>
        <v>59.899693470266364</v>
      </c>
      <c r="H1601" s="40">
        <f>-('1.설계입력'!$C$6+'1.설계입력'!$C$33)*SIN(B1601)+('1.설계입력'!$C$7+'1.설계입력'!$C$34)*SIN(B1601+F1601)+'1.설계입력'!$C$8*SIN('1.설계입력'!$C$15*B1601)</f>
        <v>52.175297472281123</v>
      </c>
      <c r="I1601" s="40">
        <f t="shared" si="73"/>
        <v>79.448087342395041</v>
      </c>
      <c r="J1601" s="40">
        <f t="shared" si="74"/>
        <v>79.436987255011729</v>
      </c>
      <c r="K1601" s="38" t="str">
        <f>IF(OR(A1601&gt;180,'1.설계입력'!$C$39&gt;=1),"",'1.설계입력'!$C$34*(1-SIN(B1601)/SQRT(1+'1.설계입력'!$C$39^2-2*'1.설계입력'!$C$39*COS(B1601)))-'1.설계입력'!$C$33*(1-'1.설계입력'!$C$39*COS(B1601)-SQRT(MAX(0,1-'1.설계입력'!$C$39^2))*SIN(B1601))/SQRT(1+'1.설계입력'!$C$39^2-2*'1.설계입력'!$C$39*COS(B1601)))</f>
        <v/>
      </c>
    </row>
    <row r="1602" spans="1:11" x14ac:dyDescent="0.3">
      <c r="A1602" s="40">
        <f>A1601+'1.설계입력'!$C$12</f>
        <v>319.19999999999044</v>
      </c>
      <c r="B1602" s="40">
        <f t="shared" si="72"/>
        <v>5.5710909723657327</v>
      </c>
      <c r="C1602" s="40">
        <f>ATAN2('1.설계입력'!$C$6/('1.설계입력'!$C$8*'1.설계입력'!$C$15)-COS((1-'1.설계입력'!$C$15)*B1602),SIN((1-'1.설계입력'!$C$15)*B1602))</f>
        <v>0.21156921989066874</v>
      </c>
      <c r="D1602" s="40">
        <f>'1.설계입력'!$C$6*COS(B1602)-'1.설계입력'!$C$7*COS(B1602+C1602)-'1.설계입력'!$C$8*COS('1.설계입력'!$C$15*B1602)</f>
        <v>60.031493214924616</v>
      </c>
      <c r="E1602" s="40">
        <f>-'1.설계입력'!$C$6*SIN(B1602)+'1.설계입력'!$C$7*SIN(B1602+C1602)+'1.설계입력'!$C$8*SIN('1.설계입력'!$C$15*B1602)</f>
        <v>51.972811846704147</v>
      </c>
      <c r="F1602" s="40">
        <f>ATAN2(('1.설계입력'!$C$6+'1.설계입력'!$C$33)/('1.설계입력'!$C$8*'1.설계입력'!$C$15)-COS((1-'1.설계입력'!$C$15)*B1602),SIN((1-'1.설계입력'!$C$15)*B1602))</f>
        <v>0.2115739493375112</v>
      </c>
      <c r="G1602" s="40">
        <f>('1.설계입력'!$C$6+'1.설계입력'!$C$33)*COS(B1602)-('1.설계입력'!$C$7+'1.설계입력'!$C$34)*COS(B1602+F1602)-'1.설계입력'!$C$8*COS('1.설계입력'!$C$15*B1602)</f>
        <v>60.022031054952663</v>
      </c>
      <c r="H1602" s="40">
        <f>-('1.설계입력'!$C$6+'1.설계입력'!$C$33)*SIN(B1602)+('1.설계입력'!$C$7+'1.설계입력'!$C$34)*SIN(B1602+F1602)+'1.설계입력'!$C$8*SIN('1.설계입력'!$C$15*B1602)</f>
        <v>51.966915794554041</v>
      </c>
      <c r="I1602" s="40">
        <f t="shared" si="73"/>
        <v>79.403736365906937</v>
      </c>
      <c r="J1602" s="40">
        <f t="shared" si="74"/>
        <v>79.392723527789201</v>
      </c>
      <c r="K1602" s="38" t="str">
        <f>IF(OR(A1602&gt;180,'1.설계입력'!$C$39&gt;=1),"",'1.설계입력'!$C$34*(1-SIN(B1602)/SQRT(1+'1.설계입력'!$C$39^2-2*'1.설계입력'!$C$39*COS(B1602)))-'1.설계입력'!$C$33*(1-'1.설계입력'!$C$39*COS(B1602)-SQRT(MAX(0,1-'1.설계입력'!$C$39^2))*SIN(B1602))/SQRT(1+'1.설계입력'!$C$39^2-2*'1.설계입력'!$C$39*COS(B1602)))</f>
        <v/>
      </c>
    </row>
    <row r="1603" spans="1:11" x14ac:dyDescent="0.3">
      <c r="A1603" s="40">
        <f>A1602+'1.설계입력'!$C$12</f>
        <v>319.39999999999043</v>
      </c>
      <c r="B1603" s="40">
        <f t="shared" si="72"/>
        <v>5.5745816308697211</v>
      </c>
      <c r="C1603" s="40">
        <f>ATAN2('1.설계입력'!$C$6/('1.설계입력'!$C$8*'1.설계입력'!$C$15)-COS((1-'1.설계입력'!$C$15)*B1603),SIN((1-'1.설계입력'!$C$15)*B1603))</f>
        <v>0.2682019628148728</v>
      </c>
      <c r="D1603" s="40">
        <f>'1.설계입력'!$C$6*COS(B1603)-'1.설계입력'!$C$7*COS(B1603+C1603)-'1.설계입력'!$C$8*COS('1.설계입력'!$C$15*B1603)</f>
        <v>60.138271338473025</v>
      </c>
      <c r="E1603" s="40">
        <f>-'1.설계입력'!$C$6*SIN(B1603)+'1.설계입력'!$C$7*SIN(B1603+C1603)+'1.설계입력'!$C$8*SIN('1.설계입력'!$C$15*B1603)</f>
        <v>51.762908999871456</v>
      </c>
      <c r="F1603" s="40">
        <f>ATAN2(('1.설계입력'!$C$6+'1.설계입력'!$C$33)/('1.설계입력'!$C$8*'1.설계입력'!$C$15)-COS((1-'1.설계입력'!$C$15)*B1603),SIN((1-'1.설계입력'!$C$15)*B1603))</f>
        <v>0.26820804830446049</v>
      </c>
      <c r="G1603" s="40">
        <f>('1.설계입력'!$C$6+'1.설계입력'!$C$33)*COS(B1603)-('1.설계입력'!$C$7+'1.설계입력'!$C$34)*COS(B1603+F1603)-'1.설계입력'!$C$8*COS('1.설계입력'!$C$15*B1603)</f>
        <v>60.128580097501718</v>
      </c>
      <c r="H1603" s="40">
        <f>-('1.설계입력'!$C$6+'1.설계입력'!$C$33)*SIN(B1603)+('1.설계입력'!$C$7+'1.설계입력'!$C$34)*SIN(B1603+F1603)+'1.설계입력'!$C$8*SIN('1.설계입력'!$C$15*B1603)</f>
        <v>51.757460610337752</v>
      </c>
      <c r="I1603" s="40">
        <f t="shared" si="73"/>
        <v>79.347403408736568</v>
      </c>
      <c r="J1603" s="40">
        <f t="shared" si="74"/>
        <v>79.336504040525654</v>
      </c>
      <c r="K1603" s="38" t="str">
        <f>IF(OR(A1603&gt;180,'1.설계입력'!$C$39&gt;=1),"",'1.설계입력'!$C$34*(1-SIN(B1603)/SQRT(1+'1.설계입력'!$C$39^2-2*'1.설계입력'!$C$39*COS(B1603)))-'1.설계입력'!$C$33*(1-'1.설계입력'!$C$39*COS(B1603)-SQRT(MAX(0,1-'1.설계입력'!$C$39^2))*SIN(B1603))/SQRT(1+'1.설계입력'!$C$39^2-2*'1.설계입력'!$C$39*COS(B1603)))</f>
        <v/>
      </c>
    </row>
    <row r="1604" spans="1:11" x14ac:dyDescent="0.3">
      <c r="A1604" s="40">
        <f>A1603+'1.설계입력'!$C$12</f>
        <v>319.59999999999042</v>
      </c>
      <c r="B1604" s="40">
        <f t="shared" si="72"/>
        <v>5.5780722893737096</v>
      </c>
      <c r="C1604" s="40">
        <f>ATAN2('1.설계입력'!$C$6/('1.설계입력'!$C$8*'1.설계입력'!$C$15)-COS((1-'1.설계입력'!$C$15)*B1604),SIN((1-'1.설계입력'!$C$15)*B1604))</f>
        <v>0.32432155060357237</v>
      </c>
      <c r="D1604" s="40">
        <f>'1.설계입력'!$C$6*COS(B1604)-'1.설계입력'!$C$7*COS(B1604+C1604)-'1.설계입력'!$C$8*COS('1.설계입력'!$C$15*B1604)</f>
        <v>60.229004199978874</v>
      </c>
      <c r="E1604" s="40">
        <f>-'1.설계입력'!$C$6*SIN(B1604)+'1.설계입력'!$C$7*SIN(B1604+C1604)+'1.설계입력'!$C$8*SIN('1.설계입력'!$C$15*B1604)</f>
        <v>51.554575733536332</v>
      </c>
      <c r="F1604" s="40">
        <f>ATAN2(('1.설계입력'!$C$6+'1.설계입력'!$C$33)/('1.설계입력'!$C$8*'1.설계입력'!$C$15)-COS((1-'1.설계입력'!$C$15)*B1604),SIN((1-'1.설계입력'!$C$15)*B1604))</f>
        <v>0.32432904957791775</v>
      </c>
      <c r="G1604" s="40">
        <f>('1.설계입력'!$C$6+'1.설계입력'!$C$33)*COS(B1604)-('1.설계입력'!$C$7+'1.설계입력'!$C$34)*COS(B1604+F1604)-'1.설계입력'!$C$8*COS('1.설계입력'!$C$15*B1604)</f>
        <v>60.219112457354925</v>
      </c>
      <c r="H1604" s="40">
        <f>-('1.설계입력'!$C$6+'1.설계입력'!$C$33)*SIN(B1604)+('1.설계입력'!$C$7+'1.설계입력'!$C$34)*SIN(B1604+F1604)+'1.설계입력'!$C$8*SIN('1.설계입력'!$C$15*B1604)</f>
        <v>51.549584057168012</v>
      </c>
      <c r="I1604" s="40">
        <f t="shared" si="73"/>
        <v>79.280560202271559</v>
      </c>
      <c r="J1604" s="40">
        <f t="shared" si="74"/>
        <v>79.269799555811858</v>
      </c>
      <c r="K1604" s="38" t="str">
        <f>IF(OR(A1604&gt;180,'1.설계입력'!$C$39&gt;=1),"",'1.설계입력'!$C$34*(1-SIN(B1604)/SQRT(1+'1.설계입력'!$C$39^2-2*'1.설계입력'!$C$39*COS(B1604)))-'1.설계입력'!$C$33*(1-'1.설계입력'!$C$39*COS(B1604)-SQRT(MAX(0,1-'1.설계입력'!$C$39^2))*SIN(B1604))/SQRT(1+'1.설계입력'!$C$39^2-2*'1.설계입력'!$C$39*COS(B1604)))</f>
        <v/>
      </c>
    </row>
    <row r="1605" spans="1:11" x14ac:dyDescent="0.3">
      <c r="A1605" s="40">
        <f>A1604+'1.설계입력'!$C$12</f>
        <v>319.7999999999904</v>
      </c>
      <c r="B1605" s="40">
        <f t="shared" si="72"/>
        <v>5.581562947877698</v>
      </c>
      <c r="C1605" s="40">
        <f>ATAN2('1.설계입력'!$C$6/('1.설계입력'!$C$8*'1.설계입력'!$C$15)-COS((1-'1.설계입력'!$C$15)*B1605),SIN((1-'1.설계입력'!$C$15)*B1605))</f>
        <v>0.37977696022673357</v>
      </c>
      <c r="D1605" s="40">
        <f>'1.설계입력'!$C$6*COS(B1605)-'1.설계입력'!$C$7*COS(B1605+C1605)-'1.설계입력'!$C$8*COS('1.설계입력'!$C$15*B1605)</f>
        <v>60.303882544083336</v>
      </c>
      <c r="E1605" s="40">
        <f>-'1.설계입력'!$C$6*SIN(B1605)+'1.설계입력'!$C$7*SIN(B1605+C1605)+'1.설계입력'!$C$8*SIN('1.설계입력'!$C$15*B1605)</f>
        <v>51.35039188853046</v>
      </c>
      <c r="F1605" s="40">
        <f>ATAN2(('1.설계입력'!$C$6+'1.설계입력'!$C$33)/('1.설계입력'!$C$8*'1.설계입력'!$C$15)-COS((1-'1.설계입력'!$C$15)*B1605),SIN((1-'1.설계입력'!$C$15)*B1605))</f>
        <v>0.37978594659741455</v>
      </c>
      <c r="G1605" s="40">
        <f>('1.설계입력'!$C$6+'1.설계입력'!$C$33)*COS(B1605)-('1.설계입력'!$C$7+'1.설계입력'!$C$34)*COS(B1605+F1605)-'1.설계입력'!$C$8*COS('1.설계입력'!$C$15*B1605)</f>
        <v>60.293819291589287</v>
      </c>
      <c r="H1605" s="40">
        <f>-('1.설계입력'!$C$6+'1.설계입력'!$C$33)*SIN(B1605)+('1.설계입력'!$C$7+'1.설계입력'!$C$34)*SIN(B1605+F1605)+'1.설계입력'!$C$8*SIN('1.설계입력'!$C$15*B1605)</f>
        <v>51.345862964891182</v>
      </c>
      <c r="I1605" s="40">
        <f t="shared" si="73"/>
        <v>79.204930383128641</v>
      </c>
      <c r="J1605" s="40">
        <f t="shared" si="74"/>
        <v>79.194332425851087</v>
      </c>
      <c r="K1605" s="38" t="str">
        <f>IF(OR(A1605&gt;180,'1.설계입력'!$C$39&gt;=1),"",'1.설계입력'!$C$34*(1-SIN(B1605)/SQRT(1+'1.설계입력'!$C$39^2-2*'1.설계입력'!$C$39*COS(B1605)))-'1.설계입력'!$C$33*(1-'1.설계입력'!$C$39*COS(B1605)-SQRT(MAX(0,1-'1.설계입력'!$C$39^2))*SIN(B1605))/SQRT(1+'1.설계입력'!$C$39^2-2*'1.설계입력'!$C$39*COS(B1605)))</f>
        <v/>
      </c>
    </row>
    <row r="1606" spans="1:11" x14ac:dyDescent="0.3">
      <c r="A1606" s="40">
        <f>A1605+'1.설계입력'!$C$12</f>
        <v>319.99999999999039</v>
      </c>
      <c r="B1606" s="40">
        <f t="shared" ref="B1606:B1669" si="75">RADIANS(A1606)</f>
        <v>5.5850536063816865</v>
      </c>
      <c r="C1606" s="40">
        <f>ATAN2('1.설계입력'!$C$6/('1.설계입력'!$C$8*'1.설계입력'!$C$15)-COS((1-'1.설계입력'!$C$15)*B1606),SIN((1-'1.설계입력'!$C$15)*B1606))</f>
        <v>0.43438756483422342</v>
      </c>
      <c r="D1606" s="40">
        <f>'1.설계입력'!$C$6*COS(B1606)-'1.설계입력'!$C$7*COS(B1606+C1606)-'1.설계입력'!$C$8*COS('1.설계입력'!$C$15*B1606)</f>
        <v>60.363500618304307</v>
      </c>
      <c r="E1606" s="40">
        <f>-'1.설계입력'!$C$6*SIN(B1606)+'1.설계입력'!$C$7*SIN(B1606+C1606)+'1.설계입력'!$C$8*SIN('1.설계입력'!$C$15*B1606)</f>
        <v>51.152765631473208</v>
      </c>
      <c r="F1606" s="40">
        <f>ATAN2(('1.설계입력'!$C$6+'1.설계입력'!$C$33)/('1.설계입력'!$C$8*'1.설계입력'!$C$15)-COS((1-'1.설계입력'!$C$15)*B1606),SIN((1-'1.설계입력'!$C$15)*B1606))</f>
        <v>0.43439813190283949</v>
      </c>
      <c r="G1606" s="40">
        <f>('1.설계입력'!$C$6+'1.설계입력'!$C$33)*COS(B1606)-('1.설계입력'!$C$7+'1.설계입력'!$C$34)*COS(B1606+F1606)-'1.설계입력'!$C$8*COS('1.설계입력'!$C$15*B1606)</f>
        <v>60.353294931855395</v>
      </c>
      <c r="H1606" s="40">
        <f>-('1.설계입력'!$C$6+'1.설계입력'!$C$33)*SIN(B1606)+('1.설계입력'!$C$7+'1.설계입력'!$C$34)*SIN(B1606+F1606)+'1.설계입력'!$C$8*SIN('1.설계입력'!$C$15*B1606)</f>
        <v>51.148702233241131</v>
      </c>
      <c r="I1606" s="40">
        <f t="shared" ref="I1606:I1669" si="76">SQRT(D1606^2+E1606^2)</f>
        <v>79.122421845166315</v>
      </c>
      <c r="J1606" s="40">
        <f t="shared" ref="J1606:J1669" si="77">SQRT(G1606^2+H1606^2)</f>
        <v>79.112008881561636</v>
      </c>
      <c r="K1606" s="38" t="str">
        <f>IF(OR(A1606&gt;180,'1.설계입력'!$C$39&gt;=1),"",'1.설계입력'!$C$34*(1-SIN(B1606)/SQRT(1+'1.설계입력'!$C$39^2-2*'1.설계입력'!$C$39*COS(B1606)))-'1.설계입력'!$C$33*(1-'1.설계입력'!$C$39*COS(B1606)-SQRT(MAX(0,1-'1.설계입력'!$C$39^2))*SIN(B1606))/SQRT(1+'1.설계입력'!$C$39^2-2*'1.설계입력'!$C$39*COS(B1606)))</f>
        <v/>
      </c>
    </row>
    <row r="1607" spans="1:11" x14ac:dyDescent="0.3">
      <c r="A1607" s="40">
        <f>A1606+'1.설계입력'!$C$12</f>
        <v>320.19999999999038</v>
      </c>
      <c r="B1607" s="40">
        <f t="shared" si="75"/>
        <v>5.5885442648856749</v>
      </c>
      <c r="C1607" s="40">
        <f>ATAN2('1.설계입력'!$C$6/('1.설계입력'!$C$8*'1.설계입력'!$C$15)-COS((1-'1.설계입력'!$C$15)*B1607),SIN((1-'1.설계입력'!$C$15)*B1607))</f>
        <v>0.48793196152951213</v>
      </c>
      <c r="D1607" s="40">
        <f>'1.설계입력'!$C$6*COS(B1607)-'1.설계입력'!$C$7*COS(B1607+C1607)-'1.설계입력'!$C$8*COS('1.설계입력'!$C$15*B1607)</f>
        <v>60.408823755655504</v>
      </c>
      <c r="E1607" s="40">
        <f>-'1.설계입력'!$C$6*SIN(B1607)+'1.설계입력'!$C$7*SIN(B1607+C1607)+'1.설계입력'!$C$8*SIN('1.설계입력'!$C$15*B1607)</f>
        <v>50.963827389284646</v>
      </c>
      <c r="F1607" s="40">
        <f>ATAN2(('1.설계입력'!$C$6+'1.설계입력'!$C$33)/('1.설계입력'!$C$8*'1.설계입력'!$C$15)-COS((1-'1.설계입력'!$C$15)*B1607),SIN((1-'1.설계입력'!$C$15)*B1607))</f>
        <v>0.48794422591354014</v>
      </c>
      <c r="G1607" s="40">
        <f>('1.설계입력'!$C$6+'1.설계입력'!$C$33)*COS(B1607)-('1.설계입력'!$C$7+'1.설계입력'!$C$34)*COS(B1607+F1607)-'1.설계입력'!$C$8*COS('1.설계입력'!$C$15*B1607)</f>
        <v>60.398504423761352</v>
      </c>
      <c r="H1607" s="40">
        <f>-('1.설계입력'!$C$6+'1.설계입력'!$C$33)*SIN(B1607)+('1.설계입력'!$C$7+'1.설계입력'!$C$34)*SIN(B1607+F1607)+'1.설계입력'!$C$8*SIN('1.설계입력'!$C$15*B1607)</f>
        <v>50.960228714422257</v>
      </c>
      <c r="I1607" s="40">
        <f t="shared" si="76"/>
        <v>79.03504089773503</v>
      </c>
      <c r="J1607" s="40">
        <f t="shared" si="77"/>
        <v>79.024833104874986</v>
      </c>
      <c r="K1607" s="38" t="str">
        <f>IF(OR(A1607&gt;180,'1.설계입력'!$C$39&gt;=1),"",'1.설계입력'!$C$34*(1-SIN(B1607)/SQRT(1+'1.설계입력'!$C$39^2-2*'1.설계입력'!$C$39*COS(B1607)))-'1.설계입력'!$C$33*(1-'1.설계입력'!$C$39*COS(B1607)-SQRT(MAX(0,1-'1.설계입력'!$C$39^2))*SIN(B1607))/SQRT(1+'1.설계입력'!$C$39^2-2*'1.설계입력'!$C$39*COS(B1607)))</f>
        <v/>
      </c>
    </row>
    <row r="1608" spans="1:11" x14ac:dyDescent="0.3">
      <c r="A1608" s="40">
        <f>A1607+'1.설계입력'!$C$12</f>
        <v>320.39999999999037</v>
      </c>
      <c r="B1608" s="40">
        <f t="shared" si="75"/>
        <v>5.5920349233896642</v>
      </c>
      <c r="C1608" s="40">
        <f>ATAN2('1.설계입력'!$C$6/('1.설계입력'!$C$8*'1.설계입력'!$C$15)-COS((1-'1.설계입력'!$C$15)*B1608),SIN((1-'1.설계입력'!$C$15)*B1608))</f>
        <v>0.54013233008803585</v>
      </c>
      <c r="D1608" s="40">
        <f>'1.설계입력'!$C$6*COS(B1608)-'1.설계입력'!$C$7*COS(B1608+C1608)-'1.설계입력'!$C$8*COS('1.설계입력'!$C$15*B1608)</f>
        <v>60.441137681091313</v>
      </c>
      <c r="E1608" s="40">
        <f>-'1.설계입력'!$C$6*SIN(B1608)+'1.설계입력'!$C$7*SIN(B1608+C1608)+'1.설계입력'!$C$8*SIN('1.설계입력'!$C$15*B1608)</f>
        <v>50.785310573314163</v>
      </c>
      <c r="F1608" s="40">
        <f>ATAN2(('1.설계입력'!$C$6+'1.설계입력'!$C$33)/('1.설계입력'!$C$8*'1.설계입력'!$C$15)-COS((1-'1.설계입력'!$C$15)*B1608),SIN((1-'1.설계입력'!$C$15)*B1608))</f>
        <v>0.54014643698459919</v>
      </c>
      <c r="G1608" s="40">
        <f>('1.설계입력'!$C$6+'1.설계입력'!$C$33)*COS(B1608)-('1.설계입력'!$C$7+'1.설계입력'!$C$34)*COS(B1608+F1608)-'1.설계입력'!$C$8*COS('1.설계입력'!$C$15*B1608)</f>
        <v>60.430732774733187</v>
      </c>
      <c r="H1608" s="40">
        <f>-('1.설계입력'!$C$6+'1.설계입력'!$C$33)*SIN(B1608)+('1.설계입력'!$C$7+'1.설계입력'!$C$34)*SIN(B1608+F1608)+'1.설계입력'!$C$8*SIN('1.설계입력'!$C$15*B1608)</f>
        <v>50.782171855439969</v>
      </c>
      <c r="I1608" s="40">
        <f t="shared" si="76"/>
        <v>78.944783831565545</v>
      </c>
      <c r="J1608" s="40">
        <f t="shared" si="77"/>
        <v>78.934798676164689</v>
      </c>
      <c r="K1608" s="38" t="str">
        <f>IF(OR(A1608&gt;180,'1.설계입력'!$C$39&gt;=1),"",'1.설계입력'!$C$34*(1-SIN(B1608)/SQRT(1+'1.설계입력'!$C$39^2-2*'1.설계입력'!$C$39*COS(B1608)))-'1.설계입력'!$C$33*(1-'1.설계입력'!$C$39*COS(B1608)-SQRT(MAX(0,1-'1.설계입력'!$C$39^2))*SIN(B1608))/SQRT(1+'1.설계입력'!$C$39^2-2*'1.설계입력'!$C$39*COS(B1608)))</f>
        <v/>
      </c>
    </row>
    <row r="1609" spans="1:11" x14ac:dyDescent="0.3">
      <c r="A1609" s="40">
        <f>A1608+'1.설계입력'!$C$12</f>
        <v>320.59999999999036</v>
      </c>
      <c r="B1609" s="40">
        <f t="shared" si="75"/>
        <v>5.5955255818936527</v>
      </c>
      <c r="C1609" s="40">
        <f>ATAN2('1.설계입력'!$C$6/('1.설계입력'!$C$8*'1.설계입력'!$C$15)-COS((1-'1.설계입력'!$C$15)*B1609),SIN((1-'1.설계입력'!$C$15)*B1609))</f>
        <v>0.59063192387275032</v>
      </c>
      <c r="D1609" s="40">
        <f>'1.설계입력'!$C$6*COS(B1609)-'1.설계입력'!$C$7*COS(B1609+C1609)-'1.설계입력'!$C$8*COS('1.설계입력'!$C$15*B1609)</f>
        <v>60.461976748614795</v>
      </c>
      <c r="E1609" s="40">
        <f>-'1.설계입력'!$C$6*SIN(B1609)+'1.설계입력'!$C$7*SIN(B1609+C1609)+'1.설계입력'!$C$8*SIN('1.설계입력'!$C$15*B1609)</f>
        <v>50.618412006655348</v>
      </c>
      <c r="F1609" s="40">
        <f>ATAN2(('1.설계입력'!$C$6+'1.설계입력'!$C$33)/('1.설계입력'!$C$8*'1.설계입력'!$C$15)-COS((1-'1.설계입력'!$C$15)*B1609),SIN((1-'1.설계입력'!$C$15)*B1609))</f>
        <v>0.59064805412826848</v>
      </c>
      <c r="G1609" s="40">
        <f>('1.설계입력'!$C$6+'1.설계입력'!$C$33)*COS(B1609)-('1.설계입력'!$C$7+'1.설계입력'!$C$34)*COS(B1609+F1609)-'1.설계입력'!$C$8*COS('1.설계입력'!$C$15*B1609)</f>
        <v>60.451513110277148</v>
      </c>
      <c r="H1609" s="40">
        <f>-('1.설계입력'!$C$6+'1.설계입력'!$C$33)*SIN(B1609)+('1.설계입력'!$C$7+'1.설계입력'!$C$34)*SIN(B1609+F1609)+'1.설계입력'!$C$8*SIN('1.설계입력'!$C$15*B1609)</f>
        <v>50.615723997099039</v>
      </c>
      <c r="I1609" s="40">
        <f t="shared" si="76"/>
        <v>78.853498758302067</v>
      </c>
      <c r="J1609" s="40">
        <f t="shared" si="77"/>
        <v>78.843750247388144</v>
      </c>
      <c r="K1609" s="38" t="str">
        <f>IF(OR(A1609&gt;180,'1.설계입력'!$C$39&gt;=1),"",'1.설계입력'!$C$34*(1-SIN(B1609)/SQRT(1+'1.설계입력'!$C$39^2-2*'1.설계입력'!$C$39*COS(B1609)))-'1.설계입력'!$C$33*(1-'1.설계입력'!$C$39*COS(B1609)-SQRT(MAX(0,1-'1.설계입력'!$C$39^2))*SIN(B1609))/SQRT(1+'1.설계입력'!$C$39^2-2*'1.설계입력'!$C$39*COS(B1609)))</f>
        <v/>
      </c>
    </row>
    <row r="1610" spans="1:11" x14ac:dyDescent="0.3">
      <c r="A1610" s="40">
        <f>A1609+'1.설계입력'!$C$12</f>
        <v>320.79999999999035</v>
      </c>
      <c r="B1610" s="40">
        <f t="shared" si="75"/>
        <v>5.5990162403976411</v>
      </c>
      <c r="C1610" s="40">
        <f>ATAN2('1.설계입력'!$C$6/('1.설계입력'!$C$8*'1.설계입력'!$C$15)-COS((1-'1.설계입력'!$C$15)*B1610),SIN((1-'1.설계입력'!$C$15)*B1610))</f>
        <v>0.63896177927141484</v>
      </c>
      <c r="D1610" s="40">
        <f>'1.설계입력'!$C$6*COS(B1610)-'1.설계입력'!$C$7*COS(B1610+C1610)-'1.설계입력'!$C$8*COS('1.설계입력'!$C$15*B1610)</f>
        <v>60.473026988348479</v>
      </c>
      <c r="E1610" s="40">
        <f>-'1.설계입력'!$C$6*SIN(B1610)+'1.설계입력'!$C$7*SIN(B1610+C1610)+'1.설계입력'!$C$8*SIN('1.설계입력'!$C$15*B1610)</f>
        <v>50.463619125176322</v>
      </c>
      <c r="F1610" s="40">
        <f>ATAN2(('1.설계입력'!$C$6+'1.설계입력'!$C$33)/('1.설계입력'!$C$8*'1.설계입력'!$C$15)-COS((1-'1.설계입력'!$C$15)*B1610),SIN((1-'1.설계입력'!$C$15)*B1610))</f>
        <v>0.63898015890739956</v>
      </c>
      <c r="G1610" s="40">
        <f>('1.설계입력'!$C$6+'1.설계입력'!$C$33)*COS(B1610)-('1.설계입력'!$C$7+'1.설계입력'!$C$34)*COS(B1610+F1610)-'1.설계입력'!$C$8*COS('1.설계입력'!$C$15*B1610)</f>
        <v>60.462529607510625</v>
      </c>
      <c r="H1610" s="40">
        <f>-('1.설계입력'!$C$6+'1.설계입력'!$C$33)*SIN(B1610)+('1.설계입력'!$C$7+'1.설계입력'!$C$34)*SIN(B1610+F1610)+'1.설계입력'!$C$8*SIN('1.설계입력'!$C$15*B1610)</f>
        <v>50.461367372208485</v>
      </c>
      <c r="I1610" s="40">
        <f t="shared" si="76"/>
        <v>78.7627059485921</v>
      </c>
      <c r="J1610" s="40">
        <f t="shared" si="77"/>
        <v>78.753203640309678</v>
      </c>
      <c r="K1610" s="38" t="str">
        <f>IF(OR(A1610&gt;180,'1.설계입력'!$C$39&gt;=1),"",'1.설계입력'!$C$34*(1-SIN(B1610)/SQRT(1+'1.설계입력'!$C$39^2-2*'1.설계입력'!$C$39*COS(B1610)))-'1.설계입력'!$C$33*(1-'1.설계입력'!$C$39*COS(B1610)-SQRT(MAX(0,1-'1.설계입력'!$C$39^2))*SIN(B1610))/SQRT(1+'1.설계입력'!$C$39^2-2*'1.설계입력'!$C$39*COS(B1610)))</f>
        <v/>
      </c>
    </row>
    <row r="1611" spans="1:11" x14ac:dyDescent="0.3">
      <c r="A1611" s="40">
        <f>A1610+'1.설계입력'!$C$12</f>
        <v>320.99999999999034</v>
      </c>
      <c r="B1611" s="40">
        <f t="shared" si="75"/>
        <v>5.6025068989016296</v>
      </c>
      <c r="C1611" s="40">
        <f>ATAN2('1.설계입력'!$C$6/('1.설계입력'!$C$8*'1.설계입력'!$C$15)-COS((1-'1.설계입력'!$C$15)*B1611),SIN((1-'1.설계입력'!$C$15)*B1611))</f>
        <v>0.68449005658691287</v>
      </c>
      <c r="D1611" s="40">
        <f>'1.설계입력'!$C$6*COS(B1611)-'1.설계입력'!$C$7*COS(B1611+C1611)-'1.설계입력'!$C$8*COS('1.설계입력'!$C$15*B1611)</f>
        <v>60.475997896762145</v>
      </c>
      <c r="E1611" s="40">
        <f>-'1.설계입력'!$C$6*SIN(B1611)+'1.설계입력'!$C$7*SIN(B1611+C1611)+'1.설계입력'!$C$8*SIN('1.설계입력'!$C$15*B1611)</f>
        <v>50.320480516742869</v>
      </c>
      <c r="F1611" s="40">
        <f>ATAN2(('1.설계입력'!$C$6+'1.설계입력'!$C$33)/('1.설계입력'!$C$8*'1.설계입력'!$C$15)-COS((1-'1.설계입력'!$C$15)*B1611),SIN((1-'1.설계입력'!$C$15)*B1611))</f>
        <v>0.68451096965798663</v>
      </c>
      <c r="G1611" s="40">
        <f>('1.설계입력'!$C$6+'1.설계입력'!$C$33)*COS(B1611)-('1.설계입력'!$C$7+'1.설계입력'!$C$34)*COS(B1611+F1611)-'1.설계입력'!$C$8*COS('1.설계입력'!$C$15*B1611)</f>
        <v>60.4654891234971</v>
      </c>
      <c r="H1611" s="40">
        <f>-('1.설계입력'!$C$6+'1.설계입력'!$C$33)*SIN(B1611)+('1.설계입력'!$C$7+'1.설계입력'!$C$34)*SIN(B1611+F1611)+'1.설계입력'!$C$8*SIN('1.설계입력'!$C$15*B1611)</f>
        <v>50.318644318875066</v>
      </c>
      <c r="I1611" s="40">
        <f t="shared" si="76"/>
        <v>78.673356869051148</v>
      </c>
      <c r="J1611" s="40">
        <f t="shared" si="77"/>
        <v>78.664104526989973</v>
      </c>
      <c r="K1611" s="38" t="str">
        <f>IF(OR(A1611&gt;180,'1.설계입력'!$C$39&gt;=1),"",'1.설계입력'!$C$34*(1-SIN(B1611)/SQRT(1+'1.설계입력'!$C$39^2-2*'1.설계입력'!$C$39*COS(B1611)))-'1.설계입력'!$C$33*(1-'1.설계입력'!$C$39*COS(B1611)-SQRT(MAX(0,1-'1.설계입력'!$C$39^2))*SIN(B1611))/SQRT(1+'1.설계입력'!$C$39^2-2*'1.설계입력'!$C$39*COS(B1611)))</f>
        <v/>
      </c>
    </row>
    <row r="1612" spans="1:11" x14ac:dyDescent="0.3">
      <c r="A1612" s="40">
        <f>A1611+'1.설계입력'!$C$12</f>
        <v>321.19999999999033</v>
      </c>
      <c r="B1612" s="40">
        <f t="shared" si="75"/>
        <v>5.605997557405618</v>
      </c>
      <c r="C1612" s="40">
        <f>ATAN2('1.설계입력'!$C$6/('1.설계입력'!$C$8*'1.설계입력'!$C$15)-COS((1-'1.설계입력'!$C$15)*B1612),SIN((1-'1.설계입력'!$C$15)*B1612))</f>
        <v>0.72634255391088209</v>
      </c>
      <c r="D1612" s="40">
        <f>'1.설계입력'!$C$6*COS(B1612)-'1.설계입력'!$C$7*COS(B1612+C1612)-'1.설계입력'!$C$8*COS('1.설계입력'!$C$15*B1612)</f>
        <v>60.472454431123765</v>
      </c>
      <c r="E1612" s="40">
        <f>-'1.설계입력'!$C$6*SIN(B1612)+'1.설계입력'!$C$7*SIN(B1612+C1612)+'1.설계입력'!$C$8*SIN('1.설계입력'!$C$15*B1612)</f>
        <v>50.18727679777566</v>
      </c>
      <c r="F1612" s="40">
        <f>ATAN2(('1.설계입력'!$C$6+'1.설계입력'!$C$33)/('1.설계입력'!$C$8*'1.설계입력'!$C$15)-COS((1-'1.설계입력'!$C$15)*B1612),SIN((1-'1.설계입력'!$C$15)*B1612))</f>
        <v>0.72636635978430131</v>
      </c>
      <c r="G1612" s="40">
        <f>('1.설계입력'!$C$6+'1.설계입력'!$C$33)*COS(B1612)-('1.설계입력'!$C$7+'1.설계입력'!$C$34)*COS(B1612+F1612)-'1.설계입력'!$C$8*COS('1.설계입력'!$C$15*B1612)</f>
        <v>60.461952956467577</v>
      </c>
      <c r="H1612" s="40">
        <f>-('1.설계입력'!$C$6+'1.설계입력'!$C$33)*SIN(B1612)+('1.설계입력'!$C$7+'1.설계입력'!$C$34)*SIN(B1612+F1612)+'1.설계입력'!$C$8*SIN('1.설계입력'!$C$15*B1612)</f>
        <v>50.185827620573505</v>
      </c>
      <c r="I1612" s="40">
        <f t="shared" si="76"/>
        <v>78.585498008862245</v>
      </c>
      <c r="J1612" s="40">
        <f t="shared" si="77"/>
        <v>78.576491708856636</v>
      </c>
      <c r="K1612" s="38" t="str">
        <f>IF(OR(A1612&gt;180,'1.설계입력'!$C$39&gt;=1),"",'1.설계입력'!$C$34*(1-SIN(B1612)/SQRT(1+'1.설계입력'!$C$39^2-2*'1.설계입력'!$C$39*COS(B1612)))-'1.설계입력'!$C$33*(1-'1.설계입력'!$C$39*COS(B1612)-SQRT(MAX(0,1-'1.설계입력'!$C$39^2))*SIN(B1612))/SQRT(1+'1.설계입력'!$C$39^2-2*'1.설계입력'!$C$39*COS(B1612)))</f>
        <v/>
      </c>
    </row>
    <row r="1613" spans="1:11" x14ac:dyDescent="0.3">
      <c r="A1613" s="40">
        <f>A1612+'1.설계입력'!$C$12</f>
        <v>321.39999999999031</v>
      </c>
      <c r="B1613" s="40">
        <f t="shared" si="75"/>
        <v>5.6094882159096064</v>
      </c>
      <c r="C1613" s="40">
        <f>ATAN2('1.설계입력'!$C$6/('1.설계입력'!$C$8*'1.설계입력'!$C$15)-COS((1-'1.설계입력'!$C$15)*B1613),SIN((1-'1.설계입력'!$C$15)*B1613))</f>
        <v>0.76327374704880357</v>
      </c>
      <c r="D1613" s="40">
        <f>'1.설계입력'!$C$6*COS(B1613)-'1.설계입력'!$C$7*COS(B1613+C1613)-'1.설계입력'!$C$8*COS('1.설계입력'!$C$15*B1613)</f>
        <v>60.463598808432693</v>
      </c>
      <c r="E1613" s="40">
        <f>-'1.설계입력'!$C$6*SIN(B1613)+'1.설계입력'!$C$7*SIN(B1613+C1613)+'1.설계입력'!$C$8*SIN('1.설계입력'!$C$15*B1613)</f>
        <v>50.060510982058894</v>
      </c>
      <c r="F1613" s="40">
        <f>ATAN2(('1.설계입력'!$C$6+'1.설계입력'!$C$33)/('1.설계입력'!$C$8*'1.설계입력'!$C$15)-COS((1-'1.설계입력'!$C$15)*B1613),SIN((1-'1.설계입력'!$C$15)*B1613))</f>
        <v>0.76330090315497723</v>
      </c>
      <c r="G1613" s="40">
        <f>('1.설계입력'!$C$6+'1.설계입력'!$C$33)*COS(B1613)-('1.설계입력'!$C$7+'1.설계입력'!$C$34)*COS(B1613+F1613)-'1.설계입력'!$C$8*COS('1.설계입력'!$C$15*B1613)</f>
        <v>60.453118308706969</v>
      </c>
      <c r="H1613" s="40">
        <f>-('1.설계입력'!$C$6+'1.설계입력'!$C$33)*SIN(B1613)+('1.설계입력'!$C$7+'1.설계입력'!$C$34)*SIN(B1613+F1613)+'1.설계입력'!$C$8*SIN('1.설계입력'!$C$15*B1613)</f>
        <v>50.059409964149097</v>
      </c>
      <c r="I1613" s="40">
        <f t="shared" si="76"/>
        <v>78.497780482329205</v>
      </c>
      <c r="J1613" s="40">
        <f t="shared" si="77"/>
        <v>78.48900584926065</v>
      </c>
      <c r="K1613" s="38" t="str">
        <f>IF(OR(A1613&gt;180,'1.설계입력'!$C$39&gt;=1),"",'1.설계입력'!$C$34*(1-SIN(B1613)/SQRT(1+'1.설계입력'!$C$39^2-2*'1.설계입력'!$C$39*COS(B1613)))-'1.설계입력'!$C$33*(1-'1.설계입력'!$C$39*COS(B1613)-SQRT(MAX(0,1-'1.설계입력'!$C$39^2))*SIN(B1613))/SQRT(1+'1.설계입력'!$C$39^2-2*'1.설계입력'!$C$39*COS(B1613)))</f>
        <v/>
      </c>
    </row>
    <row r="1614" spans="1:11" x14ac:dyDescent="0.3">
      <c r="A1614" s="40">
        <f>A1613+'1.설계입력'!$C$12</f>
        <v>321.5999999999903</v>
      </c>
      <c r="B1614" s="40">
        <f t="shared" si="75"/>
        <v>5.6129788744135949</v>
      </c>
      <c r="C1614" s="40">
        <f>ATAN2('1.설계입력'!$C$6/('1.설계입력'!$C$8*'1.설계입력'!$C$15)-COS((1-'1.설계입력'!$C$15)*B1614),SIN((1-'1.설계입력'!$C$15)*B1614))</f>
        <v>0.79344975223850578</v>
      </c>
      <c r="D1614" s="40">
        <f>'1.설계입력'!$C$6*COS(B1614)-'1.설계입력'!$C$7*COS(B1614+C1614)-'1.설계입력'!$C$8*COS('1.설계입력'!$C$15*B1614)</f>
        <v>60.449995596145968</v>
      </c>
      <c r="E1614" s="40">
        <f>-'1.설계입력'!$C$6*SIN(B1614)+'1.설계입력'!$C$7*SIN(B1614+C1614)+'1.설계입력'!$C$8*SIN('1.설계입력'!$C$15*B1614)</f>
        <v>49.934061410147983</v>
      </c>
      <c r="F1614" s="40">
        <f>ATAN2(('1.설계입력'!$C$6+'1.설계입력'!$C$33)/('1.설계입력'!$C$8*'1.설계입력'!$C$15)-COS((1-'1.설계입력'!$C$15)*B1614),SIN((1-'1.설계입력'!$C$15)*B1614))</f>
        <v>0.79348084219344284</v>
      </c>
      <c r="G1614" s="40">
        <f>('1.설계입력'!$C$6+'1.설계입력'!$C$33)*COS(B1614)-('1.설계입력'!$C$7+'1.설계입력'!$C$34)*COS(B1614+F1614)-'1.설계입력'!$C$8*COS('1.설계입력'!$C$15*B1614)</f>
        <v>60.439542904341984</v>
      </c>
      <c r="H1614" s="40">
        <f>-('1.설계입력'!$C$6+'1.설계입력'!$C$33)*SIN(B1614)+('1.설계입력'!$C$7+'1.설계입력'!$C$34)*SIN(B1614+F1614)+'1.설계입력'!$C$8*SIN('1.설계입력'!$C$15*B1614)</f>
        <v>49.933255263976172</v>
      </c>
      <c r="I1614" s="40">
        <f t="shared" si="76"/>
        <v>78.406711807641173</v>
      </c>
      <c r="J1614" s="40">
        <f t="shared" si="77"/>
        <v>78.398139823233052</v>
      </c>
      <c r="K1614" s="38" t="str">
        <f>IF(OR(A1614&gt;180,'1.설계입력'!$C$39&gt;=1),"",'1.설계입력'!$C$34*(1-SIN(B1614)/SQRT(1+'1.설계입력'!$C$39^2-2*'1.설계입력'!$C$39*COS(B1614)))-'1.설계입력'!$C$33*(1-'1.설계입력'!$C$39*COS(B1614)-SQRT(MAX(0,1-'1.설계입력'!$C$39^2))*SIN(B1614))/SQRT(1+'1.설계입력'!$C$39^2-2*'1.설계입력'!$C$39*COS(B1614)))</f>
        <v/>
      </c>
    </row>
    <row r="1615" spans="1:11" x14ac:dyDescent="0.3">
      <c r="A1615" s="40">
        <f>A1614+'1.설계입력'!$C$12</f>
        <v>321.79999999999029</v>
      </c>
      <c r="B1615" s="40">
        <f t="shared" si="75"/>
        <v>5.6164695329175833</v>
      </c>
      <c r="C1615" s="40">
        <f>ATAN2('1.설계입력'!$C$6/('1.설계입력'!$C$8*'1.설계입력'!$C$15)-COS((1-'1.설계입력'!$C$15)*B1615),SIN((1-'1.설계입력'!$C$15)*B1615))</f>
        <v>0.81406835660673915</v>
      </c>
      <c r="D1615" s="40">
        <f>'1.설계입력'!$C$6*COS(B1615)-'1.설계입력'!$C$7*COS(B1615+C1615)-'1.설계입력'!$C$8*COS('1.설계입력'!$C$15*B1615)</f>
        <v>60.431263045063439</v>
      </c>
      <c r="E1615" s="40">
        <f>-'1.설계입력'!$C$6*SIN(B1615)+'1.설계입력'!$C$7*SIN(B1615+C1615)+'1.설계입력'!$C$8*SIN('1.설계입력'!$C$15*B1615)</f>
        <v>49.797681866123256</v>
      </c>
      <c r="F1615" s="40">
        <f>ATAN2(('1.설계입력'!$C$6+'1.설계입력'!$C$33)/('1.설계입력'!$C$8*'1.설계입력'!$C$15)-COS((1-'1.설계입력'!$C$15)*B1615),SIN((1-'1.설계입력'!$C$15)*B1615))</f>
        <v>0.81410411842841224</v>
      </c>
      <c r="G1615" s="40">
        <f>('1.설계입력'!$C$6+'1.설계입력'!$C$33)*COS(B1615)-('1.설계입력'!$C$7+'1.설계입력'!$C$34)*COS(B1615+F1615)-'1.설계입력'!$C$8*COS('1.설계입력'!$C$15*B1615)</f>
        <v>60.420835713726404</v>
      </c>
      <c r="H1615" s="40">
        <f>-('1.설계입력'!$C$6+'1.설계입력'!$C$33)*SIN(B1615)+('1.설계입력'!$C$7+'1.설계입력'!$C$34)*SIN(B1615+F1615)+'1.설계입력'!$C$8*SIN('1.설계입력'!$C$15*B1615)</f>
        <v>49.797095824737035</v>
      </c>
      <c r="I1615" s="40">
        <f t="shared" si="76"/>
        <v>78.30547025886041</v>
      </c>
      <c r="J1615" s="40">
        <f t="shared" si="77"/>
        <v>78.297050652774644</v>
      </c>
      <c r="K1615" s="38" t="str">
        <f>IF(OR(A1615&gt;180,'1.설계입력'!$C$39&gt;=1),"",'1.설계입력'!$C$34*(1-SIN(B1615)/SQRT(1+'1.설계입력'!$C$39^2-2*'1.설계입력'!$C$39*COS(B1615)))-'1.설계입력'!$C$33*(1-'1.설계입력'!$C$39*COS(B1615)-SQRT(MAX(0,1-'1.설계입력'!$C$39^2))*SIN(B1615))/SQRT(1+'1.설계입력'!$C$39^2-2*'1.설계입력'!$C$39*COS(B1615)))</f>
        <v/>
      </c>
    </row>
    <row r="1616" spans="1:11" x14ac:dyDescent="0.3">
      <c r="A1616" s="40">
        <f>A1615+'1.설계입력'!$C$12</f>
        <v>321.99999999999028</v>
      </c>
      <c r="B1616" s="40">
        <f t="shared" si="75"/>
        <v>5.6199601914215718</v>
      </c>
      <c r="C1616" s="40">
        <f>ATAN2('1.설계입력'!$C$6/('1.설계입력'!$C$8*'1.설계입력'!$C$15)-COS((1-'1.설계입력'!$C$15)*B1616),SIN((1-'1.설계입력'!$C$15)*B1616))</f>
        <v>0.82066661728334689</v>
      </c>
      <c r="D1616" s="40">
        <f>'1.설계입력'!$C$6*COS(B1616)-'1.설계입력'!$C$7*COS(B1616+C1616)-'1.설계입력'!$C$8*COS('1.설계입력'!$C$15*B1616)</f>
        <v>60.405882860577734</v>
      </c>
      <c r="E1616" s="40">
        <f>-'1.설계입력'!$C$6*SIN(B1616)+'1.설계입력'!$C$7*SIN(B1616+C1616)+'1.설계입력'!$C$8*SIN('1.설계입력'!$C$15*B1616)</f>
        <v>49.634196820914134</v>
      </c>
      <c r="F1616" s="40">
        <f>ATAN2(('1.설계입력'!$C$6+'1.설계입력'!$C$33)/('1.설계입력'!$C$8*'1.설계입력'!$C$15)-COS((1-'1.설계입력'!$C$15)*B1616),SIN((1-'1.설계입력'!$C$15)*B1616))</f>
        <v>0.8207079471685238</v>
      </c>
      <c r="G1616" s="40">
        <f>('1.설계입력'!$C$6+'1.설계입력'!$C$33)*COS(B1616)-('1.설계입력'!$C$7+'1.설계입력'!$C$34)*COS(B1616+F1616)-'1.설계입력'!$C$8*COS('1.설계입력'!$C$15*B1616)</f>
        <v>60.395466187367589</v>
      </c>
      <c r="H1616" s="40">
        <f>-('1.설계입력'!$C$6+'1.설계입력'!$C$33)*SIN(B1616)+('1.설계입력'!$C$7+'1.설계입력'!$C$34)*SIN(B1616+F1616)+'1.설계입력'!$C$8*SIN('1.설계입력'!$C$15*B1616)</f>
        <v>49.633721889383224</v>
      </c>
      <c r="I1616" s="40">
        <f t="shared" si="76"/>
        <v>78.181993951440518</v>
      </c>
      <c r="J1616" s="40">
        <f t="shared" si="77"/>
        <v>78.173644437125361</v>
      </c>
      <c r="K1616" s="38" t="str">
        <f>IF(OR(A1616&gt;180,'1.설계입력'!$C$39&gt;=1),"",'1.설계입력'!$C$34*(1-SIN(B1616)/SQRT(1+'1.설계입력'!$C$39^2-2*'1.설계입력'!$C$39*COS(B1616)))-'1.설계입력'!$C$33*(1-'1.설계입력'!$C$39*COS(B1616)-SQRT(MAX(0,1-'1.설계입력'!$C$39^2))*SIN(B1616))/SQRT(1+'1.설계입력'!$C$39^2-2*'1.설계입력'!$C$39*COS(B1616)))</f>
        <v/>
      </c>
    </row>
    <row r="1617" spans="1:11" x14ac:dyDescent="0.3">
      <c r="A1617" s="40">
        <f>A1616+'1.설계입력'!$C$12</f>
        <v>322.19999999999027</v>
      </c>
      <c r="B1617" s="40">
        <f t="shared" si="75"/>
        <v>5.6234508499255602</v>
      </c>
      <c r="C1617" s="40">
        <f>ATAN2('1.설계입력'!$C$6/('1.설계입력'!$C$8*'1.설계입력'!$C$15)-COS((1-'1.설계입력'!$C$15)*B1617),SIN((1-'1.설계입력'!$C$15)*B1617))</f>
        <v>0.80581641004357973</v>
      </c>
      <c r="D1617" s="40">
        <f>'1.설계입력'!$C$6*COS(B1617)-'1.설계입력'!$C$7*COS(B1617+C1617)-'1.설계입력'!$C$8*COS('1.설계입력'!$C$15*B1617)</f>
        <v>60.371789552257553</v>
      </c>
      <c r="E1617" s="40">
        <f>-'1.설계입력'!$C$6*SIN(B1617)+'1.설계입력'!$C$7*SIN(B1617+C1617)+'1.설계입력'!$C$8*SIN('1.설계입력'!$C$15*B1617)</f>
        <v>49.41404539952439</v>
      </c>
      <c r="F1617" s="40">
        <f>ATAN2(('1.설계입력'!$C$6+'1.설계입력'!$C$33)/('1.설계입력'!$C$8*'1.설계입력'!$C$15)-COS((1-'1.설계입력'!$C$15)*B1617),SIN((1-'1.설계입력'!$C$15)*B1617))</f>
        <v>0.80586424852934557</v>
      </c>
      <c r="G1617" s="40">
        <f>('1.설계입력'!$C$6+'1.설계입력'!$C$33)*COS(B1617)-('1.설계입력'!$C$7+'1.설계입력'!$C$34)*COS(B1617+F1617)-'1.설계입력'!$C$8*COS('1.설계입력'!$C$15*B1617)</f>
        <v>60.361354259863035</v>
      </c>
      <c r="H1617" s="40">
        <f>-('1.설계입력'!$C$6+'1.설계입력'!$C$33)*SIN(B1617)+('1.설계입력'!$C$7+'1.설계입력'!$C$34)*SIN(B1617+F1617)+'1.설계입력'!$C$8*SIN('1.설계입력'!$C$15*B1617)</f>
        <v>49.413514146028973</v>
      </c>
      <c r="I1617" s="40">
        <f t="shared" si="76"/>
        <v>78.016029484256194</v>
      </c>
      <c r="J1617" s="40">
        <f t="shared" si="77"/>
        <v>78.007618014809879</v>
      </c>
      <c r="K1617" s="38" t="str">
        <f>IF(OR(A1617&gt;180,'1.설계입력'!$C$39&gt;=1),"",'1.설계입력'!$C$34*(1-SIN(B1617)/SQRT(1+'1.설계입력'!$C$39^2-2*'1.설계입력'!$C$39*COS(B1617)))-'1.설계입력'!$C$33*(1-'1.설계입력'!$C$39*COS(B1617)-SQRT(MAX(0,1-'1.설계입력'!$C$39^2))*SIN(B1617))/SQRT(1+'1.설계입력'!$C$39^2-2*'1.설계입력'!$C$39*COS(B1617)))</f>
        <v/>
      </c>
    </row>
    <row r="1618" spans="1:11" x14ac:dyDescent="0.3">
      <c r="A1618" s="40">
        <f>A1617+'1.설계입력'!$C$12</f>
        <v>322.39999999999026</v>
      </c>
      <c r="B1618" s="40">
        <f t="shared" si="75"/>
        <v>5.6269415084295487</v>
      </c>
      <c r="C1618" s="40">
        <f>ATAN2('1.설계입력'!$C$6/('1.설계입력'!$C$8*'1.설계입력'!$C$15)-COS((1-'1.설계입력'!$C$15)*B1618),SIN((1-'1.설계입력'!$C$15)*B1618))</f>
        <v>0.75665988681143914</v>
      </c>
      <c r="D1618" s="40">
        <f>'1.설계입력'!$C$6*COS(B1618)-'1.설계입력'!$C$7*COS(B1618+C1618)-'1.설계입력'!$C$8*COS('1.설계입력'!$C$15*B1618)</f>
        <v>60.330343876325657</v>
      </c>
      <c r="E1618" s="40">
        <f>-'1.설계입력'!$C$6*SIN(B1618)+'1.설계입력'!$C$7*SIN(B1618+C1618)+'1.설계입력'!$C$8*SIN('1.설계입력'!$C$15*B1618)</f>
        <v>49.084702039849994</v>
      </c>
      <c r="F1618" s="40">
        <f>ATAN2(('1.설계입력'!$C$6+'1.설계입력'!$C$33)/('1.설계입력'!$C$8*'1.설계입력'!$C$15)-COS((1-'1.설계입력'!$C$15)*B1618),SIN((1-'1.설계입력'!$C$15)*B1618))</f>
        <v>0.75671465250098935</v>
      </c>
      <c r="G1618" s="40">
        <f>('1.설계입력'!$C$6+'1.설계입력'!$C$33)*COS(B1618)-('1.설계입력'!$C$7+'1.설계입력'!$C$34)*COS(B1618+F1618)-'1.설계입력'!$C$8*COS('1.설계입력'!$C$15*B1618)</f>
        <v>60.319850592786175</v>
      </c>
      <c r="H1618" s="40">
        <f>-('1.설계입력'!$C$6+'1.설계입력'!$C$33)*SIN(B1618)+('1.설계입력'!$C$7+'1.설계입력'!$C$34)*SIN(B1618+F1618)+'1.설계입력'!$C$8*SIN('1.설계입력'!$C$15*B1618)</f>
        <v>49.083840993925442</v>
      </c>
      <c r="I1618" s="40">
        <f t="shared" si="76"/>
        <v>77.775692646073935</v>
      </c>
      <c r="J1618" s="40">
        <f t="shared" si="77"/>
        <v>77.767009857991852</v>
      </c>
      <c r="K1618" s="38" t="str">
        <f>IF(OR(A1618&gt;180,'1.설계입력'!$C$39&gt;=1),"",'1.설계입력'!$C$34*(1-SIN(B1618)/SQRT(1+'1.설계입력'!$C$39^2-2*'1.설계입력'!$C$39*COS(B1618)))-'1.설계입력'!$C$33*(1-'1.설계입력'!$C$39*COS(B1618)-SQRT(MAX(0,1-'1.설계입력'!$C$39^2))*SIN(B1618))/SQRT(1+'1.설계입력'!$C$39^2-2*'1.설계입력'!$C$39*COS(B1618)))</f>
        <v/>
      </c>
    </row>
    <row r="1619" spans="1:11" x14ac:dyDescent="0.3">
      <c r="A1619" s="40">
        <f>A1618+'1.설계입력'!$C$12</f>
        <v>322.59999999999025</v>
      </c>
      <c r="B1619" s="40">
        <f t="shared" si="75"/>
        <v>5.6304321669335371</v>
      </c>
      <c r="C1619" s="40">
        <f>ATAN2('1.설계입력'!$C$6/('1.설계입력'!$C$8*'1.설계입력'!$C$15)-COS((1-'1.설계입력'!$C$15)*B1619),SIN((1-'1.설계입력'!$C$15)*B1619))</f>
        <v>0.65077265335382184</v>
      </c>
      <c r="D1619" s="40">
        <f>'1.설계입력'!$C$6*COS(B1619)-'1.설계입력'!$C$7*COS(B1619+C1619)-'1.설계입력'!$C$8*COS('1.설계입력'!$C$15*B1619)</f>
        <v>60.30321737335224</v>
      </c>
      <c r="E1619" s="40">
        <f>-'1.설계입력'!$C$6*SIN(B1619)+'1.설계입력'!$C$7*SIN(B1619+C1619)+'1.설계입력'!$C$8*SIN('1.설계입력'!$C$15*B1619)</f>
        <v>48.553340556092166</v>
      </c>
      <c r="F1619" s="40">
        <f>ATAN2(('1.설계입력'!$C$6+'1.설계입력'!$C$33)/('1.설계입력'!$C$8*'1.설계입력'!$C$15)-COS((1-'1.설계입력'!$C$15)*B1619),SIN((1-'1.설계입력'!$C$15)*B1619))</f>
        <v>0.65083210576908557</v>
      </c>
      <c r="G1619" s="40">
        <f>('1.설계입력'!$C$6+'1.설계입력'!$C$33)*COS(B1619)-('1.설계입력'!$C$7+'1.설계입력'!$C$34)*COS(B1619+F1619)-'1.설계입력'!$C$8*COS('1.설계입력'!$C$15*B1619)</f>
        <v>60.292654239065136</v>
      </c>
      <c r="H1619" s="40">
        <f>-('1.설계입력'!$C$6+'1.설계입력'!$C$33)*SIN(B1619)+('1.설계입력'!$C$7+'1.설계입력'!$C$34)*SIN(B1619+F1619)+'1.설계입력'!$C$8*SIN('1.설계입력'!$C$15*B1619)</f>
        <v>48.551679939827856</v>
      </c>
      <c r="I1619" s="40">
        <f t="shared" si="76"/>
        <v>77.420313256493841</v>
      </c>
      <c r="J1619" s="40">
        <f t="shared" si="77"/>
        <v>77.411044303580752</v>
      </c>
      <c r="K1619" s="38" t="str">
        <f>IF(OR(A1619&gt;180,'1.설계입력'!$C$39&gt;=1),"",'1.설계입력'!$C$34*(1-SIN(B1619)/SQRT(1+'1.설계입력'!$C$39^2-2*'1.설계입력'!$C$39*COS(B1619)))-'1.설계입력'!$C$33*(1-'1.설계입력'!$C$39*COS(B1619)-SQRT(MAX(0,1-'1.설계입력'!$C$39^2))*SIN(B1619))/SQRT(1+'1.설계입력'!$C$39^2-2*'1.설계입력'!$C$39*COS(B1619)))</f>
        <v/>
      </c>
    </row>
    <row r="1620" spans="1:11" x14ac:dyDescent="0.3">
      <c r="A1620" s="40">
        <f>A1619+'1.설계입력'!$C$12</f>
        <v>322.79999999999023</v>
      </c>
      <c r="B1620" s="40">
        <f t="shared" si="75"/>
        <v>5.6339228254375255</v>
      </c>
      <c r="C1620" s="40">
        <f>ATAN2('1.설계입력'!$C$6/('1.설계입력'!$C$8*'1.설계입력'!$C$15)-COS((1-'1.설계입력'!$C$15)*B1620),SIN((1-'1.설계입력'!$C$15)*B1620))</f>
        <v>0.45359002222774025</v>
      </c>
      <c r="D1620" s="40">
        <f>'1.설계입력'!$C$6*COS(B1620)-'1.설계입력'!$C$7*COS(B1620+C1620)-'1.설계입력'!$C$8*COS('1.설계입력'!$C$15*B1620)</f>
        <v>60.38808877807034</v>
      </c>
      <c r="E1620" s="40">
        <f>-'1.설계입력'!$C$6*SIN(B1620)+'1.설계입력'!$C$7*SIN(B1620+C1620)+'1.설계입력'!$C$8*SIN('1.설계입력'!$C$15*B1620)</f>
        <v>47.684705356737716</v>
      </c>
      <c r="F1620" s="40">
        <f>ATAN2(('1.설계입력'!$C$6+'1.설계입력'!$C$33)/('1.설계입력'!$C$8*'1.설계입력'!$C$15)-COS((1-'1.설계입력'!$C$15)*B1620),SIN((1-'1.설계입력'!$C$15)*B1620))</f>
        <v>0.45364297233680867</v>
      </c>
      <c r="G1620" s="40">
        <f>('1.설계입력'!$C$6+'1.설계입력'!$C$33)*COS(B1620)-('1.설계입력'!$C$7+'1.설계입력'!$C$34)*COS(B1620+F1620)-'1.설계입력'!$C$8*COS('1.설계입력'!$C$15*B1620)</f>
        <v>60.377632848996697</v>
      </c>
      <c r="H1620" s="40">
        <f>-('1.설계입력'!$C$6+'1.설계입력'!$C$33)*SIN(B1620)+('1.설계입력'!$C$7+'1.설계입력'!$C$34)*SIN(B1620+F1620)+'1.설계입력'!$C$8*SIN('1.설계입력'!$C$15*B1620)</f>
        <v>47.681464427696994</v>
      </c>
      <c r="I1620" s="40">
        <f t="shared" si="76"/>
        <v>76.945125844506848</v>
      </c>
      <c r="J1620" s="40">
        <f t="shared" si="77"/>
        <v>76.934911440892549</v>
      </c>
      <c r="K1620" s="38" t="str">
        <f>IF(OR(A1620&gt;180,'1.설계입력'!$C$39&gt;=1),"",'1.설계입력'!$C$34*(1-SIN(B1620)/SQRT(1+'1.설계입력'!$C$39^2-2*'1.설계입력'!$C$39*COS(B1620)))-'1.설계입력'!$C$33*(1-'1.설계입력'!$C$39*COS(B1620)-SQRT(MAX(0,1-'1.설계입력'!$C$39^2))*SIN(B1620))/SQRT(1+'1.설계입력'!$C$39^2-2*'1.설계입력'!$C$39*COS(B1620)))</f>
        <v/>
      </c>
    </row>
    <row r="1621" spans="1:11" x14ac:dyDescent="0.3">
      <c r="A1621" s="40">
        <f>A1620+'1.설계입력'!$C$12</f>
        <v>322.99999999999022</v>
      </c>
      <c r="B1621" s="40">
        <f t="shared" si="75"/>
        <v>5.637413483941514</v>
      </c>
      <c r="C1621" s="40">
        <f>ATAN2('1.설계입력'!$C$6/('1.설계입력'!$C$8*'1.설계입력'!$C$15)-COS((1-'1.설계입력'!$C$15)*B1621),SIN((1-'1.설계입력'!$C$15)*B1621))</f>
        <v>0.14125586135439147</v>
      </c>
      <c r="D1621" s="40">
        <f>'1.설계입력'!$C$6*COS(B1621)-'1.설계입력'!$C$7*COS(B1621+C1621)-'1.설계입력'!$C$8*COS('1.설계입력'!$C$15*B1621)</f>
        <v>60.837410946655496</v>
      </c>
      <c r="E1621" s="40">
        <f>-'1.설계입력'!$C$6*SIN(B1621)+'1.설계입력'!$C$7*SIN(B1621+C1621)+'1.설계입력'!$C$8*SIN('1.설계입력'!$C$15*B1621)</f>
        <v>46.451115420500976</v>
      </c>
      <c r="F1621" s="40">
        <f>ATAN2(('1.설계입력'!$C$6+'1.설계입력'!$C$33)/('1.설계입력'!$C$8*'1.설계입력'!$C$15)-COS((1-'1.설계입력'!$C$15)*B1621),SIN((1-'1.설계입력'!$C$15)*B1621))</f>
        <v>0.14127543143214497</v>
      </c>
      <c r="G1621" s="40">
        <f>('1.설계입력'!$C$6+'1.설계입력'!$C$33)*COS(B1621)-('1.설계입력'!$C$7+'1.설계입력'!$C$34)*COS(B1621+F1621)-'1.설계입력'!$C$8*COS('1.설계입력'!$C$15*B1621)</f>
        <v>60.827806451909467</v>
      </c>
      <c r="H1621" s="40">
        <f>-('1.설계입력'!$C$6+'1.설계입력'!$C$33)*SIN(B1621)+('1.설계입력'!$C$7+'1.설계입력'!$C$34)*SIN(B1621+F1621)+'1.설계입력'!$C$8*SIN('1.설계입력'!$C$15*B1621)</f>
        <v>46.445403051818239</v>
      </c>
      <c r="I1621" s="40">
        <f t="shared" si="76"/>
        <v>76.543430119775408</v>
      </c>
      <c r="J1621" s="40">
        <f t="shared" si="77"/>
        <v>76.532329785501801</v>
      </c>
      <c r="K1621" s="38" t="str">
        <f>IF(OR(A1621&gt;180,'1.설계입력'!$C$39&gt;=1),"",'1.설계입력'!$C$34*(1-SIN(B1621)/SQRT(1+'1.설계입력'!$C$39^2-2*'1.설계입력'!$C$39*COS(B1621)))-'1.설계입력'!$C$33*(1-'1.설계입력'!$C$39*COS(B1621)-SQRT(MAX(0,1-'1.설계입력'!$C$39^2))*SIN(B1621))/SQRT(1+'1.설계입력'!$C$39^2-2*'1.설계입력'!$C$39*COS(B1621)))</f>
        <v/>
      </c>
    </row>
    <row r="1622" spans="1:11" x14ac:dyDescent="0.3">
      <c r="A1622" s="40">
        <f>A1621+'1.설계입력'!$C$12</f>
        <v>323.19999999999021</v>
      </c>
      <c r="B1622" s="40">
        <f t="shared" si="75"/>
        <v>5.6409041424455024</v>
      </c>
      <c r="C1622" s="40">
        <f>ATAN2('1.설계입력'!$C$6/('1.설계입력'!$C$8*'1.설계입력'!$C$15)-COS((1-'1.설계입력'!$C$15)*B1622),SIN((1-'1.설계입력'!$C$15)*B1622))</f>
        <v>-0.22231376164409969</v>
      </c>
      <c r="D1622" s="40">
        <f>'1.설계입력'!$C$6*COS(B1622)-'1.설계입력'!$C$7*COS(B1622+C1622)-'1.설계입력'!$C$8*COS('1.설계입력'!$C$15*B1622)</f>
        <v>61.792106825249753</v>
      </c>
      <c r="E1622" s="40">
        <f>-'1.설계입력'!$C$6*SIN(B1622)+'1.설계입력'!$C$7*SIN(B1622+C1622)+'1.설계입력'!$C$8*SIN('1.설계입력'!$C$15*B1622)</f>
        <v>45.281726365148302</v>
      </c>
      <c r="F1622" s="40">
        <f>ATAN2(('1.설계입력'!$C$6+'1.설계입력'!$C$33)/('1.설계입력'!$C$8*'1.설계입력'!$C$15)-COS((1-'1.설계입력'!$C$15)*B1622),SIN((1-'1.설계입력'!$C$15)*B1622))</f>
        <v>-0.22234378254612283</v>
      </c>
      <c r="G1622" s="40">
        <f>('1.설계입력'!$C$6+'1.설계입력'!$C$33)*COS(B1622)-('1.설계입력'!$C$7+'1.설계입력'!$C$34)*COS(B1622+F1622)-'1.설계입력'!$C$8*COS('1.설계입력'!$C$15*B1622)</f>
        <v>61.78445962595643</v>
      </c>
      <c r="H1622" s="40">
        <f>-('1.설계입력'!$C$6+'1.설계입력'!$C$33)*SIN(B1622)+('1.설계입력'!$C$7+'1.설계입력'!$C$34)*SIN(B1622+F1622)+'1.설계입력'!$C$8*SIN('1.설계입력'!$C$15*B1622)</f>
        <v>45.27362856462301</v>
      </c>
      <c r="I1622" s="40">
        <f t="shared" si="76"/>
        <v>76.607435725987088</v>
      </c>
      <c r="J1622" s="40">
        <f t="shared" si="77"/>
        <v>76.596480954929575</v>
      </c>
      <c r="K1622" s="38" t="str">
        <f>IF(OR(A1622&gt;180,'1.설계입력'!$C$39&gt;=1),"",'1.설계입력'!$C$34*(1-SIN(B1622)/SQRT(1+'1.설계입력'!$C$39^2-2*'1.설계입력'!$C$39*COS(B1622)))-'1.설계입력'!$C$33*(1-'1.설계입력'!$C$39*COS(B1622)-SQRT(MAX(0,1-'1.설계입력'!$C$39^2))*SIN(B1622))/SQRT(1+'1.설계입력'!$C$39^2-2*'1.설계입력'!$C$39*COS(B1622)))</f>
        <v/>
      </c>
    </row>
    <row r="1623" spans="1:11" x14ac:dyDescent="0.3">
      <c r="A1623" s="40">
        <f>A1622+'1.설계입력'!$C$12</f>
        <v>323.3999999999902</v>
      </c>
      <c r="B1623" s="40">
        <f t="shared" si="75"/>
        <v>5.6443948009494909</v>
      </c>
      <c r="C1623" s="40">
        <f>ATAN2('1.설계입력'!$C$6/('1.설계입력'!$C$8*'1.설계입력'!$C$15)-COS((1-'1.설계입력'!$C$15)*B1623),SIN((1-'1.설계입력'!$C$15)*B1623))</f>
        <v>-0.50916897796569149</v>
      </c>
      <c r="D1623" s="40">
        <f>'1.설계입력'!$C$6*COS(B1623)-'1.설계입력'!$C$7*COS(B1623+C1623)-'1.설계입력'!$C$8*COS('1.설계입력'!$C$15*B1623)</f>
        <v>62.819318385495173</v>
      </c>
      <c r="E1623" s="40">
        <f>-'1.설계입력'!$C$6*SIN(B1623)+'1.설계입력'!$C$7*SIN(B1623+C1623)+'1.설계입력'!$C$8*SIN('1.설계입력'!$C$15*B1623)</f>
        <v>44.63262072048515</v>
      </c>
      <c r="F1623" s="40">
        <f>ATAN2(('1.설계입력'!$C$6+'1.설계입력'!$C$33)/('1.설계입력'!$C$8*'1.설계입력'!$C$15)-COS((1-'1.설계입력'!$C$15)*B1623),SIN((1-'1.설계입력'!$C$15)*B1623))</f>
        <v>-0.50922526078383701</v>
      </c>
      <c r="G1623" s="40">
        <f>('1.설계입력'!$C$6+'1.설계입력'!$C$33)*COS(B1623)-('1.설계입력'!$C$7+'1.설계입력'!$C$34)*COS(B1623+F1623)-'1.설계입력'!$C$8*COS('1.설계입력'!$C$15*B1623)</f>
        <v>62.813711545596782</v>
      </c>
      <c r="H1623" s="40">
        <f>-('1.설계입력'!$C$6+'1.설계입력'!$C$33)*SIN(B1623)+('1.설계입력'!$C$7+'1.설계입력'!$C$34)*SIN(B1623+F1623)+'1.설계입력'!$C$8*SIN('1.설계입력'!$C$15*B1623)</f>
        <v>44.623293238697201</v>
      </c>
      <c r="I1623" s="40">
        <f t="shared" si="76"/>
        <v>77.060609878178965</v>
      </c>
      <c r="J1623" s="40">
        <f t="shared" si="77"/>
        <v>77.05063697076227</v>
      </c>
      <c r="K1623" s="38" t="str">
        <f>IF(OR(A1623&gt;180,'1.설계입력'!$C$39&gt;=1),"",'1.설계입력'!$C$34*(1-SIN(B1623)/SQRT(1+'1.설계입력'!$C$39^2-2*'1.설계입력'!$C$39*COS(B1623)))-'1.설계입력'!$C$33*(1-'1.설계입력'!$C$39*COS(B1623)-SQRT(MAX(0,1-'1.설계입력'!$C$39^2))*SIN(B1623))/SQRT(1+'1.설계입력'!$C$39^2-2*'1.설계입력'!$C$39*COS(B1623)))</f>
        <v/>
      </c>
    </row>
    <row r="1624" spans="1:11" x14ac:dyDescent="0.3">
      <c r="A1624" s="40">
        <f>A1623+'1.설계입력'!$C$12</f>
        <v>323.59999999999019</v>
      </c>
      <c r="B1624" s="40">
        <f t="shared" si="75"/>
        <v>5.6478854594534793</v>
      </c>
      <c r="C1624" s="40">
        <f>ATAN2('1.설계입력'!$C$6/('1.설계입력'!$C$8*'1.설계입력'!$C$15)-COS((1-'1.설계입력'!$C$15)*B1624),SIN((1-'1.설계입력'!$C$15)*B1624))</f>
        <v>-0.68189134704986265</v>
      </c>
      <c r="D1624" s="40">
        <f>'1.설계입력'!$C$6*COS(B1624)-'1.설계입력'!$C$7*COS(B1624+C1624)-'1.설계입력'!$C$8*COS('1.설계입력'!$C$15*B1624)</f>
        <v>63.555817234739926</v>
      </c>
      <c r="E1624" s="40">
        <f>-'1.설계입력'!$C$6*SIN(B1624)+'1.설계입력'!$C$7*SIN(B1624+C1624)+'1.설계입력'!$C$8*SIN('1.설계입력'!$C$15*B1624)</f>
        <v>44.374835854786539</v>
      </c>
      <c r="F1624" s="40">
        <f>ATAN2(('1.설계입력'!$C$6+'1.설계입력'!$C$33)/('1.설계입력'!$C$8*'1.설계입력'!$C$15)-COS((1-'1.설계입력'!$C$15)*B1624),SIN((1-'1.설계입력'!$C$15)*B1624))</f>
        <v>-0.68195023038522962</v>
      </c>
      <c r="G1624" s="40">
        <f>('1.설계입력'!$C$6+'1.설계입력'!$C$33)*COS(B1624)-('1.설계입력'!$C$7+'1.설계입력'!$C$34)*COS(B1624+F1624)-'1.설계입력'!$C$8*COS('1.설계입력'!$C$15*B1624)</f>
        <v>63.551518274281271</v>
      </c>
      <c r="H1624" s="40">
        <f>-('1.설계입력'!$C$6+'1.설계입력'!$C$33)*SIN(B1624)+('1.설계입력'!$C$7+'1.설계입력'!$C$34)*SIN(B1624+F1624)+'1.설계입력'!$C$8*SIN('1.설계입력'!$C$15*B1624)</f>
        <v>44.365096134020057</v>
      </c>
      <c r="I1624" s="40">
        <f t="shared" si="76"/>
        <v>77.514308108341609</v>
      </c>
      <c r="J1624" s="40">
        <f t="shared" si="77"/>
        <v>77.505207760170208</v>
      </c>
      <c r="K1624" s="38" t="str">
        <f>IF(OR(A1624&gt;180,'1.설계입력'!$C$39&gt;=1),"",'1.설계입력'!$C$34*(1-SIN(B1624)/SQRT(1+'1.설계입력'!$C$39^2-2*'1.설계입력'!$C$39*COS(B1624)))-'1.설계입력'!$C$33*(1-'1.설계입력'!$C$39*COS(B1624)-SQRT(MAX(0,1-'1.설계입력'!$C$39^2))*SIN(B1624))/SQRT(1+'1.설계입력'!$C$39^2-2*'1.설계입력'!$C$39*COS(B1624)))</f>
        <v/>
      </c>
    </row>
    <row r="1625" spans="1:11" x14ac:dyDescent="0.3">
      <c r="A1625" s="40">
        <f>A1624+'1.설계입력'!$C$12</f>
        <v>323.79999999999018</v>
      </c>
      <c r="B1625" s="40">
        <f t="shared" si="75"/>
        <v>5.6513761179574677</v>
      </c>
      <c r="C1625" s="40">
        <f>ATAN2('1.설계입력'!$C$6/('1.설계입력'!$C$8*'1.설계입력'!$C$15)-COS((1-'1.설계입력'!$C$15)*B1625),SIN((1-'1.설계입력'!$C$15)*B1625))</f>
        <v>-0.77202359528253417</v>
      </c>
      <c r="D1625" s="40">
        <f>'1.설계입력'!$C$6*COS(B1625)-'1.설계입력'!$C$7*COS(B1625+C1625)-'1.설계입력'!$C$8*COS('1.설계입력'!$C$15*B1625)</f>
        <v>64.020587943611403</v>
      </c>
      <c r="E1625" s="40">
        <f>-'1.설계입력'!$C$6*SIN(B1625)+'1.설계입력'!$C$7*SIN(B1625+C1625)+'1.설계입력'!$C$8*SIN('1.설계입력'!$C$15*B1625)</f>
        <v>44.276529343039464</v>
      </c>
      <c r="F1625" s="40">
        <f>ATAN2(('1.설계입력'!$C$6+'1.설계입력'!$C$33)/('1.설계입력'!$C$8*'1.설계입력'!$C$15)-COS((1-'1.설계입력'!$C$15)*B1625),SIN((1-'1.설계입력'!$C$15)*B1625))</f>
        <v>-0.77207680389480127</v>
      </c>
      <c r="G1625" s="40">
        <f>('1.설계입력'!$C$6+'1.설계입력'!$C$33)*COS(B1625)-('1.설계입력'!$C$7+'1.설계입력'!$C$34)*COS(B1625+F1625)-'1.설계입력'!$C$8*COS('1.설계입력'!$C$15*B1625)</f>
        <v>64.016950537356053</v>
      </c>
      <c r="H1625" s="40">
        <f>-('1.설계입력'!$C$6+'1.설계입력'!$C$33)*SIN(B1625)+('1.설계입력'!$C$7+'1.설계입력'!$C$34)*SIN(B1625+F1625)+'1.설계입력'!$C$8*SIN('1.설계입력'!$C$15*B1625)</f>
        <v>44.266675667824295</v>
      </c>
      <c r="I1625" s="40">
        <f t="shared" si="76"/>
        <v>77.839878798150224</v>
      </c>
      <c r="J1625" s="40">
        <f t="shared" si="77"/>
        <v>77.831282469085906</v>
      </c>
      <c r="K1625" s="38" t="str">
        <f>IF(OR(A1625&gt;180,'1.설계입력'!$C$39&gt;=1),"",'1.설계입력'!$C$34*(1-SIN(B1625)/SQRT(1+'1.설계입력'!$C$39^2-2*'1.설계입력'!$C$39*COS(B1625)))-'1.설계입력'!$C$33*(1-'1.설계입력'!$C$39*COS(B1625)-SQRT(MAX(0,1-'1.설계입력'!$C$39^2))*SIN(B1625))/SQRT(1+'1.설계입력'!$C$39^2-2*'1.설계입력'!$C$39*COS(B1625)))</f>
        <v/>
      </c>
    </row>
    <row r="1626" spans="1:11" x14ac:dyDescent="0.3">
      <c r="A1626" s="40">
        <f>A1625+'1.설계입력'!$C$12</f>
        <v>323.99999999999017</v>
      </c>
      <c r="B1626" s="40">
        <f t="shared" si="75"/>
        <v>5.6548667764614562</v>
      </c>
      <c r="C1626" s="40">
        <f>ATAN2('1.설계입력'!$C$6/('1.설계입력'!$C$8*'1.설계입력'!$C$15)-COS((1-'1.설계입력'!$C$15)*B1626),SIN((1-'1.설계입력'!$C$15)*B1626))</f>
        <v>-0.81170138601591457</v>
      </c>
      <c r="D1626" s="40">
        <f>'1.설계입력'!$C$6*COS(B1626)-'1.설계입력'!$C$7*COS(B1626+C1626)-'1.설계입력'!$C$8*COS('1.설계입력'!$C$15*B1626)</f>
        <v>64.317777690337252</v>
      </c>
      <c r="E1626" s="40">
        <f>-'1.설계입력'!$C$6*SIN(B1626)+'1.설계입력'!$C$7*SIN(B1626+C1626)+'1.설계입력'!$C$8*SIN('1.설계입력'!$C$15*B1626)</f>
        <v>44.232546905546442</v>
      </c>
      <c r="F1626" s="40">
        <f>ATAN2(('1.설계입력'!$C$6+'1.설계입력'!$C$33)/('1.설계입력'!$C$8*'1.설계입력'!$C$15)-COS((1-'1.설계입력'!$C$15)*B1626),SIN((1-'1.설계입력'!$C$15)*B1626))</f>
        <v>-0.81174764934046728</v>
      </c>
      <c r="G1626" s="40">
        <f>('1.설계입력'!$C$6+'1.설계입력'!$C$33)*COS(B1626)-('1.설계입력'!$C$7+'1.설계입력'!$C$34)*COS(B1626+F1626)-'1.설계입력'!$C$8*COS('1.설계입력'!$C$15*B1626)</f>
        <v>64.314397310772037</v>
      </c>
      <c r="H1626" s="40">
        <f>-('1.설계입력'!$C$6+'1.설계입력'!$C$33)*SIN(B1626)+('1.설계입력'!$C$7+'1.설계입력'!$C$34)*SIN(B1626+F1626)+'1.설계입력'!$C$8*SIN('1.설계입력'!$C$15*B1626)</f>
        <v>44.2226697613076</v>
      </c>
      <c r="I1626" s="40">
        <f t="shared" si="76"/>
        <v>78.059558881504131</v>
      </c>
      <c r="J1626" s="40">
        <f t="shared" si="77"/>
        <v>78.051176943499783</v>
      </c>
      <c r="K1626" s="38" t="str">
        <f>IF(OR(A1626&gt;180,'1.설계입력'!$C$39&gt;=1),"",'1.설계입력'!$C$34*(1-SIN(B1626)/SQRT(1+'1.설계입력'!$C$39^2-2*'1.설계입력'!$C$39*COS(B1626)))-'1.설계입력'!$C$33*(1-'1.설계입력'!$C$39*COS(B1626)-SQRT(MAX(0,1-'1.설계입력'!$C$39^2))*SIN(B1626))/SQRT(1+'1.설계입력'!$C$39^2-2*'1.설계입력'!$C$39*COS(B1626)))</f>
        <v/>
      </c>
    </row>
    <row r="1627" spans="1:11" x14ac:dyDescent="0.3">
      <c r="A1627" s="40">
        <f>A1626+'1.설계입력'!$C$12</f>
        <v>324.19999999999015</v>
      </c>
      <c r="B1627" s="40">
        <f t="shared" si="75"/>
        <v>5.6583574349654446</v>
      </c>
      <c r="C1627" s="40">
        <f>ATAN2('1.설계입력'!$C$6/('1.설계입력'!$C$8*'1.설계입력'!$C$15)-COS((1-'1.설계입력'!$C$15)*B1627),SIN((1-'1.설계입력'!$C$15)*B1627))</f>
        <v>-0.82071255773092699</v>
      </c>
      <c r="D1627" s="40">
        <f>'1.설계입력'!$C$6*COS(B1627)-'1.설계입력'!$C$7*COS(B1627+C1627)-'1.설계입력'!$C$8*COS('1.설계입력'!$C$15*B1627)</f>
        <v>64.522116535771332</v>
      </c>
      <c r="E1627" s="40">
        <f>-'1.설계입력'!$C$6*SIN(B1627)+'1.설계입력'!$C$7*SIN(B1627+C1627)+'1.설계입력'!$C$8*SIN('1.설계입력'!$C$15*B1627)</f>
        <v>44.206626076904946</v>
      </c>
      <c r="F1627" s="40">
        <f>ATAN2(('1.설계입력'!$C$6+'1.설계입력'!$C$33)/('1.설계입력'!$C$8*'1.설계입력'!$C$15)-COS((1-'1.설계입력'!$C$15)*B1627),SIN((1-'1.설계입력'!$C$15)*B1627))</f>
        <v>-0.82075251683841222</v>
      </c>
      <c r="G1627" s="40">
        <f>('1.설계입력'!$C$6+'1.설계입력'!$C$33)*COS(B1627)-('1.설계입력'!$C$7+'1.설계입력'!$C$34)*COS(B1627+F1627)-'1.설계입력'!$C$8*COS('1.설계입력'!$C$15*B1627)</f>
        <v>64.518749221794153</v>
      </c>
      <c r="H1627" s="40">
        <f>-('1.설계입력'!$C$6+'1.설계입력'!$C$33)*SIN(B1627)+('1.설계입력'!$C$7+'1.설계입력'!$C$34)*SIN(B1627+F1627)+'1.설계입력'!$C$8*SIN('1.설계입력'!$C$15*B1627)</f>
        <v>44.196756160285645</v>
      </c>
      <c r="I1627" s="40">
        <f t="shared" si="76"/>
        <v>78.213357627447166</v>
      </c>
      <c r="J1627" s="40">
        <f t="shared" si="77"/>
        <v>78.20500147839978</v>
      </c>
      <c r="K1627" s="38" t="str">
        <f>IF(OR(A1627&gt;180,'1.설계입력'!$C$39&gt;=1),"",'1.설계입력'!$C$34*(1-SIN(B1627)/SQRT(1+'1.설계입력'!$C$39^2-2*'1.설계입력'!$C$39*COS(B1627)))-'1.설계입력'!$C$33*(1-'1.설계입력'!$C$39*COS(B1627)-SQRT(MAX(0,1-'1.설계입력'!$C$39^2))*SIN(B1627))/SQRT(1+'1.설계입력'!$C$39^2-2*'1.설계입력'!$C$39*COS(B1627)))</f>
        <v/>
      </c>
    </row>
    <row r="1628" spans="1:11" x14ac:dyDescent="0.3">
      <c r="A1628" s="40">
        <f>A1627+'1.설계입력'!$C$12</f>
        <v>324.39999999999014</v>
      </c>
      <c r="B1628" s="40">
        <f t="shared" si="75"/>
        <v>5.6618480934694331</v>
      </c>
      <c r="C1628" s="40">
        <f>ATAN2('1.설계입력'!$C$6/('1.설계입력'!$C$8*'1.설계입력'!$C$15)-COS((1-'1.설계입력'!$C$15)*B1628),SIN((1-'1.설계입력'!$C$15)*B1628))</f>
        <v>-0.81035653114608341</v>
      </c>
      <c r="D1628" s="40">
        <f>'1.설계입력'!$C$6*COS(B1628)-'1.설계입력'!$C$7*COS(B1628+C1628)-'1.설계입력'!$C$8*COS('1.설계입력'!$C$15*B1628)</f>
        <v>64.677752178526816</v>
      </c>
      <c r="E1628" s="40">
        <f>-'1.설계입력'!$C$6*SIN(B1628)+'1.설계입력'!$C$7*SIN(B1628+C1628)+'1.설계입력'!$C$8*SIN('1.설계입력'!$C$15*B1628)</f>
        <v>44.186176282754779</v>
      </c>
      <c r="F1628" s="40">
        <f>ATAN2(('1.설계입력'!$C$6+'1.설계입력'!$C$33)/('1.설계입력'!$C$8*'1.설계입력'!$C$15)-COS((1-'1.설계입력'!$C$15)*B1628),SIN((1-'1.설계입력'!$C$15)*B1628))</f>
        <v>-0.81039114060499462</v>
      </c>
      <c r="G1628" s="40">
        <f>('1.설계입력'!$C$6+'1.설계입력'!$C$33)*COS(B1628)-('1.설계입력'!$C$7+'1.설계입력'!$C$34)*COS(B1628+F1628)-'1.설계입력'!$C$8*COS('1.설계입력'!$C$15*B1628)</f>
        <v>64.674245843960776</v>
      </c>
      <c r="H1628" s="40">
        <f>-('1.설계입력'!$C$6+'1.설계입력'!$C$33)*SIN(B1628)+('1.설계입력'!$C$7+'1.설계입력'!$C$34)*SIN(B1628+F1628)+'1.설계입력'!$C$8*SIN('1.설계입력'!$C$15*B1628)</f>
        <v>44.176330709346409</v>
      </c>
      <c r="I1628" s="40">
        <f t="shared" si="76"/>
        <v>78.330261083170228</v>
      </c>
      <c r="J1628" s="40">
        <f t="shared" si="77"/>
        <v>78.321812226394641</v>
      </c>
      <c r="K1628" s="38" t="str">
        <f>IF(OR(A1628&gt;180,'1.설계입력'!$C$39&gt;=1),"",'1.설계입력'!$C$34*(1-SIN(B1628)/SQRT(1+'1.설계입력'!$C$39^2-2*'1.설계입력'!$C$39*COS(B1628)))-'1.설계입력'!$C$33*(1-'1.설계입력'!$C$39*COS(B1628)-SQRT(MAX(0,1-'1.설계입력'!$C$39^2))*SIN(B1628))/SQRT(1+'1.설계입력'!$C$39^2-2*'1.설계입력'!$C$39*COS(B1628)))</f>
        <v/>
      </c>
    </row>
    <row r="1629" spans="1:11" x14ac:dyDescent="0.3">
      <c r="A1629" s="40">
        <f>A1628+'1.설계입력'!$C$12</f>
        <v>324.59999999999013</v>
      </c>
      <c r="B1629" s="40">
        <f t="shared" si="75"/>
        <v>5.6653387519734215</v>
      </c>
      <c r="C1629" s="40">
        <f>ATAN2('1.설계입력'!$C$6/('1.설계입력'!$C$8*'1.설계입력'!$C$15)-COS((1-'1.설계입력'!$C$15)*B1629),SIN((1-'1.설계입력'!$C$15)*B1629))</f>
        <v>-0.78721196229373069</v>
      </c>
      <c r="D1629" s="40">
        <f>'1.설계입력'!$C$6*COS(B1629)-'1.설계입력'!$C$7*COS(B1629+C1629)-'1.설계입력'!$C$8*COS('1.설계입력'!$C$15*B1629)</f>
        <v>64.810240763867654</v>
      </c>
      <c r="E1629" s="40">
        <f>-'1.설계입력'!$C$6*SIN(B1629)+'1.설계입력'!$C$7*SIN(B1629+C1629)+'1.설계입력'!$C$8*SIN('1.설계입력'!$C$15*B1629)</f>
        <v>44.165973496810587</v>
      </c>
      <c r="F1629" s="40">
        <f>ATAN2(('1.설계입력'!$C$6+'1.설계입력'!$C$33)/('1.설계입력'!$C$8*'1.설계입력'!$C$15)-COS((1-'1.설계입력'!$C$15)*B1629),SIN((1-'1.설계입력'!$C$15)*B1629))</f>
        <v>-0.78724208493607051</v>
      </c>
      <c r="G1629" s="40">
        <f>('1.설계입력'!$C$6+'1.설계입력'!$C$33)*COS(B1629)-('1.설계입력'!$C$7+'1.설계입력'!$C$34)*COS(B1629+F1629)-'1.설계입력'!$C$8*COS('1.설계입력'!$C$15*B1629)</f>
        <v>64.80649660951957</v>
      </c>
      <c r="H1629" s="40">
        <f>-('1.설계입력'!$C$6+'1.설계입력'!$C$33)*SIN(B1629)+('1.설계입력'!$C$7+'1.설계입력'!$C$34)*SIN(B1629+F1629)+'1.설계입력'!$C$8*SIN('1.설계입력'!$C$15*B1629)</f>
        <v>44.156168803282817</v>
      </c>
      <c r="I1629" s="40">
        <f t="shared" si="76"/>
        <v>78.42831454769042</v>
      </c>
      <c r="J1629" s="40">
        <f t="shared" si="77"/>
        <v>78.419699350250497</v>
      </c>
      <c r="K1629" s="38" t="str">
        <f>IF(OR(A1629&gt;180,'1.설계입력'!$C$39&gt;=1),"",'1.설계입력'!$C$34*(1-SIN(B1629)/SQRT(1+'1.설계입력'!$C$39^2-2*'1.설계입력'!$C$39*COS(B1629)))-'1.설계입력'!$C$33*(1-'1.설계입력'!$C$39*COS(B1629)-SQRT(MAX(0,1-'1.설계입력'!$C$39^2))*SIN(B1629))/SQRT(1+'1.설계입력'!$C$39^2-2*'1.설계입력'!$C$39*COS(B1629)))</f>
        <v/>
      </c>
    </row>
    <row r="1630" spans="1:11" x14ac:dyDescent="0.3">
      <c r="A1630" s="40">
        <f>A1629+'1.설계입력'!$C$12</f>
        <v>324.79999999999012</v>
      </c>
      <c r="B1630" s="40">
        <f t="shared" si="75"/>
        <v>5.66882941047741</v>
      </c>
      <c r="C1630" s="40">
        <f>ATAN2('1.설계입력'!$C$6/('1.설계입력'!$C$8*'1.설계입력'!$C$15)-COS((1-'1.설계입력'!$C$15)*B1630),SIN((1-'1.설계입력'!$C$15)*B1630))</f>
        <v>-0.75527182600326592</v>
      </c>
      <c r="D1630" s="40">
        <f>'1.설계입력'!$C$6*COS(B1630)-'1.설계입력'!$C$7*COS(B1630+C1630)-'1.설계입력'!$C$8*COS('1.설계입력'!$C$15*B1630)</f>
        <v>64.934551500471272</v>
      </c>
      <c r="E1630" s="40">
        <f>-'1.설계입력'!$C$6*SIN(B1630)+'1.설계입력'!$C$7*SIN(B1630+C1630)+'1.설계입력'!$C$8*SIN('1.설계입력'!$C$15*B1630)</f>
        <v>44.142993850696122</v>
      </c>
      <c r="F1630" s="40">
        <f>ATAN2(('1.설계입력'!$C$6+'1.설계입력'!$C$33)/('1.설계입력'!$C$8*'1.설계입력'!$C$15)-COS((1-'1.설계입력'!$C$15)*B1630),SIN((1-'1.설계입력'!$C$15)*B1630))</f>
        <v>-0.75529816226217894</v>
      </c>
      <c r="G1630" s="40">
        <f>('1.설계입력'!$C$6+'1.설계입력'!$C$33)*COS(B1630)-('1.설계입력'!$C$7+'1.설계입력'!$C$34)*COS(B1630+F1630)-'1.설계입력'!$C$8*COS('1.설계입력'!$C$15*B1630)</f>
        <v>64.930503283718508</v>
      </c>
      <c r="H1630" s="40">
        <f>-('1.설계입력'!$C$6+'1.설계입력'!$C$33)*SIN(B1630)+('1.설계입력'!$C$7+'1.설계입력'!$C$34)*SIN(B1630+F1630)+'1.설계입력'!$C$8*SIN('1.설계입력'!$C$15*B1630)</f>
        <v>44.133249166469234</v>
      </c>
      <c r="I1630" s="40">
        <f t="shared" si="76"/>
        <v>78.518150033415537</v>
      </c>
      <c r="J1630" s="40">
        <f t="shared" si="77"/>
        <v>78.509323896379584</v>
      </c>
      <c r="K1630" s="38" t="str">
        <f>IF(OR(A1630&gt;180,'1.설계입력'!$C$39&gt;=1),"",'1.설계입력'!$C$34*(1-SIN(B1630)/SQRT(1+'1.설계입력'!$C$39^2-2*'1.설계입력'!$C$39*COS(B1630)))-'1.설계입력'!$C$33*(1-'1.설계입력'!$C$39*COS(B1630)-SQRT(MAX(0,1-'1.설계입력'!$C$39^2))*SIN(B1630))/SQRT(1+'1.설계입력'!$C$39^2-2*'1.설계입력'!$C$39*COS(B1630)))</f>
        <v/>
      </c>
    </row>
    <row r="1631" spans="1:11" x14ac:dyDescent="0.3">
      <c r="A1631" s="40">
        <f>A1630+'1.설계입력'!$C$12</f>
        <v>324.99999999999011</v>
      </c>
      <c r="B1631" s="40">
        <f t="shared" si="75"/>
        <v>5.6723200689813984</v>
      </c>
      <c r="C1631" s="40">
        <f>ATAN2('1.설계입력'!$C$6/('1.설계입력'!$C$8*'1.설계입력'!$C$15)-COS((1-'1.설계입력'!$C$15)*B1631),SIN((1-'1.설계입력'!$C$15)*B1631))</f>
        <v>-0.71706820680518946</v>
      </c>
      <c r="D1631" s="40">
        <f>'1.설계입력'!$C$6*COS(B1631)-'1.설계입력'!$C$7*COS(B1631+C1631)-'1.설계입력'!$C$8*COS('1.설계입력'!$C$15*B1631)</f>
        <v>65.05947106974628</v>
      </c>
      <c r="E1631" s="40">
        <f>-'1.설계입력'!$C$6*SIN(B1631)+'1.설계입력'!$C$7*SIN(B1631+C1631)+'1.설계입력'!$C$8*SIN('1.설계입력'!$C$15*B1631)</f>
        <v>44.114835272616979</v>
      </c>
      <c r="F1631" s="40">
        <f>ATAN2(('1.설계입력'!$C$6+'1.설계입력'!$C$33)/('1.설계입력'!$C$8*'1.설계입력'!$C$15)-COS((1-'1.설계입력'!$C$15)*B1631),SIN((1-'1.설계입력'!$C$15)*B1631))</f>
        <v>-0.71709130849836689</v>
      </c>
      <c r="G1631" s="40">
        <f>('1.설계입력'!$C$6+'1.설계입력'!$C$33)*COS(B1631)-('1.설계입력'!$C$7+'1.설계입력'!$C$34)*COS(B1631+F1631)-'1.설계입력'!$C$8*COS('1.설계입력'!$C$15*B1631)</f>
        <v>65.055073667212099</v>
      </c>
      <c r="H1631" s="40">
        <f>-('1.설계입력'!$C$6+'1.설계입력'!$C$33)*SIN(B1631)+('1.설계입력'!$C$7+'1.설계입력'!$C$34)*SIN(B1631+F1631)+'1.설계입력'!$C$8*SIN('1.설계입력'!$C$15*B1631)</f>
        <v>44.105172626299655</v>
      </c>
      <c r="I1631" s="40">
        <f t="shared" si="76"/>
        <v>78.605683426869874</v>
      </c>
      <c r="J1631" s="40">
        <f t="shared" si="77"/>
        <v>78.596621188458769</v>
      </c>
      <c r="K1631" s="38" t="str">
        <f>IF(OR(A1631&gt;180,'1.설계입력'!$C$39&gt;=1),"",'1.설계입력'!$C$34*(1-SIN(B1631)/SQRT(1+'1.설계입력'!$C$39^2-2*'1.설계입력'!$C$39*COS(B1631)))-'1.설계입력'!$C$33*(1-'1.설계입력'!$C$39*COS(B1631)-SQRT(MAX(0,1-'1.설계입력'!$C$39^2))*SIN(B1631))/SQRT(1+'1.설계입력'!$C$39^2-2*'1.설계입력'!$C$39*COS(B1631)))</f>
        <v/>
      </c>
    </row>
    <row r="1632" spans="1:11" x14ac:dyDescent="0.3">
      <c r="A1632" s="40">
        <f>A1631+'1.설계입력'!$C$12</f>
        <v>325.1999999999901</v>
      </c>
      <c r="B1632" s="40">
        <f t="shared" si="75"/>
        <v>5.6758107274853868</v>
      </c>
      <c r="C1632" s="40">
        <f>ATAN2('1.설계입력'!$C$6/('1.설계입력'!$C$8*'1.설계입력'!$C$15)-COS((1-'1.설계입력'!$C$15)*B1632),SIN((1-'1.설계입력'!$C$15)*B1632))</f>
        <v>-0.67427311258871914</v>
      </c>
      <c r="D1632" s="40">
        <f>'1.설계입력'!$C$6*COS(B1632)-'1.설계입력'!$C$7*COS(B1632+C1632)-'1.설계입력'!$C$8*COS('1.설계입력'!$C$15*B1632)</f>
        <v>65.189994016184556</v>
      </c>
      <c r="E1632" s="40">
        <f>-'1.설계입력'!$C$6*SIN(B1632)+'1.설계입력'!$C$7*SIN(B1632+C1632)+'1.설계입력'!$C$8*SIN('1.설계입력'!$C$15*B1632)</f>
        <v>44.079281876103025</v>
      </c>
      <c r="F1632" s="40">
        <f>ATAN2(('1.설계입력'!$C$6+'1.설계입력'!$C$33)/('1.설계입력'!$C$8*'1.설계입력'!$C$15)-COS((1-'1.설계입력'!$C$15)*B1632),SIN((1-'1.설계입력'!$C$15)*B1632))</f>
        <v>-0.67429341219110783</v>
      </c>
      <c r="G1632" s="40">
        <f>('1.설계입력'!$C$6+'1.설계입력'!$C$33)*COS(B1632)-('1.설계입력'!$C$7+'1.설계입력'!$C$34)*COS(B1632+F1632)-'1.설계입력'!$C$8*COS('1.설계입력'!$C$15*B1632)</f>
        <v>65.18521683501379</v>
      </c>
      <c r="H1632" s="40">
        <f>-('1.설계입력'!$C$6+'1.설계입력'!$C$33)*SIN(B1632)+('1.설계입력'!$C$7+'1.설계입력'!$C$34)*SIN(B1632+F1632)+'1.설계입력'!$C$8*SIN('1.설계입력'!$C$15*B1632)</f>
        <v>44.069725720813864</v>
      </c>
      <c r="I1632" s="40">
        <f t="shared" si="76"/>
        <v>78.693827016756032</v>
      </c>
      <c r="J1632" s="40">
        <f t="shared" si="77"/>
        <v>78.684517021683035</v>
      </c>
      <c r="K1632" s="38" t="str">
        <f>IF(OR(A1632&gt;180,'1.설계입력'!$C$39&gt;=1),"",'1.설계입력'!$C$34*(1-SIN(B1632)/SQRT(1+'1.설계입력'!$C$39^2-2*'1.설계입력'!$C$39*COS(B1632)))-'1.설계입력'!$C$33*(1-'1.설계입력'!$C$39*COS(B1632)-SQRT(MAX(0,1-'1.설계입력'!$C$39^2))*SIN(B1632))/SQRT(1+'1.설계입력'!$C$39^2-2*'1.설계입력'!$C$39*COS(B1632)))</f>
        <v/>
      </c>
    </row>
    <row r="1633" spans="1:11" x14ac:dyDescent="0.3">
      <c r="A1633" s="40">
        <f>A1632+'1.설계입력'!$C$12</f>
        <v>325.39999999999009</v>
      </c>
      <c r="B1633" s="40">
        <f t="shared" si="75"/>
        <v>5.6793013859893753</v>
      </c>
      <c r="C1633" s="40">
        <f>ATAN2('1.설계입력'!$C$6/('1.설계입력'!$C$8*'1.설계입력'!$C$15)-COS((1-'1.설계입력'!$C$15)*B1633),SIN((1-'1.설계입력'!$C$15)*B1633))</f>
        <v>-0.62803118034911287</v>
      </c>
      <c r="D1633" s="40">
        <f>'1.설계입력'!$C$6*COS(B1633)-'1.설계입력'!$C$7*COS(B1633+C1633)-'1.설계입력'!$C$8*COS('1.설계입력'!$C$15*B1633)</f>
        <v>65.328664250420786</v>
      </c>
      <c r="E1633" s="40">
        <f>-'1.설계입력'!$C$6*SIN(B1633)+'1.설계입력'!$C$7*SIN(B1633+C1633)+'1.설계입력'!$C$8*SIN('1.설계입력'!$C$15*B1633)</f>
        <v>44.034234763656137</v>
      </c>
      <c r="F1633" s="40">
        <f>ATAN2(('1.설계입력'!$C$6+'1.설계입력'!$C$33)/('1.설계입력'!$C$8*'1.설계입력'!$C$15)-COS((1-'1.설계입력'!$C$15)*B1633),SIN((1-'1.설계입력'!$C$15)*B1633))</f>
        <v>-0.6280490180411662</v>
      </c>
      <c r="G1633" s="40">
        <f>('1.설계입력'!$C$6+'1.설계입력'!$C$33)*COS(B1633)-('1.설계입력'!$C$7+'1.설계입력'!$C$34)*COS(B1633+F1633)-'1.설계입력'!$C$8*COS('1.설계입력'!$C$15*B1633)</f>
        <v>65.323487256562885</v>
      </c>
      <c r="H1633" s="40">
        <f>-('1.설계입력'!$C$6+'1.설계입력'!$C$33)*SIN(B1633)+('1.설계입력'!$C$7+'1.설계입력'!$C$34)*SIN(B1633+F1633)+'1.설계입력'!$C$8*SIN('1.설계입력'!$C$15*B1633)</f>
        <v>44.024811351230461</v>
      </c>
      <c r="I1633" s="40">
        <f t="shared" si="76"/>
        <v>78.783552877266146</v>
      </c>
      <c r="J1633" s="40">
        <f t="shared" si="77"/>
        <v>78.773993182202986</v>
      </c>
      <c r="K1633" s="38" t="str">
        <f>IF(OR(A1633&gt;180,'1.설계입력'!$C$39&gt;=1),"",'1.설계입력'!$C$34*(1-SIN(B1633)/SQRT(1+'1.설계입력'!$C$39^2-2*'1.설계입력'!$C$39*COS(B1633)))-'1.설계입력'!$C$33*(1-'1.설계입력'!$C$39*COS(B1633)-SQRT(MAX(0,1-'1.설계입력'!$C$39^2))*SIN(B1633))/SQRT(1+'1.설계입력'!$C$39^2-2*'1.설계입력'!$C$39*COS(B1633)))</f>
        <v/>
      </c>
    </row>
    <row r="1634" spans="1:11" x14ac:dyDescent="0.3">
      <c r="A1634" s="40">
        <f>A1633+'1.설계입력'!$C$12</f>
        <v>325.59999999999008</v>
      </c>
      <c r="B1634" s="40">
        <f t="shared" si="75"/>
        <v>5.6827920444933637</v>
      </c>
      <c r="C1634" s="40">
        <f>ATAN2('1.설계입력'!$C$6/('1.설계입력'!$C$8*'1.설계입력'!$C$15)-COS((1-'1.설계입력'!$C$15)*B1634),SIN((1-'1.설계입력'!$C$15)*B1634))</f>
        <v>-0.57915148942282735</v>
      </c>
      <c r="D1634" s="40">
        <f>'1.설계입력'!$C$6*COS(B1634)-'1.설계입력'!$C$7*COS(B1634+C1634)-'1.설계입력'!$C$8*COS('1.설계입력'!$C$15*B1634)</f>
        <v>65.476367299355232</v>
      </c>
      <c r="E1634" s="40">
        <f>-'1.설계입력'!$C$6*SIN(B1634)+'1.설계입력'!$C$7*SIN(B1634+C1634)+'1.설계입력'!$C$8*SIN('1.설계입력'!$C$15*B1634)</f>
        <v>43.977755344786786</v>
      </c>
      <c r="F1634" s="40">
        <f>ATAN2(('1.설계입력'!$C$6+'1.설계입력'!$C$33)/('1.설계입력'!$C$8*'1.설계입력'!$C$15)-COS((1-'1.설계입력'!$C$15)*B1634),SIN((1-'1.설계입력'!$C$15)*B1634))</f>
        <v>-0.57916713451305579</v>
      </c>
      <c r="G1634" s="40">
        <f>('1.설계입력'!$C$6+'1.설계입력'!$C$33)*COS(B1634)-('1.설계입력'!$C$7+'1.설계입력'!$C$34)*COS(B1634+F1634)-'1.설계입력'!$C$8*COS('1.설계입력'!$C$15*B1634)</f>
        <v>65.470778515916621</v>
      </c>
      <c r="H1634" s="40">
        <f>-('1.설계입력'!$C$6+'1.설계입력'!$C$33)*SIN(B1634)+('1.설계입력'!$C$7+'1.설계입력'!$C$34)*SIN(B1634+F1634)+'1.설계입력'!$C$8*SIN('1.설계입력'!$C$15*B1634)</f>
        <v>43.968492131190182</v>
      </c>
      <c r="I1634" s="40">
        <f t="shared" si="76"/>
        <v>78.874569031380432</v>
      </c>
      <c r="J1634" s="40">
        <f t="shared" si="77"/>
        <v>78.864764881223991</v>
      </c>
      <c r="K1634" s="38" t="str">
        <f>IF(OR(A1634&gt;180,'1.설계입력'!$C$39&gt;=1),"",'1.설계입력'!$C$34*(1-SIN(B1634)/SQRT(1+'1.설계입력'!$C$39^2-2*'1.설계입력'!$C$39*COS(B1634)))-'1.설계입력'!$C$33*(1-'1.설계입력'!$C$39*COS(B1634)-SQRT(MAX(0,1-'1.설계입력'!$C$39^2))*SIN(B1634))/SQRT(1+'1.설계입력'!$C$39^2-2*'1.설계입력'!$C$39*COS(B1634)))</f>
        <v/>
      </c>
    </row>
    <row r="1635" spans="1:11" x14ac:dyDescent="0.3">
      <c r="A1635" s="40">
        <f>A1634+'1.설계입력'!$C$12</f>
        <v>325.79999999999006</v>
      </c>
      <c r="B1635" s="40">
        <f t="shared" si="75"/>
        <v>5.6862827029973522</v>
      </c>
      <c r="C1635" s="40">
        <f>ATAN2('1.설계입력'!$C$6/('1.설계입력'!$C$8*'1.설계입력'!$C$15)-COS((1-'1.설계입력'!$C$15)*B1635),SIN((1-'1.설계입력'!$C$15)*B1635))</f>
        <v>-0.52822253406153596</v>
      </c>
      <c r="D1635" s="40">
        <f>'1.설계입력'!$C$6*COS(B1635)-'1.설계입력'!$C$7*COS(B1635+C1635)-'1.설계입력'!$C$8*COS('1.설계입력'!$C$15*B1635)</f>
        <v>65.632827177970555</v>
      </c>
      <c r="E1635" s="40">
        <f>-'1.설계입력'!$C$6*SIN(B1635)+'1.설계입력'!$C$7*SIN(B1635+C1635)+'1.설계입력'!$C$8*SIN('1.설계입력'!$C$15*B1635)</f>
        <v>43.908135583500162</v>
      </c>
      <c r="F1635" s="40">
        <f>ATAN2(('1.설계입력'!$C$6+'1.설계입력'!$C$33)/('1.설계입력'!$C$8*'1.설계입력'!$C$15)-COS((1-'1.설계입력'!$C$15)*B1635),SIN((1-'1.설계입력'!$C$15)*B1635))</f>
        <v>-0.52823620114278647</v>
      </c>
      <c r="G1635" s="40">
        <f>('1.설계입력'!$C$6+'1.설계입력'!$C$33)*COS(B1635)-('1.설계입력'!$C$7+'1.설계입력'!$C$34)*COS(B1635+F1635)-'1.설계입력'!$C$8*COS('1.설계입력'!$C$15*B1635)</f>
        <v>65.626821041446632</v>
      </c>
      <c r="H1635" s="40">
        <f>-('1.설계입력'!$C$6+'1.설계입력'!$C$33)*SIN(B1635)+('1.설계입력'!$C$7+'1.설계입력'!$C$34)*SIN(B1635+F1635)+'1.설계입력'!$C$8*SIN('1.설계입력'!$C$15*B1635)</f>
        <v>43.899060707617117</v>
      </c>
      <c r="I1635" s="40">
        <f t="shared" si="76"/>
        <v>78.965767100639141</v>
      </c>
      <c r="J1635" s="40">
        <f t="shared" si="77"/>
        <v>78.955729184253101</v>
      </c>
      <c r="K1635" s="38" t="str">
        <f>IF(OR(A1635&gt;180,'1.설계입력'!$C$39&gt;=1),"",'1.설계입력'!$C$34*(1-SIN(B1635)/SQRT(1+'1.설계입력'!$C$39^2-2*'1.설계입력'!$C$39*COS(B1635)))-'1.설계입력'!$C$33*(1-'1.설계입력'!$C$39*COS(B1635)-SQRT(MAX(0,1-'1.설계입력'!$C$39^2))*SIN(B1635))/SQRT(1+'1.설계입력'!$C$39^2-2*'1.설계입력'!$C$39*COS(B1635)))</f>
        <v/>
      </c>
    </row>
    <row r="1636" spans="1:11" x14ac:dyDescent="0.3">
      <c r="A1636" s="40">
        <f>A1635+'1.설계입력'!$C$12</f>
        <v>325.99999999999005</v>
      </c>
      <c r="B1636" s="40">
        <f t="shared" si="75"/>
        <v>5.6897733615013406</v>
      </c>
      <c r="C1636" s="40">
        <f>ATAN2('1.설계입력'!$C$6/('1.설계입력'!$C$8*'1.설계입력'!$C$15)-COS((1-'1.설계입력'!$C$15)*B1636),SIN((1-'1.설계입력'!$C$15)*B1636))</f>
        <v>-0.4756836572970215</v>
      </c>
      <c r="D1636" s="40">
        <f>'1.설계입력'!$C$6*COS(B1636)-'1.설계입력'!$C$7*COS(B1636+C1636)-'1.설계입력'!$C$8*COS('1.설계입력'!$C$15*B1636)</f>
        <v>65.796939202628408</v>
      </c>
      <c r="E1636" s="40">
        <f>-'1.설계입력'!$C$6*SIN(B1636)+'1.설계입력'!$C$7*SIN(B1636+C1636)+'1.설계입력'!$C$8*SIN('1.설계입력'!$C$15*B1636)</f>
        <v>43.823966023475094</v>
      </c>
      <c r="F1636" s="40">
        <f>ATAN2(('1.설계입력'!$C$6+'1.설계입력'!$C$33)/('1.설계입력'!$C$8*'1.설계입력'!$C$15)-COS((1-'1.설계입력'!$C$15)*B1636),SIN((1-'1.설계입력'!$C$15)*B1636))</f>
        <v>-0.47569551824528311</v>
      </c>
      <c r="G1636" s="40">
        <f>('1.설계입력'!$C$6+'1.설계입력'!$C$33)*COS(B1636)-('1.설계입력'!$C$7+'1.설계입력'!$C$34)*COS(B1636+F1636)-'1.설계입력'!$C$8*COS('1.설계입력'!$C$15*B1636)</f>
        <v>65.790515436926427</v>
      </c>
      <c r="H1636" s="40">
        <f>-('1.설계입력'!$C$6+'1.설계입력'!$C$33)*SIN(B1636)+('1.설계입력'!$C$7+'1.설계입력'!$C$34)*SIN(B1636+F1636)+'1.설계입력'!$C$8*SIN('1.설계입력'!$C$15*B1636)</f>
        <v>43.815107859000264</v>
      </c>
      <c r="I1636" s="40">
        <f t="shared" si="76"/>
        <v>79.055532421590073</v>
      </c>
      <c r="J1636" s="40">
        <f t="shared" si="77"/>
        <v>79.045275621964166</v>
      </c>
      <c r="K1636" s="38" t="str">
        <f>IF(OR(A1636&gt;180,'1.설계입력'!$C$39&gt;=1),"",'1.설계입력'!$C$34*(1-SIN(B1636)/SQRT(1+'1.설계입력'!$C$39^2-2*'1.설계입력'!$C$39*COS(B1636)))-'1.설계입력'!$C$33*(1-'1.설계입력'!$C$39*COS(B1636)-SQRT(MAX(0,1-'1.설계입력'!$C$39^2))*SIN(B1636))/SQRT(1+'1.설계입력'!$C$39^2-2*'1.설계입력'!$C$39*COS(B1636)))</f>
        <v/>
      </c>
    </row>
    <row r="1637" spans="1:11" x14ac:dyDescent="0.3">
      <c r="A1637" s="40">
        <f>A1636+'1.설계입력'!$C$12</f>
        <v>326.19999999999004</v>
      </c>
      <c r="B1637" s="40">
        <f t="shared" si="75"/>
        <v>5.6932640200053291</v>
      </c>
      <c r="C1637" s="40">
        <f>ATAN2('1.설계입력'!$C$6/('1.설계입력'!$C$8*'1.설계입력'!$C$15)-COS((1-'1.설계입력'!$C$15)*B1637),SIN((1-'1.설계입력'!$C$15)*B1637))</f>
        <v>-0.42187091148194872</v>
      </c>
      <c r="D1637" s="40">
        <f>'1.설계입력'!$C$6*COS(B1637)-'1.설계입력'!$C$7*COS(B1637+C1637)-'1.설계입력'!$C$8*COS('1.설계입력'!$C$15*B1637)</f>
        <v>65.967008526898198</v>
      </c>
      <c r="E1637" s="40">
        <f>-'1.설계입력'!$C$6*SIN(B1637)+'1.설계입력'!$C$7*SIN(B1637+C1637)+'1.설계입력'!$C$8*SIN('1.설계입력'!$C$15*B1637)</f>
        <v>43.72419197485933</v>
      </c>
      <c r="F1637" s="40">
        <f>ATAN2(('1.설계입력'!$C$6+'1.설계입력'!$C$33)/('1.설계입력'!$C$8*'1.설계입력'!$C$15)-COS((1-'1.설계입력'!$C$15)*B1637),SIN((1-'1.설계입력'!$C$15)*B1637))</f>
        <v>-0.42188110434631299</v>
      </c>
      <c r="G1637" s="40">
        <f>('1.설계입력'!$C$6+'1.설계입력'!$C$33)*COS(B1637)-('1.설계입력'!$C$7+'1.설계입력'!$C$34)*COS(B1637+F1637)-'1.설계입력'!$C$8*COS('1.설계입력'!$C$15*B1637)</f>
        <v>65.960171338890419</v>
      </c>
      <c r="H1637" s="40">
        <f>-('1.설계입력'!$C$6+'1.설계입력'!$C$33)*SIN(B1637)+('1.설계입력'!$C$7+'1.설계입력'!$C$34)*SIN(B1637+F1637)+'1.설계입력'!$C$8*SIN('1.설계입력'!$C$15*B1637)</f>
        <v>43.715578744176234</v>
      </c>
      <c r="I1637" s="40">
        <f t="shared" si="76"/>
        <v>79.141968498655714</v>
      </c>
      <c r="J1637" s="40">
        <f t="shared" si="77"/>
        <v>79.131510967465132</v>
      </c>
      <c r="K1637" s="38" t="str">
        <f>IF(OR(A1637&gt;180,'1.설계입력'!$C$39&gt;=1),"",'1.설계입력'!$C$34*(1-SIN(B1637)/SQRT(1+'1.설계입력'!$C$39^2-2*'1.설계입력'!$C$39*COS(B1637)))-'1.설계입력'!$C$33*(1-'1.설계입력'!$C$39*COS(B1637)-SQRT(MAX(0,1-'1.설계입력'!$C$39^2))*SIN(B1637))/SQRT(1+'1.설계입력'!$C$39^2-2*'1.설계입력'!$C$39*COS(B1637)))</f>
        <v/>
      </c>
    </row>
    <row r="1638" spans="1:11" x14ac:dyDescent="0.3">
      <c r="A1638" s="40">
        <f>A1637+'1.설계입력'!$C$12</f>
        <v>326.39999999999003</v>
      </c>
      <c r="B1638" s="40">
        <f t="shared" si="75"/>
        <v>5.6967546785093175</v>
      </c>
      <c r="C1638" s="40">
        <f>ATAN2('1.설계입력'!$C$6/('1.설계입력'!$C$8*'1.설계입력'!$C$15)-COS((1-'1.설계입력'!$C$15)*B1638),SIN((1-'1.설계입력'!$C$15)*B1638))</f>
        <v>-0.36704739905056166</v>
      </c>
      <c r="D1638" s="40">
        <f>'1.설계입력'!$C$6*COS(B1638)-'1.설계입력'!$C$7*COS(B1638+C1638)-'1.설계입력'!$C$8*COS('1.설계입력'!$C$15*B1638)</f>
        <v>66.140932451988192</v>
      </c>
      <c r="E1638" s="40">
        <f>-'1.설계입력'!$C$6*SIN(B1638)+'1.설계입력'!$C$7*SIN(B1638+C1638)+'1.설계입력'!$C$8*SIN('1.설계입력'!$C$15*B1638)</f>
        <v>43.608155117766941</v>
      </c>
      <c r="F1638" s="40">
        <f>ATAN2(('1.설계입력'!$C$6+'1.설계입력'!$C$33)/('1.설계입력'!$C$8*'1.설계입력'!$C$15)-COS((1-'1.설계입력'!$C$15)*B1638),SIN((1-'1.설계입력'!$C$15)*B1638))</f>
        <v>-0.3670560346558574</v>
      </c>
      <c r="G1638" s="40">
        <f>('1.설계입력'!$C$6+'1.설계입력'!$C$33)*COS(B1638)-('1.설계입력'!$C$7+'1.설계입력'!$C$34)*COS(B1638+F1638)-'1.설계입력'!$C$8*COS('1.설계입력'!$C$15*B1638)</f>
        <v>66.133689931309007</v>
      </c>
      <c r="H1638" s="40">
        <f>-('1.설계입력'!$C$6+'1.설계입력'!$C$33)*SIN(B1638)+('1.설계입력'!$C$7+'1.설계입력'!$C$34)*SIN(B1638+F1638)+'1.설계입력'!$C$8*SIN('1.설계입력'!$C$15*B1638)</f>
        <v>43.599814555803292</v>
      </c>
      <c r="I1638" s="40">
        <f t="shared" si="76"/>
        <v>79.223065696763385</v>
      </c>
      <c r="J1638" s="40">
        <f t="shared" si="77"/>
        <v>79.212428148813615</v>
      </c>
      <c r="K1638" s="38" t="str">
        <f>IF(OR(A1638&gt;180,'1.설계입력'!$C$39&gt;=1),"",'1.설계입력'!$C$34*(1-SIN(B1638)/SQRT(1+'1.설계입력'!$C$39^2-2*'1.설계입력'!$C$39*COS(B1638)))-'1.설계입력'!$C$33*(1-'1.설계입력'!$C$39*COS(B1638)-SQRT(MAX(0,1-'1.설계입력'!$C$39^2))*SIN(B1638))/SQRT(1+'1.설계입력'!$C$39^2-2*'1.설계입력'!$C$39*COS(B1638)))</f>
        <v/>
      </c>
    </row>
    <row r="1639" spans="1:11" x14ac:dyDescent="0.3">
      <c r="A1639" s="40">
        <f>A1638+'1.설계입력'!$C$12</f>
        <v>326.59999999999002</v>
      </c>
      <c r="B1639" s="40">
        <f t="shared" si="75"/>
        <v>5.7002453370133059</v>
      </c>
      <c r="C1639" s="40">
        <f>ATAN2('1.설계입력'!$C$6/('1.설계입력'!$C$8*'1.설계입력'!$C$15)-COS((1-'1.설계입력'!$C$15)*B1639),SIN((1-'1.설계입력'!$C$15)*B1639))</f>
        <v>-0.3114239182346128</v>
      </c>
      <c r="D1639" s="40">
        <f>'1.설계입력'!$C$6*COS(B1639)-'1.설계입력'!$C$7*COS(B1639+C1639)-'1.설계입력'!$C$8*COS('1.설계입력'!$C$15*B1639)</f>
        <v>66.316347671582591</v>
      </c>
      <c r="E1639" s="40">
        <f>-'1.설계입력'!$C$6*SIN(B1639)+'1.설계입력'!$C$7*SIN(B1639+C1639)+'1.설계입력'!$C$8*SIN('1.설계입력'!$C$15*B1639)</f>
        <v>43.475620182112046</v>
      </c>
      <c r="F1639" s="40">
        <f>ATAN2(('1.설계입력'!$C$6+'1.설계입력'!$C$33)/('1.설계입력'!$C$8*'1.설계입력'!$C$15)-COS((1-'1.설계입력'!$C$15)*B1639),SIN((1-'1.설계입력'!$C$15)*B1639))</f>
        <v>-0.3114310851005242</v>
      </c>
      <c r="G1639" s="40">
        <f>('1.설계입력'!$C$6+'1.설계입력'!$C$33)*COS(B1639)-('1.설계입력'!$C$7+'1.설계입력'!$C$34)*COS(B1639+F1639)-'1.설계입력'!$C$8*COS('1.설계입력'!$C$15*B1639)</f>
        <v>66.308711322326573</v>
      </c>
      <c r="H1639" s="40">
        <f>-('1.설계입력'!$C$6+'1.설계입력'!$C$33)*SIN(B1639)+('1.설계입력'!$C$7+'1.설계입력'!$C$34)*SIN(B1639+F1639)+'1.설계입력'!$C$8*SIN('1.설계입력'!$C$15*B1639)</f>
        <v>43.467579240003978</v>
      </c>
      <c r="I1639" s="40">
        <f t="shared" si="76"/>
        <v>79.296831706679711</v>
      </c>
      <c r="J1639" s="40">
        <f t="shared" si="77"/>
        <v>79.286036867872681</v>
      </c>
      <c r="K1639" s="38" t="str">
        <f>IF(OR(A1639&gt;180,'1.설계입력'!$C$39&gt;=1),"",'1.설계입력'!$C$34*(1-SIN(B1639)/SQRT(1+'1.설계입력'!$C$39^2-2*'1.설계입력'!$C$39*COS(B1639)))-'1.설계입력'!$C$33*(1-'1.설계입력'!$C$39*COS(B1639)-SQRT(MAX(0,1-'1.설계입력'!$C$39^2))*SIN(B1639))/SQRT(1+'1.설계입력'!$C$39^2-2*'1.설계입력'!$C$39*COS(B1639)))</f>
        <v/>
      </c>
    </row>
    <row r="1640" spans="1:11" x14ac:dyDescent="0.3">
      <c r="A1640" s="40">
        <f>A1639+'1.설계입력'!$C$12</f>
        <v>326.79999999999001</v>
      </c>
      <c r="B1640" s="40">
        <f t="shared" si="75"/>
        <v>5.7037359955172944</v>
      </c>
      <c r="C1640" s="40">
        <f>ATAN2('1.설계입력'!$C$6/('1.설계입력'!$C$8*'1.설계입력'!$C$15)-COS((1-'1.설계입력'!$C$15)*B1640),SIN((1-'1.설계입력'!$C$15)*B1640))</f>
        <v>-0.2551733998964586</v>
      </c>
      <c r="D1640" s="40">
        <f>'1.설계입력'!$C$6*COS(B1640)-'1.설계입력'!$C$7*COS(B1640+C1640)-'1.설계입력'!$C$8*COS('1.설계입력'!$C$15*B1640)</f>
        <v>66.490754323786376</v>
      </c>
      <c r="E1640" s="40">
        <f>-'1.설계입력'!$C$6*SIN(B1640)+'1.설계입력'!$C$7*SIN(B1640+C1640)+'1.설계입력'!$C$8*SIN('1.설계입력'!$C$15*B1640)</f>
        <v>43.326787182689955</v>
      </c>
      <c r="F1640" s="40">
        <f>ATAN2(('1.설계입력'!$C$6+'1.설계입력'!$C$33)/('1.설계입력'!$C$8*'1.설계입력'!$C$15)-COS((1-'1.설계입력'!$C$15)*B1640),SIN((1-'1.설계입력'!$C$15)*B1640))</f>
        <v>-0.25517916790594486</v>
      </c>
      <c r="G1640" s="40">
        <f>('1.설계입력'!$C$6+'1.설계입력'!$C$33)*COS(B1640)-('1.설계입력'!$C$7+'1.설계입력'!$C$34)*COS(B1640+F1640)-'1.설계입력'!$C$8*COS('1.설계입력'!$C$15*B1640)</f>
        <v>66.482738682187502</v>
      </c>
      <c r="H1640" s="40">
        <f>-('1.설계입력'!$C$6+'1.설계입력'!$C$33)*SIN(B1640)+('1.설계입력'!$C$7+'1.설계입력'!$C$34)*SIN(B1640+F1640)+'1.설계입력'!$C$8*SIN('1.설계입력'!$C$15*B1640)</f>
        <v>43.319071763312479</v>
      </c>
      <c r="I1640" s="40">
        <f t="shared" si="76"/>
        <v>79.361394255142869</v>
      </c>
      <c r="J1640" s="40">
        <f t="shared" si="77"/>
        <v>79.350466420299298</v>
      </c>
      <c r="K1640" s="38" t="str">
        <f>IF(OR(A1640&gt;180,'1.설계입력'!$C$39&gt;=1),"",'1.설계입력'!$C$34*(1-SIN(B1640)/SQRT(1+'1.설계입력'!$C$39^2-2*'1.설계입력'!$C$39*COS(B1640)))-'1.설계입력'!$C$33*(1-'1.설계입력'!$C$39*COS(B1640)-SQRT(MAX(0,1-'1.설계입력'!$C$39^2))*SIN(B1640))/SQRT(1+'1.설계입력'!$C$39^2-2*'1.설계입력'!$C$39*COS(B1640)))</f>
        <v/>
      </c>
    </row>
    <row r="1641" spans="1:11" x14ac:dyDescent="0.3">
      <c r="A1641" s="40">
        <f>A1640+'1.설계입력'!$C$12</f>
        <v>326.99999999999</v>
      </c>
      <c r="B1641" s="40">
        <f t="shared" si="75"/>
        <v>5.7072266540212828</v>
      </c>
      <c r="C1641" s="40">
        <f>ATAN2('1.설계입력'!$C$6/('1.설계입력'!$C$8*'1.설계입력'!$C$15)-COS((1-'1.설계입력'!$C$15)*B1641),SIN((1-'1.설계입력'!$C$15)*B1641))</f>
        <v>-0.19844128720863757</v>
      </c>
      <c r="D1641" s="40">
        <f>'1.설계입력'!$C$6*COS(B1641)-'1.설계입력'!$C$7*COS(B1641+C1641)-'1.설계입력'!$C$8*COS('1.설계입력'!$C$15*B1641)</f>
        <v>66.661623464384647</v>
      </c>
      <c r="E1641" s="40">
        <f>-'1.설계입력'!$C$6*SIN(B1641)+'1.설계입력'!$C$7*SIN(B1641+C1641)+'1.설계입력'!$C$8*SIN('1.설계입력'!$C$15*B1641)</f>
        <v>43.162289960226715</v>
      </c>
      <c r="F1641" s="40">
        <f>ATAN2(('1.설계입력'!$C$6+'1.설계입력'!$C$33)/('1.설계입력'!$C$8*'1.설계입력'!$C$15)-COS((1-'1.설계입력'!$C$15)*B1641),SIN((1-'1.설계입력'!$C$15)*B1641))</f>
        <v>-0.19844571033263381</v>
      </c>
      <c r="G1641" s="40">
        <f>('1.설계입력'!$C$6+'1.설계입력'!$C$33)*COS(B1641)-('1.설계입력'!$C$7+'1.설계입력'!$C$34)*COS(B1641+F1641)-'1.설계입력'!$C$8*COS('1.설계입력'!$C$15*B1641)</f>
        <v>66.653245772550633</v>
      </c>
      <c r="H1641" s="40">
        <f>-('1.설계입력'!$C$6+'1.설계입력'!$C$33)*SIN(B1641)+('1.설계입력'!$C$7+'1.설계입력'!$C$34)*SIN(B1641+F1641)+'1.설계입력'!$C$8*SIN('1.설계입력'!$C$15*B1641)</f>
        <v>43.154924679558377</v>
      </c>
      <c r="I1641" s="40">
        <f t="shared" si="76"/>
        <v>79.415082430972049</v>
      </c>
      <c r="J1641" s="40">
        <f t="shared" si="77"/>
        <v>79.404047101608086</v>
      </c>
      <c r="K1641" s="38" t="str">
        <f>IF(OR(A1641&gt;180,'1.설계입력'!$C$39&gt;=1),"",'1.설계입력'!$C$34*(1-SIN(B1641)/SQRT(1+'1.설계입력'!$C$39^2-2*'1.설계입력'!$C$39*COS(B1641)))-'1.설계입력'!$C$33*(1-'1.설계입력'!$C$39*COS(B1641)-SQRT(MAX(0,1-'1.설계입력'!$C$39^2))*SIN(B1641))/SQRT(1+'1.설계입력'!$C$39^2-2*'1.설계입력'!$C$39*COS(B1641)))</f>
        <v/>
      </c>
    </row>
    <row r="1642" spans="1:11" x14ac:dyDescent="0.3">
      <c r="A1642" s="40">
        <f>A1641+'1.설계입력'!$C$12</f>
        <v>327.19999999998998</v>
      </c>
      <c r="B1642" s="40">
        <f t="shared" si="75"/>
        <v>5.7107173125252713</v>
      </c>
      <c r="C1642" s="40">
        <f>ATAN2('1.설계입력'!$C$6/('1.설계입력'!$C$8*'1.설계입력'!$C$15)-COS((1-'1.설계입력'!$C$15)*B1642),SIN((1-'1.설계입력'!$C$15)*B1642))</f>
        <v>-0.1413532270571892</v>
      </c>
      <c r="D1642" s="40">
        <f>'1.설계입력'!$C$6*COS(B1642)-'1.설계입력'!$C$7*COS(B1642+C1642)-'1.설계입력'!$C$8*COS('1.설계입력'!$C$15*B1642)</f>
        <v>66.826491523614237</v>
      </c>
      <c r="E1642" s="40">
        <f>-'1.설계입력'!$C$6*SIN(B1642)+'1.설계입력'!$C$7*SIN(B1642+C1642)+'1.설계입력'!$C$8*SIN('1.설계입력'!$C$15*B1642)</f>
        <v>42.983181878058836</v>
      </c>
      <c r="F1642" s="40">
        <f>ATAN2(('1.설계입력'!$C$6+'1.설계입력'!$C$33)/('1.설계입력'!$C$8*'1.설계입력'!$C$15)-COS((1-'1.설계입력'!$C$15)*B1642),SIN((1-'1.설계입력'!$C$15)*B1642))</f>
        <v>-0.14135634535183489</v>
      </c>
      <c r="G1642" s="40">
        <f>('1.설계입력'!$C$6+'1.설계입력'!$C$33)*COS(B1642)-('1.설계입력'!$C$7+'1.설계입력'!$C$34)*COS(B1642+F1642)-'1.설계입력'!$C$8*COS('1.설계입력'!$C$15*B1642)</f>
        <v>66.817771439314157</v>
      </c>
      <c r="H1642" s="40">
        <f>-('1.설계입력'!$C$6+'1.설계입력'!$C$33)*SIN(B1642)+('1.설계입력'!$C$7+'1.설계입력'!$C$34)*SIN(B1642+F1642)+'1.설계입력'!$C$8*SIN('1.설계입력'!$C$15*B1642)</f>
        <v>42.976189847803511</v>
      </c>
      <c r="I1642" s="40">
        <f t="shared" si="76"/>
        <v>79.456490570109949</v>
      </c>
      <c r="J1642" s="40">
        <f t="shared" si="77"/>
        <v>79.4453741507388</v>
      </c>
      <c r="K1642" s="38" t="str">
        <f>IF(OR(A1642&gt;180,'1.설계입력'!$C$39&gt;=1),"",'1.설계입력'!$C$34*(1-SIN(B1642)/SQRT(1+'1.설계입력'!$C$39^2-2*'1.설계입력'!$C$39*COS(B1642)))-'1.설계입력'!$C$33*(1-'1.설계입력'!$C$39*COS(B1642)-SQRT(MAX(0,1-'1.설계입력'!$C$39^2))*SIN(B1642))/SQRT(1+'1.설계입력'!$C$39^2-2*'1.설계입력'!$C$39*COS(B1642)))</f>
        <v/>
      </c>
    </row>
    <row r="1643" spans="1:11" x14ac:dyDescent="0.3">
      <c r="A1643" s="40">
        <f>A1642+'1.설계입력'!$C$12</f>
        <v>327.39999999998997</v>
      </c>
      <c r="B1643" s="40">
        <f t="shared" si="75"/>
        <v>5.7142079710292597</v>
      </c>
      <c r="C1643" s="40">
        <f>ATAN2('1.설계입력'!$C$6/('1.설계입력'!$C$8*'1.설계입력'!$C$15)-COS((1-'1.설계입력'!$C$15)*B1643),SIN((1-'1.설계입력'!$C$15)*B1643))</f>
        <v>-8.4020972194478918E-2</v>
      </c>
      <c r="D1643" s="40">
        <f>'1.설계입력'!$C$6*COS(B1643)-'1.설계입력'!$C$7*COS(B1643+C1643)-'1.설계입력'!$C$8*COS('1.설계입력'!$C$15*B1643)</f>
        <v>66.983043505151613</v>
      </c>
      <c r="E1643" s="40">
        <f>-'1.설계입력'!$C$6*SIN(B1643)+'1.설계입력'!$C$7*SIN(B1643+C1643)+'1.설계입력'!$C$8*SIN('1.설계입력'!$C$15*B1643)</f>
        <v>42.790909579912054</v>
      </c>
      <c r="F1643" s="40">
        <f>ATAN2(('1.설계입력'!$C$6+'1.설계입력'!$C$33)/('1.설계입력'!$C$8*'1.설계입력'!$C$15)-COS((1-'1.설계입력'!$C$15)*B1643),SIN((1-'1.설계입력'!$C$15)*B1643))</f>
        <v>-8.4022813221586182E-2</v>
      </c>
      <c r="G1643" s="40">
        <f>('1.설계입력'!$C$6+'1.설계입력'!$C$33)*COS(B1643)-('1.설계입력'!$C$7+'1.설계입력'!$C$34)*COS(B1643+F1643)-'1.설계입력'!$C$8*COS('1.설계입력'!$C$15*B1643)</f>
        <v>66.974002833933653</v>
      </c>
      <c r="H1643" s="40">
        <f>-('1.설계입력'!$C$6+'1.설계입력'!$C$33)*SIN(B1643)+('1.설계입력'!$C$7+'1.설계입력'!$C$34)*SIN(B1643+F1643)+'1.설계입력'!$C$8*SIN('1.설계입력'!$C$15*B1643)</f>
        <v>42.784312207828293</v>
      </c>
      <c r="I1643" s="40">
        <f t="shared" si="76"/>
        <v>79.484527172835612</v>
      </c>
      <c r="J1643" s="40">
        <f t="shared" si="77"/>
        <v>79.473356709633691</v>
      </c>
      <c r="K1643" s="38" t="str">
        <f>IF(OR(A1643&gt;180,'1.설계입력'!$C$39&gt;=1),"",'1.설계입력'!$C$34*(1-SIN(B1643)/SQRT(1+'1.설계입력'!$C$39^2-2*'1.설계입력'!$C$39*COS(B1643)))-'1.설계입력'!$C$33*(1-'1.설계입력'!$C$39*COS(B1643)-SQRT(MAX(0,1-'1.설계입력'!$C$39^2))*SIN(B1643))/SQRT(1+'1.설계입력'!$C$39^2-2*'1.설계입력'!$C$39*COS(B1643)))</f>
        <v/>
      </c>
    </row>
    <row r="1644" spans="1:11" x14ac:dyDescent="0.3">
      <c r="A1644" s="40">
        <f>A1643+'1.설계입력'!$C$12</f>
        <v>327.59999999998996</v>
      </c>
      <c r="B1644" s="40">
        <f t="shared" si="75"/>
        <v>5.7176986295332481</v>
      </c>
      <c r="C1644" s="40">
        <f>ATAN2('1.설계입력'!$C$6/('1.설계입력'!$C$8*'1.설계입력'!$C$15)-COS((1-'1.설계입력'!$C$15)*B1644),SIN((1-'1.설계입력'!$C$15)*B1644))</f>
        <v>-2.654710689221132E-2</v>
      </c>
      <c r="D1644" s="40">
        <f>'1.설계입력'!$C$6*COS(B1644)-'1.설계입력'!$C$7*COS(B1644+C1644)-'1.설계입력'!$C$8*COS('1.설계입력'!$C$15*B1644)</f>
        <v>67.129185610981438</v>
      </c>
      <c r="E1644" s="40">
        <f>-'1.설계입력'!$C$6*SIN(B1644)+'1.설계입력'!$C$7*SIN(B1644+C1644)+'1.설계입력'!$C$8*SIN('1.설계입력'!$C$15*B1644)</f>
        <v>42.587275765051473</v>
      </c>
      <c r="F1644" s="40">
        <f>ATAN2(('1.설계입력'!$C$6+'1.설계입력'!$C$33)/('1.설계입력'!$C$8*'1.설계입력'!$C$15)-COS((1-'1.설계입력'!$C$15)*B1644),SIN((1-'1.설계입력'!$C$15)*B1644))</f>
        <v>-2.6547686665524706E-2</v>
      </c>
      <c r="G1644" s="40">
        <f>('1.설계입력'!$C$6+'1.설계입력'!$C$33)*COS(B1644)-('1.설계입력'!$C$7+'1.설계입력'!$C$34)*COS(B1644+F1644)-'1.설계입력'!$C$8*COS('1.설계입력'!$C$15*B1644)</f>
        <v>67.119848050915465</v>
      </c>
      <c r="H1644" s="40">
        <f>-('1.설계입력'!$C$6+'1.설계입력'!$C$33)*SIN(B1644)+('1.설계입력'!$C$7+'1.설계입력'!$C$34)*SIN(B1644+F1644)+'1.설계입력'!$C$8*SIN('1.설계입력'!$C$15*B1644)</f>
        <v>42.581092570103756</v>
      </c>
      <c r="I1644" s="40">
        <f t="shared" si="76"/>
        <v>79.498450411829651</v>
      </c>
      <c r="J1644" s="40">
        <f t="shared" si="77"/>
        <v>79.48725336078563</v>
      </c>
      <c r="K1644" s="38" t="str">
        <f>IF(OR(A1644&gt;180,'1.설계입력'!$C$39&gt;=1),"",'1.설계입력'!$C$34*(1-SIN(B1644)/SQRT(1+'1.설계입력'!$C$39^2-2*'1.설계입력'!$C$39*COS(B1644)))-'1.설계입력'!$C$33*(1-'1.설계입력'!$C$39*COS(B1644)-SQRT(MAX(0,1-'1.설계입력'!$C$39^2))*SIN(B1644))/SQRT(1+'1.설계입력'!$C$39^2-2*'1.설계입력'!$C$39*COS(B1644)))</f>
        <v/>
      </c>
    </row>
    <row r="1645" spans="1:11" x14ac:dyDescent="0.3">
      <c r="A1645" s="40">
        <f>A1644+'1.설계입력'!$C$12</f>
        <v>327.79999999998995</v>
      </c>
      <c r="B1645" s="40">
        <f t="shared" si="75"/>
        <v>5.7211892880372366</v>
      </c>
      <c r="C1645" s="40">
        <f>ATAN2('1.설계입력'!$C$6/('1.설계입력'!$C$8*'1.설계입력'!$C$15)-COS((1-'1.설계입력'!$C$15)*B1645),SIN((1-'1.설계입력'!$C$15)*B1645))</f>
        <v>3.0970965695750047E-2</v>
      </c>
      <c r="D1645" s="40">
        <f>'1.설계입력'!$C$6*COS(B1645)-'1.설계입력'!$C$7*COS(B1645+C1645)-'1.설계입력'!$C$8*COS('1.설계입력'!$C$15*B1645)</f>
        <v>67.263107337251327</v>
      </c>
      <c r="E1645" s="40">
        <f>-'1.설계입력'!$C$6*SIN(B1645)+'1.설계입력'!$C$7*SIN(B1645+C1645)+'1.설계입력'!$C$8*SIN('1.설계입력'!$C$15*B1645)</f>
        <v>42.374391986717434</v>
      </c>
      <c r="F1645" s="40">
        <f>ATAN2(('1.설계입력'!$C$6+'1.설계입력'!$C$33)/('1.설계입력'!$C$8*'1.설계입력'!$C$15)-COS((1-'1.설계입력'!$C$15)*B1645),SIN((1-'1.설계입력'!$C$15)*B1645))</f>
        <v>3.0971642172559186E-2</v>
      </c>
      <c r="G1645" s="40">
        <f>('1.설계입력'!$C$6+'1.설계입력'!$C$33)*COS(B1645)-('1.설계입력'!$C$7+'1.설계입력'!$C$34)*COS(B1645+F1645)-'1.설계입력'!$C$8*COS('1.설계입력'!$C$15*B1645)</f>
        <v>67.25349822915264</v>
      </c>
      <c r="H1645" s="40">
        <f>-('1.설계입력'!$C$6+'1.설계입력'!$C$33)*SIN(B1645)+('1.설계입력'!$C$7+'1.설계입력'!$C$34)*SIN(B1645+F1645)+'1.설계입력'!$C$8*SIN('1.설계입력'!$C$15*B1645)</f>
        <v>42.368640426518972</v>
      </c>
      <c r="I1645" s="40">
        <f t="shared" si="76"/>
        <v>79.497891197858678</v>
      </c>
      <c r="J1645" s="40">
        <f t="shared" si="77"/>
        <v>79.48669521152766</v>
      </c>
      <c r="K1645" s="38" t="str">
        <f>IF(OR(A1645&gt;180,'1.설계입력'!$C$39&gt;=1),"",'1.설계입력'!$C$34*(1-SIN(B1645)/SQRT(1+'1.설계입력'!$C$39^2-2*'1.설계입력'!$C$39*COS(B1645)))-'1.설계입력'!$C$33*(1-'1.설계입력'!$C$39*COS(B1645)-SQRT(MAX(0,1-'1.설계입력'!$C$39^2))*SIN(B1645))/SQRT(1+'1.설계입력'!$C$39^2-2*'1.설계입력'!$C$39*COS(B1645)))</f>
        <v/>
      </c>
    </row>
    <row r="1646" spans="1:11" x14ac:dyDescent="0.3">
      <c r="A1646" s="40">
        <f>A1645+'1.설계입력'!$C$12</f>
        <v>327.99999999998994</v>
      </c>
      <c r="B1646" s="40">
        <f t="shared" si="75"/>
        <v>5.724679946541225</v>
      </c>
      <c r="C1646" s="40">
        <f>ATAN2('1.설계입력'!$C$6/('1.설계입력'!$C$8*'1.설계입력'!$C$15)-COS((1-'1.설계입력'!$C$15)*B1646),SIN((1-'1.설계입력'!$C$15)*B1646))</f>
        <v>8.8437439398785872E-2</v>
      </c>
      <c r="D1646" s="40">
        <f>'1.설계입력'!$C$6*COS(B1646)-'1.설계입력'!$C$7*COS(B1646+C1646)-'1.설계입력'!$C$8*COS('1.설계입력'!$C$15*B1646)</f>
        <v>67.383332713830811</v>
      </c>
      <c r="E1646" s="40">
        <f>-'1.설계입력'!$C$6*SIN(B1646)+'1.설계입력'!$C$7*SIN(B1646+C1646)+'1.설계입력'!$C$8*SIN('1.설계입력'!$C$15*B1646)</f>
        <v>42.154622519102766</v>
      </c>
      <c r="F1646" s="40">
        <f>ATAN2(('1.설계입력'!$C$6+'1.설계입력'!$C$33)/('1.설계입력'!$C$8*'1.설계입력'!$C$15)-COS((1-'1.설계입력'!$C$15)*B1646),SIN((1-'1.설계입력'!$C$15)*B1646))</f>
        <v>8.8439377965806282E-2</v>
      </c>
      <c r="G1646" s="40">
        <f>('1.설계입력'!$C$6+'1.설계입력'!$C$33)*COS(B1646)-('1.설계입력'!$C$7+'1.설계입력'!$C$34)*COS(B1646+F1646)-'1.설계입력'!$C$8*COS('1.설계입력'!$C$15*B1646)</f>
        <v>67.373478791398981</v>
      </c>
      <c r="H1646" s="40">
        <f>-('1.설계입력'!$C$6+'1.설계입력'!$C$33)*SIN(B1646)+('1.설계입력'!$C$7+'1.설계입력'!$C$34)*SIN(B1646+F1646)+'1.설계입력'!$C$8*SIN('1.설계입력'!$C$15*B1646)</f>
        <v>42.149317827197166</v>
      </c>
      <c r="I1646" s="40">
        <f t="shared" si="76"/>
        <v>79.482864363023978</v>
      </c>
      <c r="J1646" s="40">
        <f t="shared" si="77"/>
        <v>79.471697086152432</v>
      </c>
      <c r="K1646" s="38" t="str">
        <f>IF(OR(A1646&gt;180,'1.설계입력'!$C$39&gt;=1),"",'1.설계입력'!$C$34*(1-SIN(B1646)/SQRT(1+'1.설계입력'!$C$39^2-2*'1.설계입력'!$C$39*COS(B1646)))-'1.설계입력'!$C$33*(1-'1.설계입력'!$C$39*COS(B1646)-SQRT(MAX(0,1-'1.설계입력'!$C$39^2))*SIN(B1646))/SQRT(1+'1.설계입력'!$C$39^2-2*'1.설계입력'!$C$39*COS(B1646)))</f>
        <v/>
      </c>
    </row>
    <row r="1647" spans="1:11" x14ac:dyDescent="0.3">
      <c r="A1647" s="40">
        <f>A1646+'1.설계입력'!$C$12</f>
        <v>328.19999999998993</v>
      </c>
      <c r="B1647" s="40">
        <f t="shared" si="75"/>
        <v>5.7281706050452135</v>
      </c>
      <c r="C1647" s="40">
        <f>ATAN2('1.설계입력'!$C$6/('1.설계입력'!$C$8*'1.설계입력'!$C$15)-COS((1-'1.설계입력'!$C$15)*B1647),SIN((1-'1.설계입력'!$C$15)*B1647))</f>
        <v>0.14575464309326627</v>
      </c>
      <c r="D1647" s="40">
        <f>'1.설계입력'!$C$6*COS(B1647)-'1.설계입력'!$C$7*COS(B1647+C1647)-'1.설계입력'!$C$8*COS('1.설계입력'!$C$15*B1647)</f>
        <v>67.488760149651895</v>
      </c>
      <c r="E1647" s="40">
        <f>-'1.설계입력'!$C$6*SIN(B1647)+'1.설계입력'!$C$7*SIN(B1647+C1647)+'1.설계입력'!$C$8*SIN('1.설계입력'!$C$15*B1647)</f>
        <v>41.930520352322894</v>
      </c>
      <c r="F1647" s="40">
        <f>ATAN2(('1.설계입력'!$C$6+'1.설계입력'!$C$33)/('1.설계입력'!$C$8*'1.설계입력'!$C$15)-COS((1-'1.설계입력'!$C$15)*B1647),SIN((1-'1.설계입력'!$C$15)*B1647))</f>
        <v>0.14575786062854418</v>
      </c>
      <c r="G1647" s="40">
        <f>('1.설계입력'!$C$6+'1.설계입력'!$C$33)*COS(B1647)-('1.설계입력'!$C$7+'1.설계입력'!$C$34)*COS(B1647+F1647)-'1.설계입력'!$C$8*COS('1.설계입력'!$C$15*B1647)</f>
        <v>67.478689284824128</v>
      </c>
      <c r="H1647" s="40">
        <f>-('1.설계입력'!$C$6+'1.설계입력'!$C$33)*SIN(B1647)+('1.설계입력'!$C$7+'1.설계입력'!$C$34)*SIN(B1647+F1647)+'1.설계입력'!$C$8*SIN('1.설계입력'!$C$15*B1647)</f>
        <v>41.925675382652344</v>
      </c>
      <c r="I1647" s="40">
        <f t="shared" si="76"/>
        <v>79.4537682149425</v>
      </c>
      <c r="J1647" s="40">
        <f t="shared" si="77"/>
        <v>79.442657079741352</v>
      </c>
      <c r="K1647" s="38" t="str">
        <f>IF(OR(A1647&gt;180,'1.설계입력'!$C$39&gt;=1),"",'1.설계입력'!$C$34*(1-SIN(B1647)/SQRT(1+'1.설계입력'!$C$39^2-2*'1.설계입력'!$C$39*COS(B1647)))-'1.설계입력'!$C$33*(1-'1.설계입력'!$C$39*COS(B1647)-SQRT(MAX(0,1-'1.설계입력'!$C$39^2))*SIN(B1647))/SQRT(1+'1.설계입력'!$C$39^2-2*'1.설계입력'!$C$39*COS(B1647)))</f>
        <v/>
      </c>
    </row>
    <row r="1648" spans="1:11" x14ac:dyDescent="0.3">
      <c r="A1648" s="40">
        <f>A1647+'1.설계입력'!$C$12</f>
        <v>328.39999999998992</v>
      </c>
      <c r="B1648" s="40">
        <f t="shared" si="75"/>
        <v>5.7316612635492019</v>
      </c>
      <c r="C1648" s="40">
        <f>ATAN2('1.설계입력'!$C$6/('1.설계입력'!$C$8*'1.설계입력'!$C$15)-COS((1-'1.설계입력'!$C$15)*B1648),SIN((1-'1.설계입력'!$C$15)*B1648))</f>
        <v>0.20281943596613694</v>
      </c>
      <c r="D1648" s="40">
        <f>'1.설계입력'!$C$6*COS(B1648)-'1.설계입력'!$C$7*COS(B1648+C1648)-'1.설계입력'!$C$8*COS('1.설계입력'!$C$15*B1648)</f>
        <v>67.578690228063806</v>
      </c>
      <c r="E1648" s="40">
        <f>-'1.설계입력'!$C$6*SIN(B1648)+'1.설계입력'!$C$7*SIN(B1648+C1648)+'1.설계입력'!$C$8*SIN('1.설계입력'!$C$15*B1648)</f>
        <v>41.704756344646206</v>
      </c>
      <c r="F1648" s="40">
        <f>ATAN2(('1.설계입력'!$C$6+'1.설계입력'!$C$33)/('1.설계입력'!$C$8*'1.설계입력'!$C$15)-COS((1-'1.설계입력'!$C$15)*B1648),SIN((1-'1.설계입력'!$C$15)*B1648))</f>
        <v>0.20282396095343411</v>
      </c>
      <c r="G1648" s="40">
        <f>('1.설계입력'!$C$6+'1.설계입력'!$C$33)*COS(B1648)-('1.설계입력'!$C$7+'1.설계입력'!$C$34)*COS(B1648+F1648)-'1.설계입력'!$C$8*COS('1.설계입력'!$C$15*B1648)</f>
        <v>67.568431167175191</v>
      </c>
      <c r="H1648" s="40">
        <f>-('1.설계입력'!$C$6+'1.설계입력'!$C$33)*SIN(B1648)+('1.설계입력'!$C$7+'1.설계입력'!$C$34)*SIN(B1648+F1648)+'1.설계입력'!$C$8*SIN('1.설계입력'!$C$15*B1648)</f>
        <v>41.700381420044636</v>
      </c>
      <c r="I1648" s="40">
        <f t="shared" si="76"/>
        <v>79.411372451978906</v>
      </c>
      <c r="J1648" s="40">
        <f t="shared" si="77"/>
        <v>79.400344463802526</v>
      </c>
      <c r="K1648" s="38" t="str">
        <f>IF(OR(A1648&gt;180,'1.설계입력'!$C$39&gt;=1),"",'1.설계입력'!$C$34*(1-SIN(B1648)/SQRT(1+'1.설계입력'!$C$39^2-2*'1.설계입력'!$C$39*COS(B1648)))-'1.설계입력'!$C$33*(1-'1.설계입력'!$C$39*COS(B1648)-SQRT(MAX(0,1-'1.설계입력'!$C$39^2))*SIN(B1648))/SQRT(1+'1.설계입력'!$C$39^2-2*'1.설계입력'!$C$39*COS(B1648)))</f>
        <v/>
      </c>
    </row>
    <row r="1649" spans="1:11" x14ac:dyDescent="0.3">
      <c r="A1649" s="40">
        <f>A1648+'1.설계입력'!$C$12</f>
        <v>328.5999999999899</v>
      </c>
      <c r="B1649" s="40">
        <f t="shared" si="75"/>
        <v>5.7351519220531904</v>
      </c>
      <c r="C1649" s="40">
        <f>ATAN2('1.설계입력'!$C$6/('1.설계입력'!$C$8*'1.설계입력'!$C$15)-COS((1-'1.설계입력'!$C$15)*B1649),SIN((1-'1.설계입력'!$C$15)*B1649))</f>
        <v>0.25951917622956816</v>
      </c>
      <c r="D1649" s="40">
        <f>'1.설계입력'!$C$6*COS(B1649)-'1.설계입력'!$C$7*COS(B1649+C1649)-'1.설계입력'!$C$8*COS('1.설계입력'!$C$15*B1649)</f>
        <v>67.652840720236355</v>
      </c>
      <c r="E1649" s="40">
        <f>-'1.설계입력'!$C$6*SIN(B1649)+'1.설계입력'!$C$7*SIN(B1649+C1649)+'1.설계입력'!$C$8*SIN('1.설계입력'!$C$15*B1649)</f>
        <v>41.480042461240771</v>
      </c>
      <c r="F1649" s="40">
        <f>ATAN2(('1.설계입력'!$C$6+'1.설계입력'!$C$33)/('1.설계입력'!$C$8*'1.설계입력'!$C$15)-COS((1-'1.설계입력'!$C$15)*B1649),SIN((1-'1.설계입력'!$C$15)*B1649))</f>
        <v>0.2595250497383455</v>
      </c>
      <c r="G1649" s="40">
        <f>('1.설계입력'!$C$6+'1.설계입력'!$C$33)*COS(B1649)-('1.설계입력'!$C$7+'1.설계입력'!$C$34)*COS(B1649+F1649)-'1.설계입력'!$C$8*COS('1.설계입력'!$C$15*B1649)</f>
        <v>67.642422806348208</v>
      </c>
      <c r="H1649" s="40">
        <f>-('1.설계입력'!$C$6+'1.설계입력'!$C$33)*SIN(B1649)+('1.설계입력'!$C$7+'1.설계입력'!$C$34)*SIN(B1649+F1649)+'1.설계입력'!$C$8*SIN('1.설계입력'!$C$15*B1649)</f>
        <v>41.4761452218888</v>
      </c>
      <c r="I1649" s="40">
        <f t="shared" si="76"/>
        <v>79.356794164734296</v>
      </c>
      <c r="J1649" s="40">
        <f t="shared" si="77"/>
        <v>79.345875668367199</v>
      </c>
      <c r="K1649" s="38" t="str">
        <f>IF(OR(A1649&gt;180,'1.설계입력'!$C$39&gt;=1),"",'1.설계입력'!$C$34*(1-SIN(B1649)/SQRT(1+'1.설계입력'!$C$39^2-2*'1.설계입력'!$C$39*COS(B1649)))-'1.설계입력'!$C$33*(1-'1.설계입력'!$C$39*COS(B1649)-SQRT(MAX(0,1-'1.설계입력'!$C$39^2))*SIN(B1649))/SQRT(1+'1.설계입력'!$C$39^2-2*'1.설계입력'!$C$39*COS(B1649)))</f>
        <v/>
      </c>
    </row>
    <row r="1650" spans="1:11" x14ac:dyDescent="0.3">
      <c r="A1650" s="40">
        <f>A1649+'1.설계입력'!$C$12</f>
        <v>328.79999999998989</v>
      </c>
      <c r="B1650" s="40">
        <f t="shared" si="75"/>
        <v>5.7386425805571788</v>
      </c>
      <c r="C1650" s="40">
        <f>ATAN2('1.설계입력'!$C$6/('1.설계입력'!$C$8*'1.설계입력'!$C$15)-COS((1-'1.설계입력'!$C$15)*B1650),SIN((1-'1.설계입력'!$C$15)*B1650))</f>
        <v>0.3157269222375384</v>
      </c>
      <c r="D1650" s="40">
        <f>'1.설계입력'!$C$6*COS(B1650)-'1.설계입력'!$C$7*COS(B1650+C1650)-'1.설계입력'!$C$8*COS('1.설계입력'!$C$15*B1650)</f>
        <v>67.711348005334912</v>
      </c>
      <c r="E1650" s="40">
        <f>-'1.설계입력'!$C$6*SIN(B1650)+'1.설계입력'!$C$7*SIN(B1650+C1650)+'1.설계입력'!$C$8*SIN('1.설계입력'!$C$15*B1650)</f>
        <v>41.259049822470864</v>
      </c>
      <c r="F1650" s="40">
        <f>ATAN2(('1.설계입력'!$C$6+'1.설계입력'!$C$33)/('1.설계입력'!$C$8*'1.설계입력'!$C$15)-COS((1-'1.설계입력'!$C$15)*B1650),SIN((1-'1.설계입력'!$C$15)*B1650))</f>
        <v>0.31573419938361902</v>
      </c>
      <c r="G1650" s="40">
        <f>('1.설계입력'!$C$6+'1.설계입력'!$C$33)*COS(B1650)-('1.설계입력'!$C$7+'1.설계입력'!$C$34)*COS(B1650+F1650)-'1.설계입력'!$C$8*COS('1.설계입력'!$C$15*B1650)</f>
        <v>67.700800881299784</v>
      </c>
      <c r="H1650" s="40">
        <f>-('1.설계입력'!$C$6+'1.설계입력'!$C$33)*SIN(B1650)+('1.설계입력'!$C$7+'1.설계입력'!$C$34)*SIN(B1650+F1650)+'1.설계입력'!$C$8*SIN('1.설계입력'!$C$15*B1650)</f>
        <v>41.255635068808239</v>
      </c>
      <c r="I1650" s="40">
        <f t="shared" si="76"/>
        <v>79.291461336973143</v>
      </c>
      <c r="J1650" s="40">
        <f t="shared" si="77"/>
        <v>79.280677752527325</v>
      </c>
      <c r="K1650" s="38" t="str">
        <f>IF(OR(A1650&gt;180,'1.설계입력'!$C$39&gt;=1),"",'1.설계입력'!$C$34*(1-SIN(B1650)/SQRT(1+'1.설계입력'!$C$39^2-2*'1.설계입력'!$C$39*COS(B1650)))-'1.설계입력'!$C$33*(1-'1.설계입력'!$C$39*COS(B1650)-SQRT(MAX(0,1-'1.설계입력'!$C$39^2))*SIN(B1650))/SQRT(1+'1.설계입력'!$C$39^2-2*'1.설계입력'!$C$39*COS(B1650)))</f>
        <v/>
      </c>
    </row>
    <row r="1651" spans="1:11" x14ac:dyDescent="0.3">
      <c r="A1651" s="40">
        <f>A1650+'1.설계입력'!$C$12</f>
        <v>328.99999999998988</v>
      </c>
      <c r="B1651" s="40">
        <f t="shared" si="75"/>
        <v>5.7421332390611672</v>
      </c>
      <c r="C1651" s="40">
        <f>ATAN2('1.설계입력'!$C$6/('1.설계입력'!$C$8*'1.설계입력'!$C$15)-COS((1-'1.설계입력'!$C$15)*B1651),SIN((1-'1.설계입력'!$C$15)*B1651))</f>
        <v>0.37129541728270321</v>
      </c>
      <c r="D1651" s="40">
        <f>'1.설계입력'!$C$6*COS(B1651)-'1.설계입력'!$C$7*COS(B1651+C1651)-'1.설계입력'!$C$8*COS('1.설계입력'!$C$15*B1651)</f>
        <v>67.754753956308903</v>
      </c>
      <c r="E1651" s="40">
        <f>-'1.설계입력'!$C$6*SIN(B1651)+'1.설계입력'!$C$7*SIN(B1651+C1651)+'1.설계입력'!$C$8*SIN('1.설계입력'!$C$15*B1651)</f>
        <v>41.044321916335903</v>
      </c>
      <c r="F1651" s="40">
        <f>ATAN2(('1.설계입력'!$C$6+'1.설계입력'!$C$33)/('1.설계입력'!$C$8*'1.설계입력'!$C$15)-COS((1-'1.설계입력'!$C$15)*B1651),SIN((1-'1.설계입력'!$C$15)*B1651))</f>
        <v>0.37130416927539783</v>
      </c>
      <c r="G1651" s="40">
        <f>('1.설계입력'!$C$6+'1.설계입력'!$C$33)*COS(B1651)-('1.설계입력'!$C$7+'1.설계입력'!$C$34)*COS(B1651+F1651)-'1.설계입력'!$C$8*COS('1.설계입력'!$C$15*B1651)</f>
        <v>67.744107241661609</v>
      </c>
      <c r="H1651" s="40">
        <f>-('1.설계입력'!$C$6+'1.설계입력'!$C$33)*SIN(B1651)+('1.설계입력'!$C$7+'1.설계입력'!$C$34)*SIN(B1651+F1651)+'1.설계입력'!$C$8*SIN('1.설계입력'!$C$15*B1651)</f>
        <v>41.041391438691818</v>
      </c>
      <c r="I1651" s="40">
        <f t="shared" si="76"/>
        <v>79.217062841611138</v>
      </c>
      <c r="J1651" s="40">
        <f t="shared" si="77"/>
        <v>79.206438356952233</v>
      </c>
      <c r="K1651" s="38" t="str">
        <f>IF(OR(A1651&gt;180,'1.설계입력'!$C$39&gt;=1),"",'1.설계입력'!$C$34*(1-SIN(B1651)/SQRT(1+'1.설계입력'!$C$39^2-2*'1.설계입력'!$C$39*COS(B1651)))-'1.설계입력'!$C$33*(1-'1.설계입력'!$C$39*COS(B1651)-SQRT(MAX(0,1-'1.설계입력'!$C$39^2))*SIN(B1651))/SQRT(1+'1.설계입력'!$C$39^2-2*'1.설계입력'!$C$39*COS(B1651)))</f>
        <v/>
      </c>
    </row>
    <row r="1652" spans="1:11" x14ac:dyDescent="0.3">
      <c r="A1652" s="40">
        <f>A1651+'1.설계입력'!$C$12</f>
        <v>329.19999999998987</v>
      </c>
      <c r="B1652" s="40">
        <f t="shared" si="75"/>
        <v>5.7456238975651557</v>
      </c>
      <c r="C1652" s="40">
        <f>ATAN2('1.설계입력'!$C$6/('1.설계입력'!$C$8*'1.설계입력'!$C$15)-COS((1-'1.설계입력'!$C$15)*B1652),SIN((1-'1.설계입력'!$C$15)*B1652))</f>
        <v>0.42604922794507227</v>
      </c>
      <c r="D1652" s="40">
        <f>'1.설계입력'!$C$6*COS(B1652)-'1.설계입력'!$C$7*COS(B1652+C1652)-'1.설계입력'!$C$8*COS('1.설계입력'!$C$15*B1652)</f>
        <v>67.783977110202272</v>
      </c>
      <c r="E1652" s="40">
        <f>-'1.설계입력'!$C$6*SIN(B1652)+'1.설계입력'!$C$7*SIN(B1652+C1652)+'1.설계입력'!$C$8*SIN('1.설계입력'!$C$15*B1652)</f>
        <v>40.838182707465158</v>
      </c>
      <c r="F1652" s="40">
        <f>ATAN2(('1.설계입력'!$C$6+'1.설계입력'!$C$33)/('1.설계입력'!$C$8*'1.설계입력'!$C$15)-COS((1-'1.설계입력'!$C$15)*B1652),SIN((1-'1.설계입력'!$C$15)*B1652))</f>
        <v>0.42605954487581799</v>
      </c>
      <c r="G1652" s="40">
        <f>('1.설계입력'!$C$6+'1.설계입력'!$C$33)*COS(B1652)-('1.설계입력'!$C$7+'1.설계입력'!$C$34)*COS(B1652+F1652)-'1.설계입력'!$C$8*COS('1.설계입력'!$C$15*B1652)</f>
        <v>67.77326004256139</v>
      </c>
      <c r="H1652" s="40">
        <f>-('1.설계입력'!$C$6+'1.설계입력'!$C$33)*SIN(B1652)+('1.설계입력'!$C$7+'1.설계입력'!$C$34)*SIN(B1652+F1652)+'1.설계입력'!$C$8*SIN('1.설계입력'!$C$15*B1652)</f>
        <v>40.83573509120604</v>
      </c>
      <c r="I1652" s="40">
        <f t="shared" si="76"/>
        <v>79.135483316428491</v>
      </c>
      <c r="J1652" s="40">
        <f t="shared" si="77"/>
        <v>79.125040519647158</v>
      </c>
      <c r="K1652" s="38" t="str">
        <f>IF(OR(A1652&gt;180,'1.설계입력'!$C$39&gt;=1),"",'1.설계입력'!$C$34*(1-SIN(B1652)/SQRT(1+'1.설계입력'!$C$39^2-2*'1.설계입력'!$C$39*COS(B1652)))-'1.설계입력'!$C$33*(1-'1.설계입력'!$C$39*COS(B1652)-SQRT(MAX(0,1-'1.설계입력'!$C$39^2))*SIN(B1652))/SQRT(1+'1.설계입력'!$C$39^2-2*'1.설계입력'!$C$39*COS(B1652)))</f>
        <v/>
      </c>
    </row>
    <row r="1653" spans="1:11" x14ac:dyDescent="0.3">
      <c r="A1653" s="40">
        <f>A1652+'1.설계입력'!$C$12</f>
        <v>329.39999999998986</v>
      </c>
      <c r="B1653" s="40">
        <f t="shared" si="75"/>
        <v>5.7491145560691441</v>
      </c>
      <c r="C1653" s="40">
        <f>ATAN2('1.설계입력'!$C$6/('1.설계입력'!$C$8*'1.설계입력'!$C$15)-COS((1-'1.설계입력'!$C$15)*B1653),SIN((1-'1.설계입력'!$C$15)*B1653))</f>
        <v>0.47977410854857888</v>
      </c>
      <c r="D1653" s="40">
        <f>'1.설계입력'!$C$6*COS(B1653)-'1.설계입력'!$C$7*COS(B1653+C1653)-'1.설계입력'!$C$8*COS('1.설계입력'!$C$15*B1653)</f>
        <v>67.800266508240085</v>
      </c>
      <c r="E1653" s="40">
        <f>-'1.설계입력'!$C$6*SIN(B1653)+'1.설계입력'!$C$7*SIN(B1653+C1653)+'1.설계입력'!$C$8*SIN('1.설계입력'!$C$15*B1653)</f>
        <v>40.642638342676463</v>
      </c>
      <c r="F1653" s="40">
        <f>ATAN2(('1.설계입력'!$C$6+'1.설계입력'!$C$33)/('1.설계입력'!$C$8*'1.설계입력'!$C$15)-COS((1-'1.설계입력'!$C$15)*B1653),SIN((1-'1.설계입력'!$C$15)*B1653))</f>
        <v>0.47978610314330578</v>
      </c>
      <c r="G1653" s="40">
        <f>('1.설계입력'!$C$6+'1.설계입력'!$C$33)*COS(B1653)-('1.설계입력'!$C$7+'1.설계입력'!$C$34)*COS(B1653+F1653)-'1.설계입력'!$C$8*COS('1.설계입력'!$C$15*B1653)</f>
        <v>67.789507536161295</v>
      </c>
      <c r="H1653" s="40">
        <f>-('1.설계입력'!$C$6+'1.설계입력'!$C$33)*SIN(B1653)+('1.설계입력'!$C$7+'1.설계입력'!$C$34)*SIN(B1653+F1653)+'1.설계입력'!$C$8*SIN('1.설계입력'!$C$15*B1653)</f>
        <v>40.640668732251825</v>
      </c>
      <c r="I1653" s="40">
        <f t="shared" si="76"/>
        <v>79.048720356764633</v>
      </c>
      <c r="J1653" s="40">
        <f t="shared" si="77"/>
        <v>79.038479786746279</v>
      </c>
      <c r="K1653" s="38" t="str">
        <f>IF(OR(A1653&gt;180,'1.설계입력'!$C$39&gt;=1),"",'1.설계입력'!$C$34*(1-SIN(B1653)/SQRT(1+'1.설계입력'!$C$39^2-2*'1.설계입력'!$C$39*COS(B1653)))-'1.설계입력'!$C$33*(1-'1.설계입력'!$C$39*COS(B1653)-SQRT(MAX(0,1-'1.설계입력'!$C$39^2))*SIN(B1653))/SQRT(1+'1.설계입력'!$C$39^2-2*'1.설계입력'!$C$39*COS(B1653)))</f>
        <v/>
      </c>
    </row>
    <row r="1654" spans="1:11" x14ac:dyDescent="0.3">
      <c r="A1654" s="40">
        <f>A1653+'1.설계입력'!$C$12</f>
        <v>329.59999999998985</v>
      </c>
      <c r="B1654" s="40">
        <f t="shared" si="75"/>
        <v>5.7526052145731326</v>
      </c>
      <c r="C1654" s="40">
        <f>ATAN2('1.설계입력'!$C$6/('1.설계입력'!$C$8*'1.설계입력'!$C$15)-COS((1-'1.설계입력'!$C$15)*B1654),SIN((1-'1.설계입력'!$C$15)*B1654))</f>
        <v>0.53220217593357555</v>
      </c>
      <c r="D1654" s="40">
        <f>'1.설계입력'!$C$6*COS(B1654)-'1.설계입력'!$C$7*COS(B1654+C1654)-'1.설계입력'!$C$8*COS('1.설계입력'!$C$15*B1654)</f>
        <v>67.805135837810596</v>
      </c>
      <c r="E1654" s="40">
        <f>-'1.설계입력'!$C$6*SIN(B1654)+'1.설계입력'!$C$7*SIN(B1654+C1654)+'1.설계입력'!$C$8*SIN('1.설계입력'!$C$15*B1654)</f>
        <v>40.459269432730352</v>
      </c>
      <c r="F1654" s="40">
        <f>ATAN2(('1.설계입력'!$C$6+'1.설계입력'!$C$33)/('1.설계입력'!$C$8*'1.설계입력'!$C$15)-COS((1-'1.설계입력'!$C$15)*B1654),SIN((1-'1.설계입력'!$C$15)*B1654))</f>
        <v>0.5322159885840797</v>
      </c>
      <c r="G1654" s="40">
        <f>('1.설계입력'!$C$6+'1.설계입력'!$C$33)*COS(B1654)-('1.설계입력'!$C$7+'1.설계입력'!$C$34)*COS(B1654+F1654)-'1.설계입력'!$C$8*COS('1.설계입력'!$C$15*B1654)</f>
        <v>67.794362146277095</v>
      </c>
      <c r="H1654" s="40">
        <f>-('1.설계입력'!$C$6+'1.설계입력'!$C$33)*SIN(B1654)+('1.설계입력'!$C$7+'1.설계입력'!$C$34)*SIN(B1654+F1654)+'1.설계입력'!$C$8*SIN('1.설계입력'!$C$15*B1654)</f>
        <v>40.457769229341793</v>
      </c>
      <c r="I1654" s="40">
        <f t="shared" si="76"/>
        <v>78.958779936206057</v>
      </c>
      <c r="J1654" s="40">
        <f t="shared" si="77"/>
        <v>78.948759520560202</v>
      </c>
      <c r="K1654" s="38" t="str">
        <f>IF(OR(A1654&gt;180,'1.설계입력'!$C$39&gt;=1),"",'1.설계입력'!$C$34*(1-SIN(B1654)/SQRT(1+'1.설계입력'!$C$39^2-2*'1.설계입력'!$C$39*COS(B1654)))-'1.설계입력'!$C$33*(1-'1.설계입력'!$C$39*COS(B1654)-SQRT(MAX(0,1-'1.설계입력'!$C$39^2))*SIN(B1654))/SQRT(1+'1.설계입력'!$C$39^2-2*'1.설계입력'!$C$39*COS(B1654)))</f>
        <v/>
      </c>
    </row>
    <row r="1655" spans="1:11" x14ac:dyDescent="0.3">
      <c r="A1655" s="40">
        <f>A1654+'1.설계입력'!$C$12</f>
        <v>329.79999999998984</v>
      </c>
      <c r="B1655" s="40">
        <f t="shared" si="75"/>
        <v>5.7560958730771219</v>
      </c>
      <c r="C1655" s="40">
        <f>ATAN2('1.설계입력'!$C$6/('1.설계입력'!$C$8*'1.설계입력'!$C$15)-COS((1-'1.설계입력'!$C$15)*B1655),SIN((1-'1.설계입력'!$C$15)*B1655))</f>
        <v>0.5829906638375687</v>
      </c>
      <c r="D1655" s="40">
        <f>'1.설계입력'!$C$6*COS(B1655)-'1.설계입력'!$C$7*COS(B1655+C1655)-'1.설계입력'!$C$8*COS('1.설계입력'!$C$15*B1655)</f>
        <v>67.8002742407852</v>
      </c>
      <c r="E1655" s="40">
        <f>-'1.설계입력'!$C$6*SIN(B1655)+'1.설계입력'!$C$7*SIN(B1655+C1655)+'1.설계입력'!$C$8*SIN('1.설계입력'!$C$15*B1655)</f>
        <v>40.289107971485535</v>
      </c>
      <c r="F1655" s="40">
        <f>ATAN2(('1.설계입력'!$C$6+'1.설계입력'!$C$33)/('1.설계입력'!$C$8*'1.설계입력'!$C$15)-COS((1-'1.설계입력'!$C$15)*B1655),SIN((1-'1.설계입력'!$C$15)*B1655))</f>
        <v>0.58300646935615019</v>
      </c>
      <c r="G1655" s="40">
        <f>('1.설계입력'!$C$6+'1.설계입력'!$C$33)*COS(B1655)-('1.설계입력'!$C$7+'1.설계입력'!$C$34)*COS(B1655+F1655)-'1.설계입력'!$C$8*COS('1.설계입력'!$C$15*B1655)</f>
        <v>67.789511181645167</v>
      </c>
      <c r="H1655" s="40">
        <f>-('1.설계입력'!$C$6+'1.설계입력'!$C$33)*SIN(B1655)+('1.설계입력'!$C$7+'1.설계입력'!$C$34)*SIN(B1655+F1655)+'1.설계입력'!$C$8*SIN('1.설계입력'!$C$15*B1655)</f>
        <v>40.288064424933296</v>
      </c>
      <c r="I1655" s="40">
        <f t="shared" si="76"/>
        <v>78.867543440021635</v>
      </c>
      <c r="J1655" s="40">
        <f t="shared" si="77"/>
        <v>78.85775777533857</v>
      </c>
      <c r="K1655" s="38" t="str">
        <f>IF(OR(A1655&gt;180,'1.설계입력'!$C$39&gt;=1),"",'1.설계입력'!$C$34*(1-SIN(B1655)/SQRT(1+'1.설계입력'!$C$39^2-2*'1.설계입력'!$C$39*COS(B1655)))-'1.설계입력'!$C$33*(1-'1.설계입력'!$C$39*COS(B1655)-SQRT(MAX(0,1-'1.설계입력'!$C$39^2))*SIN(B1655))/SQRT(1+'1.설계입력'!$C$39^2-2*'1.설계입력'!$C$39*COS(B1655)))</f>
        <v/>
      </c>
    </row>
    <row r="1656" spans="1:11" x14ac:dyDescent="0.3">
      <c r="A1656" s="40">
        <f>A1655+'1.설계입력'!$C$12</f>
        <v>329.99999999998983</v>
      </c>
      <c r="B1656" s="40">
        <f t="shared" si="75"/>
        <v>5.7595865315811103</v>
      </c>
      <c r="C1656" s="40">
        <f>ATAN2('1.설계입력'!$C$6/('1.설계입력'!$C$8*'1.설계입력'!$C$15)-COS((1-'1.설계입력'!$C$15)*B1656),SIN((1-'1.설계입력'!$C$15)*B1656))</f>
        <v>0.63169063433655981</v>
      </c>
      <c r="D1656" s="40">
        <f>'1.설계입력'!$C$6*COS(B1656)-'1.설계입력'!$C$7*COS(B1656+C1656)-'1.설계입력'!$C$8*COS('1.설계입력'!$C$15*B1656)</f>
        <v>67.787428066977853</v>
      </c>
      <c r="E1656" s="40">
        <f>-'1.설계입력'!$C$6*SIN(B1656)+'1.설계입력'!$C$7*SIN(B1656+C1656)+'1.설계입력'!$C$8*SIN('1.설계입력'!$C$15*B1656)</f>
        <v>40.132487868315458</v>
      </c>
      <c r="F1656" s="40">
        <f>ATAN2(('1.설계입력'!$C$6+'1.설계입력'!$C$33)/('1.설계입력'!$C$8*'1.설계입력'!$C$15)-COS((1-'1.설계입력'!$C$15)*B1656),SIN((1-'1.설계입력'!$C$15)*B1656))</f>
        <v>0.63170865105293217</v>
      </c>
      <c r="G1656" s="40">
        <f>('1.설계입력'!$C$6+'1.설계입력'!$C$33)*COS(B1656)-('1.설계입력'!$C$7+'1.설계입력'!$C$34)*COS(B1656+F1656)-'1.설계입력'!$C$8*COS('1.설계입력'!$C$15*B1656)</f>
        <v>67.776698452834864</v>
      </c>
      <c r="H1656" s="40">
        <f>-('1.설계입력'!$C$6+'1.설계입력'!$C$33)*SIN(B1656)+('1.설계입력'!$C$7+'1.설계입력'!$C$34)*SIN(B1656+F1656)+'1.설계입력'!$C$8*SIN('1.설계입력'!$C$15*B1656)</f>
        <v>40.131883499692286</v>
      </c>
      <c r="I1656" s="40">
        <f t="shared" si="76"/>
        <v>78.77659542298197</v>
      </c>
      <c r="J1656" s="40">
        <f t="shared" si="77"/>
        <v>78.767054828775855</v>
      </c>
      <c r="K1656" s="38" t="str">
        <f>IF(OR(A1656&gt;180,'1.설계입력'!$C$39&gt;=1),"",'1.설계입력'!$C$34*(1-SIN(B1656)/SQRT(1+'1.설계입력'!$C$39^2-2*'1.설계입력'!$C$39*COS(B1656)))-'1.설계입력'!$C$33*(1-'1.설계입력'!$C$39*COS(B1656)-SQRT(MAX(0,1-'1.설계입력'!$C$39^2))*SIN(B1656))/SQRT(1+'1.설계입력'!$C$39^2-2*'1.설계입력'!$C$39*COS(B1656)))</f>
        <v/>
      </c>
    </row>
    <row r="1657" spans="1:11" x14ac:dyDescent="0.3">
      <c r="A1657" s="40">
        <f>A1656+'1.설계입력'!$C$12</f>
        <v>330.19999999998981</v>
      </c>
      <c r="B1657" s="40">
        <f t="shared" si="75"/>
        <v>5.7630771900850988</v>
      </c>
      <c r="C1657" s="40">
        <f>ATAN2('1.설계입력'!$C$6/('1.설계입력'!$C$8*'1.설계입력'!$C$15)-COS((1-'1.설계입력'!$C$15)*B1657),SIN((1-'1.설계입력'!$C$15)*B1657))</f>
        <v>0.67769957901825817</v>
      </c>
      <c r="D1657" s="40">
        <f>'1.설계입력'!$C$6*COS(B1657)-'1.설계입력'!$C$7*COS(B1657+C1657)-'1.설계입력'!$C$8*COS('1.설계입력'!$C$15*B1657)</f>
        <v>67.768244492407987</v>
      </c>
      <c r="E1657" s="40">
        <f>-'1.설계입력'!$C$6*SIN(B1657)+'1.설계입력'!$C$7*SIN(B1657+C1657)+'1.설계입력'!$C$8*SIN('1.설계입력'!$C$15*B1657)</f>
        <v>39.988848911644396</v>
      </c>
      <c r="F1657" s="40">
        <f>ATAN2(('1.설계입력'!$C$6+'1.설계입력'!$C$33)/('1.설계입력'!$C$8*'1.설계입력'!$C$15)-COS((1-'1.설계입력'!$C$15)*B1657),SIN((1-'1.설계입력'!$C$15)*B1657))</f>
        <v>0.67772008105836901</v>
      </c>
      <c r="G1657" s="40">
        <f>('1.설계입력'!$C$6+'1.설계입력'!$C$33)*COS(B1657)-('1.설계입력'!$C$7+'1.설계입력'!$C$34)*COS(B1657+F1657)-'1.설계입력'!$C$8*COS('1.설계입력'!$C$15*B1657)</f>
        <v>67.757567690793095</v>
      </c>
      <c r="H1657" s="40">
        <f>-('1.설계입력'!$C$6+'1.설계입력'!$C$33)*SIN(B1657)+('1.설계입력'!$C$7+'1.설계입력'!$C$34)*SIN(B1657+F1657)+'1.설계입력'!$C$8*SIN('1.설계입력'!$C$15*B1657)</f>
        <v>39.988660661944408</v>
      </c>
      <c r="I1657" s="40">
        <f t="shared" si="76"/>
        <v>78.686993835456121</v>
      </c>
      <c r="J1657" s="40">
        <f t="shared" si="77"/>
        <v>78.677703073415586</v>
      </c>
      <c r="K1657" s="38" t="str">
        <f>IF(OR(A1657&gt;180,'1.설계입력'!$C$39&gt;=1),"",'1.설계입력'!$C$34*(1-SIN(B1657)/SQRT(1+'1.설계입력'!$C$39^2-2*'1.설계입력'!$C$39*COS(B1657)))-'1.설계입력'!$C$33*(1-'1.설계입력'!$C$39*COS(B1657)-SQRT(MAX(0,1-'1.설계입력'!$C$39^2))*SIN(B1657))/SQRT(1+'1.설계입력'!$C$39^2-2*'1.설계입력'!$C$39*COS(B1657)))</f>
        <v/>
      </c>
    </row>
    <row r="1658" spans="1:11" x14ac:dyDescent="0.3">
      <c r="A1658" s="40">
        <f>A1657+'1.설계입력'!$C$12</f>
        <v>330.3999999999898</v>
      </c>
      <c r="B1658" s="40">
        <f t="shared" si="75"/>
        <v>5.7665678485890872</v>
      </c>
      <c r="C1658" s="40">
        <f>ATAN2('1.설계입력'!$C$6/('1.설계입력'!$C$8*'1.설계입력'!$C$15)-COS((1-'1.설계입력'!$C$15)*B1658),SIN((1-'1.설계입력'!$C$15)*B1658))</f>
        <v>0.72018741047049883</v>
      </c>
      <c r="D1658" s="40">
        <f>'1.설계입력'!$C$6*COS(B1658)-'1.설계입력'!$C$7*COS(B1658+C1658)-'1.설계입력'!$C$8*COS('1.설계입력'!$C$15*B1658)</f>
        <v>67.744062686244632</v>
      </c>
      <c r="E1658" s="40">
        <f>-'1.설계입력'!$C$6*SIN(B1658)+'1.설계입력'!$C$7*SIN(B1658+C1658)+'1.설계입력'!$C$8*SIN('1.설계입력'!$C$15*B1658)</f>
        <v>39.856456862150175</v>
      </c>
      <c r="F1658" s="40">
        <f>ATAN2(('1.설계입력'!$C$6+'1.설계입력'!$C$33)/('1.설계입력'!$C$8*'1.설계입력'!$C$15)-COS((1-'1.설계입력'!$C$15)*B1658),SIN((1-'1.설계입력'!$C$15)*B1658))</f>
        <v>0.72021074428042386</v>
      </c>
      <c r="G1658" s="40">
        <f>('1.설계입력'!$C$6+'1.설계입력'!$C$33)*COS(B1658)-('1.설계입력'!$C$7+'1.설계입력'!$C$34)*COS(B1658+F1658)-'1.설계입력'!$C$8*COS('1.설계입력'!$C$15*B1658)</f>
        <v>67.733453416670699</v>
      </c>
      <c r="H1658" s="40">
        <f>-('1.설계입력'!$C$6+'1.설계입력'!$C$33)*SIN(B1658)+('1.설계입력'!$C$7+'1.설계입력'!$C$34)*SIN(B1658+F1658)+'1.설계입력'!$C$8*SIN('1.설계입력'!$C$15*B1658)</f>
        <v>39.856654786681496</v>
      </c>
      <c r="I1658" s="40">
        <f t="shared" si="76"/>
        <v>78.598951537805391</v>
      </c>
      <c r="J1658" s="40">
        <f t="shared" si="77"/>
        <v>78.589908019624261</v>
      </c>
      <c r="K1658" s="38" t="str">
        <f>IF(OR(A1658&gt;180,'1.설계입력'!$C$39&gt;=1),"",'1.설계입력'!$C$34*(1-SIN(B1658)/SQRT(1+'1.설계입력'!$C$39^2-2*'1.설계입력'!$C$39*COS(B1658)))-'1.설계입력'!$C$33*(1-'1.설계입력'!$C$39*COS(B1658)-SQRT(MAX(0,1-'1.설계입력'!$C$39^2))*SIN(B1658))/SQRT(1+'1.설계입력'!$C$39^2-2*'1.설계입력'!$C$39*COS(B1658)))</f>
        <v/>
      </c>
    </row>
    <row r="1659" spans="1:11" x14ac:dyDescent="0.3">
      <c r="A1659" s="40">
        <f>A1658+'1.설계입력'!$C$12</f>
        <v>330.59999999998979</v>
      </c>
      <c r="B1659" s="40">
        <f t="shared" si="75"/>
        <v>5.7700585070930757</v>
      </c>
      <c r="C1659" s="40">
        <f>ATAN2('1.설계입력'!$C$6/('1.설계입력'!$C$8*'1.설계입력'!$C$15)-COS((1-'1.설계입력'!$C$15)*B1659),SIN((1-'1.설계입력'!$C$15)*B1659))</f>
        <v>0.75797703007774431</v>
      </c>
      <c r="D1659" s="40">
        <f>'1.설계입력'!$C$6*COS(B1659)-'1.설계입력'!$C$7*COS(B1659+C1659)-'1.설계입력'!$C$8*COS('1.설계입력'!$C$15*B1659)</f>
        <v>67.71563063974132</v>
      </c>
      <c r="E1659" s="40">
        <f>-'1.설계입력'!$C$6*SIN(B1659)+'1.설계입력'!$C$7*SIN(B1659+C1659)+'1.설계입력'!$C$8*SIN('1.설계입력'!$C$15*B1659)</f>
        <v>39.731969051775167</v>
      </c>
      <c r="F1659" s="40">
        <f>ATAN2(('1.설계입력'!$C$6+'1.설계입력'!$C$33)/('1.설계입력'!$C$8*'1.설계입력'!$C$15)-COS((1-'1.설계입력'!$C$15)*B1659),SIN((1-'1.설계입력'!$C$15)*B1659))</f>
        <v>0.75800363628649292</v>
      </c>
      <c r="G1659" s="40">
        <f>('1.설계입력'!$C$6+'1.설계입력'!$C$33)*COS(B1659)-('1.설계입력'!$C$7+'1.설계입력'!$C$34)*COS(B1659+F1659)-'1.설계입력'!$C$8*COS('1.설계입력'!$C$15*B1659)</f>
        <v>67.705097322600324</v>
      </c>
      <c r="H1659" s="40">
        <f>-('1.설계입력'!$C$6+'1.설계입력'!$C$33)*SIN(B1659)+('1.설계입력'!$C$7+'1.설계입력'!$C$34)*SIN(B1659+F1659)+'1.설계입력'!$C$8*SIN('1.설계입력'!$C$15*B1659)</f>
        <v>39.732514238746397</v>
      </c>
      <c r="I1659" s="40">
        <f t="shared" si="76"/>
        <v>78.511374957193894</v>
      </c>
      <c r="J1659" s="40">
        <f t="shared" si="77"/>
        <v>78.502566144011922</v>
      </c>
      <c r="K1659" s="38" t="str">
        <f>IF(OR(A1659&gt;180,'1.설계입력'!$C$39&gt;=1),"",'1.설계입력'!$C$34*(1-SIN(B1659)/SQRT(1+'1.설계입력'!$C$39^2-2*'1.설계입력'!$C$39*COS(B1659)))-'1.설계입력'!$C$33*(1-'1.설계입력'!$C$39*COS(B1659)-SQRT(MAX(0,1-'1.설계입력'!$C$39^2))*SIN(B1659))/SQRT(1+'1.설계입력'!$C$39^2-2*'1.설계입력'!$C$39*COS(B1659)))</f>
        <v/>
      </c>
    </row>
    <row r="1660" spans="1:11" x14ac:dyDescent="0.3">
      <c r="A1660" s="40">
        <f>A1659+'1.설계입력'!$C$12</f>
        <v>330.79999999998978</v>
      </c>
      <c r="B1660" s="40">
        <f t="shared" si="75"/>
        <v>5.7735491655970641</v>
      </c>
      <c r="C1660" s="40">
        <f>ATAN2('1.설계입력'!$C$6/('1.설계입력'!$C$8*'1.설계입력'!$C$15)-COS((1-'1.설계입력'!$C$15)*B1660),SIN((1-'1.설계입력'!$C$15)*B1660))</f>
        <v>0.78934449702205167</v>
      </c>
      <c r="D1660" s="40">
        <f>'1.설계입력'!$C$6*COS(B1660)-'1.설계입력'!$C$7*COS(B1660+C1660)-'1.설계입력'!$C$8*COS('1.설계입력'!$C$15*B1660)</f>
        <v>67.68271711083716</v>
      </c>
      <c r="E1660" s="40">
        <f>-'1.설계입력'!$C$6*SIN(B1660)+'1.설계입력'!$C$7*SIN(B1660+C1660)+'1.설계입력'!$C$8*SIN('1.설계입력'!$C$15*B1660)</f>
        <v>39.60970720975687</v>
      </c>
      <c r="F1660" s="40">
        <f>ATAN2(('1.설계입력'!$C$6+'1.설계입력'!$C$33)/('1.설계입력'!$C$8*'1.설계입력'!$C$15)-COS((1-'1.설계입력'!$C$15)*B1660),SIN((1-'1.설계입력'!$C$15)*B1660))</f>
        <v>0.78937493786776969</v>
      </c>
      <c r="G1660" s="40">
        <f>('1.설계입력'!$C$6+'1.설계입력'!$C$33)*COS(B1660)-('1.설계입력'!$C$7+'1.설계입력'!$C$34)*COS(B1660+F1660)-'1.설계입력'!$C$8*COS('1.설계입력'!$C$15*B1660)</f>
        <v>67.672259536563217</v>
      </c>
      <c r="H1660" s="40">
        <f>-('1.설계입력'!$C$6+'1.설계입력'!$C$33)*SIN(B1660)+('1.설계입력'!$C$7+'1.설계입력'!$C$34)*SIN(B1660+F1660)+'1.설계입력'!$C$8*SIN('1.설계입력'!$C$15*B1660)</f>
        <v>39.610548322795928</v>
      </c>
      <c r="I1660" s="40">
        <f t="shared" si="76"/>
        <v>78.421164877527005</v>
      </c>
      <c r="J1660" s="40">
        <f t="shared" si="77"/>
        <v>78.412564358121358</v>
      </c>
      <c r="K1660" s="38" t="str">
        <f>IF(OR(A1660&gt;180,'1.설계입력'!$C$39&gt;=1),"",'1.설계입력'!$C$34*(1-SIN(B1660)/SQRT(1+'1.설계입력'!$C$39^2-2*'1.설계입력'!$C$39*COS(B1660)))-'1.설계입력'!$C$33*(1-'1.설계입력'!$C$39*COS(B1660)-SQRT(MAX(0,1-'1.설계입력'!$C$39^2))*SIN(B1660))/SQRT(1+'1.설계입력'!$C$39^2-2*'1.설계입력'!$C$39*COS(B1660)))</f>
        <v/>
      </c>
    </row>
    <row r="1661" spans="1:11" x14ac:dyDescent="0.3">
      <c r="A1661" s="40">
        <f>A1660+'1.설계입력'!$C$12</f>
        <v>330.99999999998977</v>
      </c>
      <c r="B1661" s="40">
        <f t="shared" si="75"/>
        <v>5.7770398241010525</v>
      </c>
      <c r="C1661" s="40">
        <f>ATAN2('1.설계입력'!$C$6/('1.설계입력'!$C$8*'1.설계입력'!$C$15)-COS((1-'1.설계입력'!$C$15)*B1661),SIN((1-'1.설계입력'!$C$15)*B1661))</f>
        <v>0.81167134380792594</v>
      </c>
      <c r="D1661" s="40">
        <f>'1.설계입력'!$C$6*COS(B1661)-'1.설계입력'!$C$7*COS(B1661+C1661)-'1.설계입력'!$C$8*COS('1.설계입력'!$C$15*B1661)</f>
        <v>67.643588085719713</v>
      </c>
      <c r="E1661" s="40">
        <f>-'1.설계입력'!$C$6*SIN(B1661)+'1.설계입력'!$C$7*SIN(B1661+C1661)+'1.설계입력'!$C$8*SIN('1.설계입력'!$C$15*B1661)</f>
        <v>39.480356127973813</v>
      </c>
      <c r="F1661" s="40">
        <f>ATAN2(('1.설계입력'!$C$6+'1.설계입력'!$C$33)/('1.설계입력'!$C$8*'1.설계입력'!$C$15)-COS((1-'1.설계입력'!$C$15)*B1661),SIN((1-'1.설계입력'!$C$15)*B1661))</f>
        <v>0.81170633216320343</v>
      </c>
      <c r="G1661" s="40">
        <f>('1.설계입력'!$C$6+'1.설계입력'!$C$33)*COS(B1661)-('1.설계입력'!$C$7+'1.설계입력'!$C$34)*COS(B1661+F1661)-'1.설계입력'!$C$8*COS('1.설계입력'!$C$15*B1661)</f>
        <v>67.633194069307677</v>
      </c>
      <c r="H1661" s="40">
        <f>-('1.설계입력'!$C$6+'1.설계입력'!$C$33)*SIN(B1661)+('1.설계입력'!$C$7+'1.설계입력'!$C$34)*SIN(B1661+F1661)+'1.설계입력'!$C$8*SIN('1.설계입력'!$C$15*B1661)</f>
        <v>39.481423396986308</v>
      </c>
      <c r="I1661" s="40">
        <f t="shared" si="76"/>
        <v>78.322113921306808</v>
      </c>
      <c r="J1661" s="40">
        <f t="shared" si="77"/>
        <v>78.313675264724566</v>
      </c>
      <c r="K1661" s="38" t="str">
        <f>IF(OR(A1661&gt;180,'1.설계입력'!$C$39&gt;=1),"",'1.설계입력'!$C$34*(1-SIN(B1661)/SQRT(1+'1.설계입력'!$C$39^2-2*'1.설계입력'!$C$39*COS(B1661)))-'1.설계입력'!$C$33*(1-'1.설계입력'!$C$39*COS(B1661)-SQRT(MAX(0,1-'1.설계입력'!$C$39^2))*SIN(B1661))/SQRT(1+'1.설계입력'!$C$39^2-2*'1.설계입력'!$C$39*COS(B1661)))</f>
        <v/>
      </c>
    </row>
    <row r="1662" spans="1:11" x14ac:dyDescent="0.3">
      <c r="A1662" s="40">
        <f>A1661+'1.설계입력'!$C$12</f>
        <v>331.19999999998976</v>
      </c>
      <c r="B1662" s="40">
        <f t="shared" si="75"/>
        <v>5.780530482605041</v>
      </c>
      <c r="C1662" s="40">
        <f>ATAN2('1.설계입력'!$C$6/('1.설계입력'!$C$8*'1.설계입력'!$C$15)-COS((1-'1.설계입력'!$C$15)*B1662),SIN((1-'1.설계입력'!$C$15)*B1662))</f>
        <v>0.82081480079234703</v>
      </c>
      <c r="D1662" s="40">
        <f>'1.설계입력'!$C$6*COS(B1662)-'1.설계입력'!$C$7*COS(B1662+C1662)-'1.설계입력'!$C$8*COS('1.설계입력'!$C$15*B1662)</f>
        <v>67.594371788830941</v>
      </c>
      <c r="E1662" s="40">
        <f>-'1.설계입력'!$C$6*SIN(B1662)+'1.설계입력'!$C$7*SIN(B1662+C1662)+'1.설계입력'!$C$8*SIN('1.설계입력'!$C$15*B1662)</f>
        <v>39.328494155289981</v>
      </c>
      <c r="F1662" s="40">
        <f>ATAN2(('1.설계입력'!$C$6+'1.설계입력'!$C$33)/('1.설계입력'!$C$8*'1.설계입력'!$C$15)-COS((1-'1.설계입력'!$C$15)*B1662),SIN((1-'1.설계입력'!$C$15)*B1662))</f>
        <v>0.82085521102007131</v>
      </c>
      <c r="G1662" s="40">
        <f>('1.설계입력'!$C$6+'1.설계입력'!$C$33)*COS(B1662)-('1.설계입력'!$C$7+'1.설계입력'!$C$34)*COS(B1662+F1662)-'1.설계입력'!$C$8*COS('1.설계입력'!$C$15*B1662)</f>
        <v>67.584012425810499</v>
      </c>
      <c r="H1662" s="40">
        <f>-('1.설계입력'!$C$6+'1.설계입력'!$C$33)*SIN(B1662)+('1.설계입력'!$C$7+'1.설계입력'!$C$34)*SIN(B1662+F1662)+'1.설계입력'!$C$8*SIN('1.설계입력'!$C$15*B1662)</f>
        <v>39.32968839459717</v>
      </c>
      <c r="I1662" s="40">
        <f t="shared" si="76"/>
        <v>78.203130052763115</v>
      </c>
      <c r="J1662" s="40">
        <f t="shared" si="77"/>
        <v>78.194776838278784</v>
      </c>
      <c r="K1662" s="38" t="str">
        <f>IF(OR(A1662&gt;180,'1.설계입력'!$C$39&gt;=1),"",'1.설계입력'!$C$34*(1-SIN(B1662)/SQRT(1+'1.설계입력'!$C$39^2-2*'1.설계입력'!$C$39*COS(B1662)))-'1.설계입력'!$C$33*(1-'1.설계입력'!$C$39*COS(B1662)-SQRT(MAX(0,1-'1.설계입력'!$C$39^2))*SIN(B1662))/SQRT(1+'1.설계입력'!$C$39^2-2*'1.설계입력'!$C$39*COS(B1662)))</f>
        <v/>
      </c>
    </row>
    <row r="1663" spans="1:11" x14ac:dyDescent="0.3">
      <c r="A1663" s="40">
        <f>A1662+'1.설계입력'!$C$12</f>
        <v>331.39999999998975</v>
      </c>
      <c r="B1663" s="40">
        <f t="shared" si="75"/>
        <v>5.7840211411090294</v>
      </c>
      <c r="C1663" s="40">
        <f>ATAN2('1.설계입력'!$C$6/('1.설계입력'!$C$8*'1.설계입력'!$C$15)-COS((1-'1.설계입력'!$C$15)*B1663),SIN((1-'1.설계입력'!$C$15)*B1663))</f>
        <v>0.80992614898392534</v>
      </c>
      <c r="D1663" s="40">
        <f>'1.설계입력'!$C$6*COS(B1663)-'1.설계입력'!$C$7*COS(B1663+C1663)-'1.설계입력'!$C$8*COS('1.설계입력'!$C$15*B1663)</f>
        <v>67.528643889038662</v>
      </c>
      <c r="E1663" s="40">
        <f>-'1.설계입력'!$C$6*SIN(B1663)+'1.설계입력'!$C$7*SIN(B1663+C1663)+'1.설계입력'!$C$8*SIN('1.설계입력'!$C$15*B1663)</f>
        <v>39.12767812056935</v>
      </c>
      <c r="F1663" s="40">
        <f>ATAN2(('1.설계입력'!$C$6+'1.설계입력'!$C$33)/('1.설계입력'!$C$8*'1.설계입력'!$C$15)-COS((1-'1.설계입력'!$C$15)*B1663),SIN((1-'1.설계입력'!$C$15)*B1663))</f>
        <v>0.8099729333656458</v>
      </c>
      <c r="G1663" s="40">
        <f>('1.설계입력'!$C$6+'1.설계입력'!$C$33)*COS(B1663)-('1.설계입력'!$C$7+'1.설계입력'!$C$34)*COS(B1663+F1663)-'1.설계입력'!$C$8*COS('1.설계입력'!$C$15*B1663)</f>
        <v>67.51826746873374</v>
      </c>
      <c r="H1663" s="40">
        <f>-('1.설계입력'!$C$6+'1.설계입력'!$C$33)*SIN(B1663)+('1.설계입력'!$C$7+'1.설계입력'!$C$34)*SIN(B1663+F1663)+'1.설계입력'!$C$8*SIN('1.설계입력'!$C$15*B1663)</f>
        <v>39.128849561166319</v>
      </c>
      <c r="I1663" s="40">
        <f t="shared" si="76"/>
        <v>78.045454323743158</v>
      </c>
      <c r="J1663" s="40">
        <f t="shared" si="77"/>
        <v>78.037063693861867</v>
      </c>
      <c r="K1663" s="38" t="str">
        <f>IF(OR(A1663&gt;180,'1.설계입력'!$C$39&gt;=1),"",'1.설계입력'!$C$34*(1-SIN(B1663)/SQRT(1+'1.설계입력'!$C$39^2-2*'1.설계입력'!$C$39*COS(B1663)))-'1.설계입력'!$C$33*(1-'1.설계입력'!$C$39*COS(B1663)-SQRT(MAX(0,1-'1.설계입력'!$C$39^2))*SIN(B1663))/SQRT(1+'1.설계입력'!$C$39^2-2*'1.설계입력'!$C$39*COS(B1663)))</f>
        <v/>
      </c>
    </row>
    <row r="1664" spans="1:11" x14ac:dyDescent="0.3">
      <c r="A1664" s="40">
        <f>A1663+'1.설계입력'!$C$12</f>
        <v>331.59999999998973</v>
      </c>
      <c r="B1664" s="40">
        <f t="shared" si="75"/>
        <v>5.7875117996130179</v>
      </c>
      <c r="C1664" s="40">
        <f>ATAN2('1.설계입력'!$C$6/('1.설계입력'!$C$8*'1.설계입력'!$C$15)-COS((1-'1.설계입력'!$C$15)*B1664),SIN((1-'1.설계입력'!$C$15)*B1664))</f>
        <v>0.76721009096176729</v>
      </c>
      <c r="D1664" s="40">
        <f>'1.설계입력'!$C$6*COS(B1664)-'1.설계입력'!$C$7*COS(B1664+C1664)-'1.설계입력'!$C$8*COS('1.설계입력'!$C$15*B1664)</f>
        <v>67.438954005231949</v>
      </c>
      <c r="E1664" s="40">
        <f>-'1.설계입력'!$C$6*SIN(B1664)+'1.설계입력'!$C$7*SIN(B1664+C1664)+'1.설계입력'!$C$8*SIN('1.설계입력'!$C$15*B1664)</f>
        <v>38.830476927232894</v>
      </c>
      <c r="F1664" s="40">
        <f>ATAN2(('1.설계입력'!$C$6+'1.설계입력'!$C$33)/('1.설계입력'!$C$8*'1.설계입력'!$C$15)-COS((1-'1.설계입력'!$C$15)*B1664),SIN((1-'1.설계입력'!$C$15)*B1664))</f>
        <v>0.76726382595799181</v>
      </c>
      <c r="G1664" s="40">
        <f>('1.설계입력'!$C$6+'1.설계입력'!$C$33)*COS(B1664)-('1.설계입력'!$C$7+'1.설계입력'!$C$34)*COS(B1664+F1664)-'1.설계입력'!$C$8*COS('1.설계입력'!$C$15*B1664)</f>
        <v>67.42848165124208</v>
      </c>
      <c r="H1664" s="40">
        <f>-('1.설계입력'!$C$6+'1.설계입력'!$C$33)*SIN(B1664)+('1.설계입력'!$C$7+'1.설계입력'!$C$34)*SIN(B1664+F1664)+'1.설계입력'!$C$8*SIN('1.설계입력'!$C$15*B1664)</f>
        <v>38.831382491989665</v>
      </c>
      <c r="I1664" s="40">
        <f t="shared" si="76"/>
        <v>77.819139392029754</v>
      </c>
      <c r="J1664" s="40">
        <f t="shared" si="77"/>
        <v>77.810516024706402</v>
      </c>
      <c r="K1664" s="38" t="str">
        <f>IF(OR(A1664&gt;180,'1.설계입력'!$C$39&gt;=1),"",'1.설계입력'!$C$34*(1-SIN(B1664)/SQRT(1+'1.설계입력'!$C$39^2-2*'1.설계입력'!$C$39*COS(B1664)))-'1.설계입력'!$C$33*(1-'1.설계입력'!$C$39*COS(B1664)-SQRT(MAX(0,1-'1.설계입력'!$C$39^2))*SIN(B1664))/SQRT(1+'1.설계입력'!$C$39^2-2*'1.설계입력'!$C$39*COS(B1664)))</f>
        <v/>
      </c>
    </row>
    <row r="1665" spans="1:11" x14ac:dyDescent="0.3">
      <c r="A1665" s="40">
        <f>A1664+'1.설계입력'!$C$12</f>
        <v>331.79999999998972</v>
      </c>
      <c r="B1665" s="40">
        <f t="shared" si="75"/>
        <v>5.7910024581170063</v>
      </c>
      <c r="C1665" s="40">
        <f>ATAN2('1.설계입력'!$C$6/('1.설계입력'!$C$8*'1.설계입력'!$C$15)-COS((1-'1.설계입력'!$C$15)*B1665),SIN((1-'1.설계입력'!$C$15)*B1665))</f>
        <v>0.67202731166788177</v>
      </c>
      <c r="D1665" s="40">
        <f>'1.설계입력'!$C$6*COS(B1665)-'1.설계입력'!$C$7*COS(B1665+C1665)-'1.설계입력'!$C$8*COS('1.설계입력'!$C$15*B1665)</f>
        <v>67.327701053068452</v>
      </c>
      <c r="E1665" s="40">
        <f>-'1.설계입력'!$C$6*SIN(B1665)+'1.설계입력'!$C$7*SIN(B1665+C1665)+'1.설계입력'!$C$8*SIN('1.설계입력'!$C$15*B1665)</f>
        <v>38.349951668156663</v>
      </c>
      <c r="F1665" s="40">
        <f>ATAN2(('1.설계입력'!$C$6+'1.설계입력'!$C$33)/('1.설계입력'!$C$8*'1.설계입력'!$C$15)-COS((1-'1.설계입력'!$C$15)*B1665),SIN((1-'1.설계입력'!$C$15)*B1665))</f>
        <v>0.67208643522101075</v>
      </c>
      <c r="G1665" s="40">
        <f>('1.설계입력'!$C$6+'1.설계입력'!$C$33)*COS(B1665)-('1.설계입력'!$C$7+'1.설계입력'!$C$34)*COS(B1665+F1665)-'1.설계입력'!$C$8*COS('1.설계입력'!$C$15*B1665)</f>
        <v>67.317042048825456</v>
      </c>
      <c r="H1665" s="40">
        <f>-('1.설계입력'!$C$6+'1.설계입력'!$C$33)*SIN(B1665)+('1.설계입력'!$C$7+'1.설계입력'!$C$34)*SIN(B1665+F1665)+'1.설계입력'!$C$8*SIN('1.설계입력'!$C$15*B1665)</f>
        <v>38.350168810659987</v>
      </c>
      <c r="I1665" s="40">
        <f t="shared" si="76"/>
        <v>77.483792641050471</v>
      </c>
      <c r="J1665" s="40">
        <f t="shared" si="77"/>
        <v>77.474638418062028</v>
      </c>
      <c r="K1665" s="38" t="str">
        <f>IF(OR(A1665&gt;180,'1.설계입력'!$C$39&gt;=1),"",'1.설계입력'!$C$34*(1-SIN(B1665)/SQRT(1+'1.설계입력'!$C$39^2-2*'1.설계입력'!$C$39*COS(B1665)))-'1.설계입력'!$C$33*(1-'1.설계입력'!$C$39*COS(B1665)-SQRT(MAX(0,1-'1.설계입력'!$C$39^2))*SIN(B1665))/SQRT(1+'1.설계입력'!$C$39^2-2*'1.설계입력'!$C$39*COS(B1665)))</f>
        <v/>
      </c>
    </row>
    <row r="1666" spans="1:11" x14ac:dyDescent="0.3">
      <c r="A1666" s="40">
        <f>A1665+'1.설계입력'!$C$12</f>
        <v>331.99999999998971</v>
      </c>
      <c r="B1666" s="40">
        <f t="shared" si="75"/>
        <v>5.7944931166209948</v>
      </c>
      <c r="C1666" s="40">
        <f>ATAN2('1.설계입력'!$C$6/('1.설계입력'!$C$8*'1.설계입력'!$C$15)-COS((1-'1.설계입력'!$C$15)*B1666),SIN((1-'1.설계입력'!$C$15)*B1666))</f>
        <v>0.49136204074799528</v>
      </c>
      <c r="D1666" s="40">
        <f>'1.설계입력'!$C$6*COS(B1666)-'1.설계입력'!$C$7*COS(B1666+C1666)-'1.설계입력'!$C$8*COS('1.설계입력'!$C$15*B1666)</f>
        <v>67.252650205945159</v>
      </c>
      <c r="E1666" s="40">
        <f>-'1.설계입력'!$C$6*SIN(B1666)+'1.설계입력'!$C$7*SIN(B1666+C1666)+'1.설계입력'!$C$8*SIN('1.설계입력'!$C$15*B1666)</f>
        <v>37.5431661219883</v>
      </c>
      <c r="F1666" s="40">
        <f>ATAN2(('1.설계입력'!$C$6+'1.설계입력'!$C$33)/('1.설계입력'!$C$8*'1.설계입력'!$C$15)-COS((1-'1.설계입력'!$C$15)*B1666),SIN((1-'1.설계입력'!$C$15)*B1666))</f>
        <v>0.49141736842346445</v>
      </c>
      <c r="G1666" s="40">
        <f>('1.설계입력'!$C$6+'1.설계입력'!$C$33)*COS(B1666)-('1.설계입력'!$C$7+'1.설계입력'!$C$34)*COS(B1666+F1666)-'1.설계입력'!$C$8*COS('1.설계입력'!$C$15*B1666)</f>
        <v>67.24181369547297</v>
      </c>
      <c r="H1666" s="40">
        <f>-('1.설계입력'!$C$6+'1.설계입력'!$C$33)*SIN(B1666)+('1.설계입력'!$C$7+'1.설계입력'!$C$34)*SIN(B1666+F1666)+'1.설계입력'!$C$8*SIN('1.설계입력'!$C$15*B1666)</f>
        <v>37.541954143953696</v>
      </c>
      <c r="I1666" s="40">
        <f t="shared" si="76"/>
        <v>77.022128522824048</v>
      </c>
      <c r="J1666" s="40">
        <f t="shared" si="77"/>
        <v>77.012075871277617</v>
      </c>
      <c r="K1666" s="38" t="str">
        <f>IF(OR(A1666&gt;180,'1.설계입력'!$C$39&gt;=1),"",'1.설계입력'!$C$34*(1-SIN(B1666)/SQRT(1+'1.설계입력'!$C$39^2-2*'1.설계입력'!$C$39*COS(B1666)))-'1.설계입력'!$C$33*(1-'1.설계입력'!$C$39*COS(B1666)-SQRT(MAX(0,1-'1.설계입력'!$C$39^2))*SIN(B1666))/SQRT(1+'1.설계입력'!$C$39^2-2*'1.설계입력'!$C$39*COS(B1666)))</f>
        <v/>
      </c>
    </row>
    <row r="1667" spans="1:11" x14ac:dyDescent="0.3">
      <c r="A1667" s="40">
        <f>A1666+'1.설계입력'!$C$12</f>
        <v>332.1999999999897</v>
      </c>
      <c r="B1667" s="40">
        <f t="shared" si="75"/>
        <v>5.7979837751249832</v>
      </c>
      <c r="C1667" s="40">
        <f>ATAN2('1.설계입력'!$C$6/('1.설계입력'!$C$8*'1.설계입력'!$C$15)-COS((1-'1.설계입력'!$C$15)*B1667),SIN((1-'1.설계입력'!$C$15)*B1667))</f>
        <v>0.19574910030719314</v>
      </c>
      <c r="D1667" s="40">
        <f>'1.설계입력'!$C$6*COS(B1667)-'1.설계입력'!$C$7*COS(B1667+C1667)-'1.설계입력'!$C$8*COS('1.설계입력'!$C$15*B1667)</f>
        <v>67.429966582563097</v>
      </c>
      <c r="E1667" s="40">
        <f>-'1.설계입력'!$C$6*SIN(B1667)+'1.설계입력'!$C$7*SIN(B1667+C1667)+'1.설계입력'!$C$8*SIN('1.설계입력'!$C$15*B1667)</f>
        <v>36.307115698173483</v>
      </c>
      <c r="F1667" s="40">
        <f>ATAN2(('1.설계입력'!$C$6+'1.설계입력'!$C$33)/('1.설계입력'!$C$8*'1.설계입력'!$C$15)-COS((1-'1.설계입력'!$C$15)*B1667),SIN((1-'1.설계입력'!$C$15)*B1667))</f>
        <v>0.19577579203241977</v>
      </c>
      <c r="G1667" s="40">
        <f>('1.설계입력'!$C$6+'1.설계입력'!$C$33)*COS(B1667)-('1.설계입력'!$C$7+'1.설계입력'!$C$34)*COS(B1667+F1667)-'1.설계입력'!$C$8*COS('1.설계입력'!$C$15*B1667)</f>
        <v>67.419430804478054</v>
      </c>
      <c r="H1667" s="40">
        <f>-('1.설계입력'!$C$6+'1.설계입력'!$C$33)*SIN(B1667)+('1.설계입력'!$C$7+'1.설계입력'!$C$34)*SIN(B1667+F1667)+'1.설계입력'!$C$8*SIN('1.설계입력'!$C$15*B1667)</f>
        <v>36.303460470061353</v>
      </c>
      <c r="I1667" s="40">
        <f t="shared" si="76"/>
        <v>76.583333981004841</v>
      </c>
      <c r="J1667" s="40">
        <f t="shared" si="77"/>
        <v>76.572324583370929</v>
      </c>
      <c r="K1667" s="38" t="str">
        <f>IF(OR(A1667&gt;180,'1.설계입력'!$C$39&gt;=1),"",'1.설계입력'!$C$34*(1-SIN(B1667)/SQRT(1+'1.설계입력'!$C$39^2-2*'1.설계입력'!$C$39*COS(B1667)))-'1.설계입력'!$C$33*(1-'1.설계입력'!$C$39*COS(B1667)-SQRT(MAX(0,1-'1.설계입력'!$C$39^2))*SIN(B1667))/SQRT(1+'1.설계입력'!$C$39^2-2*'1.설계입력'!$C$39*COS(B1667)))</f>
        <v/>
      </c>
    </row>
    <row r="1668" spans="1:11" x14ac:dyDescent="0.3">
      <c r="A1668" s="40">
        <f>A1667+'1.설계입력'!$C$12</f>
        <v>332.39999999998969</v>
      </c>
      <c r="B1668" s="40">
        <f t="shared" si="75"/>
        <v>5.8014744336289716</v>
      </c>
      <c r="C1668" s="40">
        <f>ATAN2('1.설계입력'!$C$6/('1.설계입력'!$C$8*'1.설계입력'!$C$15)-COS((1-'1.설계입력'!$C$15)*B1668),SIN((1-'1.설계입력'!$C$15)*B1668))</f>
        <v>-0.16871107837076788</v>
      </c>
      <c r="D1668" s="40">
        <f>'1.설계입력'!$C$6*COS(B1668)-'1.설계입력'!$C$7*COS(B1668+C1668)-'1.설계입력'!$C$8*COS('1.설계입력'!$C$15*B1668)</f>
        <v>68.115061838008472</v>
      </c>
      <c r="E1668" s="40">
        <f>-'1.설계입력'!$C$6*SIN(B1668)+'1.설계입력'!$C$7*SIN(B1668+C1668)+'1.설계입력'!$C$8*SIN('1.설계입력'!$C$15*B1668)</f>
        <v>34.958080871459288</v>
      </c>
      <c r="F1668" s="40">
        <f>ATAN2(('1.설계입력'!$C$6+'1.설계입력'!$C$33)/('1.설계입력'!$C$8*'1.설계입력'!$C$15)-COS((1-'1.설계입력'!$C$15)*B1668),SIN((1-'1.설계입력'!$C$15)*B1668))</f>
        <v>-0.16873428105909191</v>
      </c>
      <c r="G1668" s="40">
        <f>('1.설계입력'!$C$6+'1.설계입력'!$C$33)*COS(B1668)-('1.설계입력'!$C$7+'1.설계입력'!$C$34)*COS(B1668+F1668)-'1.설계입력'!$C$8*COS('1.설계입력'!$C$15*B1668)</f>
        <v>68.105924710769798</v>
      </c>
      <c r="H1668" s="40">
        <f>-('1.설계입력'!$C$6+'1.설계입력'!$C$33)*SIN(B1668)+('1.설계입력'!$C$7+'1.설계입력'!$C$34)*SIN(B1668+F1668)+'1.설계입력'!$C$8*SIN('1.설계입력'!$C$15*B1668)</f>
        <v>34.95166591309038</v>
      </c>
      <c r="I1668" s="40">
        <f t="shared" si="76"/>
        <v>76.56192962178531</v>
      </c>
      <c r="J1668" s="40">
        <f t="shared" si="77"/>
        <v>76.550871522206251</v>
      </c>
      <c r="K1668" s="38" t="str">
        <f>IF(OR(A1668&gt;180,'1.설계입력'!$C$39&gt;=1),"",'1.설계입력'!$C$34*(1-SIN(B1668)/SQRT(1+'1.설계입력'!$C$39^2-2*'1.설계입력'!$C$39*COS(B1668)))-'1.설계입력'!$C$33*(1-'1.설계입력'!$C$39*COS(B1668)-SQRT(MAX(0,1-'1.설계입력'!$C$39^2))*SIN(B1668))/SQRT(1+'1.설계입력'!$C$39^2-2*'1.설계입력'!$C$39*COS(B1668)))</f>
        <v/>
      </c>
    </row>
    <row r="1669" spans="1:11" x14ac:dyDescent="0.3">
      <c r="A1669" s="40">
        <f>A1668+'1.설계입력'!$C$12</f>
        <v>332.59999999998968</v>
      </c>
      <c r="B1669" s="40">
        <f t="shared" si="75"/>
        <v>5.8049650921329601</v>
      </c>
      <c r="C1669" s="40">
        <f>ATAN2('1.설계입력'!$C$6/('1.설계입력'!$C$8*'1.설계입력'!$C$15)-COS((1-'1.설계입력'!$C$15)*B1669),SIN((1-'1.설계입력'!$C$15)*B1669))</f>
        <v>-0.47283814223403464</v>
      </c>
      <c r="D1669" s="40">
        <f>'1.설계입력'!$C$6*COS(B1669)-'1.설계입력'!$C$7*COS(B1669+C1669)-'1.설계입력'!$C$8*COS('1.설계입력'!$C$15*B1669)</f>
        <v>69.035681518771753</v>
      </c>
      <c r="E1669" s="40">
        <f>-'1.설계입력'!$C$6*SIN(B1669)+'1.설계입력'!$C$7*SIN(B1669+C1669)+'1.설계입력'!$C$8*SIN('1.설계입력'!$C$15*B1669)</f>
        <v>34.066803607970193</v>
      </c>
      <c r="F1669" s="40">
        <f>ATAN2(('1.설계입력'!$C$6+'1.설계입력'!$C$33)/('1.설계입력'!$C$8*'1.설계입력'!$C$15)-COS((1-'1.설계입력'!$C$15)*B1669),SIN((1-'1.설계입력'!$C$15)*B1669))</f>
        <v>-0.47289236203409274</v>
      </c>
      <c r="G1669" s="40">
        <f>('1.설계입력'!$C$6+'1.설계입력'!$C$33)*COS(B1669)-('1.설계입력'!$C$7+'1.설계입력'!$C$34)*COS(B1669+F1669)-'1.설계입력'!$C$8*COS('1.설계입력'!$C$15*B1669)</f>
        <v>69.028401541103307</v>
      </c>
      <c r="H1669" s="40">
        <f>-('1.설계입력'!$C$6+'1.설계입력'!$C$33)*SIN(B1669)+('1.설계입력'!$C$7+'1.설계입력'!$C$34)*SIN(B1669+F1669)+'1.설계입력'!$C$8*SIN('1.설계입력'!$C$15*B1669)</f>
        <v>34.058657121674031</v>
      </c>
      <c r="I1669" s="40">
        <f t="shared" si="76"/>
        <v>76.983585463560317</v>
      </c>
      <c r="J1669" s="40">
        <f t="shared" si="77"/>
        <v>76.973452204325298</v>
      </c>
      <c r="K1669" s="38" t="str">
        <f>IF(OR(A1669&gt;180,'1.설계입력'!$C$39&gt;=1),"",'1.설계입력'!$C$34*(1-SIN(B1669)/SQRT(1+'1.설계입력'!$C$39^2-2*'1.설계입력'!$C$39*COS(B1669)))-'1.설계입력'!$C$33*(1-'1.설계입력'!$C$39*COS(B1669)-SQRT(MAX(0,1-'1.설계입력'!$C$39^2))*SIN(B1669))/SQRT(1+'1.설계입력'!$C$39^2-2*'1.설계입력'!$C$39*COS(B1669)))</f>
        <v/>
      </c>
    </row>
    <row r="1670" spans="1:11" x14ac:dyDescent="0.3">
      <c r="A1670" s="40">
        <f>A1669+'1.설계입력'!$C$12</f>
        <v>332.79999999998967</v>
      </c>
      <c r="B1670" s="40">
        <f t="shared" ref="B1670:B1733" si="78">RADIANS(A1670)</f>
        <v>5.8084557506369485</v>
      </c>
      <c r="C1670" s="40">
        <f>ATAN2('1.설계입력'!$C$6/('1.설계입력'!$C$8*'1.설계입력'!$C$15)-COS((1-'1.설계입력'!$C$15)*B1670),SIN((1-'1.설계입력'!$C$15)*B1670))</f>
        <v>-0.6616605608190903</v>
      </c>
      <c r="D1670" s="40">
        <f>'1.설계입력'!$C$6*COS(B1670)-'1.설계입력'!$C$7*COS(B1670+C1670)-'1.설계입력'!$C$8*COS('1.설계입력'!$C$15*B1670)</f>
        <v>69.76325316184932</v>
      </c>
      <c r="E1670" s="40">
        <f>-'1.설계입력'!$C$6*SIN(B1670)+'1.설계입력'!$C$7*SIN(B1670+C1670)+'1.설계입력'!$C$8*SIN('1.설계입력'!$C$15*B1670)</f>
        <v>33.644789919653938</v>
      </c>
      <c r="F1670" s="40">
        <f>ATAN2(('1.설계입력'!$C$6+'1.설계입력'!$C$33)/('1.설계입력'!$C$8*'1.설계입력'!$C$15)-COS((1-'1.설계입력'!$C$15)*B1670),SIN((1-'1.설계입력'!$C$15)*B1670))</f>
        <v>-0.6617198759448395</v>
      </c>
      <c r="G1670" s="40">
        <f>('1.설계입력'!$C$6+'1.설계입력'!$C$33)*COS(B1670)-('1.설계입력'!$C$7+'1.설계입력'!$C$34)*COS(B1670+F1670)-'1.설계입력'!$C$8*COS('1.설계입력'!$C$15*B1670)</f>
        <v>69.757302571788202</v>
      </c>
      <c r="H1670" s="40">
        <f>-('1.설계입력'!$C$6+'1.설계입력'!$C$33)*SIN(B1670)+('1.설계입력'!$C$7+'1.설계입력'!$C$34)*SIN(B1670+F1670)+'1.설계입력'!$C$8*SIN('1.설계입력'!$C$15*B1670)</f>
        <v>33.635925191096916</v>
      </c>
      <c r="I1670" s="40">
        <f t="shared" ref="I1670:I1733" si="79">SQRT(D1670^2+E1670^2)</f>
        <v>77.452458840645775</v>
      </c>
      <c r="J1670" s="40">
        <f t="shared" ref="J1670:J1733" si="80">SQRT(G1670^2+H1670^2)</f>
        <v>77.443248418135695</v>
      </c>
      <c r="K1670" s="38" t="str">
        <f>IF(OR(A1670&gt;180,'1.설계입력'!$C$39&gt;=1),"",'1.설계입력'!$C$34*(1-SIN(B1670)/SQRT(1+'1.설계입력'!$C$39^2-2*'1.설계입력'!$C$39*COS(B1670)))-'1.설계입력'!$C$33*(1-'1.설계입력'!$C$39*COS(B1670)-SQRT(MAX(0,1-'1.설계입력'!$C$39^2))*SIN(B1670))/SQRT(1+'1.설계입력'!$C$39^2-2*'1.설계입력'!$C$39*COS(B1670)))</f>
        <v/>
      </c>
    </row>
    <row r="1671" spans="1:11" x14ac:dyDescent="0.3">
      <c r="A1671" s="40">
        <f>A1670+'1.설계입력'!$C$12</f>
        <v>332.99999999998965</v>
      </c>
      <c r="B1671" s="40">
        <f t="shared" si="78"/>
        <v>5.811946409140937</v>
      </c>
      <c r="C1671" s="40">
        <f>ATAN2('1.설계입력'!$C$6/('1.설계입력'!$C$8*'1.설계입력'!$C$15)-COS((1-'1.설계입력'!$C$15)*B1671),SIN((1-'1.설계입력'!$C$15)*B1671))</f>
        <v>-0.76209293620173424</v>
      </c>
      <c r="D1671" s="40">
        <f>'1.설계입력'!$C$6*COS(B1671)-'1.설계입력'!$C$7*COS(B1671+C1671)-'1.설계입력'!$C$8*COS('1.설계입력'!$C$15*B1671)</f>
        <v>70.238152338366277</v>
      </c>
      <c r="E1671" s="40">
        <f>-'1.설계입력'!$C$6*SIN(B1671)+'1.설계입력'!$C$7*SIN(B1671+C1671)+'1.설계입력'!$C$8*SIN('1.설계입력'!$C$15*B1671)</f>
        <v>33.452832205687514</v>
      </c>
      <c r="F1671" s="40">
        <f>ATAN2(('1.설계입력'!$C$6+'1.설계입력'!$C$33)/('1.설계입력'!$C$8*'1.설계입력'!$C$15)-COS((1-'1.설계입력'!$C$15)*B1671),SIN((1-'1.설계입력'!$C$15)*B1671))</f>
        <v>-0.7621471907861771</v>
      </c>
      <c r="G1671" s="40">
        <f>('1.설계입력'!$C$6+'1.설계입력'!$C$33)*COS(B1671)-('1.설계입력'!$C$7+'1.설계입력'!$C$34)*COS(B1671+F1671)-'1.설계입력'!$C$8*COS('1.설계입력'!$C$15*B1671)</f>
        <v>70.232913537807704</v>
      </c>
      <c r="H1671" s="40">
        <f>-('1.설계입력'!$C$6+'1.설계입력'!$C$33)*SIN(B1671)+('1.설계입력'!$C$7+'1.설계입력'!$C$34)*SIN(B1671+F1671)+'1.설계입력'!$C$8*SIN('1.설계입력'!$C$15*B1671)</f>
        <v>33.443709704105373</v>
      </c>
      <c r="I1671" s="40">
        <f t="shared" si="79"/>
        <v>77.797750780401302</v>
      </c>
      <c r="J1671" s="40">
        <f t="shared" si="80"/>
        <v>77.789098611448409</v>
      </c>
      <c r="K1671" s="38" t="str">
        <f>IF(OR(A1671&gt;180,'1.설계입력'!$C$39&gt;=1),"",'1.설계입력'!$C$34*(1-SIN(B1671)/SQRT(1+'1.설계입력'!$C$39^2-2*'1.설계입력'!$C$39*COS(B1671)))-'1.설계입력'!$C$33*(1-'1.설계입력'!$C$39*COS(B1671)-SQRT(MAX(0,1-'1.설계입력'!$C$39^2))*SIN(B1671))/SQRT(1+'1.설계입력'!$C$39^2-2*'1.설계입력'!$C$39*COS(B1671)))</f>
        <v/>
      </c>
    </row>
    <row r="1672" spans="1:11" x14ac:dyDescent="0.3">
      <c r="A1672" s="40">
        <f>A1671+'1.설계입력'!$C$12</f>
        <v>333.19999999998964</v>
      </c>
      <c r="B1672" s="40">
        <f t="shared" si="78"/>
        <v>5.8154370676449254</v>
      </c>
      <c r="C1672" s="40">
        <f>ATAN2('1.설계입력'!$C$6/('1.설계입력'!$C$8*'1.설계입력'!$C$15)-COS((1-'1.설계입력'!$C$15)*B1672),SIN((1-'1.설계입력'!$C$15)*B1672))</f>
        <v>-0.80796681773962942</v>
      </c>
      <c r="D1672" s="40">
        <f>'1.설계입력'!$C$6*COS(B1672)-'1.설계입력'!$C$7*COS(B1672+C1672)-'1.설계입력'!$C$8*COS('1.설계입력'!$C$15*B1672)</f>
        <v>70.543364577894351</v>
      </c>
      <c r="E1672" s="40">
        <f>-'1.설계입력'!$C$6*SIN(B1672)+'1.설계입력'!$C$7*SIN(B1672+C1672)+'1.설계입력'!$C$8*SIN('1.설계입력'!$C$15*B1672)</f>
        <v>33.353603944483559</v>
      </c>
      <c r="F1672" s="40">
        <f>ATAN2(('1.설계입력'!$C$6+'1.설계입력'!$C$33)/('1.설계입력'!$C$8*'1.설계입력'!$C$15)-COS((1-'1.설계입력'!$C$15)*B1672),SIN((1-'1.설계입력'!$C$15)*B1672))</f>
        <v>-0.80801412729558919</v>
      </c>
      <c r="G1672" s="40">
        <f>('1.설계입력'!$C$6+'1.설계입력'!$C$33)*COS(B1672)-('1.설계입력'!$C$7+'1.설계입력'!$C$34)*COS(B1672+F1672)-'1.설계입력'!$C$8*COS('1.설계입력'!$C$15*B1672)</f>
        <v>70.538423366247216</v>
      </c>
      <c r="H1672" s="40">
        <f>-('1.설계입력'!$C$6+'1.설계입력'!$C$33)*SIN(B1672)+('1.설계입력'!$C$7+'1.설계입력'!$C$34)*SIN(B1672+F1672)+'1.설계입력'!$C$8*SIN('1.설계입력'!$C$15*B1672)</f>
        <v>33.344401177209896</v>
      </c>
      <c r="I1672" s="40">
        <f t="shared" si="79"/>
        <v>78.030950154763516</v>
      </c>
      <c r="J1672" s="40">
        <f t="shared" si="80"/>
        <v>78.022549694704594</v>
      </c>
      <c r="K1672" s="38" t="str">
        <f>IF(OR(A1672&gt;180,'1.설계입력'!$C$39&gt;=1),"",'1.설계입력'!$C$34*(1-SIN(B1672)/SQRT(1+'1.설계입력'!$C$39^2-2*'1.설계입력'!$C$39*COS(B1672)))-'1.설계입력'!$C$33*(1-'1.설계입력'!$C$39*COS(B1672)-SQRT(MAX(0,1-'1.설계입력'!$C$39^2))*SIN(B1672))/SQRT(1+'1.설계입력'!$C$39^2-2*'1.설계입력'!$C$39*COS(B1672)))</f>
        <v/>
      </c>
    </row>
    <row r="1673" spans="1:11" x14ac:dyDescent="0.3">
      <c r="A1673" s="40">
        <f>A1672+'1.설계입력'!$C$12</f>
        <v>333.39999999998963</v>
      </c>
      <c r="B1673" s="40">
        <f t="shared" si="78"/>
        <v>5.8189277261489138</v>
      </c>
      <c r="C1673" s="40">
        <f>ATAN2('1.설계입력'!$C$6/('1.설계입력'!$C$8*'1.설계입력'!$C$15)-COS((1-'1.설계입력'!$C$15)*B1673),SIN((1-'1.설계입력'!$C$15)*B1673))</f>
        <v>-0.82080081748151246</v>
      </c>
      <c r="D1673" s="40">
        <f>'1.설계입력'!$C$6*COS(B1673)-'1.설계입력'!$C$7*COS(B1673+C1673)-'1.설계입력'!$C$8*COS('1.설계입력'!$C$15*B1673)</f>
        <v>70.751292732287567</v>
      </c>
      <c r="E1673" s="40">
        <f>-'1.설계입력'!$C$6*SIN(B1673)+'1.설계입력'!$C$7*SIN(B1673+C1673)+'1.설계입력'!$C$8*SIN('1.설계입력'!$C$15*B1673)</f>
        <v>33.291885567088066</v>
      </c>
      <c r="F1673" s="40">
        <f>ATAN2(('1.설계입력'!$C$6+'1.설계입력'!$C$33)/('1.설계입력'!$C$8*'1.설계입력'!$C$15)-COS((1-'1.설계입력'!$C$15)*B1673),SIN((1-'1.설계입력'!$C$15)*B1673))</f>
        <v>-0.82084168463708318</v>
      </c>
      <c r="G1673" s="40">
        <f>('1.설계입력'!$C$6+'1.설계입력'!$C$33)*COS(B1673)-('1.설계입력'!$C$7+'1.설계입력'!$C$34)*COS(B1673+F1673)-'1.설계입력'!$C$8*COS('1.설계입력'!$C$15*B1673)</f>
        <v>70.746394902466122</v>
      </c>
      <c r="H1673" s="40">
        <f>-('1.설계입력'!$C$6+'1.설계입력'!$C$33)*SIN(B1673)+('1.설계입력'!$C$7+'1.설계입력'!$C$34)*SIN(B1673+F1673)+'1.설계입력'!$C$8*SIN('1.설계입력'!$C$15*B1673)</f>
        <v>33.282679770921398</v>
      </c>
      <c r="I1673" s="40">
        <f t="shared" si="79"/>
        <v>78.192679119607689</v>
      </c>
      <c r="J1673" s="40">
        <f t="shared" si="80"/>
        <v>78.184328125458649</v>
      </c>
      <c r="K1673" s="38" t="str">
        <f>IF(OR(A1673&gt;180,'1.설계입력'!$C$39&gt;=1),"",'1.설계입력'!$C$34*(1-SIN(B1673)/SQRT(1+'1.설계입력'!$C$39^2-2*'1.설계입력'!$C$39*COS(B1673)))-'1.설계입력'!$C$33*(1-'1.설계입력'!$C$39*COS(B1673)-SQRT(MAX(0,1-'1.설계입력'!$C$39^2))*SIN(B1673))/SQRT(1+'1.설계입력'!$C$39^2-2*'1.설계입력'!$C$39*COS(B1673)))</f>
        <v/>
      </c>
    </row>
    <row r="1674" spans="1:11" x14ac:dyDescent="0.3">
      <c r="A1674" s="40">
        <f>A1673+'1.설계입력'!$C$12</f>
        <v>333.59999999998962</v>
      </c>
      <c r="B1674" s="40">
        <f t="shared" si="78"/>
        <v>5.8224183846529023</v>
      </c>
      <c r="C1674" s="40">
        <f>ATAN2('1.설계입력'!$C$6/('1.설계입력'!$C$8*'1.설계입력'!$C$15)-COS((1-'1.설계입력'!$C$15)*B1674),SIN((1-'1.설계입력'!$C$15)*B1674))</f>
        <v>-0.81290940883389795</v>
      </c>
      <c r="D1674" s="40">
        <f>'1.설계입력'!$C$6*COS(B1674)-'1.설계입력'!$C$7*COS(B1674+C1674)-'1.설계입력'!$C$8*COS('1.설계입력'!$C$15*B1674)</f>
        <v>70.90697570743707</v>
      </c>
      <c r="E1674" s="40">
        <f>-'1.설계입력'!$C$6*SIN(B1674)+'1.설계입력'!$C$7*SIN(B1674+C1674)+'1.설계입력'!$C$8*SIN('1.설계입력'!$C$15*B1674)</f>
        <v>33.245455155732458</v>
      </c>
      <c r="F1674" s="40">
        <f>ATAN2(('1.설계입력'!$C$6+'1.설계입력'!$C$33)/('1.설계입력'!$C$8*'1.설계입력'!$C$15)-COS((1-'1.설계입력'!$C$15)*B1674),SIN((1-'1.설계입력'!$C$15)*B1674))</f>
        <v>-0.81294478128625136</v>
      </c>
      <c r="G1674" s="40">
        <f>('1.설계입력'!$C$6+'1.설계입력'!$C$33)*COS(B1674)-('1.설계입력'!$C$7+'1.설계입력'!$C$34)*COS(B1674+F1674)-'1.설계입력'!$C$8*COS('1.설계입력'!$C$15*B1674)</f>
        <v>70.901963148263505</v>
      </c>
      <c r="H1674" s="40">
        <f>-('1.설계입력'!$C$6+'1.설계입력'!$C$33)*SIN(B1674)+('1.설계입력'!$C$7+'1.설계입력'!$C$34)*SIN(B1674+F1674)+'1.설계입력'!$C$8*SIN('1.설계입력'!$C$15*B1674)</f>
        <v>33.236290194191561</v>
      </c>
      <c r="I1674" s="40">
        <f t="shared" si="79"/>
        <v>78.313852494222814</v>
      </c>
      <c r="J1674" s="40">
        <f t="shared" si="80"/>
        <v>78.305423593453796</v>
      </c>
      <c r="K1674" s="38" t="str">
        <f>IF(OR(A1674&gt;180,'1.설계입력'!$C$39&gt;=1),"",'1.설계입력'!$C$34*(1-SIN(B1674)/SQRT(1+'1.설계입력'!$C$39^2-2*'1.설계입력'!$C$39*COS(B1674)))-'1.설계입력'!$C$33*(1-'1.설계입력'!$C$39*COS(B1674)-SQRT(MAX(0,1-'1.설계입력'!$C$39^2))*SIN(B1674))/SQRT(1+'1.설계입력'!$C$39^2-2*'1.설계입력'!$C$39*COS(B1674)))</f>
        <v/>
      </c>
    </row>
    <row r="1675" spans="1:11" x14ac:dyDescent="0.3">
      <c r="A1675" s="40">
        <f>A1674+'1.설계입력'!$C$12</f>
        <v>333.79999999998961</v>
      </c>
      <c r="B1675" s="40">
        <f t="shared" si="78"/>
        <v>5.8259090431568907</v>
      </c>
      <c r="C1675" s="40">
        <f>ATAN2('1.설계입력'!$C$6/('1.설계입력'!$C$8*'1.설계입력'!$C$15)-COS((1-'1.설계입력'!$C$15)*B1675),SIN((1-'1.설계입력'!$C$15)*B1675))</f>
        <v>-0.79142425069287958</v>
      </c>
      <c r="D1675" s="40">
        <f>'1.설계입력'!$C$6*COS(B1675)-'1.설계입력'!$C$7*COS(B1675+C1675)-'1.설계입력'!$C$8*COS('1.설계입력'!$C$15*B1675)</f>
        <v>71.036893019608812</v>
      </c>
      <c r="E1675" s="40">
        <f>-'1.설계입력'!$C$6*SIN(B1675)+'1.설계입력'!$C$7*SIN(B1675+C1675)+'1.설계입력'!$C$8*SIN('1.설계입력'!$C$15*B1675)</f>
        <v>33.204062579500608</v>
      </c>
      <c r="F1675" s="40">
        <f>ATAN2(('1.설계입력'!$C$6+'1.설계입력'!$C$33)/('1.설계입력'!$C$8*'1.설계입력'!$C$15)-COS((1-'1.설계입력'!$C$15)*B1675),SIN((1-'1.설계입력'!$C$15)*B1675))</f>
        <v>-0.7914550139510026</v>
      </c>
      <c r="G1675" s="40">
        <f>('1.설계입력'!$C$6+'1.설계입력'!$C$33)*COS(B1675)-('1.설계입력'!$C$7+'1.설계입력'!$C$34)*COS(B1675+F1675)-'1.설계입력'!$C$8*COS('1.설계입력'!$C$15*B1675)</f>
        <v>71.031664382718319</v>
      </c>
      <c r="H1675" s="40">
        <f>-('1.설계입력'!$C$6+'1.설계입력'!$C$33)*SIN(B1675)+('1.설계입력'!$C$7+'1.설계입력'!$C$34)*SIN(B1675+F1675)+'1.설계입력'!$C$8*SIN('1.설계입력'!$C$15*B1675)</f>
        <v>33.194971431290256</v>
      </c>
      <c r="I1675" s="40">
        <f t="shared" si="79"/>
        <v>78.413965220888684</v>
      </c>
      <c r="J1675" s="40">
        <f t="shared" si="80"/>
        <v>78.405379109492927</v>
      </c>
      <c r="K1675" s="38" t="str">
        <f>IF(OR(A1675&gt;180,'1.설계입력'!$C$39&gt;=1),"",'1.설계입력'!$C$34*(1-SIN(B1675)/SQRT(1+'1.설계입력'!$C$39^2-2*'1.설계입력'!$C$39*COS(B1675)))-'1.설계입력'!$C$33*(1-'1.설계입력'!$C$39*COS(B1675)-SQRT(MAX(0,1-'1.설계입력'!$C$39^2))*SIN(B1675))/SQRT(1+'1.설계입력'!$C$39^2-2*'1.설계입력'!$C$39*COS(B1675)))</f>
        <v/>
      </c>
    </row>
    <row r="1676" spans="1:11" x14ac:dyDescent="0.3">
      <c r="A1676" s="40">
        <f>A1675+'1.설계입력'!$C$12</f>
        <v>333.9999999999896</v>
      </c>
      <c r="B1676" s="40">
        <f t="shared" si="78"/>
        <v>5.8293997016608792</v>
      </c>
      <c r="C1676" s="40">
        <f>ATAN2('1.설계입력'!$C$6/('1.설계입력'!$C$8*'1.설계입력'!$C$15)-COS((1-'1.설계입력'!$C$15)*B1676),SIN((1-'1.설계입력'!$C$15)*B1676))</f>
        <v>-0.76064465464419129</v>
      </c>
      <c r="D1676" s="40">
        <f>'1.설계입력'!$C$6*COS(B1676)-'1.설계입력'!$C$7*COS(B1676+C1676)-'1.설계입력'!$C$8*COS('1.설계입력'!$C$15*B1676)</f>
        <v>71.156561419469142</v>
      </c>
      <c r="E1676" s="40">
        <f>-'1.설계입력'!$C$6*SIN(B1676)+'1.설계입력'!$C$7*SIN(B1676+C1676)+'1.설계입력'!$C$8*SIN('1.설계입력'!$C$15*B1676)</f>
        <v>33.161932321324301</v>
      </c>
      <c r="F1676" s="40">
        <f>ATAN2(('1.설계입력'!$C$6+'1.설계입력'!$C$33)/('1.설계입력'!$C$8*'1.설계입력'!$C$15)-COS((1-'1.설계입력'!$C$15)*B1676),SIN((1-'1.설계입력'!$C$15)*B1676))</f>
        <v>-0.76067153411443511</v>
      </c>
      <c r="G1676" s="40">
        <f>('1.설계입력'!$C$6+'1.설계입력'!$C$33)*COS(B1676)-('1.설계입력'!$C$7+'1.설계입력'!$C$34)*COS(B1676+F1676)-'1.설계입력'!$C$8*COS('1.설계입력'!$C$15*B1676)</f>
        <v>71.151050270574146</v>
      </c>
      <c r="H1676" s="40">
        <f>-('1.설계입력'!$C$6+'1.설계입력'!$C$33)*SIN(B1676)+('1.설계입력'!$C$7+'1.설계입력'!$C$34)*SIN(B1676+F1676)+'1.설계입력'!$C$8*SIN('1.설계입력'!$C$15*B1676)</f>
        <v>33.152944702967751</v>
      </c>
      <c r="I1676" s="40">
        <f t="shared" si="79"/>
        <v>78.504585778964383</v>
      </c>
      <c r="J1676" s="40">
        <f t="shared" si="80"/>
        <v>78.495794136270803</v>
      </c>
      <c r="K1676" s="38" t="str">
        <f>IF(OR(A1676&gt;180,'1.설계입력'!$C$39&gt;=1),"",'1.설계입력'!$C$34*(1-SIN(B1676)/SQRT(1+'1.설계입력'!$C$39^2-2*'1.설계입력'!$C$39*COS(B1676)))-'1.설계입력'!$C$33*(1-'1.설계입력'!$C$39*COS(B1676)-SQRT(MAX(0,1-'1.설계입력'!$C$39^2))*SIN(B1676))/SQRT(1+'1.설계입력'!$C$39^2-2*'1.설계입력'!$C$39*COS(B1676)))</f>
        <v/>
      </c>
    </row>
    <row r="1677" spans="1:11" x14ac:dyDescent="0.3">
      <c r="A1677" s="40">
        <f>A1676+'1.설계입력'!$C$12</f>
        <v>334.19999999998959</v>
      </c>
      <c r="B1677" s="40">
        <f t="shared" si="78"/>
        <v>5.8328903601648676</v>
      </c>
      <c r="C1677" s="40">
        <f>ATAN2('1.설계입력'!$C$6/('1.설계입력'!$C$8*'1.설계입력'!$C$15)-COS((1-'1.설계입력'!$C$15)*B1677),SIN((1-'1.설계입력'!$C$15)*B1677))</f>
        <v>-0.72327907311251616</v>
      </c>
      <c r="D1677" s="40">
        <f>'1.설계입력'!$C$6*COS(B1677)-'1.설계입력'!$C$7*COS(B1677+C1677)-'1.설계입력'!$C$8*COS('1.설계입력'!$C$15*B1677)</f>
        <v>71.275009672132526</v>
      </c>
      <c r="E1677" s="40">
        <f>-'1.설계입력'!$C$6*SIN(B1677)+'1.설계입력'!$C$7*SIN(B1677+C1677)+'1.설계입력'!$C$8*SIN('1.설계입력'!$C$15*B1677)</f>
        <v>33.115110890404615</v>
      </c>
      <c r="F1677" s="40">
        <f>ATAN2(('1.설계입력'!$C$6+'1.설계입력'!$C$33)/('1.설계입력'!$C$8*'1.설계입력'!$C$15)-COS((1-'1.설계입력'!$C$15)*B1677),SIN((1-'1.설계입력'!$C$15)*B1677))</f>
        <v>-0.72330264163285229</v>
      </c>
      <c r="G1677" s="40">
        <f>('1.설계입력'!$C$6+'1.설계입력'!$C$33)*COS(B1677)-('1.설계입력'!$C$7+'1.설계입력'!$C$34)*COS(B1677+F1677)-'1.설계입력'!$C$8*COS('1.설계입력'!$C$15*B1677)</f>
        <v>71.269172241043165</v>
      </c>
      <c r="H1677" s="40">
        <f>-('1.설계입력'!$C$6+'1.설계입력'!$C$33)*SIN(B1677)+('1.설계입력'!$C$7+'1.설계입력'!$C$34)*SIN(B1677+F1677)+'1.설계입력'!$C$8*SIN('1.설계입력'!$C$15*B1677)</f>
        <v>33.106255803542773</v>
      </c>
      <c r="I1677" s="40">
        <f t="shared" si="79"/>
        <v>78.592223362406415</v>
      </c>
      <c r="J1677" s="40">
        <f t="shared" si="80"/>
        <v>78.583198492127352</v>
      </c>
      <c r="K1677" s="38" t="str">
        <f>IF(OR(A1677&gt;180,'1.설계입력'!$C$39&gt;=1),"",'1.설계입력'!$C$34*(1-SIN(B1677)/SQRT(1+'1.설계입력'!$C$39^2-2*'1.설계입력'!$C$39*COS(B1677)))-'1.설계입력'!$C$33*(1-'1.설계입력'!$C$39*COS(B1677)-SQRT(MAX(0,1-'1.설계입력'!$C$39^2))*SIN(B1677))/SQRT(1+'1.설계입력'!$C$39^2-2*'1.설계입력'!$C$39*COS(B1677)))</f>
        <v/>
      </c>
    </row>
    <row r="1678" spans="1:11" x14ac:dyDescent="0.3">
      <c r="A1678" s="40">
        <f>A1677+'1.설계입력'!$C$12</f>
        <v>334.39999999998957</v>
      </c>
      <c r="B1678" s="40">
        <f t="shared" si="78"/>
        <v>5.8363810186688561</v>
      </c>
      <c r="C1678" s="40">
        <f>ATAN2('1.설계입력'!$C$6/('1.설계입력'!$C$8*'1.설계입력'!$C$15)-COS((1-'1.설계입력'!$C$15)*B1678),SIN((1-'1.설계입력'!$C$15)*B1678))</f>
        <v>-0.68110537562799878</v>
      </c>
      <c r="D1678" s="40">
        <f>'1.설계입력'!$C$6*COS(B1678)-'1.설계입력'!$C$7*COS(B1678+C1678)-'1.설계입력'!$C$8*COS('1.설계입력'!$C$15*B1678)</f>
        <v>71.397280211434989</v>
      </c>
      <c r="E1678" s="40">
        <f>-'1.설계입력'!$C$6*SIN(B1678)+'1.설계입력'!$C$7*SIN(B1678+C1678)+'1.설계입력'!$C$8*SIN('1.설계입력'!$C$15*B1678)</f>
        <v>33.060514353339983</v>
      </c>
      <c r="F1678" s="40">
        <f>ATAN2(('1.설계입력'!$C$6+'1.설계입력'!$C$33)/('1.설계입력'!$C$8*'1.설계입력'!$C$15)-COS((1-'1.설계입력'!$C$15)*B1678),SIN((1-'1.설계입력'!$C$15)*B1678))</f>
        <v>-0.68112608214513359</v>
      </c>
      <c r="G1678" s="40">
        <f>('1.설계입력'!$C$6+'1.설계입력'!$C$33)*COS(B1678)-('1.설계입력'!$C$7+'1.설계입력'!$C$34)*COS(B1678+F1678)-'1.설계입력'!$C$8*COS('1.설계입력'!$C$15*B1678)</f>
        <v>71.391088267247824</v>
      </c>
      <c r="H1678" s="40">
        <f>-('1.설계입력'!$C$6+'1.설계입력'!$C$33)*SIN(B1678)+('1.설계입력'!$C$7+'1.설계입력'!$C$34)*SIN(B1678+F1678)+'1.설계입력'!$C$8*SIN('1.설계입력'!$C$15*B1678)</f>
        <v>33.051820822705899</v>
      </c>
      <c r="I1678" s="40">
        <f t="shared" si="79"/>
        <v>78.680170506281726</v>
      </c>
      <c r="J1678" s="40">
        <f t="shared" si="80"/>
        <v>78.670898963201282</v>
      </c>
      <c r="K1678" s="38" t="str">
        <f>IF(OR(A1678&gt;180,'1.설계입력'!$C$39&gt;=1),"",'1.설계입력'!$C$34*(1-SIN(B1678)/SQRT(1+'1.설계입력'!$C$39^2-2*'1.설계입력'!$C$39*COS(B1678)))-'1.설계입력'!$C$33*(1-'1.설계입력'!$C$39*COS(B1678)-SQRT(MAX(0,1-'1.설계입력'!$C$39^2))*SIN(B1678))/SQRT(1+'1.설계입력'!$C$39^2-2*'1.설계입력'!$C$39*COS(B1678)))</f>
        <v/>
      </c>
    </row>
    <row r="1679" spans="1:11" x14ac:dyDescent="0.3">
      <c r="A1679" s="40">
        <f>A1678+'1.설계입력'!$C$12</f>
        <v>334.59999999998956</v>
      </c>
      <c r="B1679" s="40">
        <f t="shared" si="78"/>
        <v>5.8398716771728445</v>
      </c>
      <c r="C1679" s="40">
        <f>ATAN2('1.설계입력'!$C$6/('1.설계입력'!$C$8*'1.설계입력'!$C$15)-COS((1-'1.설계입력'!$C$15)*B1679),SIN((1-'1.설계입력'!$C$15)*B1679))</f>
        <v>-0.63533427384930197</v>
      </c>
      <c r="D1679" s="40">
        <f>'1.설계입력'!$C$6*COS(B1679)-'1.설계입력'!$C$7*COS(B1679+C1679)-'1.설계입력'!$C$8*COS('1.설계입력'!$C$15*B1679)</f>
        <v>71.525855595680767</v>
      </c>
      <c r="E1679" s="40">
        <f>-'1.설계입력'!$C$6*SIN(B1679)+'1.설계입력'!$C$7*SIN(B1679+C1679)+'1.설계입력'!$C$8*SIN('1.설계입력'!$C$15*B1679)</f>
        <v>32.995593129980378</v>
      </c>
      <c r="F1679" s="40">
        <f>ATAN2(('1.설계입력'!$C$6+'1.설계입력'!$C$33)/('1.설계입력'!$C$8*'1.설계입력'!$C$15)-COS((1-'1.설계입력'!$C$15)*B1679),SIN((1-'1.설계입력'!$C$15)*B1679))</f>
        <v>-0.6353524712040195</v>
      </c>
      <c r="G1679" s="40">
        <f>('1.설계입력'!$C$6+'1.설계입력'!$C$33)*COS(B1679)-('1.설계입력'!$C$7+'1.설계입력'!$C$34)*COS(B1679+F1679)-'1.설계입력'!$C$8*COS('1.설계입력'!$C$15*B1679)</f>
        <v>71.519292121801669</v>
      </c>
      <c r="H1679" s="40">
        <f>-('1.설계입력'!$C$6+'1.설계입력'!$C$33)*SIN(B1679)+('1.설계입력'!$C$7+'1.설계입력'!$C$34)*SIN(B1679+F1679)+'1.설계입력'!$C$8*SIN('1.설계입력'!$C$15*B1679)</f>
        <v>32.987090277786706</v>
      </c>
      <c r="I1679" s="40">
        <f t="shared" si="79"/>
        <v>78.769646341045515</v>
      </c>
      <c r="J1679" s="40">
        <f t="shared" si="80"/>
        <v>78.76012487673222</v>
      </c>
      <c r="K1679" s="38" t="str">
        <f>IF(OR(A1679&gt;180,'1.설계입력'!$C$39&gt;=1),"",'1.설계입력'!$C$34*(1-SIN(B1679)/SQRT(1+'1.설계입력'!$C$39^2-2*'1.설계입력'!$C$39*COS(B1679)))-'1.설계입력'!$C$33*(1-'1.설계입력'!$C$39*COS(B1679)-SQRT(MAX(0,1-'1.설계입력'!$C$39^2))*SIN(B1679))/SQRT(1+'1.설계입력'!$C$39^2-2*'1.설계입력'!$C$39*COS(B1679)))</f>
        <v/>
      </c>
    </row>
    <row r="1680" spans="1:11" x14ac:dyDescent="0.3">
      <c r="A1680" s="40">
        <f>A1679+'1.설계입력'!$C$12</f>
        <v>334.79999999998955</v>
      </c>
      <c r="B1680" s="40">
        <f t="shared" si="78"/>
        <v>5.8433623356768329</v>
      </c>
      <c r="C1680" s="40">
        <f>ATAN2('1.설계입력'!$C$6/('1.설계입력'!$C$8*'1.설계입력'!$C$15)-COS((1-'1.설계입력'!$C$15)*B1680),SIN((1-'1.설계입력'!$C$15)*B1680))</f>
        <v>-0.58681755379227873</v>
      </c>
      <c r="D1680" s="40">
        <f>'1.설계입력'!$C$6*COS(B1680)-'1.설계입력'!$C$7*COS(B1680+C1680)-'1.설계입력'!$C$8*COS('1.설계입력'!$C$15*B1680)</f>
        <v>71.661508775901694</v>
      </c>
      <c r="E1680" s="40">
        <f>-'1.설계입력'!$C$6*SIN(B1680)+'1.설계입력'!$C$7*SIN(B1680+C1680)+'1.설계입력'!$C$8*SIN('1.설계입력'!$C$15*B1680)</f>
        <v>32.918228147625818</v>
      </c>
      <c r="F1680" s="40">
        <f>ATAN2(('1.설계입력'!$C$6+'1.설계입력'!$C$33)/('1.설계입력'!$C$8*'1.설계입력'!$C$15)-COS((1-'1.설계입력'!$C$15)*B1680),SIN((1-'1.설계입력'!$C$15)*B1680))</f>
        <v>-0.58683352102515751</v>
      </c>
      <c r="G1680" s="40">
        <f>('1.설계입력'!$C$6+'1.설계입력'!$C$33)*COS(B1680)-('1.설계입력'!$C$7+'1.설계입력'!$C$34)*COS(B1680+F1680)-'1.설계입력'!$C$8*COS('1.설계입력'!$C$15*B1680)</f>
        <v>71.65456522928632</v>
      </c>
      <c r="H1680" s="40">
        <f>-('1.설계입력'!$C$6+'1.설계입력'!$C$33)*SIN(B1680)+('1.설계입력'!$C$7+'1.설계입력'!$C$34)*SIN(B1680+F1680)+'1.설계입력'!$C$8*SIN('1.설계입력'!$C$15*B1680)</f>
        <v>32.909945027078479</v>
      </c>
      <c r="I1680" s="40">
        <f t="shared" si="79"/>
        <v>78.860519808189068</v>
      </c>
      <c r="J1680" s="40">
        <f t="shared" si="80"/>
        <v>78.850752690658425</v>
      </c>
      <c r="K1680" s="38" t="str">
        <f>IF(OR(A1680&gt;180,'1.설계입력'!$C$39&gt;=1),"",'1.설계입력'!$C$34*(1-SIN(B1680)/SQRT(1+'1.설계입력'!$C$39^2-2*'1.설계입력'!$C$39*COS(B1680)))-'1.설계입력'!$C$33*(1-'1.설계입력'!$C$39*COS(B1680)-SQRT(MAX(0,1-'1.설계입력'!$C$39^2))*SIN(B1680))/SQRT(1+'1.설계입력'!$C$39^2-2*'1.설계입력'!$C$39*COS(B1680)))</f>
        <v/>
      </c>
    </row>
    <row r="1681" spans="1:11" x14ac:dyDescent="0.3">
      <c r="A1681" s="40">
        <f>A1680+'1.설계입력'!$C$12</f>
        <v>334.99999999998954</v>
      </c>
      <c r="B1681" s="40">
        <f t="shared" si="78"/>
        <v>5.8468529941808214</v>
      </c>
      <c r="C1681" s="40">
        <f>ATAN2('1.설계입력'!$C$6/('1.설계입력'!$C$8*'1.설계입력'!$C$15)-COS((1-'1.설계입력'!$C$15)*B1681),SIN((1-'1.설계입력'!$C$15)*B1681))</f>
        <v>-0.5361721671974401</v>
      </c>
      <c r="D1681" s="40">
        <f>'1.설계입력'!$C$6*COS(B1681)-'1.설계입력'!$C$7*COS(B1681+C1681)-'1.설계입력'!$C$8*COS('1.설계입력'!$C$15*B1681)</f>
        <v>71.803838868529937</v>
      </c>
      <c r="E1681" s="40">
        <f>-'1.설계입력'!$C$6*SIN(B1681)+'1.설계입력'!$C$7*SIN(B1681+C1681)+'1.설계입력'!$C$8*SIN('1.설계입력'!$C$15*B1681)</f>
        <v>32.826713466966552</v>
      </c>
      <c r="F1681" s="40">
        <f>ATAN2(('1.설계입력'!$C$6+'1.설계입력'!$C$33)/('1.설계입력'!$C$8*'1.설계입력'!$C$15)-COS((1-'1.설계입력'!$C$15)*B1681),SIN((1-'1.설계입력'!$C$15)*B1681))</f>
        <v>-0.53618612644718622</v>
      </c>
      <c r="G1681" s="40">
        <f>('1.설계입력'!$C$6+'1.설계입력'!$C$33)*COS(B1681)-('1.설계입력'!$C$7+'1.설계입력'!$C$34)*COS(B1681+F1681)-'1.설계입력'!$C$8*COS('1.설계입력'!$C$15*B1681)</f>
        <v>71.796513368101856</v>
      </c>
      <c r="H1681" s="40">
        <f>-('1.설계입력'!$C$6+'1.설계입력'!$C$33)*SIN(B1681)+('1.설계입력'!$C$7+'1.설계입력'!$C$34)*SIN(B1681+F1681)+'1.설계입력'!$C$8*SIN('1.설계입력'!$C$15*B1681)</f>
        <v>32.818678816675749</v>
      </c>
      <c r="I1681" s="40">
        <f t="shared" si="79"/>
        <v>78.951785244541071</v>
      </c>
      <c r="J1681" s="40">
        <f t="shared" si="80"/>
        <v>78.941782416462772</v>
      </c>
      <c r="K1681" s="38" t="str">
        <f>IF(OR(A1681&gt;180,'1.설계입력'!$C$39&gt;=1),"",'1.설계입력'!$C$34*(1-SIN(B1681)/SQRT(1+'1.설계입력'!$C$39^2-2*'1.설계입력'!$C$39*COS(B1681)))-'1.설계입력'!$C$33*(1-'1.설계입력'!$C$39*COS(B1681)-SQRT(MAX(0,1-'1.설계입력'!$C$39^2))*SIN(B1681))/SQRT(1+'1.설계입력'!$C$39^2-2*'1.설계입력'!$C$39*COS(B1681)))</f>
        <v/>
      </c>
    </row>
    <row r="1682" spans="1:11" x14ac:dyDescent="0.3">
      <c r="A1682" s="40">
        <f>A1681+'1.설계입력'!$C$12</f>
        <v>335.19999999998953</v>
      </c>
      <c r="B1682" s="40">
        <f t="shared" si="78"/>
        <v>5.8503436526848098</v>
      </c>
      <c r="C1682" s="40">
        <f>ATAN2('1.설계입력'!$C$6/('1.설계입력'!$C$8*'1.설계입력'!$C$15)-COS((1-'1.설계입력'!$C$15)*B1682),SIN((1-'1.설계입력'!$C$15)*B1682))</f>
        <v>-0.48385692243472134</v>
      </c>
      <c r="D1682" s="40">
        <f>'1.설계입력'!$C$6*COS(B1682)-'1.설계입력'!$C$7*COS(B1682+C1682)-'1.설계입력'!$C$8*COS('1.설계입력'!$C$15*B1682)</f>
        <v>71.951630123099591</v>
      </c>
      <c r="E1682" s="40">
        <f>-'1.설계입력'!$C$6*SIN(B1682)+'1.설계입력'!$C$7*SIN(B1682+C1682)+'1.설계입력'!$C$8*SIN('1.설계입력'!$C$15*B1682)</f>
        <v>32.719768124152537</v>
      </c>
      <c r="F1682" s="40">
        <f>ATAN2(('1.설계입력'!$C$6+'1.설계입력'!$C$33)/('1.설계입력'!$C$8*'1.설계입력'!$C$15)-COS((1-'1.설계입력'!$C$15)*B1682),SIN((1-'1.설계입력'!$C$15)*B1682))</f>
        <v>-0.48386905150336335</v>
      </c>
      <c r="G1682" s="40">
        <f>('1.설계입력'!$C$6+'1.설계입력'!$C$33)*COS(B1682)-('1.설계입력'!$C$7+'1.설계입력'!$C$34)*COS(B1682+F1682)-'1.설계입력'!$C$8*COS('1.설계입력'!$C$15*B1682)</f>
        <v>71.943926201353577</v>
      </c>
      <c r="H1682" s="40">
        <f>-('1.설계입력'!$C$6+'1.설계입력'!$C$33)*SIN(B1682)+('1.설계입력'!$C$7+'1.설계입력'!$C$34)*SIN(B1682+F1682)+'1.설계입력'!$C$8*SIN('1.설계입력'!$C$15*B1682)</f>
        <v>32.712010106267911</v>
      </c>
      <c r="I1682" s="40">
        <f t="shared" si="79"/>
        <v>79.041889548957784</v>
      </c>
      <c r="J1682" s="40">
        <f t="shared" si="80"/>
        <v>79.031665314976024</v>
      </c>
      <c r="K1682" s="38" t="str">
        <f>IF(OR(A1682&gt;180,'1.설계입력'!$C$39&gt;=1),"",'1.설계입력'!$C$34*(1-SIN(B1682)/SQRT(1+'1.설계입력'!$C$39^2-2*'1.설계입력'!$C$39*COS(B1682)))-'1.설계입력'!$C$33*(1-'1.설계입력'!$C$39*COS(B1682)-SQRT(MAX(0,1-'1.설계입력'!$C$39^2))*SIN(B1682))/SQRT(1+'1.설계입력'!$C$39^2-2*'1.설계입력'!$C$39*COS(B1682)))</f>
        <v/>
      </c>
    </row>
    <row r="1683" spans="1:11" x14ac:dyDescent="0.3">
      <c r="A1683" s="40">
        <f>A1682+'1.설계입력'!$C$12</f>
        <v>335.39999999998952</v>
      </c>
      <c r="B1683" s="40">
        <f t="shared" si="78"/>
        <v>5.8538343111887983</v>
      </c>
      <c r="C1683" s="40">
        <f>ATAN2('1.설계입력'!$C$6/('1.설계입력'!$C$8*'1.설계입력'!$C$15)-COS((1-'1.설계입력'!$C$15)*B1683),SIN((1-'1.설계입력'!$C$15)*B1683))</f>
        <v>-0.4302214819624578</v>
      </c>
      <c r="D1683" s="40">
        <f>'1.설계입력'!$C$6*COS(B1683)-'1.설계입력'!$C$7*COS(B1683+C1683)-'1.설계입력'!$C$8*COS('1.설계입력'!$C$15*B1683)</f>
        <v>72.103108025011409</v>
      </c>
      <c r="E1683" s="40">
        <f>-'1.설계입력'!$C$6*SIN(B1683)+'1.설계입력'!$C$7*SIN(B1683+C1683)+'1.설계입력'!$C$8*SIN('1.설계입력'!$C$15*B1683)</f>
        <v>32.596553559441581</v>
      </c>
      <c r="F1683" s="40">
        <f>ATAN2(('1.설계입력'!$C$6+'1.설계입력'!$C$33)/('1.설계입력'!$C$8*'1.설계입력'!$C$15)-COS((1-'1.설계입력'!$C$15)*B1683),SIN((1-'1.설계입력'!$C$15)*B1683))</f>
        <v>-0.43023192362416485</v>
      </c>
      <c r="G1683" s="40">
        <f>('1.설계입력'!$C$6+'1.설계입력'!$C$33)*COS(B1683)-('1.설계입력'!$C$7+'1.설계입력'!$C$34)*COS(B1683+F1683)-'1.설계입력'!$C$8*COS('1.설계입력'!$C$15*B1683)</f>
        <v>72.095033730814791</v>
      </c>
      <c r="H1683" s="40">
        <f>-('1.설계입력'!$C$6+'1.설계입력'!$C$33)*SIN(B1683)+('1.설계입력'!$C$7+'1.설계입력'!$C$34)*SIN(B1683+F1683)+'1.설계입력'!$C$8*SIN('1.설계입력'!$C$15*B1683)</f>
        <v>32.58909950543304</v>
      </c>
      <c r="I1683" s="40">
        <f t="shared" si="79"/>
        <v>79.128967457057144</v>
      </c>
      <c r="J1683" s="40">
        <f t="shared" si="80"/>
        <v>79.118539516489676</v>
      </c>
      <c r="K1683" s="38" t="str">
        <f>IF(OR(A1683&gt;180,'1.설계입력'!$C$39&gt;=1),"",'1.설계입력'!$C$34*(1-SIN(B1683)/SQRT(1+'1.설계입력'!$C$39^2-2*'1.설계입력'!$C$39*COS(B1683)))-'1.설계입력'!$C$33*(1-'1.설계입력'!$C$39*COS(B1683)-SQRT(MAX(0,1-'1.설계입력'!$C$39^2))*SIN(B1683))/SQRT(1+'1.설계입력'!$C$39^2-2*'1.설계입력'!$C$39*COS(B1683)))</f>
        <v/>
      </c>
    </row>
    <row r="1684" spans="1:11" x14ac:dyDescent="0.3">
      <c r="A1684" s="40">
        <f>A1683+'1.설계입력'!$C$12</f>
        <v>335.59999999998951</v>
      </c>
      <c r="B1684" s="40">
        <f t="shared" si="78"/>
        <v>5.8573249696927867</v>
      </c>
      <c r="C1684" s="40">
        <f>ATAN2('1.설계입력'!$C$6/('1.설계입력'!$C$8*'1.설계입력'!$C$15)-COS((1-'1.설계입력'!$C$15)*B1684),SIN((1-'1.설계입력'!$C$15)*B1684))</f>
        <v>-0.37553863366808582</v>
      </c>
      <c r="D1684" s="40">
        <f>'1.설계입력'!$C$6*COS(B1684)-'1.설계입력'!$C$7*COS(B1684+C1684)-'1.설계입력'!$C$8*COS('1.설계입력'!$C$15*B1684)</f>
        <v>72.256133159784127</v>
      </c>
      <c r="E1684" s="40">
        <f>-'1.설계입력'!$C$6*SIN(B1684)+'1.설계입력'!$C$7*SIN(B1684+C1684)+'1.설계입력'!$C$8*SIN('1.설계입력'!$C$15*B1684)</f>
        <v>32.456686590261079</v>
      </c>
      <c r="F1684" s="40">
        <f>ATAN2(('1.설계입력'!$C$6+'1.설계입력'!$C$33)/('1.설계입력'!$C$8*'1.설계입력'!$C$15)-COS((1-'1.설계입력'!$C$15)*B1684),SIN((1-'1.설계입력'!$C$15)*B1684))</f>
        <v>-0.37554750257944597</v>
      </c>
      <c r="G1684" s="40">
        <f>('1.설계입력'!$C$6+'1.설계입력'!$C$33)*COS(B1684)-('1.설계입력'!$C$7+'1.설계입력'!$C$34)*COS(B1684+F1684)-'1.설계입력'!$C$8*COS('1.설계입력'!$C$15*B1684)</f>
        <v>72.247700385385215</v>
      </c>
      <c r="H1684" s="40">
        <f>-('1.설계입력'!$C$6+'1.설계입력'!$C$33)*SIN(B1684)+('1.설계입력'!$C$7+'1.설계입력'!$C$34)*SIN(B1684+F1684)+'1.설계입력'!$C$8*SIN('1.설계입력'!$C$15*B1684)</f>
        <v>32.449562762674105</v>
      </c>
      <c r="I1684" s="40">
        <f t="shared" si="79"/>
        <v>79.211017438377155</v>
      </c>
      <c r="J1684" s="40">
        <f t="shared" si="80"/>
        <v>79.200406150884845</v>
      </c>
      <c r="K1684" s="38" t="str">
        <f>IF(OR(A1684&gt;180,'1.설계입력'!$C$39&gt;=1),"",'1.설계입력'!$C$34*(1-SIN(B1684)/SQRT(1+'1.설계입력'!$C$39^2-2*'1.설계입력'!$C$39*COS(B1684)))-'1.설계입력'!$C$33*(1-'1.설계입력'!$C$39*COS(B1684)-SQRT(MAX(0,1-'1.설계입력'!$C$39^2))*SIN(B1684))/SQRT(1+'1.설계입력'!$C$39^2-2*'1.설계입력'!$C$39*COS(B1684)))</f>
        <v/>
      </c>
    </row>
    <row r="1685" spans="1:11" x14ac:dyDescent="0.3">
      <c r="A1685" s="40">
        <f>A1684+'1.설계입력'!$C$12</f>
        <v>335.7999999999895</v>
      </c>
      <c r="B1685" s="40">
        <f t="shared" si="78"/>
        <v>5.8608156281967752</v>
      </c>
      <c r="C1685" s="40">
        <f>ATAN2('1.설계입력'!$C$6/('1.설계입력'!$C$8*'1.설계입력'!$C$15)-COS((1-'1.설계입력'!$C$15)*B1685),SIN((1-'1.설계입력'!$C$15)*B1685))</f>
        <v>-0.32002615733727541</v>
      </c>
      <c r="D1685" s="40">
        <f>'1.설계입력'!$C$6*COS(B1685)-'1.설계입력'!$C$7*COS(B1685+C1685)-'1.설계입력'!$C$8*COS('1.설계입력'!$C$15*B1685)</f>
        <v>72.408355586670837</v>
      </c>
      <c r="E1685" s="40">
        <f>-'1.설계입력'!$C$6*SIN(B1685)+'1.설계입력'!$C$7*SIN(B1685+C1685)+'1.설계입력'!$C$8*SIN('1.설계입력'!$C$15*B1685)</f>
        <v>32.300243658822041</v>
      </c>
      <c r="F1685" s="40">
        <f>ATAN2(('1.설계입력'!$C$6+'1.설계입력'!$C$33)/('1.설계입력'!$C$8*'1.설계입력'!$C$15)-COS((1-'1.설계입력'!$C$15)*B1685),SIN((1-'1.설계입력'!$C$15)*B1685))</f>
        <v>-0.32003354518352961</v>
      </c>
      <c r="G1685" s="40">
        <f>('1.설계입력'!$C$6+'1.설계입력'!$C$33)*COS(B1685)-('1.설계입력'!$C$7+'1.설계입력'!$C$34)*COS(B1685+F1685)-'1.설계입력'!$C$8*COS('1.설계입력'!$C$15*B1685)</f>
        <v>72.399579540460863</v>
      </c>
      <c r="H1685" s="40">
        <f>-('1.설계입력'!$C$6+'1.설계입력'!$C$33)*SIN(B1685)+('1.설계입력'!$C$7+'1.설계입력'!$C$34)*SIN(B1685+F1685)+'1.설계입력'!$C$8*SIN('1.설계입력'!$C$15*B1685)</f>
        <v>32.293475031111861</v>
      </c>
      <c r="I1685" s="40">
        <f t="shared" si="79"/>
        <v>79.286037227150146</v>
      </c>
      <c r="J1685" s="40">
        <f t="shared" si="80"/>
        <v>79.275265040367827</v>
      </c>
      <c r="K1685" s="38" t="str">
        <f>IF(OR(A1685&gt;180,'1.설계입력'!$C$39&gt;=1),"",'1.설계입력'!$C$34*(1-SIN(B1685)/SQRT(1+'1.설계입력'!$C$39^2-2*'1.설계입력'!$C$39*COS(B1685)))-'1.설계입력'!$C$33*(1-'1.설계입력'!$C$39*COS(B1685)-SQRT(MAX(0,1-'1.설계입력'!$C$39^2))*SIN(B1685))/SQRT(1+'1.설계입력'!$C$39^2-2*'1.설계입력'!$C$39*COS(B1685)))</f>
        <v/>
      </c>
    </row>
    <row r="1686" spans="1:11" x14ac:dyDescent="0.3">
      <c r="A1686" s="40">
        <f>A1685+'1.설계입력'!$C$12</f>
        <v>335.99999999998948</v>
      </c>
      <c r="B1686" s="40">
        <f t="shared" si="78"/>
        <v>5.8643062867007636</v>
      </c>
      <c r="C1686" s="40">
        <f>ATAN2('1.설계입력'!$C$6/('1.설계입력'!$C$8*'1.설계입력'!$C$15)-COS((1-'1.설계입력'!$C$15)*B1686),SIN((1-'1.설계입력'!$C$15)*B1686))</f>
        <v>-0.2638620512060787</v>
      </c>
      <c r="D1686" s="40">
        <f>'1.설계입력'!$C$6*COS(B1686)-'1.설계입력'!$C$7*COS(B1686+C1686)-'1.설계입력'!$C$8*COS('1.설계입력'!$C$15*B1686)</f>
        <v>72.557342594593237</v>
      </c>
      <c r="E1686" s="40">
        <f>-'1.설계입력'!$C$6*SIN(B1686)+'1.설계입력'!$C$7*SIN(B1686+C1686)+'1.설계입력'!$C$8*SIN('1.설계입력'!$C$15*B1686)</f>
        <v>32.127754671098593</v>
      </c>
      <c r="F1686" s="40">
        <f>ATAN2(('1.설계입력'!$C$6+'1.설계입력'!$C$33)/('1.설계입력'!$C$8*'1.설계입력'!$C$15)-COS((1-'1.설계입력'!$C$15)*B1686),SIN((1-'1.설계입력'!$C$15)*B1686))</f>
        <v>-0.26386803053928298</v>
      </c>
      <c r="G1686" s="40">
        <f>('1.설계입력'!$C$6+'1.설계입력'!$C$33)*COS(B1686)-('1.설계입력'!$C$7+'1.설계입력'!$C$34)*COS(B1686+F1686)-'1.설계입력'!$C$8*COS('1.설계입력'!$C$15*B1686)</f>
        <v>72.548241369772313</v>
      </c>
      <c r="H1686" s="40">
        <f>-('1.설계입력'!$C$6+'1.설계입력'!$C$33)*SIN(B1686)+('1.설계입력'!$C$7+'1.설계입력'!$C$34)*SIN(B1686+F1686)+'1.설계입력'!$C$8*SIN('1.설계입력'!$C$15*B1686)</f>
        <v>32.121364725263646</v>
      </c>
      <c r="I1686" s="40">
        <f t="shared" si="79"/>
        <v>79.352130309119445</v>
      </c>
      <c r="J1686" s="40">
        <f t="shared" si="80"/>
        <v>79.341221301793396</v>
      </c>
      <c r="K1686" s="38" t="str">
        <f>IF(OR(A1686&gt;180,'1.설계입력'!$C$39&gt;=1),"",'1.설계입력'!$C$34*(1-SIN(B1686)/SQRT(1+'1.설계입력'!$C$39^2-2*'1.설계입력'!$C$39*COS(B1686)))-'1.설계입력'!$C$33*(1-'1.설계입력'!$C$39*COS(B1686)-SQRT(MAX(0,1-'1.설계입력'!$C$39^2))*SIN(B1686))/SQRT(1+'1.설계입력'!$C$39^2-2*'1.설계입력'!$C$39*COS(B1686)))</f>
        <v/>
      </c>
    </row>
    <row r="1687" spans="1:11" x14ac:dyDescent="0.3">
      <c r="A1687" s="40">
        <f>A1686+'1.설계입력'!$C$12</f>
        <v>336.19999999998947</v>
      </c>
      <c r="B1687" s="40">
        <f t="shared" si="78"/>
        <v>5.867796945204752</v>
      </c>
      <c r="C1687" s="40">
        <f>ATAN2('1.설계입력'!$C$6/('1.설계입력'!$C$8*'1.설계입력'!$C$15)-COS((1-'1.설계입력'!$C$15)*B1687),SIN((1-'1.설계입력'!$C$15)*B1687))</f>
        <v>-0.20719543159256329</v>
      </c>
      <c r="D1687" s="40">
        <f>'1.설계입력'!$C$6*COS(B1687)-'1.설계입력'!$C$7*COS(B1687+C1687)-'1.설계입력'!$C$8*COS('1.설계입력'!$C$15*B1687)</f>
        <v>72.700687109849966</v>
      </c>
      <c r="E1687" s="40">
        <f>-'1.설계입력'!$C$6*SIN(B1687)+'1.설계입력'!$C$7*SIN(B1687+C1687)+'1.설계입력'!$C$8*SIN('1.설계입력'!$C$15*B1687)</f>
        <v>31.940185980817432</v>
      </c>
      <c r="F1687" s="40">
        <f>ATAN2(('1.설계입력'!$C$6+'1.설계입력'!$C$33)/('1.설계입력'!$C$8*'1.설계입력'!$C$15)-COS((1-'1.설계입력'!$C$15)*B1687),SIN((1-'1.설계입력'!$C$15)*B1687))</f>
        <v>-0.20720005868546704</v>
      </c>
      <c r="G1687" s="40">
        <f>('1.설계입력'!$C$6+'1.설계입력'!$C$33)*COS(B1687)-('1.설계입력'!$C$7+'1.설계입력'!$C$34)*COS(B1687+F1687)-'1.설계입력'!$C$8*COS('1.설계입력'!$C$15*B1687)</f>
        <v>72.691281316489693</v>
      </c>
      <c r="H1687" s="40">
        <f>-('1.설계입력'!$C$6+'1.설계입력'!$C$33)*SIN(B1687)+('1.설계입력'!$C$7+'1.설계입력'!$C$34)*SIN(B1687+F1687)+'1.설계입력'!$C$8*SIN('1.설계입력'!$C$15*B1687)</f>
        <v>31.934196521735604</v>
      </c>
      <c r="I1687" s="40">
        <f t="shared" si="79"/>
        <v>79.407590233764878</v>
      </c>
      <c r="J1687" s="40">
        <f t="shared" si="80"/>
        <v>79.396569742790987</v>
      </c>
      <c r="K1687" s="38" t="str">
        <f>IF(OR(A1687&gt;180,'1.설계입력'!$C$39&gt;=1),"",'1.설계입력'!$C$34*(1-SIN(B1687)/SQRT(1+'1.설계입력'!$C$39^2-2*'1.설계입력'!$C$39*COS(B1687)))-'1.설계입력'!$C$33*(1-'1.설계입력'!$C$39*COS(B1687)-SQRT(MAX(0,1-'1.설계입력'!$C$39^2))*SIN(B1687))/SQRT(1+'1.설계입력'!$C$39^2-2*'1.설계입력'!$C$39*COS(B1687)))</f>
        <v/>
      </c>
    </row>
    <row r="1688" spans="1:11" x14ac:dyDescent="0.3">
      <c r="A1688" s="40">
        <f>A1687+'1.설계입력'!$C$12</f>
        <v>336.39999999998946</v>
      </c>
      <c r="B1688" s="40">
        <f t="shared" si="78"/>
        <v>5.8712876037087405</v>
      </c>
      <c r="C1688" s="40">
        <f>ATAN2('1.설계입력'!$C$6/('1.설계입력'!$C$8*'1.설계입력'!$C$15)-COS((1-'1.설계입력'!$C$15)*B1688),SIN((1-'1.설계입력'!$C$15)*B1688))</f>
        <v>-0.1501545701940197</v>
      </c>
      <c r="D1688" s="40">
        <f>'1.설계입력'!$C$6*COS(B1688)-'1.설계입력'!$C$7*COS(B1688+C1688)-'1.설계입력'!$C$8*COS('1.설계입력'!$C$15*B1688)</f>
        <v>72.836100772245516</v>
      </c>
      <c r="E1688" s="40">
        <f>-'1.설계입력'!$C$6*SIN(B1688)+'1.설계입력'!$C$7*SIN(B1688+C1688)+'1.설계입력'!$C$8*SIN('1.설계입력'!$C$15*B1688)</f>
        <v>31.738912715694848</v>
      </c>
      <c r="F1688" s="40">
        <f>ATAN2(('1.설계입력'!$C$6+'1.설계입력'!$C$33)/('1.설계입력'!$C$8*'1.설계입력'!$C$15)-COS((1-'1.설계입력'!$C$15)*B1688),SIN((1-'1.설계입력'!$C$15)*B1688))</f>
        <v>-0.15015788713799708</v>
      </c>
      <c r="G1688" s="40">
        <f>('1.설계입력'!$C$6+'1.설계입력'!$C$33)*COS(B1688)-('1.설계입력'!$C$7+'1.설계입력'!$C$34)*COS(B1688+F1688)-'1.설계입력'!$C$8*COS('1.설계입력'!$C$15*B1688)</f>
        <v>72.826413211011783</v>
      </c>
      <c r="H1688" s="40">
        <f>-('1.설계입력'!$C$6+'1.설계입력'!$C$33)*SIN(B1688)+('1.설계입력'!$C$7+'1.설계입력'!$C$34)*SIN(B1688+F1688)+'1.설계입력'!$C$8*SIN('1.설계입력'!$C$15*B1688)</f>
        <v>31.733343700860928</v>
      </c>
      <c r="I1688" s="40">
        <f t="shared" si="79"/>
        <v>79.450966992725768</v>
      </c>
      <c r="J1688" s="40">
        <f t="shared" si="80"/>
        <v>79.4398613016035</v>
      </c>
      <c r="K1688" s="38" t="str">
        <f>IF(OR(A1688&gt;180,'1.설계입력'!$C$39&gt;=1),"",'1.설계입력'!$C$34*(1-SIN(B1688)/SQRT(1+'1.설계입력'!$C$39^2-2*'1.설계입력'!$C$39*COS(B1688)))-'1.설계입력'!$C$33*(1-'1.설계입력'!$C$39*COS(B1688)-SQRT(MAX(0,1-'1.설계입력'!$C$39^2))*SIN(B1688))/SQRT(1+'1.설계입력'!$C$39^2-2*'1.설계입력'!$C$39*COS(B1688)))</f>
        <v/>
      </c>
    </row>
    <row r="1689" spans="1:11" x14ac:dyDescent="0.3">
      <c r="A1689" s="40">
        <f>A1688+'1.설계입력'!$C$12</f>
        <v>336.59999999998945</v>
      </c>
      <c r="B1689" s="40">
        <f t="shared" si="78"/>
        <v>5.8747782622127289</v>
      </c>
      <c r="C1689" s="40">
        <f>ATAN2('1.설계입력'!$C$6/('1.설계입력'!$C$8*'1.설계입력'!$C$15)-COS((1-'1.설계입력'!$C$15)*B1689),SIN((1-'1.설계입력'!$C$15)*B1689))</f>
        <v>-9.2853026014177067E-2</v>
      </c>
      <c r="D1689" s="40">
        <f>'1.설계입력'!$C$6*COS(B1689)-'1.설계입력'!$C$7*COS(B1689+C1689)-'1.설계입력'!$C$8*COS('1.설계입력'!$C$15*B1689)</f>
        <v>72.9614937770842</v>
      </c>
      <c r="E1689" s="40">
        <f>-'1.설계입력'!$C$6*SIN(B1689)+'1.설계입력'!$C$7*SIN(B1689+C1689)+'1.설계입력'!$C$8*SIN('1.설계입력'!$C$15*B1689)</f>
        <v>31.525681014431754</v>
      </c>
      <c r="F1689" s="40">
        <f>ATAN2(('1.설계입력'!$C$6+'1.설계입력'!$C$33)/('1.설계입력'!$C$8*'1.설계입력'!$C$15)-COS((1-'1.설계입력'!$C$15)*B1689),SIN((1-'1.설계입력'!$C$15)*B1689))</f>
        <v>-9.2855062220705151E-2</v>
      </c>
      <c r="G1689" s="40">
        <f>('1.설계입력'!$C$6+'1.설계입력'!$C$33)*COS(B1689)-('1.설계입력'!$C$7+'1.설계입력'!$C$34)*COS(B1689+F1689)-'1.설계입력'!$C$8*COS('1.설계입력'!$C$15*B1689)</f>
        <v>72.951549139701996</v>
      </c>
      <c r="H1689" s="40">
        <f>-('1.설계입력'!$C$6+'1.설계입력'!$C$33)*SIN(B1689)+('1.설계입력'!$C$7+'1.설계입력'!$C$34)*SIN(B1689+F1689)+'1.설계입력'!$C$8*SIN('1.설계입력'!$C$15*B1689)</f>
        <v>31.520550397789656</v>
      </c>
      <c r="I1689" s="40">
        <f t="shared" si="79"/>
        <v>79.481118120011359</v>
      </c>
      <c r="J1689" s="40">
        <f t="shared" si="80"/>
        <v>79.469954191895397</v>
      </c>
      <c r="K1689" s="38" t="str">
        <f>IF(OR(A1689&gt;180,'1.설계입력'!$C$39&gt;=1),"",'1.설계입력'!$C$34*(1-SIN(B1689)/SQRT(1+'1.설계입력'!$C$39^2-2*'1.설계입력'!$C$39*COS(B1689)))-'1.설계입력'!$C$33*(1-'1.설계입력'!$C$39*COS(B1689)-SQRT(MAX(0,1-'1.설계입력'!$C$39^2))*SIN(B1689))/SQRT(1+'1.설계입력'!$C$39^2-2*'1.설계입력'!$C$39*COS(B1689)))</f>
        <v/>
      </c>
    </row>
    <row r="1690" spans="1:11" x14ac:dyDescent="0.3">
      <c r="A1690" s="40">
        <f>A1689+'1.설계입력'!$C$12</f>
        <v>336.79999999998944</v>
      </c>
      <c r="B1690" s="40">
        <f t="shared" si="78"/>
        <v>5.8782689207167174</v>
      </c>
      <c r="C1690" s="40">
        <f>ATAN2('1.설계입력'!$C$6/('1.설계입력'!$C$8*'1.설계입력'!$C$15)-COS((1-'1.설계입력'!$C$15)*B1690),SIN((1-'1.설계입력'!$C$15)*B1690))</f>
        <v>-3.5394520097198338E-2</v>
      </c>
      <c r="D1690" s="40">
        <f>'1.설계입력'!$C$6*COS(B1690)-'1.설계입력'!$C$7*COS(B1690+C1690)-'1.설계입력'!$C$8*COS('1.설계입력'!$C$15*B1690)</f>
        <v>73.075042439725394</v>
      </c>
      <c r="E1690" s="40">
        <f>-'1.설계입력'!$C$6*SIN(B1690)+'1.설계입력'!$C$7*SIN(B1690+C1690)+'1.설계입력'!$C$8*SIN('1.설계입력'!$C$15*B1690)</f>
        <v>31.302560979850426</v>
      </c>
      <c r="F1690" s="40">
        <f>ATAN2(('1.설계입력'!$C$6+'1.설계입력'!$C$33)/('1.설계입력'!$C$8*'1.설계입력'!$C$15)-COS((1-'1.설계입력'!$C$15)*B1690),SIN((1-'1.설계입력'!$C$15)*B1690))</f>
        <v>-3.5395293311965871E-2</v>
      </c>
      <c r="G1690" s="40">
        <f>('1.설계입력'!$C$6+'1.설계입력'!$C$33)*COS(B1690)-('1.설계입력'!$C$7+'1.설계입력'!$C$34)*COS(B1690+F1690)-'1.설계입력'!$C$8*COS('1.설계입력'!$C$15*B1690)</f>
        <v>73.064867025628729</v>
      </c>
      <c r="H1690" s="40">
        <f>-('1.설계입력'!$C$6+'1.설계입력'!$C$33)*SIN(B1690)+('1.설계입력'!$C$7+'1.설계입력'!$C$34)*SIN(B1690+F1690)+'1.설계입력'!$C$8*SIN('1.설계입력'!$C$15*B1690)</f>
        <v>31.297884568430472</v>
      </c>
      <c r="I1690" s="40">
        <f t="shared" si="79"/>
        <v>79.497246187933598</v>
      </c>
      <c r="J1690" s="40">
        <f t="shared" si="80"/>
        <v>79.486051429993722</v>
      </c>
      <c r="K1690" s="38" t="str">
        <f>IF(OR(A1690&gt;180,'1.설계입력'!$C$39&gt;=1),"",'1.설계입력'!$C$34*(1-SIN(B1690)/SQRT(1+'1.설계입력'!$C$39^2-2*'1.설계입력'!$C$39*COS(B1690)))-'1.설계입력'!$C$33*(1-'1.설계입력'!$C$39*COS(B1690)-SQRT(MAX(0,1-'1.설계입력'!$C$39^2))*SIN(B1690))/SQRT(1+'1.설계입력'!$C$39^2-2*'1.설계입력'!$C$39*COS(B1690)))</f>
        <v/>
      </c>
    </row>
    <row r="1691" spans="1:11" x14ac:dyDescent="0.3">
      <c r="A1691" s="40">
        <f>A1690+'1.설계입력'!$C$12</f>
        <v>336.99999999998943</v>
      </c>
      <c r="B1691" s="40">
        <f t="shared" si="78"/>
        <v>5.8817595792207058</v>
      </c>
      <c r="C1691" s="40">
        <f>ATAN2('1.설계입력'!$C$6/('1.설계입력'!$C$8*'1.설계입력'!$C$15)-COS((1-'1.설계입력'!$C$15)*B1691),SIN((1-'1.설계입력'!$C$15)*B1691))</f>
        <v>2.2122987270371056E-2</v>
      </c>
      <c r="D1691" s="40">
        <f>'1.설계입력'!$C$6*COS(B1691)-'1.설계입력'!$C$7*COS(B1691+C1691)-'1.설계입력'!$C$8*COS('1.설계입력'!$C$15*B1691)</f>
        <v>73.175244764021301</v>
      </c>
      <c r="E1691" s="40">
        <f>-'1.설계입력'!$C$6*SIN(B1691)+'1.설계입력'!$C$7*SIN(B1691+C1691)+'1.설계입력'!$C$8*SIN('1.설계입력'!$C$15*B1691)</f>
        <v>31.071891314190356</v>
      </c>
      <c r="F1691" s="40">
        <f>ATAN2(('1.설계입력'!$C$6+'1.설계입력'!$C$33)/('1.설계입력'!$C$8*'1.설계입력'!$C$15)-COS((1-'1.설계입력'!$C$15)*B1691),SIN((1-'1.설계입력'!$C$15)*B1691))</f>
        <v>2.212347036971515E-2</v>
      </c>
      <c r="G1691" s="40">
        <f>('1.설계입력'!$C$6+'1.설계입력'!$C$33)*COS(B1691)-('1.설계입력'!$C$7+'1.설계입력'!$C$34)*COS(B1691+F1691)-'1.설계입력'!$C$8*COS('1.설계입력'!$C$15*B1691)</f>
        <v>73.164866205408558</v>
      </c>
      <c r="H1691" s="40">
        <f>-('1.설계입력'!$C$6+'1.설계입력'!$C$33)*SIN(B1691)+('1.설계입력'!$C$7+'1.설계입력'!$C$34)*SIN(B1691+F1691)+'1.설계입력'!$C$8*SIN('1.설계입력'!$C$15*B1691)</f>
        <v>31.067682636215821</v>
      </c>
      <c r="I1691" s="40">
        <f t="shared" si="79"/>
        <v>79.498923741867628</v>
      </c>
      <c r="J1691" s="40">
        <f t="shared" si="80"/>
        <v>79.487725789834755</v>
      </c>
      <c r="K1691" s="38" t="str">
        <f>IF(OR(A1691&gt;180,'1.설계입력'!$C$39&gt;=1),"",'1.설계입력'!$C$34*(1-SIN(B1691)/SQRT(1+'1.설계입력'!$C$39^2-2*'1.설계입력'!$C$39*COS(B1691)))-'1.설계입력'!$C$33*(1-'1.설계입력'!$C$39*COS(B1691)-SQRT(MAX(0,1-'1.설계입력'!$C$39^2))*SIN(B1691))/SQRT(1+'1.설계입력'!$C$39^2-2*'1.설계입력'!$C$39*COS(B1691)))</f>
        <v/>
      </c>
    </row>
    <row r="1692" spans="1:11" x14ac:dyDescent="0.3">
      <c r="A1692" s="40">
        <f>A1691+'1.설계입력'!$C$12</f>
        <v>337.19999999998942</v>
      </c>
      <c r="B1692" s="40">
        <f t="shared" si="78"/>
        <v>5.8852502377246942</v>
      </c>
      <c r="C1692" s="40">
        <f>ATAN2('1.설계입력'!$C$6/('1.설계입력'!$C$8*'1.설계입력'!$C$15)-COS((1-'1.설계입력'!$C$15)*B1692),SIN((1-'1.설계입력'!$C$15)*B1692))</f>
        <v>7.9603669560777565E-2</v>
      </c>
      <c r="D1692" s="40">
        <f>'1.설계입력'!$C$6*COS(B1692)-'1.설계입력'!$C$7*COS(B1692+C1692)-'1.설계입력'!$C$8*COS('1.설계입력'!$C$15*B1692)</f>
        <v>73.260963902579888</v>
      </c>
      <c r="E1692" s="40">
        <f>-'1.설계입력'!$C$6*SIN(B1692)+'1.설계입력'!$C$7*SIN(B1692+C1692)+'1.설계입력'!$C$8*SIN('1.설계입력'!$C$15*B1692)</f>
        <v>30.836216708844589</v>
      </c>
      <c r="F1692" s="40">
        <f>ATAN2(('1.설계입력'!$C$6+'1.설계입력'!$C$33)/('1.설계입력'!$C$8*'1.설계입력'!$C$15)-COS((1-'1.설계입력'!$C$15)*B1692),SIN((1-'1.설계입력'!$C$15)*B1692))</f>
        <v>7.9605413142465956E-2</v>
      </c>
      <c r="G1692" s="40">
        <f>('1.설계입력'!$C$6+'1.설계입력'!$C$33)*COS(B1692)-('1.설계입력'!$C$7+'1.설계입력'!$C$34)*COS(B1692+F1692)-'1.설계입력'!$C$8*COS('1.설계입력'!$C$15*B1692)</f>
        <v>73.250410891799405</v>
      </c>
      <c r="H1692" s="40">
        <f>-('1.설계입력'!$C$6+'1.설계입력'!$C$33)*SIN(B1692)+('1.설계입력'!$C$7+'1.설계입력'!$C$34)*SIN(B1692+F1692)+'1.설계입력'!$C$8*SIN('1.설계입력'!$C$15*B1692)</f>
        <v>30.832486891815559</v>
      </c>
      <c r="I1692" s="40">
        <f t="shared" si="79"/>
        <v>79.486106288142835</v>
      </c>
      <c r="J1692" s="40">
        <f t="shared" si="80"/>
        <v>79.474932801175882</v>
      </c>
      <c r="K1692" s="38" t="str">
        <f>IF(OR(A1692&gt;180,'1.설계입력'!$C$39&gt;=1),"",'1.설계입력'!$C$34*(1-SIN(B1692)/SQRT(1+'1.설계입력'!$C$39^2-2*'1.설계입력'!$C$39*COS(B1692)))-'1.설계입력'!$C$33*(1-'1.설계입력'!$C$39*COS(B1692)-SQRT(MAX(0,1-'1.설계입력'!$C$39^2))*SIN(B1692))/SQRT(1+'1.설계입력'!$C$39^2-2*'1.설계입력'!$C$39*COS(B1692)))</f>
        <v/>
      </c>
    </row>
    <row r="1693" spans="1:11" x14ac:dyDescent="0.3">
      <c r="A1693" s="40">
        <f>A1692+'1.설계입력'!$C$12</f>
        <v>337.3999999999894</v>
      </c>
      <c r="B1693" s="40">
        <f t="shared" si="78"/>
        <v>5.8887408962286827</v>
      </c>
      <c r="C1693" s="40">
        <f>ATAN2('1.설계입력'!$C$6/('1.설계입력'!$C$8*'1.설계입력'!$C$15)-COS((1-'1.설계입력'!$C$15)*B1693),SIN((1-'1.설계입력'!$C$15)*B1693))</f>
        <v>0.13695037051738213</v>
      </c>
      <c r="D1693" s="40">
        <f>'1.설계입력'!$C$6*COS(B1693)-'1.설계입력'!$C$7*COS(B1693+C1693)-'1.설계입력'!$C$8*COS('1.설계입력'!$C$15*B1693)</f>
        <v>73.331459172462814</v>
      </c>
      <c r="E1693" s="40">
        <f>-'1.설계입력'!$C$6*SIN(B1693)+'1.설계입력'!$C$7*SIN(B1693+C1693)+'1.설계입력'!$C$8*SIN('1.설계입력'!$C$15*B1693)</f>
        <v>30.598219116724849</v>
      </c>
      <c r="F1693" s="40">
        <f>ATAN2(('1.설계입력'!$C$6+'1.설계입력'!$C$33)/('1.설계입력'!$C$8*'1.설계입력'!$C$15)-COS((1-'1.설계입력'!$C$15)*B1693),SIN((1-'1.설계입력'!$C$15)*B1693))</f>
        <v>0.13695338973402341</v>
      </c>
      <c r="G1693" s="40">
        <f>('1.설계입력'!$C$6+'1.설계입력'!$C$33)*COS(B1693)-('1.설계입력'!$C$7+'1.설계입력'!$C$34)*COS(B1693+F1693)-'1.설계입력'!$C$8*COS('1.설계입력'!$C$15*B1693)</f>
        <v>73.320761186578736</v>
      </c>
      <c r="H1693" s="40">
        <f>-('1.설계입력'!$C$6+'1.설계입력'!$C$33)*SIN(B1693)+('1.설계입력'!$C$7+'1.설계입력'!$C$34)*SIN(B1693+F1693)+'1.설계입력'!$C$8*SIN('1.설계입력'!$C$15*B1693)</f>
        <v>30.594976773679779</v>
      </c>
      <c r="I1693" s="40">
        <f t="shared" si="79"/>
        <v>79.459133631557336</v>
      </c>
      <c r="J1693" s="40">
        <f t="shared" si="80"/>
        <v>79.448012088165655</v>
      </c>
      <c r="K1693" s="38" t="str">
        <f>IF(OR(A1693&gt;180,'1.설계입력'!$C$39&gt;=1),"",'1.설계입력'!$C$34*(1-SIN(B1693)/SQRT(1+'1.설계입력'!$C$39^2-2*'1.설계입력'!$C$39*COS(B1693)))-'1.설계입력'!$C$33*(1-'1.설계입력'!$C$39*COS(B1693)-SQRT(MAX(0,1-'1.설계입력'!$C$39^2))*SIN(B1693))/SQRT(1+'1.설계입력'!$C$39^2-2*'1.설계입력'!$C$39*COS(B1693)))</f>
        <v/>
      </c>
    </row>
    <row r="1694" spans="1:11" x14ac:dyDescent="0.3">
      <c r="A1694" s="40">
        <f>A1693+'1.설계입력'!$C$12</f>
        <v>337.59999999998939</v>
      </c>
      <c r="B1694" s="40">
        <f t="shared" si="78"/>
        <v>5.8922315547326711</v>
      </c>
      <c r="C1694" s="40">
        <f>ATAN2('1.설계입력'!$C$6/('1.설계입력'!$C$8*'1.설계입력'!$C$15)-COS((1-'1.설계입력'!$C$15)*B1694),SIN((1-'1.설계입력'!$C$15)*B1694))</f>
        <v>0.19406103897711377</v>
      </c>
      <c r="D1694" s="40">
        <f>'1.설계입력'!$C$6*COS(B1694)-'1.설계입력'!$C$7*COS(B1694+C1694)-'1.설계입력'!$C$8*COS('1.설계입력'!$C$15*B1694)</f>
        <v>73.386404159581247</v>
      </c>
      <c r="E1694" s="40">
        <f>-'1.설계입력'!$C$6*SIN(B1694)+'1.설계입력'!$C$7*SIN(B1694+C1694)+'1.설계입력'!$C$8*SIN('1.설계입력'!$C$15*B1694)</f>
        <v>30.360644034445876</v>
      </c>
      <c r="F1694" s="40">
        <f>ATAN2(('1.설계입력'!$C$6+'1.설계입력'!$C$33)/('1.설계입력'!$C$8*'1.설계입력'!$C$15)-COS((1-'1.설계입력'!$C$15)*B1694),SIN((1-'1.설계입력'!$C$15)*B1694))</f>
        <v>0.19406536047413767</v>
      </c>
      <c r="G1694" s="40">
        <f>('1.설계입력'!$C$6+'1.설계입력'!$C$33)*COS(B1694)-('1.설계입력'!$C$7+'1.설계입력'!$C$34)*COS(B1694+F1694)-'1.설계입력'!$C$8*COS('1.설계입력'!$C$15*B1694)</f>
        <v>73.375591177267964</v>
      </c>
      <c r="H1694" s="40">
        <f>-('1.설계입력'!$C$6+'1.설계입력'!$C$33)*SIN(B1694)+('1.설계입력'!$C$7+'1.설계입력'!$C$34)*SIN(B1694+F1694)+'1.설계입력'!$C$8*SIN('1.설계입력'!$C$15*B1694)</f>
        <v>30.357895156088485</v>
      </c>
      <c r="I1694" s="40">
        <f t="shared" si="79"/>
        <v>79.418719592170063</v>
      </c>
      <c r="J1694" s="40">
        <f t="shared" si="80"/>
        <v>79.407677077985511</v>
      </c>
      <c r="K1694" s="38" t="str">
        <f>IF(OR(A1694&gt;180,'1.설계입력'!$C$39&gt;=1),"",'1.설계입력'!$C$34*(1-SIN(B1694)/SQRT(1+'1.설계입력'!$C$39^2-2*'1.설계입력'!$C$39*COS(B1694)))-'1.설계입력'!$C$33*(1-'1.설계입력'!$C$39*COS(B1694)-SQRT(MAX(0,1-'1.설계입력'!$C$39^2))*SIN(B1694))/SQRT(1+'1.설계입력'!$C$39^2-2*'1.설계입력'!$C$39*COS(B1694)))</f>
        <v/>
      </c>
    </row>
    <row r="1695" spans="1:11" x14ac:dyDescent="0.3">
      <c r="A1695" s="40">
        <f>A1694+'1.설계입력'!$C$12</f>
        <v>337.79999999998938</v>
      </c>
      <c r="B1695" s="40">
        <f t="shared" si="78"/>
        <v>5.8957222132366596</v>
      </c>
      <c r="C1695" s="40">
        <f>ATAN2('1.설계입력'!$C$6/('1.설계입력'!$C$8*'1.설계입력'!$C$15)-COS((1-'1.설계입력'!$C$15)*B1695),SIN((1-'1.설계입력'!$C$15)*B1695))</f>
        <v>0.25082478347094961</v>
      </c>
      <c r="D1695" s="40">
        <f>'1.설계입력'!$C$6*COS(B1695)-'1.설계입력'!$C$7*COS(B1695+C1695)-'1.설계입력'!$C$8*COS('1.설계입력'!$C$15*B1695)</f>
        <v>73.425891352446342</v>
      </c>
      <c r="E1695" s="40">
        <f>-'1.설계입력'!$C$6*SIN(B1695)+'1.설계입력'!$C$7*SIN(B1695+C1695)+'1.설계입력'!$C$8*SIN('1.설계입력'!$C$15*B1695)</f>
        <v>30.12622284817482</v>
      </c>
      <c r="F1695" s="40">
        <f>ATAN2(('1.설계입력'!$C$6+'1.설계입력'!$C$33)/('1.설계입력'!$C$8*'1.설계입력'!$C$15)-COS((1-'1.설계입력'!$C$15)*B1695),SIN((1-'1.설계입력'!$C$15)*B1695))</f>
        <v>0.25083044629952983</v>
      </c>
      <c r="G1695" s="40">
        <f>('1.설계입력'!$C$6+'1.설계입력'!$C$33)*COS(B1695)-('1.설계입력'!$C$7+'1.설계입력'!$C$34)*COS(B1695+F1695)-'1.설계입력'!$C$8*COS('1.설계입력'!$C$15*B1695)</f>
        <v>73.414993558077342</v>
      </c>
      <c r="H1695" s="40">
        <f>-('1.설계입력'!$C$6+'1.설계입력'!$C$33)*SIN(B1695)+('1.설계입력'!$C$7+'1.설계입력'!$C$34)*SIN(B1695+F1695)+'1.설계입력'!$C$8*SIN('1.설계입력'!$C$15*B1695)</f>
        <v>30.123970697755738</v>
      </c>
      <c r="I1695" s="40">
        <f t="shared" si="79"/>
        <v>79.365929869177137</v>
      </c>
      <c r="J1695" s="40">
        <f t="shared" si="80"/>
        <v>79.354992846901467</v>
      </c>
      <c r="K1695" s="38" t="str">
        <f>IF(OR(A1695&gt;180,'1.설계입력'!$C$39&gt;=1),"",'1.설계입력'!$C$34*(1-SIN(B1695)/SQRT(1+'1.설계입력'!$C$39^2-2*'1.설계입력'!$C$39*COS(B1695)))-'1.설계입력'!$C$33*(1-'1.설계입력'!$C$39*COS(B1695)-SQRT(MAX(0,1-'1.설계입력'!$C$39^2))*SIN(B1695))/SQRT(1+'1.설계입력'!$C$39^2-2*'1.설계입력'!$C$39*COS(B1695)))</f>
        <v/>
      </c>
    </row>
    <row r="1696" spans="1:11" x14ac:dyDescent="0.3">
      <c r="A1696" s="40">
        <f>A1695+'1.설계입력'!$C$12</f>
        <v>337.99999999998937</v>
      </c>
      <c r="B1696" s="40">
        <f t="shared" si="78"/>
        <v>5.899212871740648</v>
      </c>
      <c r="C1696" s="40">
        <f>ATAN2('1.설계입력'!$C$6/('1.설계입력'!$C$8*'1.설계입력'!$C$15)-COS((1-'1.설계입력'!$C$15)*B1696),SIN((1-'1.설계입력'!$C$15)*B1696))</f>
        <v>0.30711721724222946</v>
      </c>
      <c r="D1696" s="40">
        <f>'1.설계입력'!$C$6*COS(B1696)-'1.설계입력'!$C$7*COS(B1696+C1696)-'1.설계입력'!$C$8*COS('1.설계입력'!$C$15*B1696)</f>
        <v>73.450422641027259</v>
      </c>
      <c r="E1696" s="40">
        <f>-'1.설계입력'!$C$6*SIN(B1696)+'1.설계입력'!$C$7*SIN(B1696+C1696)+'1.설계입력'!$C$8*SIN('1.설계입력'!$C$15*B1696)</f>
        <v>29.897592124722369</v>
      </c>
      <c r="F1696" s="40">
        <f>ATAN2(('1.설계입력'!$C$6+'1.설계입력'!$C$33)/('1.설계입력'!$C$8*'1.설계입력'!$C$15)-COS((1-'1.설계입력'!$C$15)*B1696),SIN((1-'1.설계입력'!$C$15)*B1696))</f>
        <v>0.30712427424015837</v>
      </c>
      <c r="G1696" s="40">
        <f>('1.설계입력'!$C$6+'1.설계입력'!$C$33)*COS(B1696)-('1.설계입력'!$C$7+'1.설계입력'!$C$34)*COS(B1696+F1696)-'1.설계입력'!$C$8*COS('1.설계입력'!$C$15*B1696)</f>
        <v>73.439470109917039</v>
      </c>
      <c r="H1696" s="40">
        <f>-('1.설계입력'!$C$6+'1.설계입력'!$C$33)*SIN(B1696)+('1.설계입력'!$C$7+'1.설계입력'!$C$34)*SIN(B1696+F1696)+'1.설계입력'!$C$8*SIN('1.설계입력'!$C$15*B1696)</f>
        <v>29.895837131349793</v>
      </c>
      <c r="I1696" s="40">
        <f t="shared" si="79"/>
        <v>79.302147518221673</v>
      </c>
      <c r="J1696" s="40">
        <f t="shared" si="80"/>
        <v>79.291341568985899</v>
      </c>
      <c r="K1696" s="38" t="str">
        <f>IF(OR(A1696&gt;180,'1.설계입력'!$C$39&gt;=1),"",'1.설계입력'!$C$34*(1-SIN(B1696)/SQRT(1+'1.설계입력'!$C$39^2-2*'1.설계입력'!$C$39*COS(B1696)))-'1.설계입력'!$C$33*(1-'1.설계입력'!$C$39*COS(B1696)-SQRT(MAX(0,1-'1.설계입력'!$C$39^2))*SIN(B1696))/SQRT(1+'1.설계입력'!$C$39^2-2*'1.설계입력'!$C$39*COS(B1696)))</f>
        <v/>
      </c>
    </row>
    <row r="1697" spans="1:11" x14ac:dyDescent="0.3">
      <c r="A1697" s="40">
        <f>A1696+'1.설계입력'!$C$12</f>
        <v>338.19999999998936</v>
      </c>
      <c r="B1697" s="40">
        <f t="shared" si="78"/>
        <v>5.9027035302446365</v>
      </c>
      <c r="C1697" s="40">
        <f>ATAN2('1.설계입력'!$C$6/('1.설계입력'!$C$8*'1.설계입력'!$C$15)-COS((1-'1.설계입력'!$C$15)*B1697),SIN((1-'1.설계입력'!$C$15)*B1697))</f>
        <v>0.36279466557121542</v>
      </c>
      <c r="D1697" s="40">
        <f>'1.설계입력'!$C$6*COS(B1697)-'1.설계입력'!$C$7*COS(B1697+C1697)-'1.설계입력'!$C$8*COS('1.설계입력'!$C$15*B1697)</f>
        <v>73.460884845028986</v>
      </c>
      <c r="E1697" s="40">
        <f>-'1.설계입력'!$C$6*SIN(B1697)+'1.설계입력'!$C$7*SIN(B1697+C1697)+'1.설계입력'!$C$8*SIN('1.설계입력'!$C$15*B1697)</f>
        <v>29.677210414203937</v>
      </c>
      <c r="F1697" s="40">
        <f>ATAN2(('1.설계입력'!$C$6+'1.설계입력'!$C$33)/('1.설계입력'!$C$8*'1.설계입력'!$C$15)-COS((1-'1.설계입력'!$C$15)*B1697),SIN((1-'1.설계입력'!$C$15)*B1697))</f>
        <v>0.36280318531111838</v>
      </c>
      <c r="G1697" s="40">
        <f>('1.설계입력'!$C$6+'1.설계입력'!$C$33)*COS(B1697)-('1.설계입력'!$C$7+'1.설계입력'!$C$34)*COS(B1697+F1697)-'1.설계입력'!$C$8*COS('1.설계입력'!$C$15*B1697)</f>
        <v>73.449907202107937</v>
      </c>
      <c r="H1697" s="40">
        <f>-('1.설계입력'!$C$6+'1.설계입력'!$C$33)*SIN(B1697)+('1.설계입력'!$C$7+'1.설계입력'!$C$34)*SIN(B1697+F1697)+'1.설계입력'!$C$8*SIN('1.설계입력'!$C$15*B1697)</f>
        <v>29.675950058412184</v>
      </c>
      <c r="I1697" s="40">
        <f t="shared" si="79"/>
        <v>79.229025111909237</v>
      </c>
      <c r="J1697" s="40">
        <f t="shared" si="80"/>
        <v>79.21837463535617</v>
      </c>
      <c r="K1697" s="38" t="str">
        <f>IF(OR(A1697&gt;180,'1.설계입력'!$C$39&gt;=1),"",'1.설계입력'!$C$34*(1-SIN(B1697)/SQRT(1+'1.설계입력'!$C$39^2-2*'1.설계입력'!$C$39*COS(B1697)))-'1.설계입력'!$C$33*(1-'1.설계입력'!$C$39*COS(B1697)-SQRT(MAX(0,1-'1.설계입력'!$C$39^2))*SIN(B1697))/SQRT(1+'1.설계입력'!$C$39^2-2*'1.설계입력'!$C$39*COS(B1697)))</f>
        <v/>
      </c>
    </row>
    <row r="1698" spans="1:11" x14ac:dyDescent="0.3">
      <c r="A1698" s="40">
        <f>A1697+'1.설계입력'!$C$12</f>
        <v>338.39999999998935</v>
      </c>
      <c r="B1698" s="40">
        <f t="shared" si="78"/>
        <v>5.9061941887486249</v>
      </c>
      <c r="C1698" s="40">
        <f>ATAN2('1.설계입력'!$C$6/('1.설계입력'!$C$8*'1.설계입력'!$C$15)-COS((1-'1.설계입력'!$C$15)*B1698),SIN((1-'1.설계입력'!$C$15)*B1698))</f>
        <v>0.41768663938662648</v>
      </c>
      <c r="D1698" s="40">
        <f>'1.설계입력'!$C$6*COS(B1698)-'1.설계입력'!$C$7*COS(B1698+C1698)-'1.설계입력'!$C$8*COS('1.설계입력'!$C$15*B1698)</f>
        <v>73.45850912815169</v>
      </c>
      <c r="E1698" s="40">
        <f>-'1.설계입력'!$C$6*SIN(B1698)+'1.설계입력'!$C$7*SIN(B1698+C1698)+'1.설계입력'!$C$8*SIN('1.설계입력'!$C$15*B1698)</f>
        <v>29.46727259801326</v>
      </c>
      <c r="F1698" s="40">
        <f>ATAN2(('1.설계입력'!$C$6+'1.설계입력'!$C$33)/('1.설계입력'!$C$8*'1.설계입력'!$C$15)-COS((1-'1.설계입력'!$C$15)*B1698),SIN((1-'1.설계입력'!$C$15)*B1698))</f>
        <v>0.41769670883799365</v>
      </c>
      <c r="G1698" s="40">
        <f>('1.설계입력'!$C$6+'1.설계입력'!$C$33)*COS(B1698)-('1.설계입력'!$C$7+'1.설계입력'!$C$34)*COS(B1698+F1698)-'1.설계입력'!$C$8*COS('1.설계입력'!$C$15*B1698)</f>
        <v>73.447535169623009</v>
      </c>
      <c r="H1698" s="40">
        <f>-('1.설계입력'!$C$6+'1.설계입력'!$C$33)*SIN(B1698)+('1.설계입력'!$C$7+'1.설계입력'!$C$34)*SIN(B1698+F1698)+'1.설계입력'!$C$8*SIN('1.설계입력'!$C$15*B1698)</f>
        <v>29.4665012805857</v>
      </c>
      <c r="I1698" s="40">
        <f t="shared" si="79"/>
        <v>79.148422079636987</v>
      </c>
      <c r="J1698" s="40">
        <f t="shared" si="80"/>
        <v>79.137949936877746</v>
      </c>
      <c r="K1698" s="38" t="str">
        <f>IF(OR(A1698&gt;180,'1.설계입력'!$C$39&gt;=1),"",'1.설계입력'!$C$34*(1-SIN(B1698)/SQRT(1+'1.설계입력'!$C$39^2-2*'1.설계입력'!$C$39*COS(B1698)))-'1.설계입력'!$C$33*(1-'1.설계입력'!$C$39*COS(B1698)-SQRT(MAX(0,1-'1.설계입력'!$C$39^2))*SIN(B1698))/SQRT(1+'1.설계입력'!$C$39^2-2*'1.설계입력'!$C$39*COS(B1698)))</f>
        <v/>
      </c>
    </row>
    <row r="1699" spans="1:11" x14ac:dyDescent="0.3">
      <c r="A1699" s="40">
        <f>A1698+'1.설계입력'!$C$12</f>
        <v>338.59999999998934</v>
      </c>
      <c r="B1699" s="40">
        <f t="shared" si="78"/>
        <v>5.9096848472526133</v>
      </c>
      <c r="C1699" s="40">
        <f>ATAN2('1.설계입력'!$C$6/('1.설계입력'!$C$8*'1.설계입력'!$C$15)-COS((1-'1.설계입력'!$C$15)*B1699),SIN((1-'1.설계입력'!$C$15)*B1699))</f>
        <v>0.47158570349674073</v>
      </c>
      <c r="D1699" s="40">
        <f>'1.설계입력'!$C$6*COS(B1699)-'1.설계입력'!$C$7*COS(B1699+C1699)-'1.설계입력'!$C$8*COS('1.설계입력'!$C$15*B1699)</f>
        <v>73.444812609836475</v>
      </c>
      <c r="E1699" s="40">
        <f>-'1.설계입력'!$C$6*SIN(B1699)+'1.설계입력'!$C$7*SIN(B1699+C1699)+'1.설계입력'!$C$8*SIN('1.설계입력'!$C$15*B1699)</f>
        <v>29.269620936731563</v>
      </c>
      <c r="F1699" s="40">
        <f>ATAN2(('1.설계입력'!$C$6+'1.설계입력'!$C$33)/('1.설계입력'!$C$8*'1.설계입력'!$C$15)-COS((1-'1.설계입력'!$C$15)*B1699),SIN((1-'1.설계입력'!$C$15)*B1699))</f>
        <v>0.47159743161219775</v>
      </c>
      <c r="G1699" s="40">
        <f>('1.설계입력'!$C$6+'1.설계입력'!$C$33)*COS(B1699)-('1.설계입력'!$C$7+'1.설계입력'!$C$34)*COS(B1699+F1699)-'1.설계입력'!$C$8*COS('1.설계입력'!$C$15*B1699)</f>
        <v>73.43386987309762</v>
      </c>
      <c r="H1699" s="40">
        <f>-('1.설계입력'!$C$6+'1.설계입력'!$C$33)*SIN(B1699)+('1.설계입력'!$C$7+'1.설계입력'!$C$34)*SIN(B1699+F1699)+'1.설계입력'!$C$8*SIN('1.설계입력'!$C$15*B1699)</f>
        <v>29.269329817349067</v>
      </c>
      <c r="I1699" s="40">
        <f t="shared" si="79"/>
        <v>79.062324839799331</v>
      </c>
      <c r="J1699" s="40">
        <f t="shared" si="80"/>
        <v>79.052051918313879</v>
      </c>
      <c r="K1699" s="38" t="str">
        <f>IF(OR(A1699&gt;180,'1.설계입력'!$C$39&gt;=1),"",'1.설계입력'!$C$34*(1-SIN(B1699)/SQRT(1+'1.설계입력'!$C$39^2-2*'1.설계입력'!$C$39*COS(B1699)))-'1.설계입력'!$C$33*(1-'1.설계입력'!$C$39*COS(B1699)-SQRT(MAX(0,1-'1.설계입력'!$C$39^2))*SIN(B1699))/SQRT(1+'1.설계입력'!$C$39^2-2*'1.설계입력'!$C$39*COS(B1699)))</f>
        <v/>
      </c>
    </row>
    <row r="1700" spans="1:11" x14ac:dyDescent="0.3">
      <c r="A1700" s="40">
        <f>A1699+'1.설계입력'!$C$12</f>
        <v>338.79999999998932</v>
      </c>
      <c r="B1700" s="40">
        <f t="shared" si="78"/>
        <v>5.9131755057566018</v>
      </c>
      <c r="C1700" s="40">
        <f>ATAN2('1.설계입력'!$C$6/('1.설계입력'!$C$8*'1.설계입력'!$C$15)-COS((1-'1.설계입력'!$C$15)*B1700),SIN((1-'1.설계입력'!$C$15)*B1700))</f>
        <v>0.5242334156761802</v>
      </c>
      <c r="D1700" s="40">
        <f>'1.설계입력'!$C$6*COS(B1700)-'1.설계입력'!$C$7*COS(B1700+C1700)-'1.설계입력'!$C$8*COS('1.설계입력'!$C$15*B1700)</f>
        <v>73.42151954667716</v>
      </c>
      <c r="E1700" s="40">
        <f>-'1.설계입력'!$C$6*SIN(B1700)+'1.설계입력'!$C$7*SIN(B1700+C1700)+'1.설계입력'!$C$8*SIN('1.설계입력'!$C$15*B1700)</f>
        <v>29.085650515421943</v>
      </c>
      <c r="F1700" s="40">
        <f>ATAN2(('1.설계입력'!$C$6+'1.설계입력'!$C$33)/('1.설계입력'!$C$8*'1.설계입력'!$C$15)-COS((1-'1.설계입력'!$C$15)*B1700),SIN((1-'1.설계입력'!$C$15)*B1700))</f>
        <v>0.52424693820088997</v>
      </c>
      <c r="G1700" s="40">
        <f>('1.설계입력'!$C$6+'1.설계입력'!$C$33)*COS(B1700)-('1.설계입력'!$C$7+'1.설계입력'!$C$34)*COS(B1700+F1700)-'1.설계입력'!$C$8*COS('1.설계입력'!$C$15*B1700)</f>
        <v>73.410633807180986</v>
      </c>
      <c r="H1700" s="40">
        <f>-('1.설계입력'!$C$6+'1.설계입력'!$C$33)*SIN(B1700)+('1.설계입력'!$C$7+'1.설계입력'!$C$34)*SIN(B1700+F1700)+'1.설계입력'!$C$8*SIN('1.설계입력'!$C$15*B1700)</f>
        <v>29.085827300634854</v>
      </c>
      <c r="I1700" s="40">
        <f t="shared" si="79"/>
        <v>78.972745921921444</v>
      </c>
      <c r="J1700" s="40">
        <f t="shared" si="80"/>
        <v>78.9626905933073</v>
      </c>
      <c r="K1700" s="38" t="str">
        <f>IF(OR(A1700&gt;180,'1.설계입력'!$C$39&gt;=1),"",'1.설계입력'!$C$34*(1-SIN(B1700)/SQRT(1+'1.설계입력'!$C$39^2-2*'1.설계입력'!$C$39*COS(B1700)))-'1.설계입력'!$C$33*(1-'1.설계입력'!$C$39*COS(B1700)-SQRT(MAX(0,1-'1.설계입력'!$C$39^2))*SIN(B1700))/SQRT(1+'1.설계입력'!$C$39^2-2*'1.설계입력'!$C$39*COS(B1700)))</f>
        <v/>
      </c>
    </row>
    <row r="1701" spans="1:11" x14ac:dyDescent="0.3">
      <c r="A1701" s="40">
        <f>A1700+'1.설계입력'!$C$12</f>
        <v>338.99999999998931</v>
      </c>
      <c r="B1701" s="40">
        <f t="shared" si="78"/>
        <v>5.9166661642605902</v>
      </c>
      <c r="C1701" s="40">
        <f>ATAN2('1.설계입력'!$C$6/('1.설계입력'!$C$8*'1.설계입력'!$C$15)-COS((1-'1.설계입력'!$C$15)*B1701),SIN((1-'1.설계입력'!$C$15)*B1701))</f>
        <v>0.57530026069138029</v>
      </c>
      <c r="D1701" s="40">
        <f>'1.설계입력'!$C$6*COS(B1701)-'1.설계입력'!$C$7*COS(B1701+C1701)-'1.설계입력'!$C$8*COS('1.설계입력'!$C$15*B1701)</f>
        <v>73.390457867931076</v>
      </c>
      <c r="E1701" s="40">
        <f>-'1.설계입력'!$C$6*SIN(B1701)+'1.설계입력'!$C$7*SIN(B1701+C1701)+'1.설계입력'!$C$8*SIN('1.설계입력'!$C$15*B1701)</f>
        <v>28.916204320216163</v>
      </c>
      <c r="F1701" s="40">
        <f>ATAN2(('1.설계입력'!$C$6+'1.설계입력'!$C$33)/('1.설계입력'!$C$8*'1.설계입력'!$C$15)-COS((1-'1.설계입력'!$C$15)*B1701),SIN((1-'1.설계입력'!$C$15)*B1701))</f>
        <v>0.5753157466172234</v>
      </c>
      <c r="G1701" s="40">
        <f>('1.설계입력'!$C$6+'1.설계입력'!$C$33)*COS(B1701)-('1.설계입력'!$C$7+'1.설계입력'!$C$34)*COS(B1701+F1701)-'1.설계입력'!$C$8*COS('1.설계입력'!$C$15*B1701)</f>
        <v>73.379652531365878</v>
      </c>
      <c r="H1701" s="40">
        <f>-('1.설계입력'!$C$6+'1.설계입력'!$C$33)*SIN(B1701)+('1.설계입력'!$C$7+'1.설계입력'!$C$34)*SIN(B1701+F1701)+'1.설계입력'!$C$8*SIN('1.설계입력'!$C$15*B1701)</f>
        <v>28.916832968626437</v>
      </c>
      <c r="I1701" s="40">
        <f t="shared" si="79"/>
        <v>78.881595941975291</v>
      </c>
      <c r="J1701" s="40">
        <f t="shared" si="80"/>
        <v>78.871773370195186</v>
      </c>
      <c r="K1701" s="38" t="str">
        <f>IF(OR(A1701&gt;180,'1.설계입력'!$C$39&gt;=1),"",'1.설계입력'!$C$34*(1-SIN(B1701)/SQRT(1+'1.설계입력'!$C$39^2-2*'1.설계입력'!$C$39*COS(B1701)))-'1.설계입력'!$C$33*(1-'1.설계입력'!$C$39*COS(B1701)-SQRT(MAX(0,1-'1.설계입력'!$C$39^2))*SIN(B1701))/SQRT(1+'1.설계입력'!$C$39^2-2*'1.설계입력'!$C$39*COS(B1701)))</f>
        <v/>
      </c>
    </row>
    <row r="1702" spans="1:11" x14ac:dyDescent="0.3">
      <c r="A1702" s="40">
        <f>A1701+'1.설계입력'!$C$12</f>
        <v>339.1999999999893</v>
      </c>
      <c r="B1702" s="40">
        <f t="shared" si="78"/>
        <v>5.9201568227645796</v>
      </c>
      <c r="C1702" s="40">
        <f>ATAN2('1.설계입력'!$C$6/('1.설계입력'!$C$8*'1.설계입력'!$C$15)-COS((1-'1.설계입력'!$C$15)*B1702),SIN((1-'1.설계입력'!$C$15)*B1702))</f>
        <v>0.62435622374463884</v>
      </c>
      <c r="D1702" s="40">
        <f>'1.설계입력'!$C$6*COS(B1702)-'1.설계입력'!$C$7*COS(B1702+C1702)-'1.설계입력'!$C$8*COS('1.설계입력'!$C$15*B1702)</f>
        <v>73.353424192782612</v>
      </c>
      <c r="E1702" s="40">
        <f>-'1.설계입력'!$C$6*SIN(B1702)+'1.설계입력'!$C$7*SIN(B1702+C1702)+'1.설계입력'!$C$8*SIN('1.설계입력'!$C$15*B1702)</f>
        <v>28.761448891212865</v>
      </c>
      <c r="F1702" s="40">
        <f>ATAN2(('1.설계입력'!$C$6+'1.설계입력'!$C$33)/('1.설계입력'!$C$8*'1.설계입력'!$C$15)-COS((1-'1.설계입력'!$C$15)*B1702),SIN((1-'1.설계입력'!$C$15)*B1702))</f>
        <v>0.62437388399807336</v>
      </c>
      <c r="G1702" s="40">
        <f>('1.설계입력'!$C$6+'1.설계입력'!$C$33)*COS(B1702)-('1.설계입력'!$C$7+'1.설계입력'!$C$34)*COS(B1702+F1702)-'1.설계입력'!$C$8*COS('1.설계입력'!$C$15*B1702)</f>
        <v>73.342719534700521</v>
      </c>
      <c r="H1702" s="40">
        <f>-('1.설계입력'!$C$6+'1.설계입력'!$C$33)*SIN(B1702)+('1.설계입력'!$C$7+'1.설계입력'!$C$34)*SIN(B1702+F1702)+'1.설계입력'!$C$8*SIN('1.설계입력'!$C$15*B1702)</f>
        <v>28.762509184109447</v>
      </c>
      <c r="I1702" s="40">
        <f t="shared" si="79"/>
        <v>78.790518358036934</v>
      </c>
      <c r="J1702" s="40">
        <f t="shared" si="80"/>
        <v>78.780939593988862</v>
      </c>
      <c r="K1702" s="38" t="str">
        <f>IF(OR(A1702&gt;180,'1.설계입력'!$C$39&gt;=1),"",'1.설계입력'!$C$34*(1-SIN(B1702)/SQRT(1+'1.설계입력'!$C$39^2-2*'1.설계입력'!$C$39*COS(B1702)))-'1.설계입력'!$C$33*(1-'1.설계입력'!$C$39*COS(B1702)-SQRT(MAX(0,1-'1.설계입력'!$C$39^2))*SIN(B1702))/SQRT(1+'1.설계입력'!$C$39^2-2*'1.설계입력'!$C$39*COS(B1702)))</f>
        <v/>
      </c>
    </row>
    <row r="1703" spans="1:11" x14ac:dyDescent="0.3">
      <c r="A1703" s="40">
        <f>A1702+'1.설계입력'!$C$12</f>
        <v>339.39999999998929</v>
      </c>
      <c r="B1703" s="40">
        <f t="shared" si="78"/>
        <v>5.923647481268568</v>
      </c>
      <c r="C1703" s="40">
        <f>ATAN2('1.설계입력'!$C$6/('1.설계입력'!$C$8*'1.설계입력'!$C$15)-COS((1-'1.설계입력'!$C$15)*B1703),SIN((1-'1.설계입력'!$C$15)*B1703))</f>
        <v>0.67082641042107172</v>
      </c>
      <c r="D1703" s="40">
        <f>'1.설계입력'!$C$6*COS(B1703)-'1.설계입력'!$C$7*COS(B1703+C1703)-'1.설계입력'!$C$8*COS('1.설계입력'!$C$15*B1703)</f>
        <v>73.312006031961317</v>
      </c>
      <c r="E1703" s="40">
        <f>-'1.설계입력'!$C$6*SIN(B1703)+'1.설계입력'!$C$7*SIN(B1703+C1703)+'1.설계입력'!$C$8*SIN('1.설계입력'!$C$15*B1703)</f>
        <v>28.62071376028106</v>
      </c>
      <c r="F1703" s="40">
        <f>ATAN2(('1.설계입력'!$C$6+'1.설계입력'!$C$33)/('1.설계입력'!$C$8*'1.설계입력'!$C$15)-COS((1-'1.설계입력'!$C$15)*B1703),SIN((1-'1.설계입력'!$C$15)*B1703))</f>
        <v>0.67084650958818648</v>
      </c>
      <c r="G1703" s="40">
        <f>('1.설계입력'!$C$6+'1.설계입력'!$C$33)*COS(B1703)-('1.설계입력'!$C$7+'1.설계입력'!$C$34)*COS(B1703+F1703)-'1.설계입력'!$C$8*COS('1.설계입력'!$C$15*B1703)</f>
        <v>73.301418210920275</v>
      </c>
      <c r="H1703" s="40">
        <f>-('1.설계입력'!$C$6+'1.설계입력'!$C$33)*SIN(B1703)+('1.설계입력'!$C$7+'1.설계입력'!$C$34)*SIN(B1703+F1703)+'1.설계입력'!$C$8*SIN('1.설계입력'!$C$15*B1703)</f>
        <v>28.622180651596693</v>
      </c>
      <c r="I1703" s="40">
        <f t="shared" si="79"/>
        <v>78.70067016600477</v>
      </c>
      <c r="J1703" s="40">
        <f t="shared" si="80"/>
        <v>78.691340927606959</v>
      </c>
      <c r="K1703" s="38" t="str">
        <f>IF(OR(A1703&gt;180,'1.설계입력'!$C$39&gt;=1),"",'1.설계입력'!$C$34*(1-SIN(B1703)/SQRT(1+'1.설계입력'!$C$39^2-2*'1.설계입력'!$C$39*COS(B1703)))-'1.설계입력'!$C$33*(1-'1.설계입력'!$C$39*COS(B1703)-SQRT(MAX(0,1-'1.설계입력'!$C$39^2))*SIN(B1703))/SQRT(1+'1.설계입력'!$C$39^2-2*'1.설계입력'!$C$39*COS(B1703)))</f>
        <v/>
      </c>
    </row>
    <row r="1704" spans="1:11" x14ac:dyDescent="0.3">
      <c r="A1704" s="40">
        <f>A1703+'1.설계입력'!$C$12</f>
        <v>339.59999999998928</v>
      </c>
      <c r="B1704" s="40">
        <f t="shared" si="78"/>
        <v>5.9271381397725564</v>
      </c>
      <c r="C1704" s="40">
        <f>ATAN2('1.설계입력'!$C$6/('1.설계입력'!$C$8*'1.설계입력'!$C$15)-COS((1-'1.설계입력'!$C$15)*B1704),SIN((1-'1.설계입력'!$C$15)*B1704))</f>
        <v>0.7139220845540355</v>
      </c>
      <c r="D1704" s="40">
        <f>'1.설계입력'!$C$6*COS(B1704)-'1.설계입력'!$C$7*COS(B1704+C1704)-'1.설계입력'!$C$8*COS('1.설계입력'!$C$15*B1704)</f>
        <v>73.267342546027862</v>
      </c>
      <c r="E1704" s="40">
        <f>-'1.설계입력'!$C$6*SIN(B1704)+'1.설계입력'!$C$7*SIN(B1704+C1704)+'1.설계입력'!$C$8*SIN('1.설계입력'!$C$15*B1704)</f>
        <v>28.492263361547842</v>
      </c>
      <c r="F1704" s="40">
        <f>ATAN2(('1.설계입력'!$C$6+'1.설계입력'!$C$33)/('1.설계입력'!$C$8*'1.설계입력'!$C$15)-COS((1-'1.설계입력'!$C$15)*B1704),SIN((1-'1.설계입력'!$C$15)*B1704))</f>
        <v>0.71394495667609215</v>
      </c>
      <c r="G1704" s="40">
        <f>('1.설계입력'!$C$6+'1.설계입력'!$C$33)*COS(B1704)-('1.설계입력'!$C$7+'1.설계입력'!$C$34)*COS(B1704+F1704)-'1.설계입력'!$C$8*COS('1.설계입력'!$C$15*B1704)</f>
        <v>73.256882273837746</v>
      </c>
      <c r="H1704" s="40">
        <f>-('1.설계입력'!$C$6+'1.설계입력'!$C$33)*SIN(B1704)+('1.설계입력'!$C$7+'1.설계입력'!$C$34)*SIN(B1704+F1704)+'1.설계입력'!$C$8*SIN('1.설계입력'!$C$15*B1704)</f>
        <v>28.494105958548381</v>
      </c>
      <c r="I1704" s="40">
        <f t="shared" si="79"/>
        <v>78.612419853486173</v>
      </c>
      <c r="J1704" s="40">
        <f t="shared" si="80"/>
        <v>78.603338827685334</v>
      </c>
      <c r="K1704" s="38" t="str">
        <f>IF(OR(A1704&gt;180,'1.설계입력'!$C$39&gt;=1),"",'1.설계입력'!$C$34*(1-SIN(B1704)/SQRT(1+'1.설계입력'!$C$39^2-2*'1.설계입력'!$C$39*COS(B1704)))-'1.설계입력'!$C$33*(1-'1.설계입력'!$C$39*COS(B1704)-SQRT(MAX(0,1-'1.설계입력'!$C$39^2))*SIN(B1704))/SQRT(1+'1.설계입력'!$C$39^2-2*'1.설계입력'!$C$39*COS(B1704)))</f>
        <v/>
      </c>
    </row>
    <row r="1705" spans="1:11" x14ac:dyDescent="0.3">
      <c r="A1705" s="40">
        <f>A1704+'1.설계입력'!$C$12</f>
        <v>339.79999999998927</v>
      </c>
      <c r="B1705" s="40">
        <f t="shared" si="78"/>
        <v>5.9306287982765449</v>
      </c>
      <c r="C1705" s="40">
        <f>ATAN2('1.설계입력'!$C$6/('1.설계입력'!$C$8*'1.설계입력'!$C$15)-COS((1-'1.설계입력'!$C$15)*B1705),SIN((1-'1.설계입력'!$C$15)*B1705))</f>
        <v>0.7525299652356785</v>
      </c>
      <c r="D1705" s="40">
        <f>'1.설계입력'!$C$6*COS(B1705)-'1.설계입력'!$C$7*COS(B1705+C1705)-'1.설계입력'!$C$8*COS('1.설계입력'!$C$15*B1705)</f>
        <v>73.219793300158358</v>
      </c>
      <c r="E1705" s="40">
        <f>-'1.설계입력'!$C$6*SIN(B1705)+'1.설계입력'!$C$7*SIN(B1705+C1705)+'1.설계입력'!$C$8*SIN('1.설계입력'!$C$15*B1705)</f>
        <v>28.372941652704483</v>
      </c>
      <c r="F1705" s="40">
        <f>ATAN2(('1.설계입력'!$C$6+'1.설계입력'!$C$33)/('1.설계입력'!$C$8*'1.설계입력'!$C$15)-COS((1-'1.설계입력'!$C$15)*B1705),SIN((1-'1.설계입력'!$C$15)*B1705))</f>
        <v>0.75255603479473754</v>
      </c>
      <c r="G1705" s="40">
        <f>('1.설계입력'!$C$6+'1.설계입력'!$C$33)*COS(B1705)-('1.설계입력'!$C$7+'1.설계입력'!$C$34)*COS(B1705+F1705)-'1.설계입력'!$C$8*COS('1.설계입력'!$C$15*B1705)</f>
        <v>73.209463982801296</v>
      </c>
      <c r="H1705" s="40">
        <f>-('1.설계입력'!$C$6+'1.설계입력'!$C$33)*SIN(B1705)+('1.설계입력'!$C$7+'1.설계입력'!$C$34)*SIN(B1705+F1705)+'1.설계입력'!$C$8*SIN('1.설계입력'!$C$15*B1705)</f>
        <v>28.375121560487635</v>
      </c>
      <c r="I1705" s="40">
        <f t="shared" si="79"/>
        <v>78.524912919058295</v>
      </c>
      <c r="J1705" s="40">
        <f t="shared" si="80"/>
        <v>78.516069312093876</v>
      </c>
      <c r="K1705" s="38" t="str">
        <f>IF(OR(A1705&gt;180,'1.설계입력'!$C$39&gt;=1),"",'1.설계입력'!$C$34*(1-SIN(B1705)/SQRT(1+'1.설계입력'!$C$39^2-2*'1.설계입력'!$C$39*COS(B1705)))-'1.설계입력'!$C$33*(1-'1.설계입력'!$C$39*COS(B1705)-SQRT(MAX(0,1-'1.설계입력'!$C$39^2))*SIN(B1705))/SQRT(1+'1.설계입력'!$C$39^2-2*'1.설계입력'!$C$39*COS(B1705)))</f>
        <v/>
      </c>
    </row>
    <row r="1706" spans="1:11" x14ac:dyDescent="0.3">
      <c r="A1706" s="40">
        <f>A1705+'1.설계입력'!$C$12</f>
        <v>339.99999999998926</v>
      </c>
      <c r="B1706" s="40">
        <f t="shared" si="78"/>
        <v>5.9341194567805333</v>
      </c>
      <c r="C1706" s="40">
        <f>ATAN2('1.설계입력'!$C$6/('1.설계입력'!$C$8*'1.설계입력'!$C$15)-COS((1-'1.설계입력'!$C$15)*B1706),SIN((1-'1.설계입력'!$C$15)*B1706))</f>
        <v>0.78502806713709228</v>
      </c>
      <c r="D1706" s="40">
        <f>'1.설계입력'!$C$6*COS(B1706)-'1.설계입력'!$C$7*COS(B1706+C1706)-'1.설계입력'!$C$8*COS('1.설계입력'!$C$15*B1706)</f>
        <v>73.168466100340581</v>
      </c>
      <c r="E1706" s="40">
        <f>-'1.설계입력'!$C$6*SIN(B1706)+'1.설계입력'!$C$7*SIN(B1706+C1706)+'1.설계입력'!$C$8*SIN('1.설계입력'!$C$15*B1706)</f>
        <v>28.257571369927792</v>
      </c>
      <c r="F1706" s="40">
        <f>ATAN2(('1.설계입력'!$C$6+'1.설계입력'!$C$33)/('1.설계입력'!$C$8*'1.설계입력'!$C$15)-COS((1-'1.설계입력'!$C$15)*B1706),SIN((1-'1.설계입력'!$C$15)*B1706))</f>
        <v>0.78505787571040786</v>
      </c>
      <c r="G1706" s="40">
        <f>('1.설계입력'!$C$6+'1.설계입력'!$C$33)*COS(B1706)-('1.설계입력'!$C$7+'1.설계입력'!$C$34)*COS(B1706+F1706)-'1.설계입력'!$C$8*COS('1.설계입력'!$C$15*B1706)</f>
        <v>73.158261147894166</v>
      </c>
      <c r="H1706" s="40">
        <f>-('1.설계입력'!$C$6+'1.설계입력'!$C$33)*SIN(B1706)+('1.설계입력'!$C$7+'1.설계입력'!$C$34)*SIN(B1706+F1706)+'1.설계입력'!$C$8*SIN('1.설계입력'!$C$15*B1706)</f>
        <v>28.26003989798183</v>
      </c>
      <c r="I1706" s="40">
        <f t="shared" si="79"/>
        <v>78.435417836607797</v>
      </c>
      <c r="J1706" s="40">
        <f t="shared" si="80"/>
        <v>78.426787701773208</v>
      </c>
      <c r="K1706" s="38" t="str">
        <f>IF(OR(A1706&gt;180,'1.설계입력'!$C$39&gt;=1),"",'1.설계입력'!$C$34*(1-SIN(B1706)/SQRT(1+'1.설계입력'!$C$39^2-2*'1.설계입력'!$C$39*COS(B1706)))-'1.설계입력'!$C$33*(1-'1.설계입력'!$C$39*COS(B1706)-SQRT(MAX(0,1-'1.설계입력'!$C$39^2))*SIN(B1706))/SQRT(1+'1.설계입력'!$C$39^2-2*'1.설계입력'!$C$39*COS(B1706)))</f>
        <v/>
      </c>
    </row>
    <row r="1707" spans="1:11" x14ac:dyDescent="0.3">
      <c r="A1707" s="40">
        <f>A1706+'1.설계입력'!$C$12</f>
        <v>340.19999999998925</v>
      </c>
      <c r="B1707" s="40">
        <f t="shared" si="78"/>
        <v>5.9376101152845218</v>
      </c>
      <c r="C1707" s="40">
        <f>ATAN2('1.설계입력'!$C$6/('1.설계입력'!$C$8*'1.설계입력'!$C$15)-COS((1-'1.설계입력'!$C$15)*B1707),SIN((1-'1.설계입력'!$C$15)*B1707))</f>
        <v>0.80896725152865034</v>
      </c>
      <c r="D1707" s="40">
        <f>'1.설계입력'!$C$6*COS(B1707)-'1.설계입력'!$C$7*COS(B1707+C1707)-'1.설계입력'!$C$8*COS('1.설계입력'!$C$15*B1707)</f>
        <v>73.110531774911493</v>
      </c>
      <c r="E1707" s="40">
        <f>-'1.설계입력'!$C$6*SIN(B1707)+'1.설계입력'!$C$7*SIN(B1707+C1707)+'1.설계입력'!$C$8*SIN('1.설계입력'!$C$15*B1707)</f>
        <v>28.137864728070198</v>
      </c>
      <c r="F1707" s="40">
        <f>ATAN2(('1.설계입력'!$C$6+'1.설계입력'!$C$33)/('1.설계입력'!$C$8*'1.설계입력'!$C$15)-COS((1-'1.설계입력'!$C$15)*B1707),SIN((1-'1.설계입력'!$C$15)*B1707))</f>
        <v>0.80900148721865917</v>
      </c>
      <c r="G1707" s="40">
        <f>('1.설계입력'!$C$6+'1.설계입력'!$C$33)*COS(B1707)-('1.설계입력'!$C$7+'1.설계입력'!$C$34)*COS(B1707+F1707)-'1.설계입력'!$C$8*COS('1.설계입력'!$C$15*B1707)</f>
        <v>73.100430596222722</v>
      </c>
      <c r="H1707" s="40">
        <f>-('1.설계입력'!$C$6+'1.설계입력'!$C$33)*SIN(B1707)+('1.설계입력'!$C$7+'1.설계입력'!$C$34)*SIN(B1707+F1707)+'1.설계입력'!$C$8*SIN('1.설계입력'!$C$15*B1707)</f>
        <v>28.140557967092505</v>
      </c>
      <c r="I1707" s="40">
        <f t="shared" si="79"/>
        <v>78.338300261529284</v>
      </c>
      <c r="J1707" s="40">
        <f t="shared" si="80"/>
        <v>78.329840776376329</v>
      </c>
      <c r="K1707" s="38" t="str">
        <f>IF(OR(A1707&gt;180,'1.설계입력'!$C$39&gt;=1),"",'1.설계입력'!$C$34*(1-SIN(B1707)/SQRT(1+'1.설계입력'!$C$39^2-2*'1.설계입력'!$C$39*COS(B1707)))-'1.설계입력'!$C$33*(1-'1.설계입력'!$C$39*COS(B1707)-SQRT(MAX(0,1-'1.설계입력'!$C$39^2))*SIN(B1707))/SQRT(1+'1.설계입력'!$C$39^2-2*'1.설계입력'!$C$39*COS(B1707)))</f>
        <v/>
      </c>
    </row>
    <row r="1708" spans="1:11" x14ac:dyDescent="0.3">
      <c r="A1708" s="40">
        <f>A1707+'1.설계입력'!$C$12</f>
        <v>340.39999999998923</v>
      </c>
      <c r="B1708" s="40">
        <f t="shared" si="78"/>
        <v>5.9411007737885102</v>
      </c>
      <c r="C1708" s="40">
        <f>ATAN2('1.설계입력'!$C$6/('1.설계입력'!$C$8*'1.설계입력'!$C$15)-COS((1-'1.설계입력'!$C$15)*B1708),SIN((1-'1.설계입력'!$C$15)*B1708))</f>
        <v>0.8204979161201218</v>
      </c>
      <c r="D1708" s="40">
        <f>'1.설계입력'!$C$6*COS(B1708)-'1.설계입력'!$C$7*COS(B1708+C1708)-'1.설계입력'!$C$8*COS('1.설계입력'!$C$15*B1708)</f>
        <v>73.040248516991156</v>
      </c>
      <c r="E1708" s="40">
        <f>-'1.설계입력'!$C$6*SIN(B1708)+'1.설계입력'!$C$7*SIN(B1708+C1708)+'1.설계입력'!$C$8*SIN('1.설계입력'!$C$15*B1708)</f>
        <v>28.000322743831386</v>
      </c>
      <c r="F1708" s="40">
        <f>ATAN2(('1.설계입력'!$C$6+'1.설계입력'!$C$33)/('1.설계입력'!$C$8*'1.설계입력'!$C$15)-COS((1-'1.설계입력'!$C$15)*B1708),SIN((1-'1.설계입력'!$C$15)*B1708))</f>
        <v>0.82053742990925305</v>
      </c>
      <c r="G1708" s="40">
        <f>('1.설계입력'!$C$6+'1.설계입력'!$C$33)*COS(B1708)-('1.설계입력'!$C$7+'1.설계입력'!$C$34)*COS(B1708+F1708)-'1.설계입력'!$C$8*COS('1.설계입력'!$C$15*B1708)</f>
        <v>73.030210468636014</v>
      </c>
      <c r="H1708" s="40">
        <f>-('1.설계입력'!$C$6+'1.설계입력'!$C$33)*SIN(B1708)+('1.설계입력'!$C$7+'1.설계입력'!$C$34)*SIN(B1708+F1708)+'1.설계입력'!$C$8*SIN('1.설계입력'!$C$15*B1708)</f>
        <v>28.003152443713319</v>
      </c>
      <c r="I1708" s="40">
        <f t="shared" si="79"/>
        <v>78.22337232044238</v>
      </c>
      <c r="J1708" s="40">
        <f t="shared" si="80"/>
        <v>78.215012547970105</v>
      </c>
      <c r="K1708" s="38" t="str">
        <f>IF(OR(A1708&gt;180,'1.설계입력'!$C$39&gt;=1),"",'1.설계입력'!$C$34*(1-SIN(B1708)/SQRT(1+'1.설계입력'!$C$39^2-2*'1.설계입력'!$C$39*COS(B1708)))-'1.설계입력'!$C$33*(1-'1.설계입력'!$C$39*COS(B1708)-SQRT(MAX(0,1-'1.설계입력'!$C$39^2))*SIN(B1708))/SQRT(1+'1.설계입력'!$C$39^2-2*'1.설계입력'!$C$39*COS(B1708)))</f>
        <v/>
      </c>
    </row>
    <row r="1709" spans="1:11" x14ac:dyDescent="0.3">
      <c r="A1709" s="40">
        <f>A1708+'1.설계입력'!$C$12</f>
        <v>340.59999999998922</v>
      </c>
      <c r="B1709" s="40">
        <f t="shared" si="78"/>
        <v>5.9445914322924986</v>
      </c>
      <c r="C1709" s="40">
        <f>ATAN2('1.설계입력'!$C$6/('1.설계입력'!$C$8*'1.설계입력'!$C$15)-COS((1-'1.설계입력'!$C$15)*B1709),SIN((1-'1.설계입력'!$C$15)*B1709))</f>
        <v>0.81329921113400516</v>
      </c>
      <c r="D1709" s="40">
        <f>'1.설계입력'!$C$6*COS(B1709)-'1.설계입력'!$C$7*COS(B1709+C1709)-'1.설계입력'!$C$8*COS('1.설계입력'!$C$15*B1709)</f>
        <v>72.947758820192178</v>
      </c>
      <c r="E1709" s="40">
        <f>-'1.설계입력'!$C$6*SIN(B1709)+'1.설계입력'!$C$7*SIN(B1709+C1709)+'1.설계입력'!$C$8*SIN('1.설계입력'!$C$15*B1709)</f>
        <v>27.821961995628147</v>
      </c>
      <c r="F1709" s="40">
        <f>ATAN2(('1.설계입력'!$C$6+'1.설계입력'!$C$33)/('1.설계입력'!$C$8*'1.설계입력'!$C$15)-COS((1-'1.설계입력'!$C$15)*B1709),SIN((1-'1.설계입력'!$C$15)*B1709))</f>
        <v>0.81334495783214344</v>
      </c>
      <c r="G1709" s="40">
        <f>('1.설계입력'!$C$6+'1.설계입력'!$C$33)*COS(B1709)-('1.설계입력'!$C$7+'1.설계입력'!$C$34)*COS(B1709+F1709)-'1.설계입력'!$C$8*COS('1.설계입력'!$C$15*B1709)</f>
        <v>72.937714279696237</v>
      </c>
      <c r="H1709" s="40">
        <f>-('1.설계입력'!$C$6+'1.설계입력'!$C$33)*SIN(B1709)+('1.설계입력'!$C$7+'1.설계입력'!$C$34)*SIN(B1709+F1709)+'1.설계입력'!$C$8*SIN('1.설계입력'!$C$15*B1709)</f>
        <v>27.824797695971736</v>
      </c>
      <c r="I1709" s="40">
        <f t="shared" si="79"/>
        <v>78.073280231940444</v>
      </c>
      <c r="J1709" s="40">
        <f t="shared" si="80"/>
        <v>78.064905887142132</v>
      </c>
      <c r="K1709" s="38" t="str">
        <f>IF(OR(A1709&gt;180,'1.설계입력'!$C$39&gt;=1),"",'1.설계입력'!$C$34*(1-SIN(B1709)/SQRT(1+'1.설계입력'!$C$39^2-2*'1.설계입력'!$C$39*COS(B1709)))-'1.설계입력'!$C$33*(1-'1.설계입력'!$C$39*COS(B1709)-SQRT(MAX(0,1-'1.설계입력'!$C$39^2))*SIN(B1709))/SQRT(1+'1.설계입력'!$C$39^2-2*'1.설계입력'!$C$39*COS(B1709)))</f>
        <v/>
      </c>
    </row>
    <row r="1710" spans="1:11" x14ac:dyDescent="0.3">
      <c r="A1710" s="40">
        <f>A1709+'1.설계입력'!$C$12</f>
        <v>340.79999999998921</v>
      </c>
      <c r="B1710" s="40">
        <f t="shared" si="78"/>
        <v>5.9480820907964871</v>
      </c>
      <c r="C1710" s="40">
        <f>ATAN2('1.설계입력'!$C$6/('1.설계입력'!$C$8*'1.설계입력'!$C$15)-COS((1-'1.설계입력'!$C$15)*B1710),SIN((1-'1.설계입력'!$C$15)*B1710))</f>
        <v>0.77654519895020235</v>
      </c>
      <c r="D1710" s="40">
        <f>'1.설계입력'!$C$6*COS(B1710)-'1.설계입력'!$C$7*COS(B1710+C1710)-'1.설계입력'!$C$8*COS('1.설계입력'!$C$15*B1710)</f>
        <v>72.818620347864737</v>
      </c>
      <c r="E1710" s="40">
        <f>-'1.설계입력'!$C$6*SIN(B1710)+'1.설계입력'!$C$7*SIN(B1710+C1710)+'1.설계입력'!$C$8*SIN('1.설계입력'!$C$15*B1710)</f>
        <v>27.561322425990678</v>
      </c>
      <c r="F1710" s="40">
        <f>ATAN2(('1.설계입력'!$C$6+'1.설계입력'!$C$33)/('1.설계입력'!$C$8*'1.설계입력'!$C$15)-COS((1-'1.설계입력'!$C$15)*B1710),SIN((1-'1.설계입력'!$C$15)*B1710))</f>
        <v>0.77659787590113716</v>
      </c>
      <c r="G1710" s="40">
        <f>('1.설계입력'!$C$6+'1.설계입력'!$C$33)*COS(B1710)-('1.설계입력'!$C$7+'1.설계입력'!$C$34)*COS(B1710+F1710)-'1.설계입력'!$C$8*COS('1.설계입력'!$C$15*B1710)</f>
        <v>72.808459486158668</v>
      </c>
      <c r="H1710" s="40">
        <f>-('1.설계입력'!$C$6+'1.설계입력'!$C$33)*SIN(B1710)+('1.설계입력'!$C$7+'1.설계입력'!$C$34)*SIN(B1710+F1710)+'1.설계입력'!$C$8*SIN('1.설계입력'!$C$15*B1710)</f>
        <v>27.56395450504041</v>
      </c>
      <c r="I1710" s="40">
        <f t="shared" si="79"/>
        <v>77.859989489055778</v>
      </c>
      <c r="J1710" s="40">
        <f t="shared" si="80"/>
        <v>77.851418488705434</v>
      </c>
      <c r="K1710" s="38" t="str">
        <f>IF(OR(A1710&gt;180,'1.설계입력'!$C$39&gt;=1),"",'1.설계입력'!$C$34*(1-SIN(B1710)/SQRT(1+'1.설계입력'!$C$39^2-2*'1.설계입력'!$C$39*COS(B1710)))-'1.설계입력'!$C$33*(1-'1.설계입력'!$C$39*COS(B1710)-SQRT(MAX(0,1-'1.설계입력'!$C$39^2))*SIN(B1710))/SQRT(1+'1.설계입력'!$C$39^2-2*'1.설계입력'!$C$39*COS(B1710)))</f>
        <v/>
      </c>
    </row>
    <row r="1711" spans="1:11" x14ac:dyDescent="0.3">
      <c r="A1711" s="40">
        <f>A1710+'1.설계입력'!$C$12</f>
        <v>340.9999999999892</v>
      </c>
      <c r="B1711" s="40">
        <f t="shared" si="78"/>
        <v>5.9515727493004755</v>
      </c>
      <c r="C1711" s="40">
        <f>ATAN2('1.설계입력'!$C$6/('1.설계입력'!$C$8*'1.설계입력'!$C$15)-COS((1-'1.설계입력'!$C$15)*B1711),SIN((1-'1.설계입력'!$C$15)*B1711))</f>
        <v>0.69127080376103889</v>
      </c>
      <c r="D1711" s="40">
        <f>'1.설계입력'!$C$6*COS(B1711)-'1.설계입력'!$C$7*COS(B1711+C1711)-'1.설계입력'!$C$8*COS('1.설계입력'!$C$15*B1711)</f>
        <v>72.639387893703514</v>
      </c>
      <c r="E1711" s="40">
        <f>-'1.설계입력'!$C$6*SIN(B1711)+'1.설계입력'!$C$7*SIN(B1711+C1711)+'1.설계입력'!$C$8*SIN('1.설계입력'!$C$15*B1711)</f>
        <v>27.140224715425553</v>
      </c>
      <c r="F1711" s="40">
        <f>ATAN2(('1.설계입력'!$C$6+'1.설계입력'!$C$33)/('1.설계입력'!$C$8*'1.설계입력'!$C$15)-COS((1-'1.설계입력'!$C$15)*B1711),SIN((1-'1.설계입력'!$C$15)*B1711))</f>
        <v>0.69132940344354488</v>
      </c>
      <c r="G1711" s="40">
        <f>('1.설계입력'!$C$6+'1.설계입력'!$C$33)*COS(B1711)-('1.설계입력'!$C$7+'1.설계입력'!$C$34)*COS(B1711+F1711)-'1.설계입력'!$C$8*COS('1.설계입력'!$C$15*B1711)</f>
        <v>72.628957718277206</v>
      </c>
      <c r="H1711" s="40">
        <f>-('1.설계입력'!$C$6+'1.설계입력'!$C$33)*SIN(B1711)+('1.설계입력'!$C$7+'1.설계입력'!$C$34)*SIN(B1711+F1711)+'1.설계입력'!$C$8*SIN('1.설계입력'!$C$15*B1711)</f>
        <v>27.142286127611207</v>
      </c>
      <c r="I1711" s="40">
        <f t="shared" si="79"/>
        <v>77.544003450787329</v>
      </c>
      <c r="J1711" s="40">
        <f t="shared" si="80"/>
        <v>77.534954668693871</v>
      </c>
      <c r="K1711" s="38" t="str">
        <f>IF(OR(A1711&gt;180,'1.설계입력'!$C$39&gt;=1),"",'1.설계입력'!$C$34*(1-SIN(B1711)/SQRT(1+'1.설계입력'!$C$39^2-2*'1.설계입력'!$C$39*COS(B1711)))-'1.설계입력'!$C$33*(1-'1.설계입력'!$C$39*COS(B1711)-SQRT(MAX(0,1-'1.설계입력'!$C$39^2))*SIN(B1711))/SQRT(1+'1.설계입력'!$C$39^2-2*'1.설계입력'!$C$39*COS(B1711)))</f>
        <v/>
      </c>
    </row>
    <row r="1712" spans="1:11" x14ac:dyDescent="0.3">
      <c r="A1712" s="40">
        <f>A1711+'1.설계입력'!$C$12</f>
        <v>341.19999999998919</v>
      </c>
      <c r="B1712" s="40">
        <f t="shared" si="78"/>
        <v>5.955063407804464</v>
      </c>
      <c r="C1712" s="40">
        <f>ATAN2('1.설계입력'!$C$6/('1.설계입력'!$C$8*'1.설계입력'!$C$15)-COS((1-'1.설계입력'!$C$15)*B1712),SIN((1-'1.설계입력'!$C$15)*B1712))</f>
        <v>0.52626875195830358</v>
      </c>
      <c r="D1712" s="40">
        <f>'1.설계입력'!$C$6*COS(B1712)-'1.설계입력'!$C$7*COS(B1712+C1712)-'1.설계입력'!$C$8*COS('1.설계입력'!$C$15*B1712)</f>
        <v>72.43143495190256</v>
      </c>
      <c r="E1712" s="40">
        <f>-'1.설계입력'!$C$6*SIN(B1712)+'1.설계입력'!$C$7*SIN(B1712+C1712)+'1.설계입력'!$C$8*SIN('1.설계입력'!$C$15*B1712)</f>
        <v>26.418319243985025</v>
      </c>
      <c r="F1712" s="40">
        <f>ATAN2(('1.설계입력'!$C$6+'1.설계입력'!$C$33)/('1.설계입력'!$C$8*'1.설계입력'!$C$15)-COS((1-'1.설계입력'!$C$15)*B1712),SIN((1-'1.설계입력'!$C$15)*B1712))</f>
        <v>0.52632584654543024</v>
      </c>
      <c r="G1712" s="40">
        <f>('1.설계입력'!$C$6+'1.설계입력'!$C$33)*COS(B1712)-('1.설계입력'!$C$7+'1.설계입력'!$C$34)*COS(B1712+F1712)-'1.설계입력'!$C$8*COS('1.설계입력'!$C$15*B1712)</f>
        <v>72.420603885779812</v>
      </c>
      <c r="H1712" s="40">
        <f>-('1.설계입력'!$C$6+'1.설계입력'!$C$33)*SIN(B1712)+('1.설계입력'!$C$7+'1.설계입력'!$C$34)*SIN(B1712+F1712)+'1.설계입력'!$C$8*SIN('1.설계입력'!$C$15*B1712)</f>
        <v>26.41913908968462</v>
      </c>
      <c r="I1712" s="40">
        <f t="shared" si="79"/>
        <v>77.098899868083734</v>
      </c>
      <c r="J1712" s="40">
        <f t="shared" si="80"/>
        <v>77.089005554755531</v>
      </c>
      <c r="K1712" s="38" t="str">
        <f>IF(OR(A1712&gt;180,'1.설계입력'!$C$39&gt;=1),"",'1.설계입력'!$C$34*(1-SIN(B1712)/SQRT(1+'1.설계입력'!$C$39^2-2*'1.설계입력'!$C$39*COS(B1712)))-'1.설계입력'!$C$33*(1-'1.설계입력'!$C$39*COS(B1712)-SQRT(MAX(0,1-'1.설계입력'!$C$39^2))*SIN(B1712))/SQRT(1+'1.설계입력'!$C$39^2-2*'1.설계입력'!$C$39*COS(B1712)))</f>
        <v/>
      </c>
    </row>
    <row r="1713" spans="1:11" x14ac:dyDescent="0.3">
      <c r="A1713" s="40">
        <f>A1712+'1.설계입력'!$C$12</f>
        <v>341.39999999998918</v>
      </c>
      <c r="B1713" s="40">
        <f t="shared" si="78"/>
        <v>5.9585540663084524</v>
      </c>
      <c r="C1713" s="40">
        <f>ATAN2('1.설계입력'!$C$6/('1.설계입력'!$C$8*'1.설계입력'!$C$15)-COS((1-'1.설계입력'!$C$15)*B1713),SIN((1-'1.설계입력'!$C$15)*B1713))</f>
        <v>0.24835429787316513</v>
      </c>
      <c r="D1713" s="40">
        <f>'1.설계입력'!$C$6*COS(B1713)-'1.설계입력'!$C$7*COS(B1713+C1713)-'1.설계입력'!$C$8*COS('1.설계입력'!$C$15*B1713)</f>
        <v>72.358322137627795</v>
      </c>
      <c r="E1713" s="40">
        <f>-'1.설계입력'!$C$6*SIN(B1713)+'1.설계입력'!$C$7*SIN(B1713+C1713)+'1.설계입력'!$C$8*SIN('1.설계입력'!$C$15*B1713)</f>
        <v>25.239746401368063</v>
      </c>
      <c r="F1713" s="40">
        <f>ATAN2(('1.설계입력'!$C$6+'1.설계입력'!$C$33)/('1.설계입력'!$C$8*'1.설계입력'!$C$15)-COS((1-'1.설계입력'!$C$15)*B1713),SIN((1-'1.설계입력'!$C$15)*B1713))</f>
        <v>0.24838747472122952</v>
      </c>
      <c r="G1713" s="40">
        <f>('1.설계입력'!$C$6+'1.설계입력'!$C$33)*COS(B1713)-('1.설계입력'!$C$7+'1.설계입력'!$C$34)*COS(B1713+F1713)-'1.설계입력'!$C$8*COS('1.설계입력'!$C$15*B1713)</f>
        <v>72.347297476750896</v>
      </c>
      <c r="H1713" s="40">
        <f>-('1.설계입력'!$C$6+'1.설계입력'!$C$33)*SIN(B1713)+('1.설계입력'!$C$7+'1.설계입력'!$C$34)*SIN(B1713+F1713)+'1.설계입력'!$C$8*SIN('1.설계입력'!$C$15*B1713)</f>
        <v>25.238272972857729</v>
      </c>
      <c r="I1713" s="40">
        <f t="shared" si="79"/>
        <v>76.634010602199908</v>
      </c>
      <c r="J1713" s="40">
        <f t="shared" si="80"/>
        <v>76.623115799619939</v>
      </c>
      <c r="K1713" s="38" t="str">
        <f>IF(OR(A1713&gt;180,'1.설계입력'!$C$39&gt;=1),"",'1.설계입력'!$C$34*(1-SIN(B1713)/SQRT(1+'1.설계입력'!$C$39^2-2*'1.설계입력'!$C$39*COS(B1713)))-'1.설계입력'!$C$33*(1-'1.설계입력'!$C$39*COS(B1713)-SQRT(MAX(0,1-'1.설계입력'!$C$39^2))*SIN(B1713))/SQRT(1+'1.설계입력'!$C$39^2-2*'1.설계입력'!$C$39*COS(B1713)))</f>
        <v/>
      </c>
    </row>
    <row r="1714" spans="1:11" x14ac:dyDescent="0.3">
      <c r="A1714" s="40">
        <f>A1713+'1.설계입력'!$C$12</f>
        <v>341.59999999998917</v>
      </c>
      <c r="B1714" s="40">
        <f t="shared" si="78"/>
        <v>5.9620447248124409</v>
      </c>
      <c r="C1714" s="40">
        <f>ATAN2('1.설계입력'!$C$6/('1.설계입력'!$C$8*'1.설계입력'!$C$15)-COS((1-'1.설계입력'!$C$15)*B1714),SIN((1-'1.설계입력'!$C$15)*B1714))</f>
        <v>-0.11344458336242347</v>
      </c>
      <c r="D1714" s="40">
        <f>'1.설계입력'!$C$6*COS(B1714)-'1.설계입력'!$C$7*COS(B1714+C1714)-'1.설계입력'!$C$8*COS('1.설계입력'!$C$15*B1714)</f>
        <v>72.737761291978529</v>
      </c>
      <c r="E1714" s="40">
        <f>-'1.설계입력'!$C$6*SIN(B1714)+'1.설계입력'!$C$7*SIN(B1714+C1714)+'1.설계입력'!$C$8*SIN('1.설계입력'!$C$15*B1714)</f>
        <v>23.785628338559338</v>
      </c>
      <c r="F1714" s="40">
        <f>ATAN2(('1.설계입력'!$C$6+'1.설계입력'!$C$33)/('1.설계입력'!$C$8*'1.설계입력'!$C$15)-COS((1-'1.설계입력'!$C$15)*B1714),SIN((1-'1.설계입력'!$C$15)*B1714))</f>
        <v>-0.11346039630771328</v>
      </c>
      <c r="G1714" s="40">
        <f>('1.설계입력'!$C$6+'1.설계입력'!$C$33)*COS(B1714)-('1.설계입력'!$C$7+'1.설계입력'!$C$34)*COS(B1714+F1714)-'1.설계입력'!$C$8*COS('1.설계입력'!$C$15*B1714)</f>
        <v>72.727499399169972</v>
      </c>
      <c r="H1714" s="40">
        <f>-('1.설계입력'!$C$6+'1.설계입력'!$C$33)*SIN(B1714)+('1.설계입력'!$C$7+'1.설계입력'!$C$34)*SIN(B1714+F1714)+'1.설계입력'!$C$8*SIN('1.설계입력'!$C$15*B1714)</f>
        <v>23.781181961647977</v>
      </c>
      <c r="I1714" s="40">
        <f t="shared" si="79"/>
        <v>76.528021229017327</v>
      </c>
      <c r="J1714" s="40">
        <f t="shared" si="80"/>
        <v>76.516885615851351</v>
      </c>
      <c r="K1714" s="38" t="str">
        <f>IF(OR(A1714&gt;180,'1.설계입력'!$C$39&gt;=1),"",'1.설계입력'!$C$34*(1-SIN(B1714)/SQRT(1+'1.설계입력'!$C$39^2-2*'1.설계입력'!$C$39*COS(B1714)))-'1.설계입력'!$C$33*(1-'1.설계입력'!$C$39*COS(B1714)-SQRT(MAX(0,1-'1.설계입력'!$C$39^2))*SIN(B1714))/SQRT(1+'1.설계입력'!$C$39^2-2*'1.설계입력'!$C$39*COS(B1714)))</f>
        <v/>
      </c>
    </row>
    <row r="1715" spans="1:11" x14ac:dyDescent="0.3">
      <c r="A1715" s="40">
        <f>A1714+'1.설계입력'!$C$12</f>
        <v>341.79999999998915</v>
      </c>
      <c r="B1715" s="40">
        <f t="shared" si="78"/>
        <v>5.9655353833164293</v>
      </c>
      <c r="C1715" s="40">
        <f>ATAN2('1.설계입력'!$C$6/('1.설계입력'!$C$8*'1.설계입력'!$C$15)-COS((1-'1.설계입력'!$C$15)*B1715),SIN((1-'1.설계입력'!$C$15)*B1715))</f>
        <v>-0.43361336161318398</v>
      </c>
      <c r="D1715" s="40">
        <f>'1.설계입력'!$C$6*COS(B1715)-'1.설계입력'!$C$7*COS(B1715+C1715)-'1.설계입력'!$C$8*COS('1.설계입력'!$C$15*B1715)</f>
        <v>73.488997398266918</v>
      </c>
      <c r="E1715" s="40">
        <f>-'1.설계입력'!$C$6*SIN(B1715)+'1.설계입력'!$C$7*SIN(B1715+C1715)+'1.설계입력'!$C$8*SIN('1.설계입력'!$C$15*B1715)</f>
        <v>22.672453475412482</v>
      </c>
      <c r="F1715" s="40">
        <f>ATAN2(('1.설계입력'!$C$6+'1.설계입력'!$C$33)/('1.설계입력'!$C$8*'1.설계입력'!$C$15)-COS((1-'1.설계입력'!$C$15)*B1715),SIN((1-'1.설계입력'!$C$15)*B1715))</f>
        <v>-0.43366487160882661</v>
      </c>
      <c r="G1715" s="40">
        <f>('1.설계입력'!$C$6+'1.설계입력'!$C$33)*COS(B1715)-('1.설계입력'!$C$7+'1.설계입력'!$C$34)*COS(B1715+F1715)-'1.설계입력'!$C$8*COS('1.설계입력'!$C$15*B1715)</f>
        <v>73.480273708589465</v>
      </c>
      <c r="H1715" s="40">
        <f>-('1.설계입력'!$C$6+'1.설계입력'!$C$33)*SIN(B1715)+('1.설계입력'!$C$7+'1.설계입력'!$C$34)*SIN(B1715+F1715)+'1.설계입력'!$C$8*SIN('1.설계입력'!$C$15*B1715)</f>
        <v>22.665805599614121</v>
      </c>
      <c r="I1715" s="40">
        <f t="shared" si="79"/>
        <v>76.906910516527873</v>
      </c>
      <c r="J1715" s="40">
        <f t="shared" si="80"/>
        <v>76.896614800449598</v>
      </c>
      <c r="K1715" s="38" t="str">
        <f>IF(OR(A1715&gt;180,'1.설계입력'!$C$39&gt;=1),"",'1.설계입력'!$C$34*(1-SIN(B1715)/SQRT(1+'1.설계입력'!$C$39^2-2*'1.설계입력'!$C$39*COS(B1715)))-'1.설계입력'!$C$33*(1-'1.설계입력'!$C$39*COS(B1715)-SQRT(MAX(0,1-'1.설계입력'!$C$39^2))*SIN(B1715))/SQRT(1+'1.설계입력'!$C$39^2-2*'1.설계입력'!$C$39*COS(B1715)))</f>
        <v/>
      </c>
    </row>
    <row r="1716" spans="1:11" x14ac:dyDescent="0.3">
      <c r="A1716" s="40">
        <f>A1715+'1.설계입력'!$C$12</f>
        <v>341.99999999998914</v>
      </c>
      <c r="B1716" s="40">
        <f t="shared" si="78"/>
        <v>5.9690260418204177</v>
      </c>
      <c r="C1716" s="40">
        <f>ATAN2('1.설계입력'!$C$6/('1.설계입력'!$C$8*'1.설계입력'!$C$15)-COS((1-'1.설계입력'!$C$15)*B1716),SIN((1-'1.설계입력'!$C$15)*B1716))</f>
        <v>-0.639344921636682</v>
      </c>
      <c r="D1716" s="40">
        <f>'1.설계입력'!$C$6*COS(B1716)-'1.설계입력'!$C$7*COS(B1716+C1716)-'1.설계입력'!$C$8*COS('1.설계입력'!$C$15*B1716)</f>
        <v>74.171317680483568</v>
      </c>
      <c r="E1716" s="40">
        <f>-'1.설계입력'!$C$6*SIN(B1716)+'1.설계입력'!$C$7*SIN(B1716+C1716)+'1.설계입력'!$C$8*SIN('1.설계입력'!$C$15*B1716)</f>
        <v>22.077598207375228</v>
      </c>
      <c r="F1716" s="40">
        <f>ATAN2(('1.설계입력'!$C$6+'1.설계입력'!$C$33)/('1.설계입력'!$C$8*'1.설계입력'!$C$15)-COS((1-'1.설계입력'!$C$15)*B1716),SIN((1-'1.설계입력'!$C$15)*B1716))</f>
        <v>-0.63940445097777387</v>
      </c>
      <c r="G1716" s="40">
        <f>('1.설계입력'!$C$6+'1.설계입력'!$C$33)*COS(B1716)-('1.설계입력'!$C$7+'1.설계입력'!$C$34)*COS(B1716+F1716)-'1.설계입력'!$C$8*COS('1.설계입력'!$C$15*B1716)</f>
        <v>74.163875458892079</v>
      </c>
      <c r="H1716" s="40">
        <f>-('1.설계입력'!$C$6+'1.설계입력'!$C$33)*SIN(B1716)+('1.설계입력'!$C$7+'1.설계입력'!$C$34)*SIN(B1716+F1716)+'1.설계입력'!$C$8*SIN('1.설계입력'!$C$15*B1716)</f>
        <v>22.069897016558684</v>
      </c>
      <c r="I1716" s="40">
        <f t="shared" si="79"/>
        <v>77.387367890796696</v>
      </c>
      <c r="J1716" s="40">
        <f t="shared" si="80"/>
        <v>77.378038081897373</v>
      </c>
      <c r="K1716" s="38" t="str">
        <f>IF(OR(A1716&gt;180,'1.설계입력'!$C$39&gt;=1),"",'1.설계입력'!$C$34*(1-SIN(B1716)/SQRT(1+'1.설계입력'!$C$39^2-2*'1.설계입력'!$C$39*COS(B1716)))-'1.설계입력'!$C$33*(1-'1.설계입력'!$C$39*COS(B1716)-SQRT(MAX(0,1-'1.설계입력'!$C$39^2))*SIN(B1716))/SQRT(1+'1.설계입력'!$C$39^2-2*'1.설계입력'!$C$39*COS(B1716)))</f>
        <v/>
      </c>
    </row>
    <row r="1717" spans="1:11" x14ac:dyDescent="0.3">
      <c r="A1717" s="40">
        <f>A1716+'1.설계입력'!$C$12</f>
        <v>342.19999999998913</v>
      </c>
      <c r="B1717" s="40">
        <f t="shared" si="78"/>
        <v>5.9725167003244062</v>
      </c>
      <c r="C1717" s="40">
        <f>ATAN2('1.설계입력'!$C$6/('1.설계입력'!$C$8*'1.설계입력'!$C$15)-COS((1-'1.설계입력'!$C$15)*B1717),SIN((1-'1.설계입력'!$C$15)*B1717))</f>
        <v>-0.75089819219906129</v>
      </c>
      <c r="D1717" s="40">
        <f>'1.설계입력'!$C$6*COS(B1717)-'1.설계입력'!$C$7*COS(B1717+C1717)-'1.설계입력'!$C$8*COS('1.설계입력'!$C$15*B1717)</f>
        <v>74.639189395260331</v>
      </c>
      <c r="E1717" s="40">
        <f>-'1.설계입력'!$C$6*SIN(B1717)+'1.설계입력'!$C$7*SIN(B1717+C1717)+'1.설계입력'!$C$8*SIN('1.설계입력'!$C$15*B1717)</f>
        <v>21.783293156048906</v>
      </c>
      <c r="F1717" s="40">
        <f>ATAN2(('1.설계입력'!$C$6+'1.설계입력'!$C$33)/('1.설계입력'!$C$8*'1.설계입력'!$C$15)-COS((1-'1.설계입력'!$C$15)*B1717),SIN((1-'1.설계입력'!$C$15)*B1717))</f>
        <v>-0.75095345863848773</v>
      </c>
      <c r="G1717" s="40">
        <f>('1.설계입력'!$C$6+'1.설계입력'!$C$33)*COS(B1717)-('1.설계입력'!$C$7+'1.설계입력'!$C$34)*COS(B1717+F1717)-'1.설계입력'!$C$8*COS('1.설계입력'!$C$15*B1717)</f>
        <v>74.632482417123057</v>
      </c>
      <c r="H1717" s="40">
        <f>-('1.설계입력'!$C$6+'1.설계입력'!$C$33)*SIN(B1717)+('1.설계입력'!$C$7+'1.설계입력'!$C$34)*SIN(B1717+F1717)+'1.설계입력'!$C$8*SIN('1.설계입력'!$C$15*B1717)</f>
        <v>21.775165242079591</v>
      </c>
      <c r="I1717" s="40">
        <f t="shared" si="79"/>
        <v>77.752944987980413</v>
      </c>
      <c r="J1717" s="40">
        <f t="shared" si="80"/>
        <v>77.7442297091048</v>
      </c>
      <c r="K1717" s="38" t="str">
        <f>IF(OR(A1717&gt;180,'1.설계입력'!$C$39&gt;=1),"",'1.설계입력'!$C$34*(1-SIN(B1717)/SQRT(1+'1.설계입력'!$C$39^2-2*'1.설계입력'!$C$39*COS(B1717)))-'1.설계입력'!$C$33*(1-'1.설계입력'!$C$39*COS(B1717)-SQRT(MAX(0,1-'1.설계입력'!$C$39^2))*SIN(B1717))/SQRT(1+'1.설계입력'!$C$39^2-2*'1.설계입력'!$C$39*COS(B1717)))</f>
        <v/>
      </c>
    </row>
    <row r="1718" spans="1:11" x14ac:dyDescent="0.3">
      <c r="A1718" s="40">
        <f>A1717+'1.설계입력'!$C$12</f>
        <v>342.39999999998912</v>
      </c>
      <c r="B1718" s="40">
        <f t="shared" si="78"/>
        <v>5.9760073588283946</v>
      </c>
      <c r="C1718" s="40">
        <f>ATAN2('1.설계입력'!$C$6/('1.설계입력'!$C$8*'1.설계입력'!$C$15)-COS((1-'1.설계입력'!$C$15)*B1718),SIN((1-'1.설계입력'!$C$15)*B1718))</f>
        <v>-0.8034676298001302</v>
      </c>
      <c r="D1718" s="40">
        <f>'1.설계입력'!$C$6*COS(B1718)-'1.설계입력'!$C$7*COS(B1718+C1718)-'1.설계입력'!$C$8*COS('1.설계입력'!$C$15*B1718)</f>
        <v>74.94340949262957</v>
      </c>
      <c r="E1718" s="40">
        <f>-'1.설계입력'!$C$6*SIN(B1718)+'1.설계입력'!$C$7*SIN(B1718+C1718)+'1.설계입력'!$C$8*SIN('1.설계입력'!$C$15*B1718)</f>
        <v>21.623844824188343</v>
      </c>
      <c r="F1718" s="40">
        <f>ATAN2(('1.설계입력'!$C$6+'1.설계입력'!$C$33)/('1.설계입력'!$C$8*'1.설계입력'!$C$15)-COS((1-'1.설계입력'!$C$15)*B1718),SIN((1-'1.설계입력'!$C$15)*B1718))</f>
        <v>-0.80351600055679862</v>
      </c>
      <c r="G1718" s="40">
        <f>('1.설계입력'!$C$6+'1.설계입력'!$C$33)*COS(B1718)-('1.설계입력'!$C$7+'1.설계입력'!$C$34)*COS(B1718+F1718)-'1.설계입력'!$C$8*COS('1.설계입력'!$C$15*B1718)</f>
        <v>74.937031238927091</v>
      </c>
      <c r="H1718" s="40">
        <f>-('1.설계입력'!$C$6+'1.설계입력'!$C$33)*SIN(B1718)+('1.설계입력'!$C$7+'1.설계입력'!$C$34)*SIN(B1718+F1718)+'1.설계입력'!$C$8*SIN('1.설계입력'!$C$15*B1718)</f>
        <v>21.615563902118776</v>
      </c>
      <c r="I1718" s="40">
        <f t="shared" si="79"/>
        <v>78.000674941698648</v>
      </c>
      <c r="J1718" s="40">
        <f t="shared" si="80"/>
        <v>77.992251241456771</v>
      </c>
      <c r="K1718" s="38" t="str">
        <f>IF(OR(A1718&gt;180,'1.설계입력'!$C$39&gt;=1),"",'1.설계입력'!$C$34*(1-SIN(B1718)/SQRT(1+'1.설계입력'!$C$39^2-2*'1.설계입력'!$C$39*COS(B1718)))-'1.설계입력'!$C$33*(1-'1.설계입력'!$C$39*COS(B1718)-SQRT(MAX(0,1-'1.설계입력'!$C$39^2))*SIN(B1718))/SQRT(1+'1.설계입력'!$C$39^2-2*'1.설계입력'!$C$39*COS(B1718)))</f>
        <v/>
      </c>
    </row>
    <row r="1719" spans="1:11" x14ac:dyDescent="0.3">
      <c r="A1719" s="40">
        <f>A1718+'1.설계입력'!$C$12</f>
        <v>342.59999999998911</v>
      </c>
      <c r="B1719" s="40">
        <f t="shared" si="78"/>
        <v>5.9794980173323831</v>
      </c>
      <c r="C1719" s="40">
        <f>ATAN2('1.설계입력'!$C$6/('1.설계입력'!$C$8*'1.설계입력'!$C$15)-COS((1-'1.설계입력'!$C$15)*B1719),SIN((1-'1.설계입력'!$C$15)*B1719))</f>
        <v>-0.82040803908455384</v>
      </c>
      <c r="D1719" s="40">
        <f>'1.설계입력'!$C$6*COS(B1719)-'1.설계입력'!$C$7*COS(B1719+C1719)-'1.설계입력'!$C$8*COS('1.설계입력'!$C$15*B1719)</f>
        <v>75.149418369334768</v>
      </c>
      <c r="E1719" s="40">
        <f>-'1.설계입력'!$C$6*SIN(B1719)+'1.설계입력'!$C$7*SIN(B1719+C1719)+'1.설계입력'!$C$8*SIN('1.설계입력'!$C$15*B1719)</f>
        <v>21.523941321573421</v>
      </c>
      <c r="F1719" s="40">
        <f>ATAN2(('1.설계입력'!$C$6+'1.설계입력'!$C$33)/('1.설계입력'!$C$8*'1.설계입력'!$C$15)-COS((1-'1.설계입력'!$C$15)*B1719),SIN((1-'1.설계입력'!$C$15)*B1719))</f>
        <v>-0.82044983748224842</v>
      </c>
      <c r="G1719" s="40">
        <f>('1.설계입력'!$C$6+'1.설계입력'!$C$33)*COS(B1719)-('1.설계입력'!$C$7+'1.설계입력'!$C$34)*COS(B1719+F1719)-'1.설계입력'!$C$8*COS('1.설계입력'!$C$15*B1719)</f>
        <v>75.143112179229561</v>
      </c>
      <c r="H1719" s="40">
        <f>-('1.설계입력'!$C$6+'1.설계입력'!$C$33)*SIN(B1719)+('1.설계입력'!$C$7+'1.설계입력'!$C$34)*SIN(B1719+F1719)+'1.설계입력'!$C$8*SIN('1.설계입력'!$C$15*B1719)</f>
        <v>21.515636720692186</v>
      </c>
      <c r="I1719" s="40">
        <f t="shared" si="79"/>
        <v>78.171063260415266</v>
      </c>
      <c r="J1719" s="40">
        <f t="shared" si="80"/>
        <v>78.162714458219</v>
      </c>
      <c r="K1719" s="38" t="str">
        <f>IF(OR(A1719&gt;180,'1.설계입력'!$C$39&gt;=1),"",'1.설계입력'!$C$34*(1-SIN(B1719)/SQRT(1+'1.설계입력'!$C$39^2-2*'1.설계입력'!$C$39*COS(B1719)))-'1.설계입력'!$C$33*(1-'1.설계입력'!$C$39*COS(B1719)-SQRT(MAX(0,1-'1.설계입력'!$C$39^2))*SIN(B1719))/SQRT(1+'1.설계입력'!$C$39^2-2*'1.설계입력'!$C$39*COS(B1719)))</f>
        <v/>
      </c>
    </row>
    <row r="1720" spans="1:11" x14ac:dyDescent="0.3">
      <c r="A1720" s="40">
        <f>A1719+'1.설계입력'!$C$12</f>
        <v>342.7999999999891</v>
      </c>
      <c r="B1720" s="40">
        <f t="shared" si="78"/>
        <v>5.9829886758363715</v>
      </c>
      <c r="C1720" s="40">
        <f>ATAN2('1.설계입력'!$C$6/('1.설계입력'!$C$8*'1.설계입력'!$C$15)-COS((1-'1.설계입력'!$C$15)*B1720),SIN((1-'1.설계입력'!$C$15)*B1720))</f>
        <v>-0.81514572447532319</v>
      </c>
      <c r="D1720" s="40">
        <f>'1.설계입력'!$C$6*COS(B1720)-'1.설계입력'!$C$7*COS(B1720+C1720)-'1.설계입력'!$C$8*COS('1.설계입력'!$C$15*B1720)</f>
        <v>75.301273338012805</v>
      </c>
      <c r="E1720" s="40">
        <f>-'1.설계입력'!$C$6*SIN(B1720)+'1.설계입력'!$C$7*SIN(B1720+C1720)+'1.설계입력'!$C$8*SIN('1.설계입력'!$C$15*B1720)</f>
        <v>21.450693270012472</v>
      </c>
      <c r="F1720" s="40">
        <f>ATAN2(('1.설계입력'!$C$6+'1.설계입력'!$C$33)/('1.설계입력'!$C$8*'1.설계입력'!$C$15)-COS((1-'1.설계입력'!$C$15)*B1720),SIN((1-'1.설계입력'!$C$15)*B1720))</f>
        <v>-0.8151818810080127</v>
      </c>
      <c r="G1720" s="40">
        <f>('1.설계입력'!$C$6+'1.설계입력'!$C$33)*COS(B1720)-('1.설계입력'!$C$7+'1.설계입력'!$C$34)*COS(B1720+F1720)-'1.설계입력'!$C$8*COS('1.설계입력'!$C$15*B1720)</f>
        <v>75.294879174977297</v>
      </c>
      <c r="H1720" s="40">
        <f>-('1.설계입력'!$C$6+'1.설계입력'!$C$33)*SIN(B1720)+('1.설계입력'!$C$7+'1.설계입력'!$C$34)*SIN(B1720+F1720)+'1.설계입력'!$C$8*SIN('1.설계입력'!$C$15*B1720)</f>
        <v>21.442438534279383</v>
      </c>
      <c r="I1720" s="40">
        <f t="shared" si="79"/>
        <v>78.29696040134813</v>
      </c>
      <c r="J1720" s="40">
        <f t="shared" si="80"/>
        <v>78.288549611490311</v>
      </c>
      <c r="K1720" s="38" t="str">
        <f>IF(OR(A1720&gt;180,'1.설계입력'!$C$39&gt;=1),"",'1.설계입력'!$C$34*(1-SIN(B1720)/SQRT(1+'1.설계입력'!$C$39^2-2*'1.설계입력'!$C$39*COS(B1720)))-'1.설계입력'!$C$33*(1-'1.설계입력'!$C$39*COS(B1720)-SQRT(MAX(0,1-'1.설계입력'!$C$39^2))*SIN(B1720))/SQRT(1+'1.설계입력'!$C$39^2-2*'1.설계입력'!$C$39*COS(B1720)))</f>
        <v/>
      </c>
    </row>
    <row r="1721" spans="1:11" x14ac:dyDescent="0.3">
      <c r="A1721" s="40">
        <f>A1720+'1.설계입력'!$C$12</f>
        <v>342.99999999998909</v>
      </c>
      <c r="B1721" s="40">
        <f t="shared" si="78"/>
        <v>5.9864793343403599</v>
      </c>
      <c r="C1721" s="40">
        <f>ATAN2('1.설계입력'!$C$6/('1.설계입력'!$C$8*'1.설계입력'!$C$15)-COS((1-'1.설계입력'!$C$15)*B1721),SIN((1-'1.설계입력'!$C$15)*B1721))</f>
        <v>-0.79541947802547275</v>
      </c>
      <c r="D1721" s="40">
        <f>'1.설계입력'!$C$6*COS(B1721)-'1.설계입력'!$C$7*COS(B1721+C1721)-'1.설계입력'!$C$8*COS('1.설계입력'!$C$15*B1721)</f>
        <v>75.425523957461763</v>
      </c>
      <c r="E1721" s="40">
        <f>-'1.설계입력'!$C$6*SIN(B1721)+'1.설계입력'!$C$7*SIN(B1721+C1721)+'1.설계입력'!$C$8*SIN('1.설계입력'!$C$15*B1721)</f>
        <v>21.388229598015695</v>
      </c>
      <c r="F1721" s="40">
        <f>ATAN2(('1.설계입력'!$C$6+'1.설계입력'!$C$33)/('1.설계입력'!$C$8*'1.설계입력'!$C$15)-COS((1-'1.설계입력'!$C$15)*B1721),SIN((1-'1.설계입력'!$C$15)*B1721))</f>
        <v>-0.79545089903765132</v>
      </c>
      <c r="G1721" s="40">
        <f>('1.설계입력'!$C$6+'1.설계입력'!$C$33)*COS(B1721)-('1.설계입력'!$C$7+'1.설계입력'!$C$34)*COS(B1721+F1721)-'1.설계입력'!$C$8*COS('1.설계입력'!$C$15*B1721)</f>
        <v>75.418940338971694</v>
      </c>
      <c r="H1721" s="40">
        <f>-('1.설계입력'!$C$6+'1.설계입력'!$C$33)*SIN(B1721)+('1.설계입력'!$C$7+'1.설계입력'!$C$34)*SIN(B1721+F1721)+'1.설계입력'!$C$8*SIN('1.설계입력'!$C$15*B1721)</f>
        <v>21.380075616209286</v>
      </c>
      <c r="I1721" s="40">
        <f t="shared" si="79"/>
        <v>78.39940069665758</v>
      </c>
      <c r="J1721" s="40">
        <f t="shared" si="80"/>
        <v>78.390842546870232</v>
      </c>
      <c r="K1721" s="38" t="str">
        <f>IF(OR(A1721&gt;180,'1.설계입력'!$C$39&gt;=1),"",'1.설계입력'!$C$34*(1-SIN(B1721)/SQRT(1+'1.설계입력'!$C$39^2-2*'1.설계입력'!$C$39*COS(B1721)))-'1.설계입력'!$C$33*(1-'1.설계입력'!$C$39*COS(B1721)-SQRT(MAX(0,1-'1.설계입력'!$C$39^2))*SIN(B1721))/SQRT(1+'1.설계입력'!$C$39^2-2*'1.설계입력'!$C$39*COS(B1721)))</f>
        <v/>
      </c>
    </row>
    <row r="1722" spans="1:11" x14ac:dyDescent="0.3">
      <c r="A1722" s="40">
        <f>A1721+'1.설계입력'!$C$12</f>
        <v>343.19999999998907</v>
      </c>
      <c r="B1722" s="40">
        <f t="shared" si="78"/>
        <v>5.9899699928443484</v>
      </c>
      <c r="C1722" s="40">
        <f>ATAN2('1.설계입력'!$C$6/('1.설계입력'!$C$8*'1.설계입력'!$C$15)-COS((1-'1.설계입력'!$C$15)*B1722),SIN((1-'1.설계입력'!$C$15)*B1722))</f>
        <v>-0.7658633236713378</v>
      </c>
      <c r="D1722" s="40">
        <f>'1.설계입력'!$C$6*COS(B1722)-'1.설계입력'!$C$7*COS(B1722+C1722)-'1.설계입력'!$C$8*COS('1.설계입력'!$C$15*B1722)</f>
        <v>75.537800370360941</v>
      </c>
      <c r="E1722" s="40">
        <f>-'1.설계입력'!$C$6*SIN(B1722)+'1.설계입력'!$C$7*SIN(B1722+C1722)+'1.설계입력'!$C$8*SIN('1.설계입력'!$C$15*B1722)</f>
        <v>21.327705851757557</v>
      </c>
      <c r="F1722" s="40">
        <f>ATAN2(('1.설계입력'!$C$6+'1.설계입력'!$C$33)/('1.설계입력'!$C$8*'1.설계입력'!$C$15)-COS((1-'1.설계입력'!$C$15)*B1722),SIN((1-'1.설계입력'!$C$15)*B1722))</f>
        <v>-0.7658907598517517</v>
      </c>
      <c r="G1722" s="40">
        <f>('1.설계입력'!$C$6+'1.설계입력'!$C$33)*COS(B1722)-('1.설계입력'!$C$7+'1.설계입력'!$C$34)*COS(B1722+F1722)-'1.설계입력'!$C$8*COS('1.설계입력'!$C$15*B1722)</f>
        <v>75.530962188761777</v>
      </c>
      <c r="H1722" s="40">
        <f>-('1.설계입력'!$C$6+'1.설계입력'!$C$33)*SIN(B1722)+('1.설계입력'!$C$7+'1.설계입력'!$C$34)*SIN(B1722+F1722)+'1.설계입력'!$C$8*SIN('1.설계입력'!$C$15*B1722)</f>
        <v>21.319693578424346</v>
      </c>
      <c r="I1722" s="40">
        <f t="shared" si="79"/>
        <v>78.490956942131845</v>
      </c>
      <c r="J1722" s="40">
        <f t="shared" si="80"/>
        <v>78.482199150113459</v>
      </c>
      <c r="K1722" s="38" t="str">
        <f>IF(OR(A1722&gt;180,'1.설계입력'!$C$39&gt;=1),"",'1.설계입력'!$C$34*(1-SIN(B1722)/SQRT(1+'1.설계입력'!$C$39^2-2*'1.설계입력'!$C$39*COS(B1722)))-'1.설계입력'!$C$33*(1-'1.설계입력'!$C$39*COS(B1722)-SQRT(MAX(0,1-'1.설계입력'!$C$39^2))*SIN(B1722))/SQRT(1+'1.설계입력'!$C$39^2-2*'1.설계입력'!$C$39*COS(B1722)))</f>
        <v/>
      </c>
    </row>
    <row r="1723" spans="1:11" x14ac:dyDescent="0.3">
      <c r="A1723" s="40">
        <f>A1722+'1.설계입력'!$C$12</f>
        <v>343.39999999998906</v>
      </c>
      <c r="B1723" s="40">
        <f t="shared" si="78"/>
        <v>5.9934606513483368</v>
      </c>
      <c r="C1723" s="40">
        <f>ATAN2('1.설계입력'!$C$6/('1.설계입력'!$C$8*'1.설계입력'!$C$15)-COS((1-'1.설계입력'!$C$15)*B1723),SIN((1-'1.설계입력'!$C$15)*B1723))</f>
        <v>-0.72937719305545823</v>
      </c>
      <c r="D1723" s="40">
        <f>'1.설계입력'!$C$6*COS(B1723)-'1.설계입력'!$C$7*COS(B1723+C1723)-'1.설계입력'!$C$8*COS('1.설계입력'!$C$15*B1723)</f>
        <v>75.647137503624421</v>
      </c>
      <c r="E1723" s="40">
        <f>-'1.설계입력'!$C$6*SIN(B1723)+'1.설계입력'!$C$7*SIN(B1723+C1723)+'1.설계입력'!$C$8*SIN('1.설계입력'!$C$15*B1723)</f>
        <v>21.263452019594951</v>
      </c>
      <c r="F1723" s="40">
        <f>ATAN2(('1.설계입력'!$C$6+'1.설계입력'!$C$33)/('1.설계입력'!$C$8*'1.설계입력'!$C$15)-COS((1-'1.설계입력'!$C$15)*B1723),SIN((1-'1.설계입력'!$C$15)*B1723))</f>
        <v>-0.72940123897463327</v>
      </c>
      <c r="G1723" s="40">
        <f>('1.설계입력'!$C$6+'1.설계입력'!$C$33)*COS(B1723)-('1.설계입력'!$C$7+'1.설계입력'!$C$34)*COS(B1723+F1723)-'1.설계입력'!$C$8*COS('1.설계입력'!$C$15*B1723)</f>
        <v>75.640003322162428</v>
      </c>
      <c r="H1723" s="40">
        <f>-('1.설계입력'!$C$6+'1.설계입력'!$C$33)*SIN(B1723)+('1.설계입력'!$C$7+'1.설계입력'!$C$34)*SIN(B1723+F1723)+'1.설계입력'!$C$8*SIN('1.설계입력'!$C$15*B1723)</f>
        <v>21.255617607009643</v>
      </c>
      <c r="I1723" s="40">
        <f t="shared" si="79"/>
        <v>78.578774515016946</v>
      </c>
      <c r="J1723" s="40">
        <f t="shared" si="80"/>
        <v>78.569786702218821</v>
      </c>
      <c r="K1723" s="38" t="str">
        <f>IF(OR(A1723&gt;180,'1.설계입력'!$C$39&gt;=1),"",'1.설계입력'!$C$34*(1-SIN(B1723)/SQRT(1+'1.설계입력'!$C$39^2-2*'1.설계입력'!$C$39*COS(B1723)))-'1.설계입력'!$C$33*(1-'1.설계입력'!$C$39*COS(B1723)-SQRT(MAX(0,1-'1.설계입력'!$C$39^2))*SIN(B1723))/SQRT(1+'1.설계입력'!$C$39^2-2*'1.설계입력'!$C$39*COS(B1723)))</f>
        <v/>
      </c>
    </row>
    <row r="1724" spans="1:11" x14ac:dyDescent="0.3">
      <c r="A1724" s="40">
        <f>A1723+'1.설계입력'!$C$12</f>
        <v>343.59999999998905</v>
      </c>
      <c r="B1724" s="40">
        <f t="shared" si="78"/>
        <v>5.9969513098523253</v>
      </c>
      <c r="C1724" s="40">
        <f>ATAN2('1.설계입력'!$C$6/('1.설계입력'!$C$8*'1.설계입력'!$C$15)-COS((1-'1.설계입력'!$C$15)*B1724),SIN((1-'1.설계입력'!$C$15)*B1724))</f>
        <v>-0.68785316398943142</v>
      </c>
      <c r="D1724" s="40">
        <f>'1.설계입력'!$C$6*COS(B1724)-'1.설계입력'!$C$7*COS(B1724+C1724)-'1.설계입력'!$C$8*COS('1.설계입력'!$C$15*B1724)</f>
        <v>75.758495680315605</v>
      </c>
      <c r="E1724" s="40">
        <f>-'1.설계입력'!$C$6*SIN(B1724)+'1.설계입력'!$C$7*SIN(B1724+C1724)+'1.설계입력'!$C$8*SIN('1.설계입력'!$C$15*B1724)</f>
        <v>21.191433380655088</v>
      </c>
      <c r="F1724" s="40">
        <f>ATAN2(('1.설계입력'!$C$6+'1.설계입력'!$C$33)/('1.설계입력'!$C$8*'1.설계입력'!$C$15)-COS((1-'1.설계입력'!$C$15)*B1724),SIN((1-'1.설계입력'!$C$15)*B1724))</f>
        <v>-0.68787428572975229</v>
      </c>
      <c r="G1724" s="40">
        <f>('1.설계입력'!$C$6+'1.설계입력'!$C$33)*COS(B1724)-('1.설계입력'!$C$7+'1.설계입력'!$C$34)*COS(B1724+F1724)-'1.설계입력'!$C$8*COS('1.설계입력'!$C$15*B1724)</f>
        <v>75.751040256365471</v>
      </c>
      <c r="H1724" s="40">
        <f>-('1.설계입력'!$C$6+'1.설계입력'!$C$33)*SIN(B1724)+('1.설계입력'!$C$7+'1.설계입력'!$C$34)*SIN(B1724+F1724)+'1.설계입력'!$C$8*SIN('1.설계입력'!$C$15*B1724)</f>
        <v>21.183810318313895</v>
      </c>
      <c r="I1724" s="40">
        <f t="shared" si="79"/>
        <v>78.666552717601277</v>
      </c>
      <c r="J1724" s="40">
        <f t="shared" si="80"/>
        <v>78.657319554659409</v>
      </c>
      <c r="K1724" s="38" t="str">
        <f>IF(OR(A1724&gt;180,'1.설계입력'!$C$39&gt;=1),"",'1.설계입력'!$C$34*(1-SIN(B1724)/SQRT(1+'1.설계입력'!$C$39^2-2*'1.설계입력'!$C$39*COS(B1724)))-'1.설계입력'!$C$33*(1-'1.설계입력'!$C$39*COS(B1724)-SQRT(MAX(0,1-'1.설계입력'!$C$39^2))*SIN(B1724))/SQRT(1+'1.설계입력'!$C$39^2-2*'1.설계입력'!$C$39*COS(B1724)))</f>
        <v/>
      </c>
    </row>
    <row r="1725" spans="1:11" x14ac:dyDescent="0.3">
      <c r="A1725" s="40">
        <f>A1724+'1.설계입력'!$C$12</f>
        <v>343.79999999998904</v>
      </c>
      <c r="B1725" s="40">
        <f t="shared" si="78"/>
        <v>6.0004419683563137</v>
      </c>
      <c r="C1725" s="40">
        <f>ATAN2('1.설계입력'!$C$6/('1.설계입력'!$C$8*'1.설계입력'!$C$15)-COS((1-'1.설계입력'!$C$15)*B1725),SIN((1-'1.설계입력'!$C$15)*B1725))</f>
        <v>-0.64257282306246033</v>
      </c>
      <c r="D1725" s="40">
        <f>'1.설계입력'!$C$6*COS(B1725)-'1.설계입력'!$C$7*COS(B1725+C1725)-'1.설계입력'!$C$8*COS('1.설계입력'!$C$15*B1725)</f>
        <v>75.874228458489014</v>
      </c>
      <c r="E1725" s="40">
        <f>-'1.설계입력'!$C$6*SIN(B1725)+'1.설계입력'!$C$7*SIN(B1725+C1725)+'1.설계입력'!$C$8*SIN('1.설계입력'!$C$15*B1725)</f>
        <v>21.108611467907568</v>
      </c>
      <c r="F1725" s="40">
        <f>ATAN2(('1.설계입력'!$C$6+'1.설계입력'!$C$33)/('1.설계입력'!$C$8*'1.설계입력'!$C$15)-COS((1-'1.설계입력'!$C$15)*B1725),SIN((1-'1.설계입력'!$C$15)*B1725))</f>
        <v>-0.64259138665211646</v>
      </c>
      <c r="G1725" s="40">
        <f>('1.설계입력'!$C$6+'1.설계입력'!$C$33)*COS(B1725)-('1.설계입력'!$C$7+'1.설계입력'!$C$34)*COS(B1725+F1725)-'1.설계입력'!$C$8*COS('1.설계입력'!$C$15*B1725)</f>
        <v>75.866438169032875</v>
      </c>
      <c r="H1725" s="40">
        <f>-('1.설계입력'!$C$6+'1.설계입력'!$C$33)*SIN(B1725)+('1.설계입력'!$C$7+'1.설계입력'!$C$34)*SIN(B1725+F1725)+'1.설계입력'!$C$8*SIN('1.설계입력'!$C$15*B1725)</f>
        <v>21.101231466379325</v>
      </c>
      <c r="I1725" s="40">
        <f t="shared" si="79"/>
        <v>78.755774532881489</v>
      </c>
      <c r="J1725" s="40">
        <f t="shared" si="80"/>
        <v>78.746291403807746</v>
      </c>
      <c r="K1725" s="38" t="str">
        <f>IF(OR(A1725&gt;180,'1.설계입력'!$C$39&gt;=1),"",'1.설계입력'!$C$34*(1-SIN(B1725)/SQRT(1+'1.설계입력'!$C$39^2-2*'1.설계입력'!$C$39*COS(B1725)))-'1.설계입력'!$C$33*(1-'1.설계입력'!$C$39*COS(B1725)-SQRT(MAX(0,1-'1.설계입력'!$C$39^2))*SIN(B1725))/SQRT(1+'1.설계입력'!$C$39^2-2*'1.설계입력'!$C$39*COS(B1725)))</f>
        <v/>
      </c>
    </row>
    <row r="1726" spans="1:11" x14ac:dyDescent="0.3">
      <c r="A1726" s="40">
        <f>A1725+'1.설계입력'!$C$12</f>
        <v>343.99999999998903</v>
      </c>
      <c r="B1726" s="40">
        <f t="shared" si="78"/>
        <v>6.0039326268603022</v>
      </c>
      <c r="C1726" s="40">
        <f>ATAN2('1.설계입력'!$C$6/('1.설계입력'!$C$8*'1.설계입력'!$C$15)-COS((1-'1.설계입력'!$C$15)*B1726),SIN((1-'1.설계입력'!$C$15)*B1726))</f>
        <v>-0.59443353332065885</v>
      </c>
      <c r="D1726" s="40">
        <f>'1.설계입력'!$C$6*COS(B1726)-'1.설계입력'!$C$7*COS(B1726+C1726)-'1.설계입력'!$C$8*COS('1.설계입력'!$C$15*B1726)</f>
        <v>75.994968028962376</v>
      </c>
      <c r="E1726" s="40">
        <f>-'1.설계입력'!$C$6*SIN(B1726)+'1.설계입력'!$C$7*SIN(B1726+C1726)+'1.설계입력'!$C$8*SIN('1.설계입력'!$C$15*B1726)</f>
        <v>21.012671977941487</v>
      </c>
      <c r="F1726" s="40">
        <f>ATAN2(('1.설계입력'!$C$6+'1.설계입력'!$C$33)/('1.설계입력'!$C$8*'1.설계입력'!$C$15)-COS((1-'1.설계입력'!$C$15)*B1726),SIN((1-'1.설계입력'!$C$15)*B1726))</f>
        <v>-0.59444982792999246</v>
      </c>
      <c r="G1726" s="40">
        <f>('1.설계입력'!$C$6+'1.설계입력'!$C$33)*COS(B1726)-('1.설계입력'!$C$7+'1.설계입력'!$C$34)*COS(B1726+F1726)-'1.설계입력'!$C$8*COS('1.설계입력'!$C$15*B1726)</f>
        <v>75.986837953582366</v>
      </c>
      <c r="H1726" s="40">
        <f>-('1.설계입력'!$C$6+'1.설계입력'!$C$33)*SIN(B1726)+('1.설계입력'!$C$7+'1.설계입력'!$C$34)*SIN(B1726+F1726)+'1.설계입력'!$C$8*SIN('1.설계입력'!$C$15*B1726)</f>
        <v>21.005565297220048</v>
      </c>
      <c r="I1726" s="40">
        <f t="shared" si="79"/>
        <v>78.846480894048668</v>
      </c>
      <c r="J1726" s="40">
        <f t="shared" si="80"/>
        <v>78.836751046956266</v>
      </c>
      <c r="K1726" s="38" t="str">
        <f>IF(OR(A1726&gt;180,'1.설계입력'!$C$39&gt;=1),"",'1.설계입력'!$C$34*(1-SIN(B1726)/SQRT(1+'1.설계입력'!$C$39^2-2*'1.설계입력'!$C$39*COS(B1726)))-'1.설계입력'!$C$33*(1-'1.설계입력'!$C$39*COS(B1726)-SQRT(MAX(0,1-'1.설계입력'!$C$39^2))*SIN(B1726))/SQRT(1+'1.설계입력'!$C$39^2-2*'1.설계입력'!$C$39*COS(B1726)))</f>
        <v/>
      </c>
    </row>
    <row r="1727" spans="1:11" x14ac:dyDescent="0.3">
      <c r="A1727" s="40">
        <f>A1726+'1.설계입력'!$C$12</f>
        <v>344.19999999998902</v>
      </c>
      <c r="B1727" s="40">
        <f t="shared" si="78"/>
        <v>6.0074232853642906</v>
      </c>
      <c r="C1727" s="40">
        <f>ATAN2('1.설계입력'!$C$6/('1.설계입력'!$C$8*'1.설계입력'!$C$15)-COS((1-'1.설계입력'!$C$15)*B1727),SIN((1-'1.설계입력'!$C$15)*B1727))</f>
        <v>-0.54408248315345042</v>
      </c>
      <c r="D1727" s="40">
        <f>'1.설계입력'!$C$6*COS(B1727)-'1.설계입력'!$C$7*COS(B1727+C1727)-'1.설계입력'!$C$8*COS('1.설계입력'!$C$15*B1727)</f>
        <v>76.1201866699991</v>
      </c>
      <c r="E1727" s="40">
        <f>-'1.설계입력'!$C$6*SIN(B1727)+'1.설계입력'!$C$7*SIN(B1727+C1727)+'1.설계입력'!$C$8*SIN('1.설계입력'!$C$15*B1727)</f>
        <v>20.901907542349292</v>
      </c>
      <c r="F1727" s="40">
        <f>ATAN2(('1.설계입력'!$C$6+'1.설계입력'!$C$33)/('1.설계입력'!$C$8*'1.설계입력'!$C$15)-COS((1-'1.설계입력'!$C$15)*B1727),SIN((1-'1.설계입력'!$C$15)*B1727))</f>
        <v>-0.54409673876231635</v>
      </c>
      <c r="G1727" s="40">
        <f>('1.설계입력'!$C$6+'1.설계입력'!$C$33)*COS(B1727)-('1.설계입력'!$C$7+'1.설계입력'!$C$34)*COS(B1727+F1727)-'1.설계입력'!$C$8*COS('1.설계입력'!$C$15*B1727)</f>
        <v>76.111718651979345</v>
      </c>
      <c r="H1727" s="40">
        <f>-('1.설계입력'!$C$6+'1.설계입력'!$C$33)*SIN(B1727)+('1.설계입력'!$C$7+'1.설계입력'!$C$34)*SIN(B1727+F1727)+'1.설계입력'!$C$8*SIN('1.설계입력'!$C$15*B1727)</f>
        <v>20.895103064809611</v>
      </c>
      <c r="I1727" s="40">
        <f t="shared" si="79"/>
        <v>78.937776492528769</v>
      </c>
      <c r="J1727" s="40">
        <f t="shared" si="80"/>
        <v>78.927809093164853</v>
      </c>
      <c r="K1727" s="38" t="str">
        <f>IF(OR(A1727&gt;180,'1.설계입력'!$C$39&gt;=1),"",'1.설계입력'!$C$34*(1-SIN(B1727)/SQRT(1+'1.설계입력'!$C$39^2-2*'1.설계입력'!$C$39*COS(B1727)))-'1.설계입력'!$C$33*(1-'1.설계입력'!$C$39*COS(B1727)-SQRT(MAX(0,1-'1.설계입력'!$C$39^2))*SIN(B1727))/SQRT(1+'1.설계입력'!$C$39^2-2*'1.설계입력'!$C$39*COS(B1727)))</f>
        <v/>
      </c>
    </row>
    <row r="1728" spans="1:11" x14ac:dyDescent="0.3">
      <c r="A1728" s="40">
        <f>A1727+'1.설계입력'!$C$12</f>
        <v>344.39999999998901</v>
      </c>
      <c r="B1728" s="40">
        <f t="shared" si="78"/>
        <v>6.010913943868279</v>
      </c>
      <c r="C1728" s="40">
        <f>ATAN2('1.설계입력'!$C$6/('1.설계입력'!$C$8*'1.설계입력'!$C$15)-COS((1-'1.설계입력'!$C$15)*B1728),SIN((1-'1.설계입력'!$C$15)*B1728))</f>
        <v>-0.49199908581659996</v>
      </c>
      <c r="D1728" s="40">
        <f>'1.설계입력'!$C$6*COS(B1728)-'1.설계입력'!$C$7*COS(B1728+C1728)-'1.설계입력'!$C$8*COS('1.설계입력'!$C$15*B1728)</f>
        <v>76.248573546745078</v>
      </c>
      <c r="E1728" s="40">
        <f>-'1.설계입력'!$C$6*SIN(B1728)+'1.설계입력'!$C$7*SIN(B1728+C1728)+'1.설계입력'!$C$8*SIN('1.설계입력'!$C$15*B1728)</f>
        <v>20.775166016790095</v>
      </c>
      <c r="F1728" s="40">
        <f>ATAN2(('1.설계입력'!$C$6+'1.설계입력'!$C$33)/('1.설계입력'!$C$8*'1.설계입력'!$C$15)-COS((1-'1.설계입력'!$C$15)*B1728),SIN((1-'1.설계입력'!$C$15)*B1728))</f>
        <v>-0.4920114863717453</v>
      </c>
      <c r="G1728" s="40">
        <f>('1.설계입력'!$C$6+'1.설계입력'!$C$33)*COS(B1728)-('1.설계입력'!$C$7+'1.설계입력'!$C$34)*COS(B1728+F1728)-'1.설계입력'!$C$8*COS('1.설계입력'!$C$15*B1728)</f>
        <v>76.239774849786301</v>
      </c>
      <c r="H1728" s="40">
        <f>-('1.설계입력'!$C$6+'1.설계입력'!$C$33)*SIN(B1728)+('1.설계입력'!$C$7+'1.설계입력'!$C$34)*SIN(B1728+F1728)+'1.설계입력'!$C$8*SIN('1.설계입력'!$C$15*B1728)</f>
        <v>20.768691200545081</v>
      </c>
      <c r="I1728" s="40">
        <f t="shared" si="79"/>
        <v>79.02817529804534</v>
      </c>
      <c r="J1728" s="40">
        <f t="shared" si="80"/>
        <v>79.017984050023102</v>
      </c>
      <c r="K1728" s="38" t="str">
        <f>IF(OR(A1728&gt;180,'1.설계입력'!$C$39&gt;=1),"",'1.설계입력'!$C$34*(1-SIN(B1728)/SQRT(1+'1.설계입력'!$C$39^2-2*'1.설계입력'!$C$39*COS(B1728)))-'1.설계입력'!$C$33*(1-'1.설계입력'!$C$39*COS(B1728)-SQRT(MAX(0,1-'1.설계입력'!$C$39^2))*SIN(B1728))/SQRT(1+'1.설계입력'!$C$39^2-2*'1.설계입력'!$C$39*COS(B1728)))</f>
        <v/>
      </c>
    </row>
    <row r="1729" spans="1:11" x14ac:dyDescent="0.3">
      <c r="A1729" s="40">
        <f>A1728+'1.설계입력'!$C$12</f>
        <v>344.599999999989</v>
      </c>
      <c r="B1729" s="40">
        <f t="shared" si="78"/>
        <v>6.0144046023722675</v>
      </c>
      <c r="C1729" s="40">
        <f>ATAN2('1.설계입력'!$C$6/('1.설계입력'!$C$8*'1.설계입력'!$C$15)-COS((1-'1.설계입력'!$C$15)*B1729),SIN((1-'1.설계입력'!$C$15)*B1729))</f>
        <v>-0.4385473660158315</v>
      </c>
      <c r="D1729" s="40">
        <f>'1.설계입력'!$C$6*COS(B1729)-'1.설계입력'!$C$7*COS(B1729+C1729)-'1.설계입력'!$C$8*COS('1.설계입력'!$C$15*B1729)</f>
        <v>76.378302708419611</v>
      </c>
      <c r="E1729" s="40">
        <f>-'1.설계입력'!$C$6*SIN(B1729)+'1.설계입력'!$C$7*SIN(B1729+C1729)+'1.설계입력'!$C$8*SIN('1.설계입력'!$C$15*B1729)</f>
        <v>20.63182459365736</v>
      </c>
      <c r="F1729" s="40">
        <f>ATAN2(('1.설계입력'!$C$6+'1.설계입력'!$C$33)/('1.설계입력'!$C$8*'1.설계입력'!$C$15)-COS((1-'1.설계입력'!$C$15)*B1729),SIN((1-'1.설계입력'!$C$15)*B1729))</f>
        <v>-0.43855805917885105</v>
      </c>
      <c r="G1729" s="40">
        <f>('1.설계입력'!$C$6+'1.설계입력'!$C$33)*COS(B1729)-('1.설계입력'!$C$7+'1.설계입력'!$C$34)*COS(B1729+F1729)-'1.설계입력'!$C$8*COS('1.설계입력'!$C$15*B1729)</f>
        <v>76.369185046366823</v>
      </c>
      <c r="H1729" s="40">
        <f>-('1.설계입력'!$C$6+'1.설계입력'!$C$33)*SIN(B1729)+('1.설계입력'!$C$7+'1.설계입력'!$C$34)*SIN(B1729+F1729)+'1.설계입력'!$C$8*SIN('1.설계입력'!$C$15*B1729)</f>
        <v>20.625705370703141</v>
      </c>
      <c r="I1729" s="40">
        <f t="shared" si="79"/>
        <v>79.115847405449827</v>
      </c>
      <c r="J1729" s="40">
        <f t="shared" si="80"/>
        <v>79.105449538481679</v>
      </c>
      <c r="K1729" s="38" t="str">
        <f>IF(OR(A1729&gt;180,'1.설계입력'!$C$39&gt;=1),"",'1.설계입력'!$C$34*(1-SIN(B1729)/SQRT(1+'1.설계입력'!$C$39^2-2*'1.설계입력'!$C$39*COS(B1729)))-'1.설계입력'!$C$33*(1-'1.설계입력'!$C$39*COS(B1729)-SQRT(MAX(0,1-'1.설계입력'!$C$39^2))*SIN(B1729))/SQRT(1+'1.설계입력'!$C$39^2-2*'1.설계입력'!$C$39*COS(B1729)))</f>
        <v/>
      </c>
    </row>
    <row r="1730" spans="1:11" x14ac:dyDescent="0.3">
      <c r="A1730" s="40">
        <f>A1729+'1.설계입력'!$C$12</f>
        <v>344.79999999998898</v>
      </c>
      <c r="B1730" s="40">
        <f t="shared" si="78"/>
        <v>6.0178952608762559</v>
      </c>
      <c r="C1730" s="40">
        <f>ATAN2('1.설계입력'!$C$6/('1.설계입력'!$C$8*'1.설계입력'!$C$15)-COS((1-'1.설계입력'!$C$15)*B1730),SIN((1-'1.설계입력'!$C$15)*B1730))</f>
        <v>-0.38401030765505079</v>
      </c>
      <c r="D1730" s="40">
        <f>'1.설계입력'!$C$6*COS(B1730)-'1.설계입력'!$C$7*COS(B1730+C1730)-'1.설계입력'!$C$8*COS('1.설계입력'!$C$15*B1730)</f>
        <v>76.507234357060966</v>
      </c>
      <c r="E1730" s="40">
        <f>-'1.설계입력'!$C$6*SIN(B1730)+'1.설계입력'!$C$7*SIN(B1730+C1730)+'1.설계입력'!$C$8*SIN('1.설계입력'!$C$15*B1730)</f>
        <v>20.471771307291551</v>
      </c>
      <c r="F1730" s="40">
        <f>ATAN2(('1.설계입력'!$C$6+'1.설계입력'!$C$33)/('1.설계입력'!$C$8*'1.설계입력'!$C$15)-COS((1-'1.설계입력'!$C$15)*B1730),SIN((1-'1.설계입력'!$C$15)*B1730))</f>
        <v>-0.38401941203523032</v>
      </c>
      <c r="G1730" s="40">
        <f>('1.설계입력'!$C$6+'1.설계입력'!$C$33)*COS(B1730)-('1.설계입력'!$C$7+'1.설계입력'!$C$34)*COS(B1730+F1730)-'1.설계입력'!$C$8*COS('1.설계입력'!$C$15*B1730)</f>
        <v>76.497813162886885</v>
      </c>
      <c r="H1730" s="40">
        <f>-('1.설계입력'!$C$6+'1.설계입력'!$C$33)*SIN(B1730)+('1.설계입력'!$C$7+'1.설계입력'!$C$34)*SIN(B1730+F1730)+'1.설계입력'!$C$8*SIN('1.설계입력'!$C$15*B1730)</f>
        <v>20.46603195821417</v>
      </c>
      <c r="I1730" s="40">
        <f t="shared" si="79"/>
        <v>79.198802575697414</v>
      </c>
      <c r="J1730" s="40">
        <f t="shared" si="80"/>
        <v>79.188218080839491</v>
      </c>
      <c r="K1730" s="38" t="str">
        <f>IF(OR(A1730&gt;180,'1.설계입력'!$C$39&gt;=1),"",'1.설계입력'!$C$34*(1-SIN(B1730)/SQRT(1+'1.설계입력'!$C$39^2-2*'1.설계입력'!$C$39*COS(B1730)))-'1.설계입력'!$C$33*(1-'1.설계입력'!$C$39*COS(B1730)-SQRT(MAX(0,1-'1.설계입력'!$C$39^2))*SIN(B1730))/SQRT(1+'1.설계입력'!$C$39^2-2*'1.설계입력'!$C$39*COS(B1730)))</f>
        <v/>
      </c>
    </row>
    <row r="1731" spans="1:11" x14ac:dyDescent="0.3">
      <c r="A1731" s="40">
        <f>A1730+'1.설계입력'!$C$12</f>
        <v>344.99999999998897</v>
      </c>
      <c r="B1731" s="40">
        <f t="shared" si="78"/>
        <v>6.0213859193802444</v>
      </c>
      <c r="C1731" s="40">
        <f>ATAN2('1.설계입력'!$C$6/('1.설계입력'!$C$8*'1.설계입력'!$C$15)-COS((1-'1.설계입력'!$C$15)*B1731),SIN((1-'1.설계입력'!$C$15)*B1731))</f>
        <v>-0.32861302815661197</v>
      </c>
      <c r="D1731" s="40">
        <f>'1.설계입력'!$C$6*COS(B1731)-'1.설계입력'!$C$7*COS(B1731+C1731)-'1.설계입력'!$C$8*COS('1.설계입력'!$C$15*B1731)</f>
        <v>76.633073130579589</v>
      </c>
      <c r="E1731" s="40">
        <f>-'1.설계입력'!$C$6*SIN(B1731)+'1.설계입력'!$C$7*SIN(B1731+C1731)+'1.설계입력'!$C$8*SIN('1.설계입력'!$C$15*B1731)</f>
        <v>20.295385128973546</v>
      </c>
      <c r="F1731" s="40">
        <f>ATAN2(('1.설계입력'!$C$6+'1.설계입력'!$C$33)/('1.설계입력'!$C$8*'1.설계입력'!$C$15)-COS((1-'1.설계입력'!$C$15)*B1731),SIN((1-'1.설계입력'!$C$15)*B1731))</f>
        <v>-0.32862063869497887</v>
      </c>
      <c r="G1731" s="40">
        <f>('1.설계입력'!$C$6+'1.설계입력'!$C$33)*COS(B1731)-('1.설계입력'!$C$7+'1.설계입력'!$C$34)*COS(B1731+F1731)-'1.설계입력'!$C$8*COS('1.설계입력'!$C$15*B1731)</f>
        <v>76.623366981825384</v>
      </c>
      <c r="H1731" s="40">
        <f>-('1.설계입력'!$C$6+'1.설계입력'!$C$33)*SIN(B1731)+('1.설계입력'!$C$7+'1.설계입력'!$C$34)*SIN(B1731+F1731)+'1.설계입력'!$C$8*SIN('1.설계입력'!$C$15*B1731)</f>
        <v>20.290048150435208</v>
      </c>
      <c r="I1731" s="40">
        <f t="shared" si="79"/>
        <v>79.275031094097471</v>
      </c>
      <c r="J1731" s="40">
        <f t="shared" si="80"/>
        <v>79.264282129963604</v>
      </c>
      <c r="K1731" s="38" t="str">
        <f>IF(OR(A1731&gt;180,'1.설계입력'!$C$39&gt;=1),"",'1.설계입력'!$C$34*(1-SIN(B1731)/SQRT(1+'1.설계입력'!$C$39^2-2*'1.설계입력'!$C$39*COS(B1731)))-'1.설계입력'!$C$33*(1-'1.설계입력'!$C$39*COS(B1731)-SQRT(MAX(0,1-'1.설계입력'!$C$39^2))*SIN(B1731))/SQRT(1+'1.설계입력'!$C$39^2-2*'1.설계입력'!$C$39*COS(B1731)))</f>
        <v/>
      </c>
    </row>
    <row r="1732" spans="1:11" x14ac:dyDescent="0.3">
      <c r="A1732" s="40">
        <f>A1731+'1.설계입력'!$C$12</f>
        <v>345.19999999998896</v>
      </c>
      <c r="B1732" s="40">
        <f t="shared" si="78"/>
        <v>6.0248765778842328</v>
      </c>
      <c r="C1732" s="40">
        <f>ATAN2('1.설계입력'!$C$6/('1.설계입력'!$C$8*'1.설계입력'!$C$15)-COS((1-'1.설계입력'!$C$15)*B1732),SIN((1-'1.설계입력'!$C$15)*B1732))</f>
        <v>-0.27253884837178222</v>
      </c>
      <c r="D1732" s="40">
        <f>'1.설계입력'!$C$6*COS(B1732)-'1.설계입력'!$C$7*COS(B1732+C1732)-'1.설계입력'!$C$8*COS('1.설계입력'!$C$15*B1732)</f>
        <v>76.75349695101697</v>
      </c>
      <c r="E1732" s="40">
        <f>-'1.설계입력'!$C$6*SIN(B1732)+'1.설계입력'!$C$7*SIN(B1732+C1732)+'1.설계입력'!$C$8*SIN('1.설계입력'!$C$15*B1732)</f>
        <v>20.103510459020143</v>
      </c>
      <c r="F1732" s="40">
        <f>ATAN2(('1.설계입력'!$C$6+'1.설계입력'!$C$33)/('1.설계입력'!$C$8*'1.설계입력'!$C$15)-COS((1-'1.설계입력'!$C$15)*B1732),SIN((1-'1.설계입력'!$C$15)*B1732))</f>
        <v>-0.27254504035660393</v>
      </c>
      <c r="G1732" s="40">
        <f>('1.설계입력'!$C$6+'1.설계입력'!$C$33)*COS(B1732)-('1.설계입력'!$C$7+'1.설계입력'!$C$34)*COS(B1732+F1732)-'1.설계입력'!$C$8*COS('1.설계입력'!$C$15*B1732)</f>
        <v>76.743527099014358</v>
      </c>
      <c r="H1732" s="40">
        <f>-('1.설계입력'!$C$6+'1.설계입력'!$C$33)*SIN(B1732)+('1.설계입력'!$C$7+'1.설계입력'!$C$34)*SIN(B1732+F1732)+'1.설계입력'!$C$8*SIN('1.설계입력'!$C$15*B1732)</f>
        <v>20.09859643253402</v>
      </c>
      <c r="I1732" s="40">
        <f t="shared" si="79"/>
        <v>79.342614193040703</v>
      </c>
      <c r="J1732" s="40">
        <f t="shared" si="80"/>
        <v>79.331724613517764</v>
      </c>
      <c r="K1732" s="38" t="str">
        <f>IF(OR(A1732&gt;180,'1.설계입력'!$C$39&gt;=1),"",'1.설계입력'!$C$34*(1-SIN(B1732)/SQRT(1+'1.설계입력'!$C$39^2-2*'1.설계입력'!$C$39*COS(B1732)))-'1.설계입력'!$C$33*(1-'1.설계입력'!$C$39*COS(B1732)-SQRT(MAX(0,1-'1.설계입력'!$C$39^2))*SIN(B1732))/SQRT(1+'1.설계입력'!$C$39^2-2*'1.설계입력'!$C$39*COS(B1732)))</f>
        <v/>
      </c>
    </row>
    <row r="1733" spans="1:11" x14ac:dyDescent="0.3">
      <c r="A1733" s="40">
        <f>A1732+'1.설계입력'!$C$12</f>
        <v>345.39999999998895</v>
      </c>
      <c r="B1733" s="40">
        <f t="shared" si="78"/>
        <v>6.0283672363882213</v>
      </c>
      <c r="C1733" s="40">
        <f>ATAN2('1.설계입력'!$C$6/('1.설계입력'!$C$8*'1.설계입력'!$C$15)-COS((1-'1.설계입력'!$C$15)*B1733),SIN((1-'1.설계입력'!$C$15)*B1733))</f>
        <v>-0.21594074620156092</v>
      </c>
      <c r="D1733" s="40">
        <f>'1.설계입력'!$C$6*COS(B1733)-'1.설계입력'!$C$7*COS(B1733+C1733)-'1.설계입력'!$C$8*COS('1.설계입력'!$C$15*B1733)</f>
        <v>76.866264185076915</v>
      </c>
      <c r="E1733" s="40">
        <f>-'1.설계입력'!$C$6*SIN(B1733)+'1.설계입력'!$C$7*SIN(B1733+C1733)+'1.설계입력'!$C$8*SIN('1.설계입력'!$C$15*B1733)</f>
        <v>19.897424163267907</v>
      </c>
      <c r="F1733" s="40">
        <f>ATAN2(('1.설계입력'!$C$6+'1.설계입력'!$C$33)/('1.설계입력'!$C$8*'1.설계입력'!$C$15)-COS((1-'1.설계입력'!$C$15)*B1733),SIN((1-'1.설계입력'!$C$15)*B1733))</f>
        <v>-0.21594557825675373</v>
      </c>
      <c r="G1733" s="40">
        <f>('1.설계입력'!$C$6+'1.설계입력'!$C$33)*COS(B1733)-('1.설계입력'!$C$7+'1.설계입력'!$C$34)*COS(B1733+F1733)-'1.설계입력'!$C$8*COS('1.설계입력'!$C$15*B1733)</f>
        <v>76.856054153575002</v>
      </c>
      <c r="H1733" s="40">
        <f>-('1.설계입력'!$C$6+'1.설계입력'!$C$33)*SIN(B1733)+('1.설계입력'!$C$7+'1.설계입력'!$C$34)*SIN(B1733+F1733)+'1.설계입력'!$C$8*SIN('1.설계입력'!$C$15*B1733)</f>
        <v>19.892951629808948</v>
      </c>
      <c r="I1733" s="40">
        <f t="shared" si="79"/>
        <v>79.399811448787688</v>
      </c>
      <c r="J1733" s="40">
        <f t="shared" si="80"/>
        <v>79.388806418809267</v>
      </c>
      <c r="K1733" s="38" t="str">
        <f>IF(OR(A1733&gt;180,'1.설계입력'!$C$39&gt;=1),"",'1.설계입력'!$C$34*(1-SIN(B1733)/SQRT(1+'1.설계입력'!$C$39^2-2*'1.설계입력'!$C$39*COS(B1733)))-'1.설계입력'!$C$33*(1-'1.설계입력'!$C$39*COS(B1733)-SQRT(MAX(0,1-'1.설계입력'!$C$39^2))*SIN(B1733))/SQRT(1+'1.설계입력'!$C$39^2-2*'1.설계입력'!$C$39*COS(B1733)))</f>
        <v/>
      </c>
    </row>
    <row r="1734" spans="1:11" x14ac:dyDescent="0.3">
      <c r="A1734" s="40">
        <f>A1733+'1.설계입력'!$C$12</f>
        <v>345.59999999998894</v>
      </c>
      <c r="B1734" s="40">
        <f t="shared" ref="B1734:B1797" si="81">RADIANS(A1734)</f>
        <v>6.0318578948922097</v>
      </c>
      <c r="C1734" s="40">
        <f>ATAN2('1.설계입력'!$C$6/('1.설계입력'!$C$8*'1.설계입력'!$C$15)-COS((1-'1.설계입력'!$C$15)*B1734),SIN((1-'1.설계입력'!$C$15)*B1734))</f>
        <v>-0.15894976207004385</v>
      </c>
      <c r="D1734" s="40">
        <f>'1.설계입력'!$C$6*COS(B1734)-'1.설계입력'!$C$7*COS(B1734+C1734)-'1.설계입력'!$C$8*COS('1.설계입력'!$C$15*B1734)</f>
        <v>76.969303490881472</v>
      </c>
      <c r="E1734" s="40">
        <f>-'1.설계입력'!$C$6*SIN(B1734)+'1.설계입력'!$C$7*SIN(B1734+C1734)+'1.설계입력'!$C$8*SIN('1.설계입력'!$C$15*B1734)</f>
        <v>19.678794565804733</v>
      </c>
      <c r="F1734" s="40">
        <f>ATAN2(('1.설계입력'!$C$6+'1.설계입력'!$C$33)/('1.설계입력'!$C$8*'1.설계입력'!$C$15)-COS((1-'1.설계입력'!$C$15)*B1734),SIN((1-'1.설계입력'!$C$15)*B1734))</f>
        <v>-0.1589532783575475</v>
      </c>
      <c r="G1734" s="40">
        <f>('1.설계입력'!$C$6+'1.설계입력'!$C$33)*COS(B1734)-('1.설계입력'!$C$7+'1.설계입력'!$C$34)*COS(B1734+F1734)-'1.설계입력'!$C$8*COS('1.설계입력'!$C$15*B1734)</f>
        <v>76.958878721083494</v>
      </c>
      <c r="H1734" s="40">
        <f>-('1.설계입력'!$C$6+'1.설계입력'!$C$33)*SIN(B1734)+('1.설계입력'!$C$7+'1.설계입력'!$C$34)*SIN(B1734+F1734)+'1.설계입력'!$C$8*SIN('1.설계입력'!$C$15*B1734)</f>
        <v>19.674779908686844</v>
      </c>
      <c r="I1734" s="40">
        <f t="shared" ref="I1734:I1797" si="82">SQRT(D1734^2+E1734^2)</f>
        <v>79.445129715008733</v>
      </c>
      <c r="J1734" s="40">
        <f t="shared" ref="J1734:J1797" si="83">SQRT(G1734^2+H1734^2)</f>
        <v>79.434035390767505</v>
      </c>
      <c r="K1734" s="38" t="str">
        <f>IF(OR(A1734&gt;180,'1.설계입력'!$C$39&gt;=1),"",'1.설계입력'!$C$34*(1-SIN(B1734)/SQRT(1+'1.설계입력'!$C$39^2-2*'1.설계입력'!$C$39*COS(B1734)))-'1.설계입력'!$C$33*(1-'1.설계입력'!$C$39*COS(B1734)-SQRT(MAX(0,1-'1.설계입력'!$C$39^2))*SIN(B1734))/SQRT(1+'1.설계입력'!$C$39^2-2*'1.설계입력'!$C$39*COS(B1734)))</f>
        <v/>
      </c>
    </row>
    <row r="1735" spans="1:11" x14ac:dyDescent="0.3">
      <c r="A1735" s="40">
        <f>A1734+'1.설계입력'!$C$12</f>
        <v>345.79999999998893</v>
      </c>
      <c r="B1735" s="40">
        <f t="shared" si="81"/>
        <v>6.0353485533961981</v>
      </c>
      <c r="C1735" s="40">
        <f>ATAN2('1.설계입력'!$C$6/('1.설계입력'!$C$8*'1.설계입력'!$C$15)-COS((1-'1.설계입력'!$C$15)*B1735),SIN((1-'1.설계입력'!$C$15)*B1735))</f>
        <v>-0.10168137574417682</v>
      </c>
      <c r="D1735" s="40">
        <f>'1.설계입력'!$C$6*COS(B1735)-'1.설계입력'!$C$7*COS(B1735+C1735)-'1.설계입력'!$C$8*COS('1.설계입력'!$C$15*B1735)</f>
        <v>77.060788736245684</v>
      </c>
      <c r="E1735" s="40">
        <f>-'1.설계입력'!$C$6*SIN(B1735)+'1.설계입력'!$C$7*SIN(B1735+C1735)+'1.설계입력'!$C$8*SIN('1.설계입력'!$C$15*B1735)</f>
        <v>19.449632539507306</v>
      </c>
      <c r="F1735" s="40">
        <f>ATAN2(('1.설계입력'!$C$6+'1.설계입력'!$C$33)/('1.설계입력'!$C$8*'1.설계입력'!$C$15)-COS((1-'1.설계입력'!$C$15)*B1735),SIN((1-'1.설계입력'!$C$15)*B1735))</f>
        <v>-0.10168360754900117</v>
      </c>
      <c r="G1735" s="40">
        <f>('1.설계입력'!$C$6+'1.설계입력'!$C$33)*COS(B1735)-('1.설계입력'!$C$7+'1.설계입력'!$C$34)*COS(B1735+F1735)-'1.설계입력'!$C$8*COS('1.설계입력'!$C$15*B1735)</f>
        <v>77.050176262471098</v>
      </c>
      <c r="H1735" s="40">
        <f>-('1.설계입력'!$C$6+'1.설계입력'!$C$33)*SIN(B1735)+('1.설계입력'!$C$7+'1.설계입력'!$C$34)*SIN(B1735+F1735)+'1.설계입력'!$C$8*SIN('1.설계입력'!$C$15*B1735)</f>
        <v>19.446089876764901</v>
      </c>
      <c r="I1735" s="40">
        <f t="shared" si="82"/>
        <v>79.477376444961692</v>
      </c>
      <c r="J1735" s="40">
        <f t="shared" si="83"/>
        <v>79.46621970103449</v>
      </c>
      <c r="K1735" s="38" t="str">
        <f>IF(OR(A1735&gt;180,'1.설계입력'!$C$39&gt;=1),"",'1.설계입력'!$C$34*(1-SIN(B1735)/SQRT(1+'1.설계입력'!$C$39^2-2*'1.설계입력'!$C$39*COS(B1735)))-'1.설계입력'!$C$33*(1-'1.설계입력'!$C$39*COS(B1735)-SQRT(MAX(0,1-'1.설계입력'!$C$39^2))*SIN(B1735))/SQRT(1+'1.설계입력'!$C$39^2-2*'1.설계입력'!$C$39*COS(B1735)))</f>
        <v/>
      </c>
    </row>
    <row r="1736" spans="1:11" x14ac:dyDescent="0.3">
      <c r="A1736" s="40">
        <f>A1735+'1.설계입력'!$C$12</f>
        <v>345.99999999998892</v>
      </c>
      <c r="B1736" s="40">
        <f t="shared" si="81"/>
        <v>6.0388392119001866</v>
      </c>
      <c r="C1736" s="40">
        <f>ATAN2('1.설계입력'!$C$6/('1.설계입력'!$C$8*'1.설계입력'!$C$15)-COS((1-'1.설계입력'!$C$15)*B1736),SIN((1-'1.설계입력'!$C$15)*B1736))</f>
        <v>-4.4240540886248257E-2</v>
      </c>
      <c r="D1736" s="40">
        <f>'1.설계입력'!$C$6*COS(B1736)-'1.설계입력'!$C$7*COS(B1736+C1736)-'1.설계입력'!$C$8*COS('1.설계입력'!$C$15*B1736)</f>
        <v>77.139200194527092</v>
      </c>
      <c r="E1736" s="40">
        <f>-'1.설계입력'!$C$6*SIN(B1736)+'1.설계입력'!$C$7*SIN(B1736+C1736)+'1.설계입력'!$C$8*SIN('1.설계입력'!$C$15*B1736)</f>
        <v>19.212235283351809</v>
      </c>
      <c r="F1736" s="40">
        <f>ATAN2(('1.설계입력'!$C$6+'1.설계입력'!$C$33)/('1.설계입력'!$C$8*'1.설계입력'!$C$15)-COS((1-'1.설계입력'!$C$15)*B1736),SIN((1-'1.설계입력'!$C$15)*B1736))</f>
        <v>-4.424150770009673E-2</v>
      </c>
      <c r="G1736" s="40">
        <f>('1.설계입력'!$C$6+'1.설계입력'!$C$33)*COS(B1736)-('1.설계입력'!$C$7+'1.설계입력'!$C$34)*COS(B1736+F1736)-'1.설계입력'!$C$8*COS('1.설계입력'!$C$15*B1736)</f>
        <v>77.128428339327911</v>
      </c>
      <c r="H1736" s="40">
        <f>-('1.설계입력'!$C$6+'1.설계입력'!$C$33)*SIN(B1736)+('1.설계입력'!$C$7+'1.설계입력'!$C$34)*SIN(B1736+F1736)+'1.설계입력'!$C$8*SIN('1.설계입력'!$C$15*B1736)</f>
        <v>19.209176370134625</v>
      </c>
      <c r="I1736" s="40">
        <f t="shared" si="82"/>
        <v>79.495699199605738</v>
      </c>
      <c r="J1736" s="40">
        <f t="shared" si="83"/>
        <v>79.484507389262845</v>
      </c>
      <c r="K1736" s="38" t="str">
        <f>IF(OR(A1736&gt;180,'1.설계입력'!$C$39&gt;=1),"",'1.설계입력'!$C$34*(1-SIN(B1736)/SQRT(1+'1.설계입력'!$C$39^2-2*'1.설계입력'!$C$39*COS(B1736)))-'1.설계입력'!$C$33*(1-'1.설계입력'!$C$39*COS(B1736)-SQRT(MAX(0,1-'1.설계입력'!$C$39^2))*SIN(B1736))/SQRT(1+'1.설계입력'!$C$39^2-2*'1.설계입력'!$C$39*COS(B1736)))</f>
        <v/>
      </c>
    </row>
    <row r="1737" spans="1:11" x14ac:dyDescent="0.3">
      <c r="A1737" s="40">
        <f>A1736+'1.설계입력'!$C$12</f>
        <v>346.1999999999889</v>
      </c>
      <c r="B1737" s="40">
        <f t="shared" si="81"/>
        <v>6.042329870404175</v>
      </c>
      <c r="C1737" s="40">
        <f>ATAN2('1.설계입력'!$C$6/('1.설계입력'!$C$8*'1.설계입력'!$C$15)-COS((1-'1.설계입력'!$C$15)*B1737),SIN((1-'1.설계입력'!$C$15)*B1737))</f>
        <v>1.3274139780767295E-2</v>
      </c>
      <c r="D1737" s="40">
        <f>'1.설계입력'!$C$6*COS(B1737)-'1.설계입력'!$C$7*COS(B1737+C1737)-'1.설계입력'!$C$8*COS('1.설계입력'!$C$15*B1737)</f>
        <v>77.203372528261553</v>
      </c>
      <c r="E1737" s="40">
        <f>-'1.설계입력'!$C$6*SIN(B1737)+'1.설계입력'!$C$7*SIN(B1737+C1737)+'1.설계입력'!$C$8*SIN('1.설계입력'!$C$15*B1737)</f>
        <v>18.96912366110725</v>
      </c>
      <c r="F1737" s="40">
        <f>ATAN2(('1.설계입력'!$C$6+'1.설계입력'!$C$33)/('1.설계입력'!$C$8*'1.설계입력'!$C$15)-COS((1-'1.설계입력'!$C$15)*B1737),SIN((1-'1.설계입력'!$C$15)*B1737))</f>
        <v>1.3274429601038378E-2</v>
      </c>
      <c r="G1737" s="40">
        <f>('1.설계입력'!$C$6+'1.설계입력'!$C$33)*COS(B1737)-('1.설계입력'!$C$7+'1.설계입력'!$C$34)*COS(B1737+F1737)-'1.설계입력'!$C$8*COS('1.설계입력'!$C$15*B1737)</f>
        <v>77.192470608758725</v>
      </c>
      <c r="H1737" s="40">
        <f>-('1.설계입력'!$C$6+'1.설계입력'!$C$33)*SIN(B1737)+('1.설계입력'!$C$7+'1.설계입력'!$C$34)*SIN(B1737+F1737)+'1.설계입력'!$C$8*SIN('1.설계입력'!$C$15*B1737)</f>
        <v>18.966557802086683</v>
      </c>
      <c r="I1737" s="40">
        <f t="shared" si="82"/>
        <v>79.499612465771875</v>
      </c>
      <c r="J1737" s="40">
        <f t="shared" si="83"/>
        <v>79.488413203082459</v>
      </c>
      <c r="K1737" s="38" t="str">
        <f>IF(OR(A1737&gt;180,'1.설계입력'!$C$39&gt;=1),"",'1.설계입력'!$C$34*(1-SIN(B1737)/SQRT(1+'1.설계입력'!$C$39^2-2*'1.설계입력'!$C$39*COS(B1737)))-'1.설계입력'!$C$33*(1-'1.설계입력'!$C$39*COS(B1737)-SQRT(MAX(0,1-'1.설계입력'!$C$39^2))*SIN(B1737))/SQRT(1+'1.설계입력'!$C$39^2-2*'1.설계입력'!$C$39*COS(B1737)))</f>
        <v/>
      </c>
    </row>
    <row r="1738" spans="1:11" x14ac:dyDescent="0.3">
      <c r="A1738" s="40">
        <f>A1737+'1.설계입력'!$C$12</f>
        <v>346.39999999998889</v>
      </c>
      <c r="B1738" s="40">
        <f t="shared" si="81"/>
        <v>6.0458205289081635</v>
      </c>
      <c r="C1738" s="40">
        <f>ATAN2('1.설계입력'!$C$6/('1.설계입력'!$C$8*'1.설계입력'!$C$15)-COS((1-'1.설계입력'!$C$15)*B1738),SIN((1-'1.설계입력'!$C$15)*B1738))</f>
        <v>7.0766737898033935E-2</v>
      </c>
      <c r="D1738" s="40">
        <f>'1.설계입력'!$C$6*COS(B1738)-'1.설계입력'!$C$7*COS(B1738+C1738)-'1.설계입력'!$C$8*COS('1.설계입력'!$C$15*B1738)</f>
        <v>77.25252966651631</v>
      </c>
      <c r="E1738" s="40">
        <f>-'1.설계입력'!$C$6*SIN(B1738)+'1.설계입력'!$C$7*SIN(B1738+C1738)+'1.설계입력'!$C$8*SIN('1.설계입력'!$C$15*B1738)</f>
        <v>18.7229741572629</v>
      </c>
      <c r="F1738" s="40">
        <f>ATAN2(('1.설계입력'!$C$6+'1.설계입력'!$C$33)/('1.설계입력'!$C$8*'1.설계입력'!$C$15)-COS((1-'1.설계입력'!$C$15)*B1738),SIN((1-'1.설계입력'!$C$15)*B1738))</f>
        <v>7.0768286852061477E-2</v>
      </c>
      <c r="G1738" s="40">
        <f>('1.설계입력'!$C$6+'1.설계입력'!$C$33)*COS(B1738)-('1.설계입력'!$C$7+'1.설계입력'!$C$34)*COS(B1738+F1738)-'1.설계입력'!$C$8*COS('1.설계입력'!$C$15*B1738)</f>
        <v>77.241527705522017</v>
      </c>
      <c r="H1738" s="40">
        <f>-('1.설계입력'!$C$6+'1.설계입력'!$C$33)*SIN(B1738)+('1.설계입력'!$C$7+'1.설계입력'!$C$34)*SIN(B1738+F1738)+'1.설계입력'!$C$8*SIN('1.설계입력'!$C$15*B1738)</f>
        <v>18.720908128617257</v>
      </c>
      <c r="I1738" s="40">
        <f t="shared" si="82"/>
        <v>79.489012455618777</v>
      </c>
      <c r="J1738" s="40">
        <f t="shared" si="83"/>
        <v>79.477833409341585</v>
      </c>
      <c r="K1738" s="38" t="str">
        <f>IF(OR(A1738&gt;180,'1.설계입력'!$C$39&gt;=1),"",'1.설계입력'!$C$34*(1-SIN(B1738)/SQRT(1+'1.설계입력'!$C$39^2-2*'1.설계입력'!$C$39*COS(B1738)))-'1.설계입력'!$C$33*(1-'1.설계입력'!$C$39*COS(B1738)-SQRT(MAX(0,1-'1.설계입력'!$C$39^2))*SIN(B1738))/SQRT(1+'1.설계입력'!$C$39^2-2*'1.설계입력'!$C$39*COS(B1738)))</f>
        <v/>
      </c>
    </row>
    <row r="1739" spans="1:11" x14ac:dyDescent="0.3">
      <c r="A1739" s="40">
        <f>A1738+'1.설계입력'!$C$12</f>
        <v>346.59999999998888</v>
      </c>
      <c r="B1739" s="40">
        <f t="shared" si="81"/>
        <v>6.0493111874121519</v>
      </c>
      <c r="C1739" s="40">
        <f>ATAN2('1.설계입력'!$C$6/('1.설계입력'!$C$8*'1.설계입력'!$C$15)-COS((1-'1.설계입력'!$C$15)*B1739),SIN((1-'1.설계입력'!$C$15)*B1739))</f>
        <v>0.12814052822010691</v>
      </c>
      <c r="D1739" s="40">
        <f>'1.설계입력'!$C$6*COS(B1739)-'1.설계입력'!$C$7*COS(B1739+C1739)-'1.설계입력'!$C$8*COS('1.설계입력'!$C$15*B1739)</f>
        <v>77.286306450533758</v>
      </c>
      <c r="E1739" s="40">
        <f>-'1.설계입력'!$C$6*SIN(B1739)+'1.설계입력'!$C$7*SIN(B1739+C1739)+'1.설계입력'!$C$8*SIN('1.설계입력'!$C$15*B1739)</f>
        <v>18.476546608331759</v>
      </c>
      <c r="F1739" s="40">
        <f>ATAN2(('1.설계입력'!$C$6+'1.설계입력'!$C$33)/('1.설계입력'!$C$8*'1.설계입력'!$C$15)-COS((1-'1.설계입력'!$C$15)*B1739),SIN((1-'1.설계입력'!$C$15)*B1739))</f>
        <v>0.12814334974703054</v>
      </c>
      <c r="G1739" s="40">
        <f>('1.설계입력'!$C$6+'1.설계입력'!$C$33)*COS(B1739)-('1.설계입력'!$C$7+'1.설계입력'!$C$34)*COS(B1739+F1739)-'1.설계입력'!$C$8*COS('1.설계입력'!$C$15*B1739)</f>
        <v>77.275234886999712</v>
      </c>
      <c r="H1739" s="40">
        <f>-('1.설계입력'!$C$6+'1.설계입력'!$C$33)*SIN(B1739)+('1.설계입력'!$C$7+'1.설계입력'!$C$34)*SIN(B1739+F1739)+'1.설계입력'!$C$8*SIN('1.설계입력'!$C$15*B1739)</f>
        <v>18.474984588434356</v>
      </c>
      <c r="I1739" s="40">
        <f t="shared" si="82"/>
        <v>79.464180228173703</v>
      </c>
      <c r="J1739" s="40">
        <f t="shared" si="83"/>
        <v>79.453048918111776</v>
      </c>
      <c r="K1739" s="38" t="str">
        <f>IF(OR(A1739&gt;180,'1.설계입력'!$C$39&gt;=1),"",'1.설계입력'!$C$34*(1-SIN(B1739)/SQRT(1+'1.설계입력'!$C$39^2-2*'1.설계입력'!$C$39*COS(B1739)))-'1.설계입력'!$C$33*(1-'1.설계입력'!$C$39*COS(B1739)-SQRT(MAX(0,1-'1.설계입력'!$C$39^2))*SIN(B1739))/SQRT(1+'1.설계입력'!$C$39^2-2*'1.설계입력'!$C$39*COS(B1739)))</f>
        <v/>
      </c>
    </row>
    <row r="1740" spans="1:11" x14ac:dyDescent="0.3">
      <c r="A1740" s="40">
        <f>A1739+'1.설계입력'!$C$12</f>
        <v>346.79999999998887</v>
      </c>
      <c r="B1740" s="40">
        <f t="shared" si="81"/>
        <v>6.0528018459161403</v>
      </c>
      <c r="C1740" s="40">
        <f>ATAN2('1.설계입력'!$C$6/('1.설계입력'!$C$8*'1.설계입력'!$C$15)-COS((1-'1.설계입력'!$C$15)*B1740),SIN((1-'1.설계입력'!$C$15)*B1740))</f>
        <v>0.18529445647409665</v>
      </c>
      <c r="D1740" s="40">
        <f>'1.설계입력'!$C$6*COS(B1740)-'1.설계입력'!$C$7*COS(B1740+C1740)-'1.설계입력'!$C$8*COS('1.설계입력'!$C$15*B1740)</f>
        <v>77.304756784590495</v>
      </c>
      <c r="E1740" s="40">
        <f>-'1.설계입력'!$C$6*SIN(B1740)+'1.설계입력'!$C$7*SIN(B1740+C1740)+'1.설계입력'!$C$8*SIN('1.설계입력'!$C$15*B1740)</f>
        <v>18.232608898687829</v>
      </c>
      <c r="F1740" s="40">
        <f>ATAN2(('1.설계입력'!$C$6+'1.설계입력'!$C$33)/('1.설계입력'!$C$8*'1.설계입력'!$C$15)-COS((1-'1.설계입력'!$C$15)*B1740),SIN((1-'1.설계입력'!$C$15)*B1740))</f>
        <v>0.18529857540250114</v>
      </c>
      <c r="G1740" s="40">
        <f>('1.설계입력'!$C$6+'1.설계입력'!$C$33)*COS(B1740)-('1.설계입력'!$C$7+'1.설계입력'!$C$34)*COS(B1740+F1740)-'1.설계입력'!$C$8*COS('1.설계입력'!$C$15*B1740)</f>
        <v>77.29364617822938</v>
      </c>
      <c r="H1740" s="40">
        <f>-('1.설계입력'!$C$6+'1.설계입력'!$C$33)*SIN(B1740)+('1.설계입력'!$C$7+'1.설계입력'!$C$34)*SIN(B1740+F1740)+'1.설계입력'!$C$8*SIN('1.설계입력'!$C$15*B1740)</f>
        <v>18.231552406088944</v>
      </c>
      <c r="I1740" s="40">
        <f t="shared" si="82"/>
        <v>79.425773202262249</v>
      </c>
      <c r="J1740" s="40">
        <f t="shared" si="83"/>
        <v>79.414716788900535</v>
      </c>
      <c r="K1740" s="38" t="str">
        <f>IF(OR(A1740&gt;180,'1.설계입력'!$C$39&gt;=1),"",'1.설계입력'!$C$34*(1-SIN(B1740)/SQRT(1+'1.설계입력'!$C$39^2-2*'1.설계입력'!$C$39*COS(B1740)))-'1.설계입력'!$C$33*(1-'1.설계입력'!$C$39*COS(B1740)-SQRT(MAX(0,1-'1.설계입력'!$C$39^2))*SIN(B1740))/SQRT(1+'1.설계입력'!$C$39^2-2*'1.설계입력'!$C$39*COS(B1740)))</f>
        <v/>
      </c>
    </row>
    <row r="1741" spans="1:11" x14ac:dyDescent="0.3">
      <c r="A1741" s="40">
        <f>A1740+'1.설계입력'!$C$12</f>
        <v>346.99999999998886</v>
      </c>
      <c r="B1741" s="40">
        <f t="shared" si="81"/>
        <v>6.0562925044201288</v>
      </c>
      <c r="C1741" s="40">
        <f>ATAN2('1.설계입력'!$C$6/('1.설계입력'!$C$8*'1.설계입력'!$C$15)-COS((1-'1.설계입력'!$C$15)*B1741),SIN((1-'1.설계입력'!$C$15)*B1741))</f>
        <v>0.24211927214013704</v>
      </c>
      <c r="D1741" s="40">
        <f>'1.설계입력'!$C$6*COS(B1741)-'1.설계입력'!$C$7*COS(B1741+C1741)-'1.설계입력'!$C$8*COS('1.설계입력'!$C$15*B1741)</f>
        <v>77.308347925349523</v>
      </c>
      <c r="E1741" s="40">
        <f>-'1.설계입력'!$C$6*SIN(B1741)+'1.설계입력'!$C$7*SIN(B1741+C1741)+'1.설계입력'!$C$8*SIN('1.설계입력'!$C$15*B1741)</f>
        <v>17.993859765327372</v>
      </c>
      <c r="F1741" s="40">
        <f>ATAN2(('1.설계입력'!$C$6+'1.설계입력'!$C$33)/('1.설계입력'!$C$8*'1.설계입력'!$C$15)-COS((1-'1.설계입력'!$C$15)*B1741),SIN((1-'1.설계입력'!$C$15)*B1741))</f>
        <v>0.24212472553540382</v>
      </c>
      <c r="G1741" s="40">
        <f>('1.설계입력'!$C$6+'1.설계입력'!$C$33)*COS(B1741)-('1.설계입력'!$C$7+'1.설계입력'!$C$34)*COS(B1741+F1741)-'1.설계입력'!$C$8*COS('1.설계입력'!$C$15*B1741)</f>
        <v>77.297228649967437</v>
      </c>
      <c r="H1741" s="40">
        <f>-('1.설계입력'!$C$6+'1.설계입력'!$C$33)*SIN(B1741)+('1.설계입력'!$C$7+'1.설계입력'!$C$34)*SIN(B1741+F1741)+'1.설계입력'!$C$8*SIN('1.설계입력'!$C$15*B1741)</f>
        <v>17.993307601914093</v>
      </c>
      <c r="I1741" s="40">
        <f t="shared" si="82"/>
        <v>79.374804870318641</v>
      </c>
      <c r="J1741" s="40">
        <f t="shared" si="83"/>
        <v>79.363849928178553</v>
      </c>
      <c r="K1741" s="38" t="str">
        <f>IF(OR(A1741&gt;180,'1.설계입력'!$C$39&gt;=1),"",'1.설계입력'!$C$34*(1-SIN(B1741)/SQRT(1+'1.설계입력'!$C$39^2-2*'1.설계입력'!$C$39*COS(B1741)))-'1.설계입력'!$C$33*(1-'1.설계입력'!$C$39*COS(B1741)-SQRT(MAX(0,1-'1.설계입력'!$C$39^2))*SIN(B1741))/SQRT(1+'1.설계입력'!$C$39^2-2*'1.설계입력'!$C$39*COS(B1741)))</f>
        <v/>
      </c>
    </row>
    <row r="1742" spans="1:11" x14ac:dyDescent="0.3">
      <c r="A1742" s="40">
        <f>A1741+'1.설계입력'!$C$12</f>
        <v>347.19999999998885</v>
      </c>
      <c r="B1742" s="40">
        <f t="shared" si="81"/>
        <v>6.0597831629241172</v>
      </c>
      <c r="C1742" s="40">
        <f>ATAN2('1.설계입력'!$C$6/('1.설계입력'!$C$8*'1.설계입력'!$C$15)-COS((1-'1.설계입력'!$C$15)*B1742),SIN((1-'1.설계입력'!$C$15)*B1742))</f>
        <v>0.29849300736759754</v>
      </c>
      <c r="D1742" s="40">
        <f>'1.설계입력'!$C$6*COS(B1742)-'1.설계입력'!$C$7*COS(B1742+C1742)-'1.설계입력'!$C$8*COS('1.설계입력'!$C$15*B1742)</f>
        <v>77.297940419749025</v>
      </c>
      <c r="E1742" s="40">
        <f>-'1.설계입력'!$C$6*SIN(B1742)+'1.설계입력'!$C$7*SIN(B1742+C1742)+'1.설계입력'!$C$8*SIN('1.설계입력'!$C$15*B1742)</f>
        <v>17.762850719214214</v>
      </c>
      <c r="F1742" s="40">
        <f>ATAN2(('1.설계입력'!$C$6+'1.설계입력'!$C$33)/('1.설계입력'!$C$8*'1.설계입력'!$C$15)-COS((1-'1.설계입력'!$C$15)*B1742),SIN((1-'1.설계입력'!$C$15)*B1742))</f>
        <v>0.29849984583532191</v>
      </c>
      <c r="G1742" s="40">
        <f>('1.설계입력'!$C$6+'1.설계입력'!$C$33)*COS(B1742)-('1.설계입력'!$C$7+'1.설계입력'!$C$34)*COS(B1742+F1742)-'1.설계입력'!$C$8*COS('1.설계입력'!$C$15*B1742)</f>
        <v>77.286842338849866</v>
      </c>
      <c r="H1742" s="40">
        <f>-('1.설계입력'!$C$6+'1.설계입력'!$C$33)*SIN(B1742)+('1.설계입력'!$C$7+'1.설계입력'!$C$34)*SIN(B1742+F1742)+'1.설계입력'!$C$8*SIN('1.설계입력'!$C$15*B1742)</f>
        <v>17.762798915436505</v>
      </c>
      <c r="I1742" s="40">
        <f t="shared" si="82"/>
        <v>79.312612230389689</v>
      </c>
      <c r="J1742" s="40">
        <f t="shared" si="83"/>
        <v>79.301784494552635</v>
      </c>
      <c r="K1742" s="38" t="str">
        <f>IF(OR(A1742&gt;180,'1.설계입력'!$C$39&gt;=1),"",'1.설계입력'!$C$34*(1-SIN(B1742)/SQRT(1+'1.설계입력'!$C$39^2-2*'1.설계입력'!$C$39*COS(B1742)))-'1.설계입력'!$C$33*(1-'1.설계입력'!$C$39*COS(B1742)-SQRT(MAX(0,1-'1.설계입력'!$C$39^2))*SIN(B1742))/SQRT(1+'1.설계입력'!$C$39^2-2*'1.설계입력'!$C$39*COS(B1742)))</f>
        <v/>
      </c>
    </row>
    <row r="1743" spans="1:11" x14ac:dyDescent="0.3">
      <c r="A1743" s="40">
        <f>A1742+'1.설계입력'!$C$12</f>
        <v>347.39999999998884</v>
      </c>
      <c r="B1743" s="40">
        <f t="shared" si="81"/>
        <v>6.0632738214281057</v>
      </c>
      <c r="C1743" s="40">
        <f>ATAN2('1.설계입력'!$C$6/('1.설계입력'!$C$8*'1.설계입력'!$C$15)-COS((1-'1.설계입력'!$C$15)*B1743),SIN((1-'1.설계입력'!$C$15)*B1743))</f>
        <v>0.35427539292060611</v>
      </c>
      <c r="D1743" s="40">
        <f>'1.설계입력'!$C$6*COS(B1743)-'1.설계입력'!$C$7*COS(B1743+C1743)-'1.설계입력'!$C$8*COS('1.설계입력'!$C$15*B1743)</f>
        <v>77.274752999885521</v>
      </c>
      <c r="E1743" s="40">
        <f>-'1.설계입력'!$C$6*SIN(B1743)+'1.설계입력'!$C$7*SIN(B1743+C1743)+'1.설계입력'!$C$8*SIN('1.설계입력'!$C$15*B1743)</f>
        <v>17.541907830456502</v>
      </c>
      <c r="F1743" s="40">
        <f>ATAN2(('1.설계입력'!$C$6+'1.설계입력'!$C$33)/('1.설계입력'!$C$8*'1.설계입력'!$C$15)-COS((1-'1.설계입력'!$C$15)*B1743),SIN((1-'1.설계입력'!$C$15)*B1743))</f>
        <v>0.35428368245933578</v>
      </c>
      <c r="G1743" s="40">
        <f>('1.설계입력'!$C$6+'1.설계입력'!$C$33)*COS(B1743)-('1.설계입력'!$C$7+'1.설계입력'!$C$34)*COS(B1743+F1743)-'1.설계입력'!$C$8*COS('1.설계입력'!$C$15*B1743)</f>
        <v>77.263705116304891</v>
      </c>
      <c r="H1743" s="40">
        <f>-('1.설계입력'!$C$6+'1.설계입력'!$C$33)*SIN(B1743)+('1.설계입력'!$C$7+'1.설계입력'!$C$34)*SIN(B1743+F1743)+'1.설계입력'!$C$8*SIN('1.설계입력'!$C$15*B1743)</f>
        <v>17.542349588048296</v>
      </c>
      <c r="I1743" s="40">
        <f t="shared" si="82"/>
        <v>79.240810076156762</v>
      </c>
      <c r="J1743" s="40">
        <f t="shared" si="83"/>
        <v>79.230134149631581</v>
      </c>
      <c r="K1743" s="38" t="str">
        <f>IF(OR(A1743&gt;180,'1.설계입력'!$C$39&gt;=1),"",'1.설계입력'!$C$34*(1-SIN(B1743)/SQRT(1+'1.설계입력'!$C$39^2-2*'1.설계입력'!$C$39*COS(B1743)))-'1.설계입력'!$C$33*(1-'1.설계입력'!$C$39*COS(B1743)-SQRT(MAX(0,1-'1.설계입력'!$C$39^2))*SIN(B1743))/SQRT(1+'1.설계입력'!$C$39^2-2*'1.설계입력'!$C$39*COS(B1743)))</f>
        <v/>
      </c>
    </row>
    <row r="1744" spans="1:11" x14ac:dyDescent="0.3">
      <c r="A1744" s="40">
        <f>A1743+'1.설계입력'!$C$12</f>
        <v>347.59999999998882</v>
      </c>
      <c r="B1744" s="40">
        <f t="shared" si="81"/>
        <v>6.0667644799320941</v>
      </c>
      <c r="C1744" s="40">
        <f>ATAN2('1.설계입력'!$C$6/('1.설계입력'!$C$8*'1.설계입력'!$C$15)-COS((1-'1.설계입력'!$C$15)*B1744),SIN((1-'1.설계입력'!$C$15)*B1744))</f>
        <v>0.40930064674788685</v>
      </c>
      <c r="D1744" s="40">
        <f>'1.설계입력'!$C$6*COS(B1744)-'1.설계입력'!$C$7*COS(B1744+C1744)-'1.설계입력'!$C$8*COS('1.설계입력'!$C$15*B1744)</f>
        <v>77.240311386771353</v>
      </c>
      <c r="E1744" s="40">
        <f>-'1.설계입력'!$C$6*SIN(B1744)+'1.설계입력'!$C$7*SIN(B1744+C1744)+'1.설계입력'!$C$8*SIN('1.설계입력'!$C$15*B1744)</f>
        <v>17.333053683540538</v>
      </c>
      <c r="F1744" s="40">
        <f>ATAN2(('1.설계입력'!$C$6+'1.설계입력'!$C$33)/('1.설계입력'!$C$8*'1.설계입력'!$C$15)-COS((1-'1.설계입력'!$C$15)*B1744),SIN((1-'1.설계입력'!$C$15)*B1744))</f>
        <v>0.40931047128948023</v>
      </c>
      <c r="G1744" s="40">
        <f>('1.설계입력'!$C$6+'1.설계입력'!$C$33)*COS(B1744)-('1.설계입력'!$C$7+'1.설계입력'!$C$34)*COS(B1744+F1744)-'1.설계입력'!$C$8*COS('1.설계입력'!$C$15*B1744)</f>
        <v>77.229341455162171</v>
      </c>
      <c r="H1744" s="40">
        <f>-('1.설계입력'!$C$6+'1.설계입력'!$C$33)*SIN(B1744)+('1.설계입력'!$C$7+'1.설계입력'!$C$34)*SIN(B1744+F1744)+'1.설계입력'!$C$8*SIN('1.설계입력'!$C$15*B1744)</f>
        <v>17.333979308957989</v>
      </c>
      <c r="I1744" s="40">
        <f t="shared" si="82"/>
        <v>79.161230745371171</v>
      </c>
      <c r="J1744" s="40">
        <f t="shared" si="83"/>
        <v>79.150729752045962</v>
      </c>
      <c r="K1744" s="38" t="str">
        <f>IF(OR(A1744&gt;180,'1.설계입력'!$C$39&gt;=1),"",'1.설계입력'!$C$34*(1-SIN(B1744)/SQRT(1+'1.설계입력'!$C$39^2-2*'1.설계입력'!$C$39*COS(B1744)))-'1.설계입력'!$C$33*(1-'1.설계입력'!$C$39*COS(B1744)-SQRT(MAX(0,1-'1.설계입력'!$C$39^2))*SIN(B1744))/SQRT(1+'1.설계입력'!$C$39^2-2*'1.설계입력'!$C$39*COS(B1744)))</f>
        <v/>
      </c>
    </row>
    <row r="1745" spans="1:11" x14ac:dyDescent="0.3">
      <c r="A1745" s="40">
        <f>A1744+'1.설계입력'!$C$12</f>
        <v>347.79999999998881</v>
      </c>
      <c r="B1745" s="40">
        <f t="shared" si="81"/>
        <v>6.0702551384360826</v>
      </c>
      <c r="C1745" s="40">
        <f>ATAN2('1.설계입력'!$C$6/('1.설계입력'!$C$8*'1.설계입력'!$C$15)-COS((1-'1.설계입력'!$C$15)*B1745),SIN((1-'1.설계입력'!$C$15)*B1745))</f>
        <v>0.4633678152099942</v>
      </c>
      <c r="D1745" s="40">
        <f>'1.설계입력'!$C$6*COS(B1745)-'1.설계입력'!$C$7*COS(B1745+C1745)-'1.설계입력'!$C$8*COS('1.설계입력'!$C$15*B1745)</f>
        <v>77.196379330632226</v>
      </c>
      <c r="E1745" s="40">
        <f>-'1.설계입력'!$C$6*SIN(B1745)+'1.설계입력'!$C$7*SIN(B1745+C1745)+'1.설계입력'!$C$8*SIN('1.설계입력'!$C$15*B1745)</f>
        <v>17.137929085536708</v>
      </c>
      <c r="F1745" s="40">
        <f>ATAN2(('1.설계입력'!$C$6+'1.설계입력'!$C$33)/('1.설계입력'!$C$8*'1.설계입력'!$C$15)-COS((1-'1.설계입력'!$C$15)*B1745),SIN((1-'1.설계입력'!$C$15)*B1745))</f>
        <v>0.4633792800468039</v>
      </c>
      <c r="G1745" s="40">
        <f>('1.설계입력'!$C$6+'1.설계입력'!$C$33)*COS(B1745)-('1.설계입력'!$C$7+'1.설계입력'!$C$34)*COS(B1745+F1745)-'1.설계입력'!$C$8*COS('1.설계입력'!$C$15*B1745)</f>
        <v>77.185513417025973</v>
      </c>
      <c r="H1745" s="40">
        <f>-('1.설계입력'!$C$6+'1.설계입력'!$C$33)*SIN(B1745)+('1.설계입력'!$C$7+'1.설계입력'!$C$34)*SIN(B1745+F1745)+'1.설계입력'!$C$8*SIN('1.설계입력'!$C$15*B1745)</f>
        <v>17.139325903902893</v>
      </c>
      <c r="I1745" s="40">
        <f t="shared" si="82"/>
        <v>79.075847103270078</v>
      </c>
      <c r="J1745" s="40">
        <f t="shared" si="83"/>
        <v>79.065542266464561</v>
      </c>
      <c r="K1745" s="38" t="str">
        <f>IF(OR(A1745&gt;180,'1.설계입력'!$C$39&gt;=1),"",'1.설계입력'!$C$34*(1-SIN(B1745)/SQRT(1+'1.설계입력'!$C$39^2-2*'1.설계입력'!$C$39*COS(B1745)))-'1.설계입력'!$C$33*(1-'1.설계입력'!$C$39*COS(B1745)-SQRT(MAX(0,1-'1.설계입력'!$C$39^2))*SIN(B1745))/SQRT(1+'1.설계입력'!$C$39^2-2*'1.설계입력'!$C$39*COS(B1745)))</f>
        <v/>
      </c>
    </row>
    <row r="1746" spans="1:11" x14ac:dyDescent="0.3">
      <c r="A1746" s="40">
        <f>A1745+'1.설계입력'!$C$12</f>
        <v>347.9999999999888</v>
      </c>
      <c r="B1746" s="40">
        <f t="shared" si="81"/>
        <v>6.073745796940071</v>
      </c>
      <c r="C1746" s="40">
        <f>ATAN2('1.설계입력'!$C$6/('1.설계입력'!$C$8*'1.설계입력'!$C$15)-COS((1-'1.설계입력'!$C$15)*B1746),SIN((1-'1.설계입력'!$C$15)*B1746))</f>
        <v>0.51622742831401514</v>
      </c>
      <c r="D1746" s="40">
        <f>'1.설계입력'!$C$6*COS(B1746)-'1.설계입력'!$C$7*COS(B1746+C1746)-'1.설계입력'!$C$8*COS('1.설계입력'!$C$15*B1746)</f>
        <v>77.144869145376333</v>
      </c>
      <c r="E1746" s="40">
        <f>-'1.설계입력'!$C$6*SIN(B1746)+'1.설계입력'!$C$7*SIN(B1746+C1746)+'1.설계입력'!$C$8*SIN('1.설계입력'!$C$15*B1746)</f>
        <v>16.95771291956661</v>
      </c>
      <c r="F1746" s="40">
        <f>ATAN2(('1.설계입력'!$C$6+'1.설계입력'!$C$33)/('1.설계입력'!$C$8*'1.설계입력'!$C$15)-COS((1-'1.설계입력'!$C$15)*B1746),SIN((1-'1.설계입력'!$C$15)*B1746))</f>
        <v>0.51624066469621166</v>
      </c>
      <c r="G1746" s="40">
        <f>('1.설계입력'!$C$6+'1.설계입력'!$C$33)*COS(B1746)-('1.설계입력'!$C$7+'1.설계입력'!$C$34)*COS(B1746+F1746)-'1.설계입력'!$C$8*COS('1.설계입력'!$C$15*B1746)</f>
        <v>77.134131110893733</v>
      </c>
      <c r="H1746" s="40">
        <f>-('1.설계입력'!$C$6+'1.설계입력'!$C$33)*SIN(B1746)+('1.설계입력'!$C$7+'1.설계입력'!$C$34)*SIN(B1746+F1746)+'1.설계입력'!$C$8*SIN('1.설계입력'!$C$15*B1746)</f>
        <v>16.959565153417657</v>
      </c>
      <c r="I1746" s="40">
        <f t="shared" si="82"/>
        <v>78.986675223860857</v>
      </c>
      <c r="J1746" s="40">
        <f t="shared" si="83"/>
        <v>78.976585342907569</v>
      </c>
      <c r="K1746" s="38" t="str">
        <f>IF(OR(A1746&gt;180,'1.설계입력'!$C$39&gt;=1),"",'1.설계입력'!$C$34*(1-SIN(B1746)/SQRT(1+'1.설계입력'!$C$39^2-2*'1.설계입력'!$C$39*COS(B1746)))-'1.설계입력'!$C$33*(1-'1.설계입력'!$C$39*COS(B1746)-SQRT(MAX(0,1-'1.설계입력'!$C$39^2))*SIN(B1746))/SQRT(1+'1.설계입력'!$C$39^2-2*'1.설계입력'!$C$39*COS(B1746)))</f>
        <v/>
      </c>
    </row>
    <row r="1747" spans="1:11" x14ac:dyDescent="0.3">
      <c r="A1747" s="40">
        <f>A1746+'1.설계입력'!$C$12</f>
        <v>348.19999999998879</v>
      </c>
      <c r="B1747" s="40">
        <f t="shared" si="81"/>
        <v>6.0772364554440594</v>
      </c>
      <c r="C1747" s="40">
        <f>ATAN2('1.설계입력'!$C$6/('1.설계입력'!$C$8*'1.설계입력'!$C$15)-COS((1-'1.설계입력'!$C$15)*B1747),SIN((1-'1.설계입력'!$C$15)*B1747))</f>
        <v>0.56756253571167481</v>
      </c>
      <c r="D1747" s="40">
        <f>'1.설계입력'!$C$6*COS(B1747)-'1.설계입력'!$C$7*COS(B1747+C1747)-'1.설계입력'!$C$8*COS('1.설계입력'!$C$15*B1747)</f>
        <v>77.087727184137506</v>
      </c>
      <c r="E1747" s="40">
        <f>-'1.설계입력'!$C$6*SIN(B1747)+'1.설계입력'!$C$7*SIN(B1747+C1747)+'1.설계입력'!$C$8*SIN('1.설계입력'!$C$15*B1747)</f>
        <v>16.793036531879292</v>
      </c>
      <c r="F1747" s="40">
        <f>ATAN2(('1.설계입력'!$C$6+'1.설계입력'!$C$33)/('1.설계입력'!$C$8*'1.설계입력'!$C$15)-COS((1-'1.설계입력'!$C$15)*B1747),SIN((1-'1.설계입력'!$C$15)*B1747))</f>
        <v>0.56757770701480981</v>
      </c>
      <c r="G1747" s="40">
        <f>('1.설계입력'!$C$6+'1.설계입력'!$C$33)*COS(B1747)-('1.설계입력'!$C$7+'1.설계입력'!$C$34)*COS(B1747+F1747)-'1.설계입력'!$C$8*COS('1.설계입력'!$C$15*B1747)</f>
        <v>77.077138058714098</v>
      </c>
      <c r="H1747" s="40">
        <f>-('1.설계입력'!$C$6+'1.설계입력'!$C$33)*SIN(B1747)+('1.설계입력'!$C$7+'1.설계입력'!$C$34)*SIN(B1747+F1747)+'1.설계입력'!$C$8*SIN('1.설계입력'!$C$15*B1747)</f>
        <v>16.795325119949045</v>
      </c>
      <c r="I1747" s="40">
        <f t="shared" si="82"/>
        <v>78.89565107391563</v>
      </c>
      <c r="J1747" s="40">
        <f t="shared" si="83"/>
        <v>78.885791858907425</v>
      </c>
      <c r="K1747" s="38" t="str">
        <f>IF(OR(A1747&gt;180,'1.설계입력'!$C$39&gt;=1),"",'1.설계입력'!$C$34*(1-SIN(B1747)/SQRT(1+'1.설계입력'!$C$39^2-2*'1.설계입력'!$C$39*COS(B1747)))-'1.설계입력'!$C$33*(1-'1.설계입력'!$C$39*COS(B1747)-SQRT(MAX(0,1-'1.설계입력'!$C$39^2))*SIN(B1747))/SQRT(1+'1.설계입력'!$C$39^2-2*'1.설계입력'!$C$39*COS(B1747)))</f>
        <v/>
      </c>
    </row>
    <row r="1748" spans="1:11" x14ac:dyDescent="0.3">
      <c r="A1748" s="40">
        <f>A1747+'1.설계입력'!$C$12</f>
        <v>348.39999999998878</v>
      </c>
      <c r="B1748" s="40">
        <f t="shared" si="81"/>
        <v>6.0807271139480479</v>
      </c>
      <c r="C1748" s="40">
        <f>ATAN2('1.설계입력'!$C$6/('1.설계입력'!$C$8*'1.설계입력'!$C$15)-COS((1-'1.설계입력'!$C$15)*B1748),SIN((1-'1.설계입력'!$C$15)*B1748))</f>
        <v>0.61696101303330908</v>
      </c>
      <c r="D1748" s="40">
        <f>'1.설계입력'!$C$6*COS(B1748)-'1.설계입력'!$C$7*COS(B1748+C1748)-'1.설계입력'!$C$8*COS('1.설계입력'!$C$15*B1748)</f>
        <v>77.026786648822181</v>
      </c>
      <c r="E1748" s="40">
        <f>-'1.설계입력'!$C$6*SIN(B1748)+'1.설계입력'!$C$7*SIN(B1748+C1748)+'1.설계입력'!$C$8*SIN('1.설계입력'!$C$15*B1748)</f>
        <v>16.64388555600917</v>
      </c>
      <c r="F1748" s="40">
        <f>ATAN2(('1.설계입력'!$C$6+'1.설계입력'!$C$33)/('1.설계입력'!$C$8*'1.설계입력'!$C$15)-COS((1-'1.설계입력'!$C$15)*B1748),SIN((1-'1.설계입력'!$C$15)*B1748))</f>
        <v>0.61697832305608857</v>
      </c>
      <c r="G1748" s="40">
        <f>('1.설계입력'!$C$6+'1.설계입력'!$C$33)*COS(B1748)-('1.설계입력'!$C$7+'1.설계입력'!$C$34)*COS(B1748+F1748)-'1.설계입력'!$C$8*COS('1.설계입력'!$C$15*B1748)</f>
        <v>77.016363842977356</v>
      </c>
      <c r="H1748" s="40">
        <f>-('1.설계입력'!$C$6+'1.설계입력'!$C$33)*SIN(B1748)+('1.설계입력'!$C$7+'1.설계입력'!$C$34)*SIN(B1748+F1748)+'1.설계입력'!$C$8*SIN('1.설계입력'!$C$15*B1748)</f>
        <v>16.646587871871883</v>
      </c>
      <c r="I1748" s="40">
        <f t="shared" si="82"/>
        <v>78.804471877201877</v>
      </c>
      <c r="J1748" s="40">
        <f t="shared" si="83"/>
        <v>78.7948550818505</v>
      </c>
      <c r="K1748" s="38" t="str">
        <f>IF(OR(A1748&gt;180,'1.설계입력'!$C$39&gt;=1),"",'1.설계입력'!$C$34*(1-SIN(B1748)/SQRT(1+'1.설계입력'!$C$39^2-2*'1.설계입력'!$C$39*COS(B1748)))-'1.설계입력'!$C$33*(1-'1.설계입력'!$C$39*COS(B1748)-SQRT(MAX(0,1-'1.설계입력'!$C$39^2))*SIN(B1748))/SQRT(1+'1.설계입력'!$C$39^2-2*'1.설계입력'!$C$39*COS(B1748)))</f>
        <v/>
      </c>
    </row>
    <row r="1749" spans="1:11" x14ac:dyDescent="0.3">
      <c r="A1749" s="40">
        <f>A1748+'1.설계입력'!$C$12</f>
        <v>348.59999999998877</v>
      </c>
      <c r="B1749" s="40">
        <f t="shared" si="81"/>
        <v>6.0842177724520363</v>
      </c>
      <c r="C1749" s="40">
        <f>ATAN2('1.설계입력'!$C$6/('1.설계입력'!$C$8*'1.설계입력'!$C$15)-COS((1-'1.설계입력'!$C$15)*B1749),SIN((1-'1.설계입력'!$C$15)*B1749))</f>
        <v>0.66387397901783041</v>
      </c>
      <c r="D1749" s="40">
        <f>'1.설계입력'!$C$6*COS(B1749)-'1.설계입력'!$C$7*COS(B1749+C1749)-'1.설계입력'!$C$8*COS('1.설계입력'!$C$15*B1749)</f>
        <v>76.96357495705746</v>
      </c>
      <c r="E1749" s="40">
        <f>-'1.설계입력'!$C$6*SIN(B1749)+'1.설계입력'!$C$7*SIN(B1749+C1749)+'1.설계입력'!$C$8*SIN('1.설계입력'!$C$15*B1749)</f>
        <v>16.50947577754247</v>
      </c>
      <c r="F1749" s="40">
        <f>ATAN2(('1.설계입력'!$C$6+'1.설계입력'!$C$33)/('1.설계입력'!$C$8*'1.설계입력'!$C$15)-COS((1-'1.설계입력'!$C$15)*B1749),SIN((1-'1.설계입력'!$C$15)*B1749))</f>
        <v>0.66389368317804653</v>
      </c>
      <c r="G1749" s="40">
        <f>('1.설계입력'!$C$6+'1.설계입력'!$C$33)*COS(B1749)-('1.설계입력'!$C$7+'1.설계입력'!$C$34)*COS(B1749+F1749)-'1.설계입력'!$C$8*COS('1.설계입력'!$C$15*B1749)</f>
        <v>76.953331230791065</v>
      </c>
      <c r="H1749" s="40">
        <f>-('1.설계입력'!$C$6+'1.설계입력'!$C$33)*SIN(B1749)+('1.설계입력'!$C$7+'1.설계입력'!$C$34)*SIN(B1749+F1749)+'1.설계입력'!$C$8*SIN('1.설계입력'!$C$15*B1749)</f>
        <v>16.512565180758664</v>
      </c>
      <c r="I1749" s="40">
        <f t="shared" si="82"/>
        <v>78.714386617821418</v>
      </c>
      <c r="J1749" s="40">
        <f t="shared" si="83"/>
        <v>78.705018876591652</v>
      </c>
      <c r="K1749" s="38" t="str">
        <f>IF(OR(A1749&gt;180,'1.설계입력'!$C$39&gt;=1),"",'1.설계입력'!$C$34*(1-SIN(B1749)/SQRT(1+'1.설계입력'!$C$39^2-2*'1.설계입력'!$C$39*COS(B1749)))-'1.설계입력'!$C$33*(1-'1.설계입력'!$C$39*COS(B1749)-SQRT(MAX(0,1-'1.설계입력'!$C$39^2))*SIN(B1749))/SQRT(1+'1.설계입력'!$C$39^2-2*'1.설계입력'!$C$39*COS(B1749)))</f>
        <v/>
      </c>
    </row>
    <row r="1750" spans="1:11" x14ac:dyDescent="0.3">
      <c r="A1750" s="40">
        <f>A1749+'1.설계입력'!$C$12</f>
        <v>348.79999999998876</v>
      </c>
      <c r="B1750" s="40">
        <f t="shared" si="81"/>
        <v>6.0877084309560257</v>
      </c>
      <c r="C1750" s="40">
        <f>ATAN2('1.설계입력'!$C$6/('1.설계입력'!$C$8*'1.설계입력'!$C$15)-COS((1-'1.설계입력'!$C$15)*B1750),SIN((1-'1.설계입력'!$C$15)*B1750))</f>
        <v>0.70755148623477626</v>
      </c>
      <c r="D1750" s="40">
        <f>'1.설계입력'!$C$6*COS(B1750)-'1.설계입력'!$C$7*COS(B1750+C1750)-'1.설계입력'!$C$8*COS('1.설계입력'!$C$15*B1750)</f>
        <v>76.899054082307799</v>
      </c>
      <c r="E1750" s="40">
        <f>-'1.설계입력'!$C$6*SIN(B1750)+'1.설계입력'!$C$7*SIN(B1750+C1750)+'1.설계입력'!$C$8*SIN('1.설계입력'!$C$15*B1750)</f>
        <v>16.388077757597213</v>
      </c>
      <c r="F1750" s="40">
        <f>ATAN2(('1.설계입력'!$C$6+'1.설계입력'!$C$33)/('1.설계입력'!$C$8*'1.설계입력'!$C$15)-COS((1-'1.설계입력'!$C$15)*B1750),SIN((1-'1.설계입력'!$C$15)*B1750))</f>
        <v>0.70757390666411069</v>
      </c>
      <c r="G1750" s="40">
        <f>('1.설계입력'!$C$6+'1.설계입력'!$C$33)*COS(B1750)-('1.설계입력'!$C$7+'1.설계입력'!$C$34)*COS(B1750+F1750)-'1.설계입력'!$C$8*COS('1.설계입력'!$C$15*B1750)</f>
        <v>76.888996142238483</v>
      </c>
      <c r="H1750" s="40">
        <f>-('1.설계입력'!$C$6+'1.설계입력'!$C$33)*SIN(B1750)+('1.설계입력'!$C$7+'1.설계입력'!$C$34)*SIN(B1750+F1750)+'1.설계입력'!$C$8*SIN('1.설계입력'!$C$15*B1750)</f>
        <v>16.391522860232083</v>
      </c>
      <c r="I1750" s="40">
        <f t="shared" si="82"/>
        <v>78.625909287859756</v>
      </c>
      <c r="J1750" s="40">
        <f t="shared" si="83"/>
        <v>78.616790505837088</v>
      </c>
      <c r="K1750" s="38" t="str">
        <f>IF(OR(A1750&gt;180,'1.설계입력'!$C$39&gt;=1),"",'1.설계입력'!$C$34*(1-SIN(B1750)/SQRT(1+'1.설계입력'!$C$39^2-2*'1.설계입력'!$C$39*COS(B1750)))-'1.설계입력'!$C$33*(1-'1.설계입력'!$C$39*COS(B1750)-SQRT(MAX(0,1-'1.설계입력'!$C$39^2))*SIN(B1750))/SQRT(1+'1.설계입력'!$C$39^2-2*'1.설계입력'!$C$39*COS(B1750)))</f>
        <v/>
      </c>
    </row>
    <row r="1751" spans="1:11" x14ac:dyDescent="0.3">
      <c r="A1751" s="40">
        <f>A1750+'1.설계입력'!$C$12</f>
        <v>348.99999999998875</v>
      </c>
      <c r="B1751" s="40">
        <f t="shared" si="81"/>
        <v>6.0911990894600141</v>
      </c>
      <c r="C1751" s="40">
        <f>ATAN2('1.설계입력'!$C$6/('1.설계입력'!$C$8*'1.설계입력'!$C$15)-COS((1-'1.설계입력'!$C$15)*B1751),SIN((1-'1.설계입력'!$C$15)*B1751))</f>
        <v>0.7469398226565398</v>
      </c>
      <c r="D1751" s="40">
        <f>'1.설계입력'!$C$6*COS(B1751)-'1.설계입력'!$C$7*COS(B1751+C1751)-'1.설계입력'!$C$8*COS('1.설계입력'!$C$15*B1751)</f>
        <v>76.833257228525611</v>
      </c>
      <c r="E1751" s="40">
        <f>-'1.설계입력'!$C$6*SIN(B1751)+'1.설계입력'!$C$7*SIN(B1751+C1751)+'1.설계입력'!$C$8*SIN('1.설계입력'!$C$15*B1751)</f>
        <v>16.27674146517888</v>
      </c>
      <c r="F1751" s="40">
        <f>ATAN2(('1.설계입력'!$C$6+'1.설계입력'!$C$33)/('1.설계입력'!$C$8*'1.설계입력'!$C$15)-COS((1-'1.설계입력'!$C$15)*B1751),SIN((1-'1.설계입력'!$C$15)*B1751))</f>
        <v>0.74696536832462901</v>
      </c>
      <c r="G1751" s="40">
        <f>('1.설계입력'!$C$6+'1.설계입력'!$C$33)*COS(B1751)-('1.설계입력'!$C$7+'1.설계입력'!$C$34)*COS(B1751+F1751)-'1.설계입력'!$C$8*COS('1.설계입력'!$C$15*B1751)</f>
        <v>76.823383743256642</v>
      </c>
      <c r="H1751" s="40">
        <f>-('1.설계입력'!$C$6+'1.설계입력'!$C$33)*SIN(B1751)+('1.설계입력'!$C$7+'1.설계입력'!$C$34)*SIN(B1751+F1751)+'1.설계입력'!$C$8*SIN('1.설계입력'!$C$15*B1751)</f>
        <v>16.280504901401205</v>
      </c>
      <c r="I1751" s="40">
        <f t="shared" si="82"/>
        <v>78.538409259858682</v>
      </c>
      <c r="J1751" s="40">
        <f t="shared" si="83"/>
        <v>78.529530302989954</v>
      </c>
      <c r="K1751" s="38" t="str">
        <f>IF(OR(A1751&gt;180,'1.설계입력'!$C$39&gt;=1),"",'1.설계입력'!$C$34*(1-SIN(B1751)/SQRT(1+'1.설계입력'!$C$39^2-2*'1.설계입력'!$C$39*COS(B1751)))-'1.설계입력'!$C$33*(1-'1.설계입력'!$C$39*COS(B1751)-SQRT(MAX(0,1-'1.설계입력'!$C$39^2))*SIN(B1751))/SQRT(1+'1.설계입력'!$C$39^2-2*'1.설계입력'!$C$39*COS(B1751)))</f>
        <v/>
      </c>
    </row>
    <row r="1752" spans="1:11" x14ac:dyDescent="0.3">
      <c r="A1752" s="40">
        <f>A1751+'1.설계입력'!$C$12</f>
        <v>349.19999999998873</v>
      </c>
      <c r="B1752" s="40">
        <f t="shared" si="81"/>
        <v>6.0946897479640025</v>
      </c>
      <c r="C1752" s="40">
        <f>ATAN2('1.설계입력'!$C$6/('1.설계입력'!$C$8*'1.설계입력'!$C$15)-COS((1-'1.설계입력'!$C$15)*B1752),SIN((1-'1.설계입력'!$C$15)*B1752))</f>
        <v>0.78051163836202764</v>
      </c>
      <c r="D1752" s="40">
        <f>'1.설계입력'!$C$6*COS(B1752)-'1.설계입력'!$C$7*COS(B1752+C1752)-'1.설계입력'!$C$8*COS('1.설계입력'!$C$15*B1752)</f>
        <v>76.764759775022256</v>
      </c>
      <c r="E1752" s="40">
        <f>-'1.설계입력'!$C$6*SIN(B1752)+'1.설계입력'!$C$7*SIN(B1752+C1752)+'1.설계입력'!$C$8*SIN('1.설계입력'!$C$15*B1752)</f>
        <v>16.170823554670019</v>
      </c>
      <c r="F1752" s="40">
        <f>ATAN2(('1.설계입력'!$C$6+'1.설계입력'!$C$33)/('1.설계입력'!$C$8*'1.설계입력'!$C$15)-COS((1-'1.설계입력'!$C$15)*B1752),SIN((1-'1.설계입력'!$C$15)*B1752))</f>
        <v>0.78054083090565662</v>
      </c>
      <c r="G1752" s="40">
        <f>('1.설계입력'!$C$6+'1.설계입력'!$C$33)*COS(B1752)-('1.설계입력'!$C$7+'1.설계입력'!$C$34)*COS(B1752+F1752)-'1.설계입력'!$C$8*COS('1.설계입력'!$C$15*B1752)</f>
        <v>76.75505845945618</v>
      </c>
      <c r="H1752" s="40">
        <f>-('1.설계입력'!$C$6+'1.설계입력'!$C$33)*SIN(B1752)+('1.설계입력'!$C$7+'1.설계입력'!$C$34)*SIN(B1752+F1752)+'1.설계입력'!$C$8*SIN('1.설계입력'!$C$15*B1752)</f>
        <v>16.174859850353144</v>
      </c>
      <c r="I1752" s="40">
        <f t="shared" si="82"/>
        <v>78.449498900586647</v>
      </c>
      <c r="J1752" s="40">
        <f t="shared" si="83"/>
        <v>78.440838153943133</v>
      </c>
      <c r="K1752" s="38" t="str">
        <f>IF(OR(A1752&gt;180,'1.설계입력'!$C$39&gt;=1),"",'1.설계입력'!$C$34*(1-SIN(B1752)/SQRT(1+'1.설계입력'!$C$39^2-2*'1.설계입력'!$C$39*COS(B1752)))-'1.설계입력'!$C$33*(1-'1.설계입력'!$C$39*COS(B1752)-SQRT(MAX(0,1-'1.설계입력'!$C$39^2))*SIN(B1752))/SQRT(1+'1.설계입력'!$C$39^2-2*'1.설계입력'!$C$39*COS(B1752)))</f>
        <v/>
      </c>
    </row>
    <row r="1753" spans="1:11" x14ac:dyDescent="0.3">
      <c r="A1753" s="40">
        <f>A1752+'1.설계입력'!$C$12</f>
        <v>349.39999999998872</v>
      </c>
      <c r="B1753" s="40">
        <f t="shared" si="81"/>
        <v>6.098180406467991</v>
      </c>
      <c r="C1753" s="40">
        <f>ATAN2('1.설계입력'!$C$6/('1.설계입력'!$C$8*'1.설계입력'!$C$15)-COS((1-'1.설계입력'!$C$15)*B1753),SIN((1-'1.설계입력'!$C$15)*B1753))</f>
        <v>0.80597399290800487</v>
      </c>
      <c r="D1753" s="40">
        <f>'1.설계입력'!$C$6*COS(B1753)-'1.설계입력'!$C$7*COS(B1753+C1753)-'1.설계입력'!$C$8*COS('1.설계입력'!$C$15*B1753)</f>
        <v>76.689881918335473</v>
      </c>
      <c r="E1753" s="40">
        <f>-'1.설계입력'!$C$6*SIN(B1753)+'1.설계입력'!$C$7*SIN(B1753+C1753)+'1.설계입력'!$C$8*SIN('1.설계입력'!$C$15*B1753)</f>
        <v>16.063114124158812</v>
      </c>
      <c r="F1753" s="40">
        <f>ATAN2(('1.설계입력'!$C$6+'1.설계입력'!$C$33)/('1.설계입력'!$C$8*'1.설계입력'!$C$15)-COS((1-'1.설계입력'!$C$15)*B1753),SIN((1-'1.설계입력'!$C$15)*B1753))</f>
        <v>0.80600749614307832</v>
      </c>
      <c r="G1753" s="40">
        <f>('1.설계입력'!$C$6+'1.설계입력'!$C$33)*COS(B1753)-('1.설계입력'!$C$7+'1.설계입력'!$C$34)*COS(B1753+F1753)-'1.설계입력'!$C$8*COS('1.설계입력'!$C$15*B1753)</f>
        <v>76.680325098885248</v>
      </c>
      <c r="H1753" s="40">
        <f>-('1.설계입력'!$C$6+'1.설계입력'!$C$33)*SIN(B1753)+('1.설계입력'!$C$7+'1.설계입력'!$C$34)*SIN(B1753+F1753)+'1.설계입력'!$C$8*SIN('1.설계입력'!$C$15*B1753)</f>
        <v>16.067365860359477</v>
      </c>
      <c r="I1753" s="40">
        <f t="shared" si="82"/>
        <v>78.354078541030574</v>
      </c>
      <c r="J1753" s="40">
        <f t="shared" si="83"/>
        <v>78.345596576714996</v>
      </c>
      <c r="K1753" s="38" t="str">
        <f>IF(OR(A1753&gt;180,'1.설계입력'!$C$39&gt;=1),"",'1.설계입력'!$C$34*(1-SIN(B1753)/SQRT(1+'1.설계입력'!$C$39^2-2*'1.설계입력'!$C$39*COS(B1753)))-'1.설계입력'!$C$33*(1-'1.설계입력'!$C$39*COS(B1753)-SQRT(MAX(0,1-'1.설계입력'!$C$39^2))*SIN(B1753))/SQRT(1+'1.설계입력'!$C$39^2-2*'1.설계입력'!$C$39*COS(B1753)))</f>
        <v/>
      </c>
    </row>
    <row r="1754" spans="1:11" x14ac:dyDescent="0.3">
      <c r="A1754" s="40">
        <f>A1753+'1.설계입력'!$C$12</f>
        <v>349.59999999998871</v>
      </c>
      <c r="B1754" s="40">
        <f t="shared" si="81"/>
        <v>6.1016710649719794</v>
      </c>
      <c r="C1754" s="40">
        <f>ATAN2('1.설계입력'!$C$6/('1.설계입력'!$C$8*'1.설계입력'!$C$15)-COS((1-'1.설계입력'!$C$15)*B1754),SIN((1-'1.설계입력'!$C$15)*B1754))</f>
        <v>0.81974597988693665</v>
      </c>
      <c r="D1754" s="40">
        <f>'1.설계입력'!$C$6*COS(B1754)-'1.설계입력'!$C$7*COS(B1754+C1754)-'1.설계입력'!$C$8*COS('1.설계입력'!$C$15*B1754)</f>
        <v>76.601469245281422</v>
      </c>
      <c r="E1754" s="40">
        <f>-'1.설계입력'!$C$6*SIN(B1754)+'1.설계입력'!$C$7*SIN(B1754+C1754)+'1.설계입력'!$C$8*SIN('1.설계입력'!$C$15*B1754)</f>
        <v>15.94211832274107</v>
      </c>
      <c r="F1754" s="40">
        <f>ATAN2(('1.설계입력'!$C$6+'1.설계입력'!$C$33)/('1.설계입력'!$C$8*'1.설계입력'!$C$15)-COS((1-'1.설계입력'!$C$15)*B1754),SIN((1-'1.설계입력'!$C$15)*B1754))</f>
        <v>0.81978462037201105</v>
      </c>
      <c r="G1754" s="40">
        <f>('1.설계입력'!$C$6+'1.설계입력'!$C$33)*COS(B1754)-('1.설계입력'!$C$7+'1.설계입력'!$C$34)*COS(B1754+F1754)-'1.설계입력'!$C$8*COS('1.설계입력'!$C$15*B1754)</f>
        <v>76.592006927857597</v>
      </c>
      <c r="H1754" s="40">
        <f>-('1.설계입력'!$C$6+'1.설계입력'!$C$33)*SIN(B1754)+('1.설계입력'!$C$7+'1.설계입력'!$C$34)*SIN(B1754+F1754)+'1.설계입력'!$C$8*SIN('1.설계입력'!$C$15*B1754)</f>
        <v>15.946508886645656</v>
      </c>
      <c r="I1754" s="40">
        <f t="shared" si="82"/>
        <v>78.242803037417261</v>
      </c>
      <c r="J1754" s="40">
        <f t="shared" si="83"/>
        <v>78.234434048626269</v>
      </c>
      <c r="K1754" s="38" t="str">
        <f>IF(OR(A1754&gt;180,'1.설계입력'!$C$39&gt;=1),"",'1.설계입력'!$C$34*(1-SIN(B1754)/SQRT(1+'1.설계입력'!$C$39^2-2*'1.설계입력'!$C$39*COS(B1754)))-'1.설계입력'!$C$33*(1-'1.설계입력'!$C$39*COS(B1754)-SQRT(MAX(0,1-'1.설계입력'!$C$39^2))*SIN(B1754))/SQRT(1+'1.설계입력'!$C$39^2-2*'1.설계입력'!$C$39*COS(B1754)))</f>
        <v/>
      </c>
    </row>
    <row r="1755" spans="1:11" x14ac:dyDescent="0.3">
      <c r="A1755" s="40">
        <f>A1754+'1.설계입력'!$C$12</f>
        <v>349.7999999999887</v>
      </c>
      <c r="B1755" s="40">
        <f t="shared" si="81"/>
        <v>6.1051617234759679</v>
      </c>
      <c r="C1755" s="40">
        <f>ATAN2('1.설계입력'!$C$6/('1.설계입력'!$C$8*'1.설계입력'!$C$15)-COS((1-'1.설계입력'!$C$15)*B1755),SIN((1-'1.설계입력'!$C$15)*B1755))</f>
        <v>0.81598793491590238</v>
      </c>
      <c r="D1755" s="40">
        <f>'1.설계입력'!$C$6*COS(B1755)-'1.설계입력'!$C$7*COS(B1755+C1755)-'1.설계입력'!$C$8*COS('1.설계입력'!$C$15*B1755)</f>
        <v>76.487104842614144</v>
      </c>
      <c r="E1755" s="40">
        <f>-'1.설계입력'!$C$6*SIN(B1755)+'1.설계입력'!$C$7*SIN(B1755+C1755)+'1.설계입력'!$C$8*SIN('1.설계입력'!$C$15*B1755)</f>
        <v>15.788477147535252</v>
      </c>
      <c r="F1755" s="40">
        <f>ATAN2(('1.설계입력'!$C$6+'1.설계입력'!$C$33)/('1.설계입력'!$C$8*'1.설계입력'!$C$15)-COS((1-'1.설계입력'!$C$15)*B1755),SIN((1-'1.설계입력'!$C$15)*B1755))</f>
        <v>0.81603266269678898</v>
      </c>
      <c r="G1755" s="40">
        <f>('1.설계입력'!$C$6+'1.설계입력'!$C$33)*COS(B1755)-('1.설계입력'!$C$7+'1.설계입력'!$C$34)*COS(B1755+F1755)-'1.설계입력'!$C$8*COS('1.설계입력'!$C$15*B1755)</f>
        <v>76.47765379860158</v>
      </c>
      <c r="H1755" s="40">
        <f>-('1.설계입력'!$C$6+'1.설계입력'!$C$33)*SIN(B1755)+('1.설계입력'!$C$7+'1.설계입력'!$C$34)*SIN(B1755+F1755)+'1.설계입력'!$C$8*SIN('1.설계입력'!$C$15*B1755)</f>
        <v>15.792896242043115</v>
      </c>
      <c r="I1755" s="40">
        <f t="shared" si="82"/>
        <v>78.099636477023964</v>
      </c>
      <c r="J1755" s="40">
        <f t="shared" si="83"/>
        <v>78.091274174844258</v>
      </c>
      <c r="K1755" s="38" t="str">
        <f>IF(OR(A1755&gt;180,'1.설계입력'!$C$39&gt;=1),"",'1.설계입력'!$C$34*(1-SIN(B1755)/SQRT(1+'1.설계입력'!$C$39^2-2*'1.설계입력'!$C$39*COS(B1755)))-'1.설계입력'!$C$33*(1-'1.설계입력'!$C$39*COS(B1755)-SQRT(MAX(0,1-'1.설계입력'!$C$39^2))*SIN(B1755))/SQRT(1+'1.설계입력'!$C$39^2-2*'1.설계입력'!$C$39*COS(B1755)))</f>
        <v/>
      </c>
    </row>
    <row r="1756" spans="1:11" x14ac:dyDescent="0.3">
      <c r="A1756" s="40">
        <f>A1755+'1.설계입력'!$C$12</f>
        <v>349.99999999998869</v>
      </c>
      <c r="B1756" s="40">
        <f t="shared" si="81"/>
        <v>6.1086523819799563</v>
      </c>
      <c r="C1756" s="40">
        <f>ATAN2('1.설계입력'!$C$6/('1.설계입력'!$C$8*'1.설계입력'!$C$15)-COS((1-'1.설계입력'!$C$15)*B1756),SIN((1-'1.설계입력'!$C$15)*B1756))</f>
        <v>0.78475731156032336</v>
      </c>
      <c r="D1756" s="40">
        <f>'1.설계입력'!$C$6*COS(B1756)-'1.설계입력'!$C$7*COS(B1756+C1756)-'1.설계입력'!$C$8*COS('1.설계입력'!$C$15*B1756)</f>
        <v>76.327091268056577</v>
      </c>
      <c r="E1756" s="40">
        <f>-'1.설계입력'!$C$6*SIN(B1756)+'1.설계입력'!$C$7*SIN(B1756+C1756)+'1.설계입력'!$C$8*SIN('1.설계입력'!$C$15*B1756)</f>
        <v>15.567174608217325</v>
      </c>
      <c r="F1756" s="40">
        <f>ATAN2(('1.설계입력'!$C$6+'1.설계입력'!$C$33)/('1.설계입력'!$C$8*'1.설계입력'!$C$15)-COS((1-'1.설계입력'!$C$15)*B1756),SIN((1-'1.설계입력'!$C$15)*B1756))</f>
        <v>0.78480891467176384</v>
      </c>
      <c r="G1756" s="40">
        <f>('1.설계입력'!$C$6+'1.설계입력'!$C$33)*COS(B1756)-('1.설계입력'!$C$7+'1.설계입력'!$C$34)*COS(B1756+F1756)-'1.설계입력'!$C$8*COS('1.설계입력'!$C$15*B1756)</f>
        <v>76.317518785282175</v>
      </c>
      <c r="H1756" s="40">
        <f>-('1.설계입력'!$C$6+'1.설계입력'!$C$33)*SIN(B1756)+('1.설계입력'!$C$7+'1.설계입력'!$C$34)*SIN(B1756+F1756)+'1.설계입력'!$C$8*SIN('1.설계입력'!$C$15*B1756)</f>
        <v>15.571447513414583</v>
      </c>
      <c r="I1756" s="40">
        <f t="shared" si="82"/>
        <v>77.89840683046711</v>
      </c>
      <c r="J1756" s="40">
        <f t="shared" si="83"/>
        <v>77.889881571388486</v>
      </c>
      <c r="K1756" s="38" t="str">
        <f>IF(OR(A1756&gt;180,'1.설계입력'!$C$39&gt;=1),"",'1.설계입력'!$C$34*(1-SIN(B1756)/SQRT(1+'1.설계입력'!$C$39^2-2*'1.설계입력'!$C$39*COS(B1756)))-'1.설계입력'!$C$33*(1-'1.설계입력'!$C$39*COS(B1756)-SQRT(MAX(0,1-'1.설계입력'!$C$39^2))*SIN(B1756))/SQRT(1+'1.설계입력'!$C$39^2-2*'1.설계입력'!$C$39*COS(B1756)))</f>
        <v/>
      </c>
    </row>
    <row r="1757" spans="1:11" x14ac:dyDescent="0.3">
      <c r="A1757" s="40">
        <f>A1756+'1.설계입력'!$C$12</f>
        <v>350.19999999998868</v>
      </c>
      <c r="B1757" s="40">
        <f t="shared" si="81"/>
        <v>6.1121430404839447</v>
      </c>
      <c r="C1757" s="40">
        <f>ATAN2('1.설계입력'!$C$6/('1.설계입력'!$C$8*'1.설계입력'!$C$15)-COS((1-'1.설계입력'!$C$15)*B1757),SIN((1-'1.설계입력'!$C$15)*B1757))</f>
        <v>0.70864663910250447</v>
      </c>
      <c r="D1757" s="40">
        <f>'1.설계입력'!$C$6*COS(B1757)-'1.설계입력'!$C$7*COS(B1757+C1757)-'1.설계입력'!$C$8*COS('1.설계입력'!$C$15*B1757)</f>
        <v>76.095623942028993</v>
      </c>
      <c r="E1757" s="40">
        <f>-'1.설계입력'!$C$6*SIN(B1757)+'1.설계입력'!$C$7*SIN(B1757+C1757)+'1.설계입력'!$C$8*SIN('1.설계입력'!$C$15*B1757)</f>
        <v>15.210619106126376</v>
      </c>
      <c r="F1757" s="40">
        <f>ATAN2(('1.설계입력'!$C$6+'1.설계입력'!$C$33)/('1.설계입력'!$C$8*'1.설계입력'!$C$15)-COS((1-'1.설계입력'!$C$15)*B1757),SIN((1-'1.설계입력'!$C$15)*B1757))</f>
        <v>0.70870455998424153</v>
      </c>
      <c r="G1757" s="40">
        <f>('1.설계입력'!$C$6+'1.설계입력'!$C$33)*COS(B1757)-('1.설계입력'!$C$7+'1.설계입력'!$C$34)*COS(B1757+F1757)-'1.설계입력'!$C$8*COS('1.설계입력'!$C$15*B1757)</f>
        <v>76.085730667043535</v>
      </c>
      <c r="H1757" s="40">
        <f>-('1.설계입력'!$C$6+'1.설계입력'!$C$33)*SIN(B1757)+('1.설계입력'!$C$7+'1.설계입력'!$C$34)*SIN(B1757+F1757)+'1.설계입력'!$C$8*SIN('1.설계입력'!$C$15*B1757)</f>
        <v>15.214438704094547</v>
      </c>
      <c r="I1757" s="40">
        <f t="shared" si="82"/>
        <v>77.600946622566099</v>
      </c>
      <c r="J1757" s="40">
        <f t="shared" si="83"/>
        <v>77.591994150289366</v>
      </c>
      <c r="K1757" s="38" t="str">
        <f>IF(OR(A1757&gt;180,'1.설계입력'!$C$39&gt;=1),"",'1.설계입력'!$C$34*(1-SIN(B1757)/SQRT(1+'1.설계입력'!$C$39^2-2*'1.설계입력'!$C$39*COS(B1757)))-'1.설계입력'!$C$33*(1-'1.설계입력'!$C$39*COS(B1757)-SQRT(MAX(0,1-'1.설계입력'!$C$39^2))*SIN(B1757))/SQRT(1+'1.설계입력'!$C$39^2-2*'1.설계입력'!$C$39*COS(B1757)))</f>
        <v/>
      </c>
    </row>
    <row r="1758" spans="1:11" x14ac:dyDescent="0.3">
      <c r="A1758" s="40">
        <f>A1757+'1.설계입력'!$C$12</f>
        <v>350.39999999998867</v>
      </c>
      <c r="B1758" s="40">
        <f t="shared" si="81"/>
        <v>6.1156336989879332</v>
      </c>
      <c r="C1758" s="40">
        <f>ATAN2('1.설계입력'!$C$6/('1.설계입력'!$C$8*'1.설계입력'!$C$15)-COS((1-'1.설계입력'!$C$15)*B1758),SIN((1-'1.설계입력'!$C$15)*B1758))</f>
        <v>0.55839642318614424</v>
      </c>
      <c r="D1758" s="40">
        <f>'1.설계입력'!$C$6*COS(B1758)-'1.설계입력'!$C$7*COS(B1758+C1758)-'1.설계입력'!$C$8*COS('1.설계입력'!$C$15*B1758)</f>
        <v>75.783006689470852</v>
      </c>
      <c r="E1758" s="40">
        <f>-'1.설계입력'!$C$6*SIN(B1758)+'1.설계입력'!$C$7*SIN(B1758+C1758)+'1.설계입력'!$C$8*SIN('1.설계입력'!$C$15*B1758)</f>
        <v>14.588810891711621</v>
      </c>
      <c r="F1758" s="40">
        <f>ATAN2(('1.설계입력'!$C$6+'1.설계입력'!$C$33)/('1.설계입력'!$C$8*'1.설계입력'!$C$15)-COS((1-'1.설계입력'!$C$15)*B1758),SIN((1-'1.설계입력'!$C$15)*B1758))</f>
        <v>0.55845474900349978</v>
      </c>
      <c r="G1758" s="40">
        <f>('1.설계입력'!$C$6+'1.설계입력'!$C$33)*COS(B1758)-('1.설계입력'!$C$7+'1.설계입력'!$C$34)*COS(B1758+F1758)-'1.설계입력'!$C$8*COS('1.설계입력'!$C$15*B1758)</f>
        <v>75.772550010428901</v>
      </c>
      <c r="H1758" s="40">
        <f>-('1.설계입력'!$C$6+'1.설계입력'!$C$33)*SIN(B1758)+('1.설계입력'!$C$7+'1.설계입력'!$C$34)*SIN(B1758+F1758)+'1.설계입력'!$C$8*SIN('1.설계입력'!$C$15*B1758)</f>
        <v>14.591595906323725</v>
      </c>
      <c r="I1758" s="40">
        <f t="shared" si="82"/>
        <v>77.174461489086582</v>
      </c>
      <c r="J1758" s="40">
        <f t="shared" si="83"/>
        <v>77.164719957869295</v>
      </c>
      <c r="K1758" s="38" t="str">
        <f>IF(OR(A1758&gt;180,'1.설계입력'!$C$39&gt;=1),"",'1.설계입력'!$C$34*(1-SIN(B1758)/SQRT(1+'1.설계입력'!$C$39^2-2*'1.설계입력'!$C$39*COS(B1758)))-'1.설계입력'!$C$33*(1-'1.설계입력'!$C$39*COS(B1758)-SQRT(MAX(0,1-'1.설계입력'!$C$39^2))*SIN(B1758))/SQRT(1+'1.설계입력'!$C$39^2-2*'1.설계입력'!$C$39*COS(B1758)))</f>
        <v/>
      </c>
    </row>
    <row r="1759" spans="1:11" x14ac:dyDescent="0.3">
      <c r="A1759" s="40">
        <f>A1758+'1.설계입력'!$C$12</f>
        <v>350.59999999998865</v>
      </c>
      <c r="B1759" s="40">
        <f t="shared" si="81"/>
        <v>6.1191243574919216</v>
      </c>
      <c r="C1759" s="40">
        <f>ATAN2('1.설계입력'!$C$6/('1.설계입력'!$C$8*'1.설계입력'!$C$15)-COS((1-'1.설계입력'!$C$15)*B1759),SIN((1-'1.설계입력'!$C$15)*B1759))</f>
        <v>0.29868854835467912</v>
      </c>
      <c r="D1759" s="40">
        <f>'1.설계입력'!$C$6*COS(B1759)-'1.설계입력'!$C$7*COS(B1759+C1759)-'1.설계입력'!$C$8*COS('1.설계입력'!$C$15*B1759)</f>
        <v>75.493219171448018</v>
      </c>
      <c r="E1759" s="40">
        <f>-'1.설계입력'!$C$6*SIN(B1759)+'1.설계입력'!$C$7*SIN(B1759+C1759)+'1.설계입력'!$C$8*SIN('1.설계입력'!$C$15*B1759)</f>
        <v>13.516158024918511</v>
      </c>
      <c r="F1759" s="40">
        <f>ATAN2(('1.설계입력'!$C$6+'1.설계입력'!$C$33)/('1.설계입력'!$C$8*'1.설계입력'!$C$15)-COS((1-'1.설계입력'!$C$15)*B1759),SIN((1-'1.설계입력'!$C$15)*B1759))</f>
        <v>0.29872747870133143</v>
      </c>
      <c r="G1759" s="40">
        <f>('1.설계입력'!$C$6+'1.설계입력'!$C$33)*COS(B1759)-('1.설계입력'!$C$7+'1.설계입력'!$C$34)*COS(B1759+F1759)-'1.설계입력'!$C$8*COS('1.설계입력'!$C$15*B1759)</f>
        <v>75.482155037995554</v>
      </c>
      <c r="H1759" s="40">
        <f>-('1.설계입력'!$C$6+'1.설계입력'!$C$33)*SIN(B1759)+('1.설계입력'!$C$7+'1.설계입력'!$C$34)*SIN(B1759+F1759)+'1.설계입력'!$C$8*SIN('1.설계입력'!$C$15*B1759)</f>
        <v>13.516893531272427</v>
      </c>
      <c r="I1759" s="40">
        <f t="shared" si="82"/>
        <v>76.693628605138088</v>
      </c>
      <c r="J1759" s="40">
        <f t="shared" si="83"/>
        <v>76.682867316733478</v>
      </c>
      <c r="K1759" s="38" t="str">
        <f>IF(OR(A1759&gt;180,'1.설계입력'!$C$39&gt;=1),"",'1.설계입력'!$C$34*(1-SIN(B1759)/SQRT(1+'1.설계입력'!$C$39^2-2*'1.설계입력'!$C$39*COS(B1759)))-'1.설계입력'!$C$33*(1-'1.설계입력'!$C$39*COS(B1759)-SQRT(MAX(0,1-'1.설계입력'!$C$39^2))*SIN(B1759))/SQRT(1+'1.설계입력'!$C$39^2-2*'1.설계입력'!$C$39*COS(B1759)))</f>
        <v/>
      </c>
    </row>
    <row r="1760" spans="1:11" x14ac:dyDescent="0.3">
      <c r="A1760" s="40">
        <f>A1759+'1.설계입력'!$C$12</f>
        <v>350.79999999998864</v>
      </c>
      <c r="B1760" s="40">
        <f t="shared" si="81"/>
        <v>6.1226150159959101</v>
      </c>
      <c r="C1760" s="40">
        <f>ATAN2('1.설계입력'!$C$6/('1.설계입력'!$C$8*'1.설계입력'!$C$15)-COS((1-'1.설계입력'!$C$15)*B1760),SIN((1-'1.설계입력'!$C$15)*B1760))</f>
        <v>-5.7019672633870581E-2</v>
      </c>
      <c r="D1760" s="40">
        <f>'1.설계입력'!$C$6*COS(B1760)-'1.설계입력'!$C$7*COS(B1760+C1760)-'1.설계입력'!$C$8*COS('1.설계입력'!$C$15*B1760)</f>
        <v>75.554089408989853</v>
      </c>
      <c r="E1760" s="40">
        <f>-'1.설계입력'!$C$6*SIN(B1760)+'1.설계입력'!$C$7*SIN(B1760+C1760)+'1.설계입력'!$C$8*SIN('1.설계입력'!$C$15*B1760)</f>
        <v>12.03798956559084</v>
      </c>
      <c r="F1760" s="40">
        <f>ATAN2(('1.설계입력'!$C$6+'1.설계입력'!$C$33)/('1.설계입력'!$C$8*'1.설계입력'!$C$15)-COS((1-'1.설계입력'!$C$15)*B1760),SIN((1-'1.설계입력'!$C$15)*B1760))</f>
        <v>-5.7027686152824955E-2</v>
      </c>
      <c r="G1760" s="40">
        <f>('1.설계입력'!$C$6+'1.설계입력'!$C$33)*COS(B1760)-('1.설계입력'!$C$7+'1.설계입력'!$C$34)*COS(B1760+F1760)-'1.설계입력'!$C$8*COS('1.설계입력'!$C$15*B1760)</f>
        <v>75.543127213942014</v>
      </c>
      <c r="H1760" s="40">
        <f>-('1.설계입력'!$C$6+'1.설계입력'!$C$33)*SIN(B1760)+('1.설계입력'!$C$7+'1.설계입력'!$C$34)*SIN(B1760+F1760)+'1.설계입력'!$C$8*SIN('1.설계입력'!$C$15*B1760)</f>
        <v>12.035713968247522</v>
      </c>
      <c r="I1760" s="40">
        <f t="shared" si="82"/>
        <v>76.507082150627767</v>
      </c>
      <c r="J1760" s="40">
        <f t="shared" si="83"/>
        <v>76.49589845205621</v>
      </c>
      <c r="K1760" s="38" t="str">
        <f>IF(OR(A1760&gt;180,'1.설계입력'!$C$39&gt;=1),"",'1.설계입력'!$C$34*(1-SIN(B1760)/SQRT(1+'1.설계입력'!$C$39^2-2*'1.설계입력'!$C$39*COS(B1760)))-'1.설계입력'!$C$33*(1-'1.설계입력'!$C$39*COS(B1760)-SQRT(MAX(0,1-'1.설계입력'!$C$39^2))*SIN(B1760))/SQRT(1+'1.설계입력'!$C$39^2-2*'1.설계입력'!$C$39*COS(B1760)))</f>
        <v/>
      </c>
    </row>
    <row r="1761" spans="1:11" x14ac:dyDescent="0.3">
      <c r="A1761" s="40">
        <f>A1760+'1.설계입력'!$C$12</f>
        <v>350.99999999998863</v>
      </c>
      <c r="B1761" s="40">
        <f t="shared" si="81"/>
        <v>6.1261056744998985</v>
      </c>
      <c r="C1761" s="40">
        <f>ATAN2('1.설계입력'!$C$6/('1.설계입력'!$C$8*'1.설계입력'!$C$15)-COS((1-'1.설계입력'!$C$15)*B1761),SIN((1-'1.설계입력'!$C$15)*B1761))</f>
        <v>-0.39147436993980095</v>
      </c>
      <c r="D1761" s="40">
        <f>'1.설계입력'!$C$6*COS(B1761)-'1.설계입력'!$C$7*COS(B1761+C1761)-'1.설계입력'!$C$8*COS('1.설계입력'!$C$15*B1761)</f>
        <v>76.077326189259622</v>
      </c>
      <c r="E1761" s="40">
        <f>-'1.설계입력'!$C$6*SIN(B1761)+'1.설계입력'!$C$7*SIN(B1761+C1761)+'1.설계입력'!$C$8*SIN('1.설계입력'!$C$15*B1761)</f>
        <v>10.741810394546819</v>
      </c>
      <c r="F1761" s="40">
        <f>ATAN2(('1.설계입력'!$C$6+'1.설계입력'!$C$33)/('1.설계입력'!$C$8*'1.설계입력'!$C$15)-COS((1-'1.설계입력'!$C$15)*B1761),SIN((1-'1.설계입력'!$C$15)*B1761))</f>
        <v>-0.39152245778166161</v>
      </c>
      <c r="G1761" s="40">
        <f>('1.설계입력'!$C$6+'1.설계입력'!$C$33)*COS(B1761)-('1.설계입력'!$C$7+'1.설계입력'!$C$34)*COS(B1761+F1761)-'1.설계입력'!$C$8*COS('1.설계입력'!$C$15*B1761)</f>
        <v>76.067453301425189</v>
      </c>
      <c r="H1761" s="40">
        <f>-('1.설계입력'!$C$6+'1.설계입력'!$C$33)*SIN(B1761)+('1.설계입력'!$C$7+'1.설계입력'!$C$34)*SIN(B1761+F1761)+'1.설계입력'!$C$8*SIN('1.설계입력'!$C$15*B1761)</f>
        <v>10.736937211422543</v>
      </c>
      <c r="I1761" s="40">
        <f t="shared" si="82"/>
        <v>76.83193379487075</v>
      </c>
      <c r="J1761" s="40">
        <f t="shared" si="83"/>
        <v>76.821476635420979</v>
      </c>
      <c r="K1761" s="38" t="str">
        <f>IF(OR(A1761&gt;180,'1.설계입력'!$C$39&gt;=1),"",'1.설계입력'!$C$34*(1-SIN(B1761)/SQRT(1+'1.설계입력'!$C$39^2-2*'1.설계입력'!$C$39*COS(B1761)))-'1.설계입력'!$C$33*(1-'1.설계입력'!$C$39*COS(B1761)-SQRT(MAX(0,1-'1.설계입력'!$C$39^2))*SIN(B1761))/SQRT(1+'1.설계입력'!$C$39^2-2*'1.설계입력'!$C$39*COS(B1761)))</f>
        <v/>
      </c>
    </row>
    <row r="1762" spans="1:11" x14ac:dyDescent="0.3">
      <c r="A1762" s="40">
        <f>A1761+'1.설계입력'!$C$12</f>
        <v>351.19999999998862</v>
      </c>
      <c r="B1762" s="40">
        <f t="shared" si="81"/>
        <v>6.129596333003887</v>
      </c>
      <c r="C1762" s="40">
        <f>ATAN2('1.설계입력'!$C$6/('1.설계입력'!$C$8*'1.설계입력'!$C$15)-COS((1-'1.설계입력'!$C$15)*B1762),SIN((1-'1.설계입력'!$C$15)*B1762))</f>
        <v>-0.61479477133054561</v>
      </c>
      <c r="D1762" s="40">
        <f>'1.설계입력'!$C$6*COS(B1762)-'1.설계입력'!$C$7*COS(B1762+C1762)-'1.설계입력'!$C$8*COS('1.설계입력'!$C$15*B1762)</f>
        <v>76.673185722950251</v>
      </c>
      <c r="E1762" s="40">
        <f>-'1.설계입력'!$C$6*SIN(B1762)+'1.설계입력'!$C$7*SIN(B1762+C1762)+'1.설계입력'!$C$8*SIN('1.설계입력'!$C$15*B1762)</f>
        <v>9.973702212586435</v>
      </c>
      <c r="F1762" s="40">
        <f>ATAN2(('1.설계입력'!$C$6+'1.설계입력'!$C$33)/('1.설계입력'!$C$8*'1.설계입력'!$C$15)-COS((1-'1.설계입력'!$C$15)*B1762),SIN((1-'1.설계입력'!$C$15)*B1762))</f>
        <v>-0.61485424684092138</v>
      </c>
      <c r="G1762" s="40">
        <f>('1.설계입력'!$C$6+'1.설계입력'!$C$33)*COS(B1762)-('1.설계입력'!$C$7+'1.설계입력'!$C$34)*COS(B1762+F1762)-'1.설계입력'!$C$8*COS('1.설계입력'!$C$15*B1762)</f>
        <v>76.66446370821258</v>
      </c>
      <c r="H1762" s="40">
        <f>-('1.설계입력'!$C$6+'1.설계입력'!$C$33)*SIN(B1762)+('1.설계입력'!$C$7+'1.설계입력'!$C$34)*SIN(B1762+F1762)+'1.설계입력'!$C$8*SIN('1.설계입력'!$C$15*B1762)</f>
        <v>9.9674272657339991</v>
      </c>
      <c r="I1762" s="40">
        <f t="shared" si="82"/>
        <v>77.319157682500489</v>
      </c>
      <c r="J1762" s="40">
        <f t="shared" si="83"/>
        <v>77.309699274835765</v>
      </c>
      <c r="K1762" s="38" t="str">
        <f>IF(OR(A1762&gt;180,'1.설계입력'!$C$39&gt;=1),"",'1.설계입력'!$C$34*(1-SIN(B1762)/SQRT(1+'1.설계입력'!$C$39^2-2*'1.설계입력'!$C$39*COS(B1762)))-'1.설계입력'!$C$33*(1-'1.설계입력'!$C$39*COS(B1762)-SQRT(MAX(0,1-'1.설계입력'!$C$39^2))*SIN(B1762))/SQRT(1+'1.설계입력'!$C$39^2-2*'1.설계입력'!$C$39*COS(B1762)))</f>
        <v/>
      </c>
    </row>
    <row r="1763" spans="1:11" x14ac:dyDescent="0.3">
      <c r="A1763" s="40">
        <f>A1762+'1.설계입력'!$C$12</f>
        <v>351.39999999998861</v>
      </c>
      <c r="B1763" s="40">
        <f t="shared" si="81"/>
        <v>6.1330869915078754</v>
      </c>
      <c r="C1763" s="40">
        <f>ATAN2('1.설계입력'!$C$6/('1.설계입력'!$C$8*'1.설계입력'!$C$15)-COS((1-'1.설계입력'!$C$15)*B1763),SIN((1-'1.설계입력'!$C$15)*B1763))</f>
        <v>-0.73833527495247553</v>
      </c>
      <c r="D1763" s="40">
        <f>'1.설계입력'!$C$6*COS(B1763)-'1.설계입력'!$C$7*COS(B1763+C1763)-'1.설계입력'!$C$8*COS('1.설계입력'!$C$15*B1763)</f>
        <v>77.113616836451854</v>
      </c>
      <c r="E1763" s="40">
        <f>-'1.설계입력'!$C$6*SIN(B1763)+'1.설계입력'!$C$7*SIN(B1763+C1763)+'1.설계입력'!$C$8*SIN('1.설계입력'!$C$15*B1763)</f>
        <v>9.5710146852982678</v>
      </c>
      <c r="F1763" s="40">
        <f>ATAN2(('1.설계입력'!$C$6+'1.설계입력'!$C$33)/('1.설계입력'!$C$8*'1.설계입력'!$C$15)-COS((1-'1.설계입력'!$C$15)*B1763),SIN((1-'1.설계입력'!$C$15)*B1763))</f>
        <v>-0.73839150331136316</v>
      </c>
      <c r="G1763" s="40">
        <f>('1.설계입력'!$C$6+'1.설계입력'!$C$33)*COS(B1763)-('1.설계입력'!$C$7+'1.설계입력'!$C$34)*COS(B1763+F1763)-'1.설계입력'!$C$8*COS('1.설계입력'!$C$15*B1763)</f>
        <v>77.10561851047234</v>
      </c>
      <c r="H1763" s="40">
        <f>-('1.설계입력'!$C$6+'1.설계입력'!$C$33)*SIN(B1763)+('1.설계입력'!$C$7+'1.설계입력'!$C$34)*SIN(B1763+F1763)+'1.설계입력'!$C$8*SIN('1.설계입력'!$C$15*B1763)</f>
        <v>9.5641227191071074</v>
      </c>
      <c r="I1763" s="40">
        <f t="shared" si="82"/>
        <v>77.705303703835469</v>
      </c>
      <c r="J1763" s="40">
        <f t="shared" si="83"/>
        <v>77.696517613523937</v>
      </c>
      <c r="K1763" s="38" t="str">
        <f>IF(OR(A1763&gt;180,'1.설계입력'!$C$39&gt;=1),"",'1.설계입력'!$C$34*(1-SIN(B1763)/SQRT(1+'1.설계입력'!$C$39^2-2*'1.설계입력'!$C$39*COS(B1763)))-'1.설계입력'!$C$33*(1-'1.설계입력'!$C$39*COS(B1763)-SQRT(MAX(0,1-'1.설계입력'!$C$39^2))*SIN(B1763))/SQRT(1+'1.설계입력'!$C$39^2-2*'1.설계입력'!$C$39*COS(B1763)))</f>
        <v/>
      </c>
    </row>
    <row r="1764" spans="1:11" x14ac:dyDescent="0.3">
      <c r="A1764" s="40">
        <f>A1763+'1.설계입력'!$C$12</f>
        <v>351.5999999999886</v>
      </c>
      <c r="B1764" s="40">
        <f t="shared" si="81"/>
        <v>6.1365776500118638</v>
      </c>
      <c r="C1764" s="40">
        <f>ATAN2('1.설계입력'!$C$6/('1.설계입력'!$C$8*'1.설계입력'!$C$15)-COS((1-'1.설계입력'!$C$15)*B1764),SIN((1-'1.설계입력'!$C$15)*B1764))</f>
        <v>-0.79814411185636758</v>
      </c>
      <c r="D1764" s="40">
        <f>'1.설계입력'!$C$6*COS(B1764)-'1.설계입력'!$C$7*COS(B1764+C1764)-'1.설계입력'!$C$8*COS('1.설계입력'!$C$15*B1764)</f>
        <v>77.406236910835219</v>
      </c>
      <c r="E1764" s="40">
        <f>-'1.설계입력'!$C$6*SIN(B1764)+'1.설계입력'!$C$7*SIN(B1764+C1764)+'1.설계입력'!$C$8*SIN('1.설계입력'!$C$15*B1764)</f>
        <v>9.3475072695688599</v>
      </c>
      <c r="F1764" s="40">
        <f>ATAN2(('1.설계입력'!$C$6+'1.설계입력'!$C$33)/('1.설계입력'!$C$8*'1.설계입력'!$C$15)-COS((1-'1.설계입력'!$C$15)*B1764),SIN((1-'1.설계입력'!$C$15)*B1764))</f>
        <v>-0.7981935552208671</v>
      </c>
      <c r="G1764" s="40">
        <f>('1.설계입력'!$C$6+'1.설계입력'!$C$33)*COS(B1764)-('1.설계입력'!$C$7+'1.설계입력'!$C$34)*COS(B1764+F1764)-'1.설계입력'!$C$8*COS('1.설계입력'!$C$15*B1764)</f>
        <v>77.39858461321603</v>
      </c>
      <c r="H1764" s="40">
        <f>-('1.설계입력'!$C$6+'1.설계입력'!$C$33)*SIN(B1764)+('1.설계입력'!$C$7+'1.설계입력'!$C$34)*SIN(B1764+F1764)+'1.설계입력'!$C$8*SIN('1.설계입력'!$C$15*B1764)</f>
        <v>9.3403744500784569</v>
      </c>
      <c r="I1764" s="40">
        <f t="shared" si="82"/>
        <v>77.968592425738905</v>
      </c>
      <c r="J1764" s="40">
        <f t="shared" si="83"/>
        <v>77.960140424429966</v>
      </c>
      <c r="K1764" s="38" t="str">
        <f>IF(OR(A1764&gt;180,'1.설계입력'!$C$39&gt;=1),"",'1.설계입력'!$C$34*(1-SIN(B1764)/SQRT(1+'1.설계입력'!$C$39^2-2*'1.설계입력'!$C$39*COS(B1764)))-'1.설계입력'!$C$33*(1-'1.설계입력'!$C$39*COS(B1764)-SQRT(MAX(0,1-'1.설계입력'!$C$39^2))*SIN(B1764))/SQRT(1+'1.설계입력'!$C$39^2-2*'1.설계입력'!$C$39*COS(B1764)))</f>
        <v/>
      </c>
    </row>
    <row r="1765" spans="1:11" x14ac:dyDescent="0.3">
      <c r="A1765" s="40">
        <f>A1764+'1.설계입력'!$C$12</f>
        <v>351.79999999998859</v>
      </c>
      <c r="B1765" s="40">
        <f t="shared" si="81"/>
        <v>6.1400683085158523</v>
      </c>
      <c r="C1765" s="40">
        <f>ATAN2('1.설계입력'!$C$6/('1.설계입력'!$C$8*'1.설계입력'!$C$15)-COS((1-'1.설계입력'!$C$15)*B1765),SIN((1-'1.설계입력'!$C$15)*B1765))</f>
        <v>-0.81950020104072252</v>
      </c>
      <c r="D1765" s="40">
        <f>'1.설계입력'!$C$6*COS(B1765)-'1.설계입력'!$C$7*COS(B1765+C1765)-'1.설계입력'!$C$8*COS('1.설계입력'!$C$15*B1765)</f>
        <v>77.604082644751415</v>
      </c>
      <c r="E1765" s="40">
        <f>-'1.설계입력'!$C$6*SIN(B1765)+'1.설계입력'!$C$7*SIN(B1765+C1765)+'1.설계입력'!$C$8*SIN('1.설계입력'!$C$15*B1765)</f>
        <v>9.2076923509887099</v>
      </c>
      <c r="F1765" s="40">
        <f>ATAN2(('1.설계입력'!$C$6+'1.설계입력'!$C$33)/('1.설계입력'!$C$8*'1.설계입력'!$C$15)-COS((1-'1.설계입력'!$C$15)*B1765),SIN((1-'1.설계입력'!$C$15)*B1765))</f>
        <v>-0.81954295366202679</v>
      </c>
      <c r="G1765" s="40">
        <f>('1.설계입력'!$C$6+'1.설계입력'!$C$33)*COS(B1765)-('1.설계입력'!$C$7+'1.설계입력'!$C$34)*COS(B1765+F1765)-'1.설계입력'!$C$8*COS('1.설계입력'!$C$15*B1765)</f>
        <v>77.596526841592777</v>
      </c>
      <c r="H1765" s="40">
        <f>-('1.설계입력'!$C$6+'1.설계입력'!$C$33)*SIN(B1765)+('1.설계입력'!$C$7+'1.설계입력'!$C$34)*SIN(B1765+F1765)+'1.설계입력'!$C$8*SIN('1.설계입력'!$C$15*B1765)</f>
        <v>9.2005047082883742</v>
      </c>
      <c r="I1765" s="40">
        <f t="shared" si="82"/>
        <v>78.148418036220434</v>
      </c>
      <c r="J1765" s="40">
        <f t="shared" si="83"/>
        <v>78.14006824136554</v>
      </c>
      <c r="K1765" s="38" t="str">
        <f>IF(OR(A1765&gt;180,'1.설계입력'!$C$39&gt;=1),"",'1.설계입력'!$C$34*(1-SIN(B1765)/SQRT(1+'1.설계입력'!$C$39^2-2*'1.설계입력'!$C$39*COS(B1765)))-'1.설계입력'!$C$33*(1-'1.설계입력'!$C$39*COS(B1765)-SQRT(MAX(0,1-'1.설계입력'!$C$39^2))*SIN(B1765))/SQRT(1+'1.설계입력'!$C$39^2-2*'1.설계입력'!$C$39*COS(B1765)))</f>
        <v/>
      </c>
    </row>
    <row r="1766" spans="1:11" x14ac:dyDescent="0.3">
      <c r="A1766" s="40">
        <f>A1765+'1.설계입력'!$C$12</f>
        <v>351.99999999998857</v>
      </c>
      <c r="B1766" s="40">
        <f t="shared" si="81"/>
        <v>6.1435589670198407</v>
      </c>
      <c r="C1766" s="40">
        <f>ATAN2('1.설계입력'!$C$6/('1.설계입력'!$C$8*'1.설계입력'!$C$15)-COS((1-'1.설계입력'!$C$15)*B1766),SIN((1-'1.설계입력'!$C$15)*B1766))</f>
        <v>-0.81704537838785463</v>
      </c>
      <c r="D1766" s="40">
        <f>'1.설계입력'!$C$6*COS(B1766)-'1.설계입력'!$C$7*COS(B1766+C1766)-'1.설계입력'!$C$8*COS('1.설계입력'!$C$15*B1766)</f>
        <v>77.747941753829409</v>
      </c>
      <c r="E1766" s="40">
        <f>-'1.설계입력'!$C$6*SIN(B1766)+'1.설계입력'!$C$7*SIN(B1766+C1766)+'1.설계입력'!$C$8*SIN('1.설계입력'!$C$15*B1766)</f>
        <v>9.1072628987931257</v>
      </c>
      <c r="F1766" s="40">
        <f>ATAN2(('1.설계입력'!$C$6+'1.설계입력'!$C$33)/('1.설계입력'!$C$8*'1.설계입력'!$C$15)-COS((1-'1.설계입력'!$C$15)*B1766),SIN((1-'1.설계입력'!$C$15)*B1766))</f>
        <v>-0.81708234063248797</v>
      </c>
      <c r="G1766" s="40">
        <f>('1.설계입력'!$C$6+'1.설계입력'!$C$33)*COS(B1766)-('1.설계입력'!$C$7+'1.설계입력'!$C$34)*COS(B1766+F1766)-'1.설계입력'!$C$8*COS('1.설계입력'!$C$15*B1766)</f>
        <v>77.740325432062136</v>
      </c>
      <c r="H1766" s="40">
        <f>-('1.설계입력'!$C$6+'1.설계입력'!$C$33)*SIN(B1766)+('1.설계입력'!$C$7+'1.설계입력'!$C$34)*SIN(B1766+F1766)+'1.설계입력'!$C$8*SIN('1.설계입력'!$C$15*B1766)</f>
        <v>9.1001261415011729</v>
      </c>
      <c r="I1766" s="40">
        <f t="shared" si="82"/>
        <v>78.2795291533143</v>
      </c>
      <c r="J1766" s="40">
        <f t="shared" si="83"/>
        <v>78.271134488227261</v>
      </c>
      <c r="K1766" s="38" t="str">
        <f>IF(OR(A1766&gt;180,'1.설계입력'!$C$39&gt;=1),"",'1.설계입력'!$C$34*(1-SIN(B1766)/SQRT(1+'1.설계입력'!$C$39^2-2*'1.설계입력'!$C$39*COS(B1766)))-'1.설계입력'!$C$33*(1-'1.설계입력'!$C$39*COS(B1766)-SQRT(MAX(0,1-'1.설계입력'!$C$39^2))*SIN(B1766))/SQRT(1+'1.설계입력'!$C$39^2-2*'1.설계입력'!$C$39*COS(B1766)))</f>
        <v/>
      </c>
    </row>
    <row r="1767" spans="1:11" x14ac:dyDescent="0.3">
      <c r="A1767" s="40">
        <f>A1766+'1.설계입력'!$C$12</f>
        <v>352.19999999998856</v>
      </c>
      <c r="B1767" s="40">
        <f t="shared" si="81"/>
        <v>6.1470496255238292</v>
      </c>
      <c r="C1767" s="40">
        <f>ATAN2('1.설계입력'!$C$6/('1.설계입력'!$C$8*'1.설계입력'!$C$15)-COS((1-'1.설계입력'!$C$15)*B1767),SIN((1-'1.설계입력'!$C$15)*B1767))</f>
        <v>-0.79918523100420946</v>
      </c>
      <c r="D1767" s="40">
        <f>'1.설계입력'!$C$6*COS(B1767)-'1.설계입력'!$C$7*COS(B1767+C1767)-'1.설계입력'!$C$8*COS('1.설계입력'!$C$15*B1767)</f>
        <v>77.863386250025115</v>
      </c>
      <c r="E1767" s="40">
        <f>-'1.설계입력'!$C$6*SIN(B1767)+'1.설계입력'!$C$7*SIN(B1767+C1767)+'1.설계입력'!$C$8*SIN('1.설계입력'!$C$15*B1767)</f>
        <v>9.0242357757226337</v>
      </c>
      <c r="F1767" s="40">
        <f>ATAN2(('1.설계입력'!$C$6+'1.설계입력'!$C$33)/('1.설계입력'!$C$8*'1.설계입력'!$C$15)-COS((1-'1.설계입력'!$C$15)*B1767),SIN((1-'1.설계입력'!$C$15)*B1767))</f>
        <v>-0.79921732751881314</v>
      </c>
      <c r="G1767" s="40">
        <f>('1.설계입력'!$C$6+'1.설계입력'!$C$33)*COS(B1767)-('1.설계입력'!$C$7+'1.설계입력'!$C$34)*COS(B1767+F1767)-'1.설계입력'!$C$8*COS('1.설계입력'!$C$15*B1767)</f>
        <v>77.855610628403227</v>
      </c>
      <c r="H1767" s="40">
        <f>-('1.설계입력'!$C$6+'1.설계입력'!$C$33)*SIN(B1767)+('1.설계입력'!$C$7+'1.설계입력'!$C$34)*SIN(B1767+F1767)+'1.설계입력'!$C$8*SIN('1.설계입력'!$C$15*B1767)</f>
        <v>9.0172199041773151</v>
      </c>
      <c r="I1767" s="40">
        <f t="shared" si="82"/>
        <v>78.384588725440366</v>
      </c>
      <c r="J1767" s="40">
        <f t="shared" si="83"/>
        <v>78.376057320599031</v>
      </c>
      <c r="K1767" s="38" t="str">
        <f>IF(OR(A1767&gt;180,'1.설계입력'!$C$39&gt;=1),"",'1.설계입력'!$C$34*(1-SIN(B1767)/SQRT(1+'1.설계입력'!$C$39^2-2*'1.설계입력'!$C$39*COS(B1767)))-'1.설계입력'!$C$33*(1-'1.설계입력'!$C$39*COS(B1767)-SQRT(MAX(0,1-'1.설계입력'!$C$39^2))*SIN(B1767))/SQRT(1+'1.설계입력'!$C$39^2-2*'1.설계입력'!$C$39*COS(B1767)))</f>
        <v/>
      </c>
    </row>
    <row r="1768" spans="1:11" x14ac:dyDescent="0.3">
      <c r="A1768" s="40">
        <f>A1767+'1.설계입력'!$C$12</f>
        <v>352.39999999998855</v>
      </c>
      <c r="B1768" s="40">
        <f t="shared" si="81"/>
        <v>6.1505402840278176</v>
      </c>
      <c r="C1768" s="40">
        <f>ATAN2('1.설계입력'!$C$6/('1.설계입력'!$C$8*'1.설계입력'!$C$15)-COS((1-'1.설계입력'!$C$15)*B1768),SIN((1-'1.설계입력'!$C$15)*B1768))</f>
        <v>-0.77091983254348095</v>
      </c>
      <c r="D1768" s="40">
        <f>'1.설계입력'!$C$6*COS(B1768)-'1.설계입력'!$C$7*COS(B1768+C1768)-'1.설계입력'!$C$8*COS('1.설계입력'!$C$15*B1768)</f>
        <v>77.965630637313751</v>
      </c>
      <c r="E1768" s="40">
        <f>-'1.설계입력'!$C$6*SIN(B1768)+'1.설계입력'!$C$7*SIN(B1768+C1768)+'1.설계입력'!$C$8*SIN('1.설계입력'!$C$15*B1768)</f>
        <v>8.9464288501704843</v>
      </c>
      <c r="F1768" s="40">
        <f>ATAN2(('1.설계입력'!$C$6+'1.설계입력'!$C$33)/('1.설계입력'!$C$8*'1.설계입력'!$C$15)-COS((1-'1.설계입력'!$C$15)*B1768),SIN((1-'1.설계입력'!$C$15)*B1768))</f>
        <v>-0.77094783944825607</v>
      </c>
      <c r="G1768" s="40">
        <f>('1.설계입력'!$C$6+'1.설계입력'!$C$33)*COS(B1768)-('1.설계입력'!$C$7+'1.설계입력'!$C$34)*COS(B1768+F1768)-'1.설계입력'!$C$8*COS('1.설계입력'!$C$15*B1768)</f>
        <v>77.957633660279853</v>
      </c>
      <c r="H1768" s="40">
        <f>-('1.설계입력'!$C$6+'1.설계입력'!$C$33)*SIN(B1768)+('1.설계입력'!$C$7+'1.설계입력'!$C$34)*SIN(B1768+F1768)+'1.설계입력'!$C$8*SIN('1.설계입력'!$C$15*B1768)</f>
        <v>8.9395865351950352</v>
      </c>
      <c r="I1768" s="40">
        <f t="shared" si="82"/>
        <v>78.477246064354219</v>
      </c>
      <c r="J1768" s="40">
        <f t="shared" si="83"/>
        <v>78.46852141674799</v>
      </c>
      <c r="K1768" s="38" t="str">
        <f>IF(OR(A1768&gt;180,'1.설계입력'!$C$39&gt;=1),"",'1.설계입력'!$C$34*(1-SIN(B1768)/SQRT(1+'1.설계입력'!$C$39^2-2*'1.설계입력'!$C$39*COS(B1768)))-'1.설계입력'!$C$33*(1-'1.설계입력'!$C$39*COS(B1768)-SQRT(MAX(0,1-'1.설계입력'!$C$39^2))*SIN(B1768))/SQRT(1+'1.설계입력'!$C$39^2-2*'1.설계입력'!$C$39*COS(B1768)))</f>
        <v/>
      </c>
    </row>
    <row r="1769" spans="1:11" x14ac:dyDescent="0.3">
      <c r="A1769" s="40">
        <f>A1768+'1.설계입력'!$C$12</f>
        <v>352.59999999998854</v>
      </c>
      <c r="B1769" s="40">
        <f t="shared" si="81"/>
        <v>6.154030942531806</v>
      </c>
      <c r="C1769" s="40">
        <f>ATAN2('1.설계입력'!$C$6/('1.설계입력'!$C$8*'1.설계입력'!$C$15)-COS((1-'1.설계입력'!$C$15)*B1769),SIN((1-'1.설계입력'!$C$15)*B1769))</f>
        <v>-0.73535720769650681</v>
      </c>
      <c r="D1769" s="40">
        <f>'1.설계입력'!$C$6*COS(B1769)-'1.설계입력'!$C$7*COS(B1769+C1769)-'1.설계입력'!$C$8*COS('1.설계입력'!$C$15*B1769)</f>
        <v>78.063431482109337</v>
      </c>
      <c r="E1769" s="40">
        <f>-'1.설계입력'!$C$6*SIN(B1769)+'1.설계입력'!$C$7*SIN(B1769+C1769)+'1.설계입력'!$C$8*SIN('1.설계입력'!$C$15*B1769)</f>
        <v>8.8663165524646299</v>
      </c>
      <c r="F1769" s="40">
        <f>ATAN2(('1.설계입력'!$C$6+'1.설계입력'!$C$33)/('1.설계입력'!$C$8*'1.설계입력'!$C$15)-COS((1-'1.설계입력'!$C$15)*B1769),SIN((1-'1.설계입력'!$C$15)*B1769))</f>
        <v>-0.7353817419902432</v>
      </c>
      <c r="G1769" s="40">
        <f>('1.설계입력'!$C$6+'1.설계입력'!$C$33)*COS(B1769)-('1.설계입력'!$C$7+'1.설계입력'!$C$34)*COS(B1769+F1769)-'1.설계입력'!$C$8*COS('1.설계입력'!$C$15*B1769)</f>
        <v>78.055175118711503</v>
      </c>
      <c r="H1769" s="40">
        <f>-('1.설계입력'!$C$6+'1.설계입력'!$C$33)*SIN(B1769)+('1.설계입력'!$C$7+'1.설계입력'!$C$34)*SIN(B1769+F1769)+'1.설계입력'!$C$8*SIN('1.설계입력'!$C$15*B1769)</f>
        <v>8.8596911611652587</v>
      </c>
      <c r="I1769" s="40">
        <f t="shared" si="82"/>
        <v>78.565328892396849</v>
      </c>
      <c r="J1769" s="40">
        <f t="shared" si="83"/>
        <v>78.556377782354176</v>
      </c>
      <c r="K1769" s="38" t="str">
        <f>IF(OR(A1769&gt;180,'1.설계입력'!$C$39&gt;=1),"",'1.설계입력'!$C$34*(1-SIN(B1769)/SQRT(1+'1.설계입력'!$C$39^2-2*'1.설계입력'!$C$39*COS(B1769)))-'1.설계입력'!$C$33*(1-'1.설계입력'!$C$39*COS(B1769)-SQRT(MAX(0,1-'1.설계입력'!$C$39^2))*SIN(B1769))/SQRT(1+'1.설계입력'!$C$39^2-2*'1.설계입력'!$C$39*COS(B1769)))</f>
        <v/>
      </c>
    </row>
    <row r="1770" spans="1:11" x14ac:dyDescent="0.3">
      <c r="A1770" s="40">
        <f>A1769+'1.설계입력'!$C$12</f>
        <v>352.79999999998853</v>
      </c>
      <c r="B1770" s="40">
        <f t="shared" si="81"/>
        <v>6.1575216010357945</v>
      </c>
      <c r="C1770" s="40">
        <f>ATAN2('1.설계입력'!$C$6/('1.설계입력'!$C$8*'1.설계입력'!$C$15)-COS((1-'1.설계입력'!$C$15)*B1770),SIN((1-'1.설계입력'!$C$15)*B1770))</f>
        <v>-0.69451276334955492</v>
      </c>
      <c r="D1770" s="40">
        <f>'1.설계입력'!$C$6*COS(B1770)-'1.설계입력'!$C$7*COS(B1770+C1770)-'1.설계입력'!$C$8*COS('1.설계입력'!$C$15*B1770)</f>
        <v>78.16151132928546</v>
      </c>
      <c r="E1770" s="40">
        <f>-'1.설계입력'!$C$6*SIN(B1770)+'1.설계입력'!$C$7*SIN(B1770+C1770)+'1.설계입력'!$C$8*SIN('1.설계입력'!$C$15*B1770)</f>
        <v>8.7788450884379081</v>
      </c>
      <c r="F1770" s="40">
        <f>ATAN2(('1.설계입력'!$C$6+'1.설계입력'!$C$33)/('1.설계입력'!$C$8*'1.설계입력'!$C$15)-COS((1-'1.설계입력'!$C$15)*B1770),SIN((1-'1.설계입력'!$C$15)*B1770))</f>
        <v>-0.69453430893184642</v>
      </c>
      <c r="G1770" s="40">
        <f>('1.설계입력'!$C$6+'1.설계입력'!$C$33)*COS(B1770)-('1.설계입력'!$C$7+'1.설계입력'!$C$34)*COS(B1770+F1770)-'1.설계입력'!$C$8*COS('1.설계입력'!$C$15*B1770)</f>
        <v>78.152973977600098</v>
      </c>
      <c r="H1770" s="40">
        <f>-('1.설계입력'!$C$6+'1.설계입력'!$C$33)*SIN(B1770)+('1.설계입력'!$C$7+'1.설계입력'!$C$34)*SIN(B1770+F1770)+'1.설계입력'!$C$8*SIN('1.설계입력'!$C$15*B1770)</f>
        <v>8.7724743964663663</v>
      </c>
      <c r="I1770" s="40">
        <f t="shared" si="82"/>
        <v>78.652971808856719</v>
      </c>
      <c r="J1770" s="40">
        <f t="shared" si="83"/>
        <v>78.643776922144937</v>
      </c>
      <c r="K1770" s="38" t="str">
        <f>IF(OR(A1770&gt;180,'1.설계입력'!$C$39&gt;=1),"",'1.설계입력'!$C$34*(1-SIN(B1770)/SQRT(1+'1.설계입력'!$C$39^2-2*'1.설계입력'!$C$39*COS(B1770)))-'1.설계입력'!$C$33*(1-'1.설계입력'!$C$39*COS(B1770)-SQRT(MAX(0,1-'1.설계입력'!$C$39^2))*SIN(B1770))/SQRT(1+'1.설계입력'!$C$39^2-2*'1.설계입력'!$C$39*COS(B1770)))</f>
        <v/>
      </c>
    </row>
    <row r="1771" spans="1:11" x14ac:dyDescent="0.3">
      <c r="A1771" s="40">
        <f>A1770+'1.설계입력'!$C$12</f>
        <v>352.99999999998852</v>
      </c>
      <c r="B1771" s="40">
        <f t="shared" si="81"/>
        <v>6.1610122595397829</v>
      </c>
      <c r="C1771" s="40">
        <f>ATAN2('1.설계입력'!$C$6/('1.설계입력'!$C$8*'1.설계입력'!$C$15)-COS((1-'1.설계입력'!$C$15)*B1771),SIN((1-'1.설계입력'!$C$15)*B1771))</f>
        <v>-0.64974417413593355</v>
      </c>
      <c r="D1771" s="40">
        <f>'1.설계입력'!$C$6*COS(B1771)-'1.설계입력'!$C$7*COS(B1771+C1771)-'1.설계입력'!$C$8*COS('1.설계입력'!$C$15*B1771)</f>
        <v>78.262013346616598</v>
      </c>
      <c r="E1771" s="40">
        <f>-'1.설계입력'!$C$6*SIN(B1771)+'1.설계입력'!$C$7*SIN(B1771+C1771)+'1.설계입력'!$C$8*SIN('1.설계입력'!$C$15*B1771)</f>
        <v>8.6804563793645908</v>
      </c>
      <c r="F1771" s="40">
        <f>ATAN2(('1.설계입력'!$C$6+'1.설계입력'!$C$33)/('1.설계입력'!$C$8*'1.설계입력'!$C$15)-COS((1-'1.설계입력'!$C$15)*B1771),SIN((1-'1.설계입력'!$C$15)*B1771))</f>
        <v>-0.64976311077107241</v>
      </c>
      <c r="G1771" s="40">
        <f>('1.설계입력'!$C$6+'1.설계입력'!$C$33)*COS(B1771)-('1.설계입력'!$C$7+'1.설계입력'!$C$34)*COS(B1771+F1771)-'1.설계입력'!$C$8*COS('1.설계입력'!$C$15*B1771)</f>
        <v>78.253185139933052</v>
      </c>
      <c r="H1771" s="40">
        <f>-('1.설계입력'!$C$6+'1.설계입력'!$C$33)*SIN(B1771)+('1.설계입력'!$C$7+'1.설계입력'!$C$34)*SIN(B1771+F1771)+'1.설계입력'!$C$8*SIN('1.설계입력'!$C$15*B1771)</f>
        <v>8.6743743630792416</v>
      </c>
      <c r="I1771" s="40">
        <f t="shared" si="82"/>
        <v>78.741939625716896</v>
      </c>
      <c r="J1771" s="40">
        <f t="shared" si="83"/>
        <v>78.732494912427896</v>
      </c>
      <c r="K1771" s="38" t="str">
        <f>IF(OR(A1771&gt;180,'1.설계입력'!$C$39&gt;=1),"",'1.설계입력'!$C$34*(1-SIN(B1771)/SQRT(1+'1.설계입력'!$C$39^2-2*'1.설계입력'!$C$39*COS(B1771)))-'1.설계입력'!$C$33*(1-'1.설계입력'!$C$39*COS(B1771)-SQRT(MAX(0,1-'1.설계입력'!$C$39^2))*SIN(B1771))/SQRT(1+'1.설계입력'!$C$39^2-2*'1.설계입력'!$C$39*COS(B1771)))</f>
        <v/>
      </c>
    </row>
    <row r="1772" spans="1:11" x14ac:dyDescent="0.3">
      <c r="A1772" s="40">
        <f>A1771+'1.설계입력'!$C$12</f>
        <v>353.19999999998851</v>
      </c>
      <c r="B1772" s="40">
        <f t="shared" si="81"/>
        <v>6.1645029180437714</v>
      </c>
      <c r="C1772" s="40">
        <f>ATAN2('1.설계입력'!$C$6/('1.설계입력'!$C$8*'1.설계입력'!$C$15)-COS((1-'1.설계입력'!$C$15)*B1772),SIN((1-'1.설계입력'!$C$15)*B1772))</f>
        <v>-0.60199747927902314</v>
      </c>
      <c r="D1772" s="40">
        <f>'1.설계입력'!$C$6*COS(B1772)-'1.설계입력'!$C$7*COS(B1772+C1772)-'1.설계입력'!$C$8*COS('1.설계입력'!$C$15*B1772)</f>
        <v>78.365393377214261</v>
      </c>
      <c r="E1772" s="40">
        <f>-'1.설계입력'!$C$6*SIN(B1772)+'1.설계입력'!$C$7*SIN(B1772+C1772)+'1.설계입력'!$C$8*SIN('1.설계입력'!$C$15*B1772)</f>
        <v>8.5686290476348468</v>
      </c>
      <c r="F1772" s="40">
        <f>ATAN2(('1.설계입력'!$C$6+'1.설계입력'!$C$33)/('1.설계입력'!$C$8*'1.설계입력'!$C$15)-COS((1-'1.설계입력'!$C$15)*B1772),SIN((1-'1.설계입력'!$C$15)*B1772))</f>
        <v>-0.60201410668307387</v>
      </c>
      <c r="G1772" s="40">
        <f>('1.설계입력'!$C$6+'1.설계입력'!$C$33)*COS(B1772)-('1.설계입력'!$C$7+'1.설계입력'!$C$34)*COS(B1772+F1772)-'1.설계입력'!$C$8*COS('1.설계입력'!$C$15*B1772)</f>
        <v>78.356273169026807</v>
      </c>
      <c r="H1772" s="40">
        <f>-('1.설계입력'!$C$6+'1.설계입력'!$C$33)*SIN(B1772)+('1.설계입력'!$C$7+'1.설계입력'!$C$34)*SIN(B1772+F1772)+'1.설계입력'!$C$8*SIN('1.설계입력'!$C$15*B1772)</f>
        <v>8.5628667672684742</v>
      </c>
      <c r="I1772" s="40">
        <f t="shared" si="82"/>
        <v>78.83245703973401</v>
      </c>
      <c r="J1772" s="40">
        <f t="shared" si="83"/>
        <v>78.822764682629227</v>
      </c>
      <c r="K1772" s="38" t="str">
        <f>IF(OR(A1772&gt;180,'1.설계입력'!$C$39&gt;=1),"",'1.설계입력'!$C$34*(1-SIN(B1772)/SQRT(1+'1.설계입력'!$C$39^2-2*'1.설계입력'!$C$39*COS(B1772)))-'1.설계입력'!$C$33*(1-'1.설계입력'!$C$39*COS(B1772)-SQRT(MAX(0,1-'1.설계입력'!$C$39^2))*SIN(B1772))/SQRT(1+'1.설계입력'!$C$39^2-2*'1.설계입력'!$C$39*COS(B1772)))</f>
        <v/>
      </c>
    </row>
    <row r="1773" spans="1:11" x14ac:dyDescent="0.3">
      <c r="A1773" s="40">
        <f>A1772+'1.설계입력'!$C$12</f>
        <v>353.39999999998849</v>
      </c>
      <c r="B1773" s="40">
        <f t="shared" si="81"/>
        <v>6.1679935765477598</v>
      </c>
      <c r="C1773" s="40">
        <f>ATAN2('1.설계입력'!$C$6/('1.설계입력'!$C$8*'1.설계입력'!$C$15)-COS((1-'1.설계입력'!$C$15)*B1773),SIN((1-'1.설계입력'!$C$15)*B1773))</f>
        <v>-0.55195201460374654</v>
      </c>
      <c r="D1773" s="40">
        <f>'1.설계입력'!$C$6*COS(B1773)-'1.설계입력'!$C$7*COS(B1773+C1773)-'1.설계입력'!$C$8*COS('1.설계입력'!$C$15*B1773)</f>
        <v>78.470990832632452</v>
      </c>
      <c r="E1773" s="40">
        <f>-'1.설계입력'!$C$6*SIN(B1773)+'1.설계입력'!$C$7*SIN(B1773+C1773)+'1.설계입력'!$C$8*SIN('1.설계입력'!$C$15*B1773)</f>
        <v>8.4416505328710958</v>
      </c>
      <c r="F1773" s="40">
        <f>ATAN2(('1.설계입력'!$C$6+'1.설계입력'!$C$33)/('1.설계입력'!$C$8*'1.설계입력'!$C$15)-COS((1-'1.설계입력'!$C$15)*B1773),SIN((1-'1.설계입력'!$C$15)*B1773))</f>
        <v>-0.55196657090695767</v>
      </c>
      <c r="G1773" s="40">
        <f>('1.설계입력'!$C$6+'1.설계입력'!$C$33)*COS(B1773)-('1.설계입력'!$C$7+'1.설계입력'!$C$34)*COS(B1773+F1773)-'1.설계입력'!$C$8*COS('1.설계입력'!$C$15*B1773)</f>
        <v>78.461584180387078</v>
      </c>
      <c r="H1773" s="40">
        <f>-('1.설계입력'!$C$6+'1.설계입력'!$C$33)*SIN(B1773)+('1.설계입력'!$C$7+'1.설계입력'!$C$34)*SIN(B1773+F1773)+'1.설계입력'!$C$8*SIN('1.설계입력'!$C$15*B1773)</f>
        <v>8.4362365623029945</v>
      </c>
      <c r="I1773" s="40">
        <f t="shared" si="82"/>
        <v>78.923747161258177</v>
      </c>
      <c r="J1773" s="40">
        <f t="shared" si="83"/>
        <v>78.913815516873242</v>
      </c>
      <c r="K1773" s="38" t="str">
        <f>IF(OR(A1773&gt;180,'1.설계입력'!$C$39&gt;=1),"",'1.설계입력'!$C$34*(1-SIN(B1773)/SQRT(1+'1.설계입력'!$C$39^2-2*'1.설계입력'!$C$39*COS(B1773)))-'1.설계입력'!$C$33*(1-'1.설계입력'!$C$39*COS(B1773)-SQRT(MAX(0,1-'1.설계입력'!$C$39^2))*SIN(B1773))/SQRT(1+'1.설계입력'!$C$39^2-2*'1.설계입력'!$C$39*COS(B1773)))</f>
        <v/>
      </c>
    </row>
    <row r="1774" spans="1:11" x14ac:dyDescent="0.3">
      <c r="A1774" s="40">
        <f>A1773+'1.설계입력'!$C$12</f>
        <v>353.59999999998848</v>
      </c>
      <c r="B1774" s="40">
        <f t="shared" si="81"/>
        <v>6.1714842350517483</v>
      </c>
      <c r="C1774" s="40">
        <f>ATAN2('1.설계입력'!$C$6/('1.설계입력'!$C$8*'1.설계입력'!$C$15)-COS((1-'1.설계입력'!$C$15)*B1774),SIN((1-'1.설계입력'!$C$15)*B1774))</f>
        <v>-0.50010901618373182</v>
      </c>
      <c r="D1774" s="40">
        <f>'1.설계입력'!$C$6*COS(B1774)-'1.설계입력'!$C$7*COS(B1774+C1774)-'1.설계입력'!$C$8*COS('1.설계입력'!$C$15*B1774)</f>
        <v>78.577413274702764</v>
      </c>
      <c r="E1774" s="40">
        <f>-'1.설계입력'!$C$6*SIN(B1774)+'1.설계입력'!$C$7*SIN(B1774+C1774)+'1.설계입력'!$C$8*SIN('1.설계입력'!$C$15*B1774)</f>
        <v>8.2984954059113551</v>
      </c>
      <c r="F1774" s="40">
        <f>ATAN2(('1.설계입력'!$C$6+'1.설계입력'!$C$33)/('1.설계입력'!$C$8*'1.설계입력'!$C$15)-COS((1-'1.설계입력'!$C$15)*B1774),SIN((1-'1.설계입력'!$C$15)*B1774))</f>
        <v>-0.50012169170656939</v>
      </c>
      <c r="G1774" s="40">
        <f>('1.설계입력'!$C$6+'1.설계입력'!$C$33)*COS(B1774)-('1.설계입력'!$C$7+'1.설계입력'!$C$34)*COS(B1774+F1774)-'1.설계입력'!$C$8*COS('1.설계입력'!$C$15*B1774)</f>
        <v>78.567731035287352</v>
      </c>
      <c r="H1774" s="40">
        <f>-('1.설계입력'!$C$6+'1.설계입력'!$C$33)*SIN(B1774)+('1.설계입력'!$C$7+'1.설계입력'!$C$34)*SIN(B1774+F1774)+'1.설계입력'!$C$8*SIN('1.설계입력'!$C$15*B1774)</f>
        <v>8.2934560268683146</v>
      </c>
      <c r="I1774" s="40">
        <f t="shared" si="82"/>
        <v>79.014396808084072</v>
      </c>
      <c r="J1774" s="40">
        <f t="shared" si="83"/>
        <v>79.004238955279192</v>
      </c>
      <c r="K1774" s="38" t="str">
        <f>IF(OR(A1774&gt;180,'1.설계입력'!$C$39&gt;=1),"",'1.설계입력'!$C$34*(1-SIN(B1774)/SQRT(1+'1.설계입력'!$C$39^2-2*'1.설계입력'!$C$39*COS(B1774)))-'1.설계입력'!$C$33*(1-'1.설계입력'!$C$39*COS(B1774)-SQRT(MAX(0,1-'1.설계입력'!$C$39^2))*SIN(B1774))/SQRT(1+'1.설계입력'!$C$39^2-2*'1.설계입력'!$C$39*COS(B1774)))</f>
        <v/>
      </c>
    </row>
    <row r="1775" spans="1:11" x14ac:dyDescent="0.3">
      <c r="A1775" s="40">
        <f>A1774+'1.설계입력'!$C$12</f>
        <v>353.79999999998847</v>
      </c>
      <c r="B1775" s="40">
        <f t="shared" si="81"/>
        <v>6.1749748935557367</v>
      </c>
      <c r="C1775" s="40">
        <f>ATAN2('1.설계입력'!$C$6/('1.설계입력'!$C$8*'1.설계입력'!$C$15)-COS((1-'1.설계입력'!$C$15)*B1775),SIN((1-'1.설계입력'!$C$15)*B1775))</f>
        <v>-0.44684767126387975</v>
      </c>
      <c r="D1775" s="40">
        <f>'1.설계입력'!$C$6*COS(B1775)-'1.설계입력'!$C$7*COS(B1775+C1775)-'1.설계입력'!$C$8*COS('1.설계입력'!$C$15*B1775)</f>
        <v>78.682809610265934</v>
      </c>
      <c r="E1775" s="40">
        <f>-'1.설계입력'!$C$6*SIN(B1775)+'1.설계입력'!$C$7*SIN(B1775+C1775)+'1.설계입력'!$C$8*SIN('1.설계입력'!$C$15*B1775)</f>
        <v>8.1387522870209477</v>
      </c>
      <c r="F1775" s="40">
        <f>ATAN2(('1.설계입력'!$C$6+'1.설계입력'!$C$33)/('1.설계입력'!$C$8*'1.설계입력'!$C$15)-COS((1-'1.설계입력'!$C$15)*B1775),SIN((1-'1.설계입력'!$C$15)*B1775))</f>
        <v>-0.44685861872528465</v>
      </c>
      <c r="G1775" s="40">
        <f>('1.설계입력'!$C$6+'1.설계입력'!$C$33)*COS(B1775)-('1.설계입력'!$C$7+'1.설계입력'!$C$34)*COS(B1775+F1775)-'1.설계입력'!$C$8*COS('1.설계입력'!$C$15*B1775)</f>
        <v>78.672866920505712</v>
      </c>
      <c r="H1775" s="40">
        <f>-('1.설계입력'!$C$6+'1.설계입력'!$C$33)*SIN(B1775)+('1.설계입력'!$C$7+'1.설계입력'!$C$34)*SIN(B1775+F1775)+'1.설계입력'!$C$8*SIN('1.설계입력'!$C$15*B1775)</f>
        <v>8.1341115575223313</v>
      </c>
      <c r="I1775" s="40">
        <f t="shared" si="82"/>
        <v>79.102615740282857</v>
      </c>
      <c r="J1775" s="40">
        <f t="shared" si="83"/>
        <v>79.092248421206364</v>
      </c>
      <c r="K1775" s="38" t="str">
        <f>IF(OR(A1775&gt;180,'1.설계입력'!$C$39&gt;=1),"",'1.설계입력'!$C$34*(1-SIN(B1775)/SQRT(1+'1.설계입력'!$C$39^2-2*'1.설계입력'!$C$39*COS(B1775)))-'1.설계입력'!$C$33*(1-'1.설계입력'!$C$39*COS(B1775)-SQRT(MAX(0,1-'1.설계입력'!$C$39^2))*SIN(B1775))/SQRT(1+'1.설계입력'!$C$39^2-2*'1.설계입력'!$C$39*COS(B1775)))</f>
        <v/>
      </c>
    </row>
    <row r="1776" spans="1:11" x14ac:dyDescent="0.3">
      <c r="A1776" s="40">
        <f>A1775+'1.설계입력'!$C$12</f>
        <v>353.99999999998846</v>
      </c>
      <c r="B1776" s="40">
        <f t="shared" si="81"/>
        <v>6.1784655520597251</v>
      </c>
      <c r="C1776" s="40">
        <f>ATAN2('1.설계입력'!$C$6/('1.설계입력'!$C$8*'1.설계입력'!$C$15)-COS((1-'1.설계입력'!$C$15)*B1776),SIN((1-'1.설계입력'!$C$15)*B1776))</f>
        <v>-0.39246170072361025</v>
      </c>
      <c r="D1776" s="40">
        <f>'1.설계입력'!$C$6*COS(B1776)-'1.설계입력'!$C$7*COS(B1776+C1776)-'1.설계입력'!$C$8*COS('1.설계입력'!$C$15*B1776)</f>
        <v>78.785073994938045</v>
      </c>
      <c r="E1776" s="40">
        <f>-'1.설계입력'!$C$6*SIN(B1776)+'1.설계입력'!$C$7*SIN(B1776+C1776)+'1.설계입력'!$C$8*SIN('1.설계입력'!$C$15*B1776)</f>
        <v>7.9625715642278703</v>
      </c>
      <c r="F1776" s="40">
        <f>ATAN2(('1.설계입력'!$C$6+'1.설계입력'!$C$33)/('1.설계입력'!$C$8*'1.설계입력'!$C$15)-COS((1-'1.설계입력'!$C$15)*B1776),SIN((1-'1.설계입력'!$C$15)*B1776))</f>
        <v>-0.39247104281208695</v>
      </c>
      <c r="G1776" s="40">
        <f>('1.설계입력'!$C$6+'1.설계입력'!$C$33)*COS(B1776)-('1.설계입력'!$C$7+'1.설계입력'!$C$34)*COS(B1776+F1776)-'1.설계입력'!$C$8*COS('1.설계입력'!$C$15*B1776)</f>
        <v>78.774889500262589</v>
      </c>
      <c r="H1776" s="40">
        <f>-('1.설계입력'!$C$6+'1.설계입력'!$C$33)*SIN(B1776)+('1.설계입력'!$C$7+'1.설계입력'!$C$34)*SIN(B1776+F1776)+'1.설계입력'!$C$8*SIN('1.설계입력'!$C$15*B1776)</f>
        <v>7.9583513193130093</v>
      </c>
      <c r="I1776" s="40">
        <f t="shared" si="82"/>
        <v>79.186428321419527</v>
      </c>
      <c r="J1776" s="40">
        <f t="shared" si="83"/>
        <v>79.175871144561413</v>
      </c>
      <c r="K1776" s="38" t="str">
        <f>IF(OR(A1776&gt;180,'1.설계입력'!$C$39&gt;=1),"",'1.설계입력'!$C$34*(1-SIN(B1776)/SQRT(1+'1.설계입력'!$C$39^2-2*'1.설계입력'!$C$39*COS(B1776)))-'1.설계입력'!$C$33*(1-'1.설계입력'!$C$39*COS(B1776)-SQRT(MAX(0,1-'1.설계입력'!$C$39^2))*SIN(B1776))/SQRT(1+'1.설계입력'!$C$39^2-2*'1.설계입력'!$C$39*COS(B1776)))</f>
        <v/>
      </c>
    </row>
    <row r="1777" spans="1:11" x14ac:dyDescent="0.3">
      <c r="A1777" s="40">
        <f>A1776+'1.설계입력'!$C$12</f>
        <v>354.19999999998845</v>
      </c>
      <c r="B1777" s="40">
        <f t="shared" si="81"/>
        <v>6.1819562105637136</v>
      </c>
      <c r="C1777" s="40">
        <f>ATAN2('1.설계입력'!$C$6/('1.설계입력'!$C$8*'1.설계입력'!$C$15)-COS((1-'1.설계입력'!$C$15)*B1777),SIN((1-'1.설계입력'!$C$15)*B1777))</f>
        <v>-0.33718393534228358</v>
      </c>
      <c r="D1777" s="40">
        <f>'1.설계입력'!$C$6*COS(B1777)-'1.설계입력'!$C$7*COS(B1777+C1777)-'1.설계입력'!$C$8*COS('1.설계입력'!$C$15*B1777)</f>
        <v>78.882004433092149</v>
      </c>
      <c r="E1777" s="40">
        <f>-'1.설계입력'!$C$6*SIN(B1777)+'1.설계입력'!$C$7*SIN(B1777+C1777)+'1.설계입력'!$C$8*SIN('1.설계입력'!$C$15*B1777)</f>
        <v>7.7706200300912629</v>
      </c>
      <c r="F1777" s="40">
        <f>ATAN2(('1.설계입력'!$C$6+'1.설계입력'!$C$33)/('1.설계입력'!$C$8*'1.설계입력'!$C$15)-COS((1-'1.설계입력'!$C$15)*B1777),SIN((1-'1.설계입력'!$C$15)*B1777))</f>
        <v>-0.33719177034903952</v>
      </c>
      <c r="G1777" s="40">
        <f>('1.설계입력'!$C$6+'1.설계입력'!$C$33)*COS(B1777)-('1.설계입력'!$C$7+'1.설계입력'!$C$34)*COS(B1777+F1777)-'1.설계입력'!$C$8*COS('1.설계입력'!$C$15*B1777)</f>
        <v>78.871599679430531</v>
      </c>
      <c r="H1777" s="40">
        <f>-('1.설계입력'!$C$6+'1.설계입력'!$C$33)*SIN(B1777)+('1.설계입력'!$C$7+'1.설계입력'!$C$34)*SIN(B1777+F1777)+'1.설계입력'!$C$8*SIN('1.설계입력'!$C$15*B1777)</f>
        <v>7.7668398468199884</v>
      </c>
      <c r="I1777" s="40">
        <f t="shared" si="82"/>
        <v>79.263819987649001</v>
      </c>
      <c r="J1777" s="40">
        <f t="shared" si="83"/>
        <v>79.253094811486676</v>
      </c>
      <c r="K1777" s="38" t="str">
        <f>IF(OR(A1777&gt;180,'1.설계입력'!$C$39&gt;=1),"",'1.설계입력'!$C$34*(1-SIN(B1777)/SQRT(1+'1.설계입력'!$C$39^2-2*'1.설계입력'!$C$39*COS(B1777)))-'1.설계입력'!$C$33*(1-'1.설계입력'!$C$39*COS(B1777)-SQRT(MAX(0,1-'1.설계입력'!$C$39^2))*SIN(B1777))/SQRT(1+'1.설계입력'!$C$39^2-2*'1.설계입력'!$C$39*COS(B1777)))</f>
        <v/>
      </c>
    </row>
    <row r="1778" spans="1:11" x14ac:dyDescent="0.3">
      <c r="A1778" s="40">
        <f>A1777+'1.설계입력'!$C$12</f>
        <v>354.39999999998844</v>
      </c>
      <c r="B1778" s="40">
        <f t="shared" si="81"/>
        <v>6.185446869067702</v>
      </c>
      <c r="C1778" s="40">
        <f>ATAN2('1.설계입력'!$C$6/('1.설계입력'!$C$8*'1.설계입력'!$C$15)-COS((1-'1.설계입력'!$C$15)*B1778),SIN((1-'1.설계입력'!$C$15)*B1778))</f>
        <v>-0.28120328674796441</v>
      </c>
      <c r="D1778" s="40">
        <f>'1.설계입력'!$C$6*COS(B1778)-'1.설계입력'!$C$7*COS(B1778+C1778)-'1.설계입력'!$C$8*COS('1.설계입력'!$C$15*B1778)</f>
        <v>78.971429893456929</v>
      </c>
      <c r="E1778" s="40">
        <f>-'1.설계입력'!$C$6*SIN(B1778)+'1.설계입력'!$C$7*SIN(B1778+C1778)+'1.설계입력'!$C$8*SIN('1.설계입력'!$C$15*B1778)</f>
        <v>7.5640354191896222</v>
      </c>
      <c r="F1778" s="40">
        <f>ATAN2(('1.설계입력'!$C$6+'1.설계입력'!$C$33)/('1.설계입력'!$C$8*'1.설계입력'!$C$15)-COS((1-'1.설계입력'!$C$15)*B1778),SIN((1-'1.설계입력'!$C$15)*B1778))</f>
        <v>-0.28120969276775304</v>
      </c>
      <c r="G1778" s="40">
        <f>('1.설계입력'!$C$6+'1.설계입력'!$C$33)*COS(B1778)-('1.설계입력'!$C$7+'1.설계입력'!$C$34)*COS(B1778+F1778)-'1.설계입력'!$C$8*COS('1.설계입력'!$C$15*B1778)</f>
        <v>78.960828828220002</v>
      </c>
      <c r="H1778" s="40">
        <f>-('1.설계입력'!$C$6+'1.설계입력'!$C$33)*SIN(B1778)+('1.설계입력'!$C$7+'1.설계입력'!$C$34)*SIN(B1778+F1778)+'1.설계입력'!$C$8*SIN('1.설계입력'!$C$15*B1778)</f>
        <v>7.5607125642205517</v>
      </c>
      <c r="I1778" s="40">
        <f t="shared" si="82"/>
        <v>79.332851778061894</v>
      </c>
      <c r="J1778" s="40">
        <f t="shared" si="83"/>
        <v>79.321982222573212</v>
      </c>
      <c r="K1778" s="38" t="str">
        <f>IF(OR(A1778&gt;180,'1.설계입력'!$C$39&gt;=1),"",'1.설계입력'!$C$34*(1-SIN(B1778)/SQRT(1+'1.설계입력'!$C$39^2-2*'1.설계입력'!$C$39*COS(B1778)))-'1.설계입력'!$C$33*(1-'1.설계입력'!$C$39*COS(B1778)-SQRT(MAX(0,1-'1.설계입력'!$C$39^2))*SIN(B1778))/SQRT(1+'1.설계입력'!$C$39^2-2*'1.설계입력'!$C$39*COS(B1778)))</f>
        <v/>
      </c>
    </row>
    <row r="1779" spans="1:11" x14ac:dyDescent="0.3">
      <c r="A1779" s="40">
        <f>A1778+'1.설계입력'!$C$12</f>
        <v>354.59999999998843</v>
      </c>
      <c r="B1779" s="40">
        <f t="shared" si="81"/>
        <v>6.1889375275716905</v>
      </c>
      <c r="C1779" s="40">
        <f>ATAN2('1.설계입력'!$C$6/('1.설계입력'!$C$8*'1.설계입력'!$C$15)-COS((1-'1.설계입력'!$C$15)*B1779),SIN((1-'1.설계입력'!$C$15)*B1779))</f>
        <v>-0.22467679145982378</v>
      </c>
      <c r="D1779" s="40">
        <f>'1.설계입력'!$C$6*COS(B1779)-'1.설계입력'!$C$7*COS(B1779+C1779)-'1.설계입력'!$C$8*COS('1.설계입력'!$C$15*B1779)</f>
        <v>79.051313936686967</v>
      </c>
      <c r="E1779" s="40">
        <f>-'1.설계입력'!$C$6*SIN(B1779)+'1.설계입력'!$C$7*SIN(B1779+C1779)+'1.설계입력'!$C$8*SIN('1.설계입력'!$C$15*B1779)</f>
        <v>7.3443773958824599</v>
      </c>
      <c r="F1779" s="40">
        <f>ATAN2(('1.설계입력'!$C$6+'1.설계입력'!$C$33)/('1.설계입력'!$C$8*'1.설계입력'!$C$15)-COS((1-'1.설계입력'!$C$15)*B1779),SIN((1-'1.설계입력'!$C$15)*B1779))</f>
        <v>-0.22468182951953533</v>
      </c>
      <c r="G1779" s="40">
        <f>('1.설계입력'!$C$6+'1.설계입력'!$C$33)*COS(B1779)-('1.설계입력'!$C$7+'1.설계입력'!$C$34)*COS(B1779+F1779)-'1.설계입력'!$C$8*COS('1.설계입력'!$C$15*B1779)</f>
        <v>79.040542483463994</v>
      </c>
      <c r="H1779" s="40">
        <f>-('1.설계입력'!$C$6+'1.설계입력'!$C$33)*SIN(B1779)+('1.설계입력'!$C$7+'1.설계입력'!$C$34)*SIN(B1779+F1779)+'1.설계입력'!$C$8*SIN('1.설계입력'!$C$15*B1779)</f>
        <v>7.341526766447716</v>
      </c>
      <c r="I1779" s="40">
        <f t="shared" si="82"/>
        <v>79.391750921930097</v>
      </c>
      <c r="J1779" s="40">
        <f t="shared" si="83"/>
        <v>79.380761972550658</v>
      </c>
      <c r="K1779" s="38" t="str">
        <f>IF(OR(A1779&gt;180,'1.설계입력'!$C$39&gt;=1),"",'1.설계입력'!$C$34*(1-SIN(B1779)/SQRT(1+'1.설계입력'!$C$39^2-2*'1.설계입력'!$C$39*COS(B1779)))-'1.설계입력'!$C$33*(1-'1.설계입력'!$C$39*COS(B1779)-SQRT(MAX(0,1-'1.설계입력'!$C$39^2))*SIN(B1779))/SQRT(1+'1.설계입력'!$C$39^2-2*'1.설계입력'!$C$39*COS(B1779)))</f>
        <v/>
      </c>
    </row>
    <row r="1780" spans="1:11" x14ac:dyDescent="0.3">
      <c r="A1780" s="40">
        <f>A1779+'1.설계입력'!$C$12</f>
        <v>354.79999999998842</v>
      </c>
      <c r="B1780" s="40">
        <f t="shared" si="81"/>
        <v>6.1924281860756789</v>
      </c>
      <c r="C1780" s="40">
        <f>ATAN2('1.설계입력'!$C$6/('1.설계입력'!$C$8*'1.설계입력'!$C$15)-COS((1-'1.설계입력'!$C$15)*B1780),SIN((1-'1.설계입력'!$C$15)*B1780))</f>
        <v>-0.16773840826926631</v>
      </c>
      <c r="D1780" s="40">
        <f>'1.설계입력'!$C$6*COS(B1780)-'1.설계입력'!$C$7*COS(B1780+C1780)-'1.설계입력'!$C$8*COS('1.설계입력'!$C$15*B1780)</f>
        <v>79.119839457995056</v>
      </c>
      <c r="E1780" s="40">
        <f>-'1.설계입력'!$C$6*SIN(B1780)+'1.설계입력'!$C$7*SIN(B1780+C1780)+'1.설계입력'!$C$8*SIN('1.설계입력'!$C$15*B1780)</f>
        <v>7.1135734957746042</v>
      </c>
      <c r="F1780" s="40">
        <f>ATAN2(('1.설계입력'!$C$6+'1.설계입력'!$C$33)/('1.설계입력'!$C$8*'1.설계입력'!$C$15)-COS((1-'1.설계입력'!$C$15)*B1780),SIN((1-'1.설계입력'!$C$15)*B1780))</f>
        <v>-0.16774212463870217</v>
      </c>
      <c r="G1780" s="40">
        <f>('1.설계입력'!$C$6+'1.설계입력'!$C$33)*COS(B1780)-('1.설계입력'!$C$7+'1.설계입력'!$C$34)*COS(B1780+F1780)-'1.설계입력'!$C$8*COS('1.설계입력'!$C$15*B1780)</f>
        <v>79.108925141287983</v>
      </c>
      <c r="H1780" s="40">
        <f>-('1.설계입력'!$C$6+'1.설계입력'!$C$33)*SIN(B1780)+('1.설계입력'!$C$7+'1.설계입력'!$C$34)*SIN(B1780+F1780)+'1.설계입력'!$C$8*SIN('1.설계입력'!$C$15*B1780)</f>
        <v>7.1112075606137219</v>
      </c>
      <c r="I1780" s="40">
        <f t="shared" si="82"/>
        <v>79.438982393650392</v>
      </c>
      <c r="J1780" s="40">
        <f t="shared" si="83"/>
        <v>79.427900072833566</v>
      </c>
      <c r="K1780" s="38" t="str">
        <f>IF(OR(A1780&gt;180,'1.설계입력'!$C$39&gt;=1),"",'1.설계입력'!$C$34*(1-SIN(B1780)/SQRT(1+'1.설계입력'!$C$39^2-2*'1.설계입력'!$C$39*COS(B1780)))-'1.설계입력'!$C$33*(1-'1.설계입력'!$C$39*COS(B1780)-SQRT(MAX(0,1-'1.설계입력'!$C$39^2))*SIN(B1780))/SQRT(1+'1.설계입력'!$C$39^2-2*'1.설계입력'!$C$39*COS(B1780)))</f>
        <v/>
      </c>
    </row>
    <row r="1781" spans="1:11" x14ac:dyDescent="0.3">
      <c r="A1781" s="40">
        <f>A1780+'1.설계입력'!$C$12</f>
        <v>354.9999999999884</v>
      </c>
      <c r="B1781" s="40">
        <f t="shared" si="81"/>
        <v>6.1959188445796674</v>
      </c>
      <c r="C1781" s="40">
        <f>ATAN2('1.설계입력'!$C$6/('1.설계입력'!$C$8*'1.설계입력'!$C$15)-COS((1-'1.설계입력'!$C$15)*B1781),SIN((1-'1.설계입력'!$C$15)*B1781))</f>
        <v>-0.11050565595753177</v>
      </c>
      <c r="D1781" s="40">
        <f>'1.설계입력'!$C$6*COS(B1781)-'1.설계입력'!$C$7*COS(B1781+C1781)-'1.설계입력'!$C$8*COS('1.설계입력'!$C$15*B1781)</f>
        <v>79.17547714696498</v>
      </c>
      <c r="E1781" s="40">
        <f>-'1.설계입력'!$C$6*SIN(B1781)+'1.설계입력'!$C$7*SIN(B1781+C1781)+'1.설계입력'!$C$8*SIN('1.설계입력'!$C$15*B1781)</f>
        <v>6.8738596506561631</v>
      </c>
      <c r="F1781" s="40">
        <f>ATAN2(('1.설계입력'!$C$6+'1.설계입력'!$C$33)/('1.설계입력'!$C$8*'1.설계입력'!$C$15)-COS((1-'1.설계입력'!$C$15)*B1781),SIN((1-'1.설계입력'!$C$15)*B1781))</f>
        <v>-0.11050808382073776</v>
      </c>
      <c r="G1781" s="40">
        <f>('1.설계입력'!$C$6+'1.설계입력'!$C$33)*COS(B1781)-('1.설계입력'!$C$7+'1.설계입력'!$C$34)*COS(B1781+F1781)-'1.설계입력'!$C$8*COS('1.설계입력'!$C$15*B1781)</f>
        <v>79.164448750703713</v>
      </c>
      <c r="H1781" s="40">
        <f>-('1.설계입력'!$C$6+'1.설계입력'!$C$33)*SIN(B1781)+('1.설계입력'!$C$7+'1.설계입력'!$C$34)*SIN(B1781+F1781)+'1.설계입력'!$C$8*SIN('1.설계입력'!$C$15*B1781)</f>
        <v>6.8719883949524281</v>
      </c>
      <c r="I1781" s="40">
        <f t="shared" si="82"/>
        <v>79.473304498721404</v>
      </c>
      <c r="J1781" s="40">
        <f t="shared" si="83"/>
        <v>79.46215558681476</v>
      </c>
      <c r="K1781" s="38" t="str">
        <f>IF(OR(A1781&gt;180,'1.설계입력'!$C$39&gt;=1),"",'1.설계입력'!$C$34*(1-SIN(B1781)/SQRT(1+'1.설계입력'!$C$39^2-2*'1.설계입력'!$C$39*COS(B1781)))-'1.설계입력'!$C$33*(1-'1.설계입력'!$C$39*COS(B1781)-SQRT(MAX(0,1-'1.설계입력'!$C$39^2))*SIN(B1781))/SQRT(1+'1.설계입력'!$C$39^2-2*'1.설계입력'!$C$39*COS(B1781)))</f>
        <v/>
      </c>
    </row>
    <row r="1782" spans="1:11" x14ac:dyDescent="0.3">
      <c r="A1782" s="40">
        <f>A1781+'1.설계입력'!$C$12</f>
        <v>355.19999999998839</v>
      </c>
      <c r="B1782" s="40">
        <f t="shared" si="81"/>
        <v>6.1994095030836558</v>
      </c>
      <c r="C1782" s="40">
        <f>ATAN2('1.설계입력'!$C$6/('1.설계입력'!$C$8*'1.설계입력'!$C$15)-COS((1-'1.설계입력'!$C$15)*B1782),SIN((1-'1.설계입력'!$C$15)*B1782))</f>
        <v>-5.3084818944189857E-2</v>
      </c>
      <c r="D1782" s="40">
        <f>'1.설계입력'!$C$6*COS(B1782)-'1.설계입력'!$C$7*COS(B1782+C1782)-'1.설계입력'!$C$8*COS('1.설계입력'!$C$15*B1782)</f>
        <v>79.217039082331084</v>
      </c>
      <c r="E1782" s="40">
        <f>-'1.설계입력'!$C$6*SIN(B1782)+'1.설계입력'!$C$7*SIN(B1782+C1782)+'1.설계입력'!$C$8*SIN('1.설계입력'!$C$15*B1782)</f>
        <v>6.6277156062224174</v>
      </c>
      <c r="F1782" s="40">
        <f>ATAN2(('1.설계입력'!$C$6+'1.설계입력'!$C$33)/('1.설계입력'!$C$8*'1.설계입력'!$C$15)-COS((1-'1.설계입력'!$C$15)*B1782),SIN((1-'1.설계입력'!$C$15)*B1782))</f>
        <v>-5.3085979554383371E-2</v>
      </c>
      <c r="G1782" s="40">
        <f>('1.설계입력'!$C$6+'1.설계입력'!$C$33)*COS(B1782)-('1.설계입력'!$C$7+'1.설계입력'!$C$34)*COS(B1782+F1782)-'1.설계입력'!$C$8*COS('1.설계입력'!$C$15*B1782)</f>
        <v>79.205926330664497</v>
      </c>
      <c r="H1782" s="40">
        <f>-('1.설계입력'!$C$6+'1.설계입력'!$C$33)*SIN(B1782)+('1.설계입력'!$C$7+'1.설계입력'!$C$34)*SIN(B1782+F1782)+'1.설계입력'!$C$8*SIN('1.설계입력'!$C$15*B1782)</f>
        <v>6.6263464830215586</v>
      </c>
      <c r="I1782" s="40">
        <f t="shared" si="82"/>
        <v>79.493810420236713</v>
      </c>
      <c r="J1782" s="40">
        <f t="shared" si="83"/>
        <v>79.482622211472759</v>
      </c>
      <c r="K1782" s="38" t="str">
        <f>IF(OR(A1782&gt;180,'1.설계입력'!$C$39&gt;=1),"",'1.설계입력'!$C$34*(1-SIN(B1782)/SQRT(1+'1.설계입력'!$C$39^2-2*'1.설계입력'!$C$39*COS(B1782)))-'1.설계입력'!$C$33*(1-'1.설계입력'!$C$39*COS(B1782)-SQRT(MAX(0,1-'1.설계입력'!$C$39^2))*SIN(B1782))/SQRT(1+'1.설계입력'!$C$39^2-2*'1.설계입력'!$C$39*COS(B1782)))</f>
        <v/>
      </c>
    </row>
    <row r="1783" spans="1:11" x14ac:dyDescent="0.3">
      <c r="A1783" s="40">
        <f>A1782+'1.설계입력'!$C$12</f>
        <v>355.39999999998838</v>
      </c>
      <c r="B1783" s="40">
        <f t="shared" si="81"/>
        <v>6.2029001615876442</v>
      </c>
      <c r="C1783" s="40">
        <f>ATAN2('1.설계입력'!$C$6/('1.설계입력'!$C$8*'1.설계입력'!$C$15)-COS((1-'1.설계입력'!$C$15)*B1783),SIN((1-'1.설계입력'!$C$15)*B1783))</f>
        <v>4.4247711466049444E-3</v>
      </c>
      <c r="D1783" s="40">
        <f>'1.설계입력'!$C$6*COS(B1783)-'1.설계입력'!$C$7*COS(B1783+C1783)-'1.설계입력'!$C$8*COS('1.설계입력'!$C$15*B1783)</f>
        <v>79.243718183066875</v>
      </c>
      <c r="E1783" s="40">
        <f>-'1.설계입력'!$C$6*SIN(B1783)+'1.설계입력'!$C$7*SIN(B1783+C1783)+'1.설계입력'!$C$8*SIN('1.설계입력'!$C$15*B1783)</f>
        <v>6.3777959647712557</v>
      </c>
      <c r="F1783" s="40">
        <f>ATAN2(('1.설계입력'!$C$6+'1.설계입력'!$C$33)/('1.설계입력'!$C$8*'1.설계입력'!$C$15)-COS((1-'1.설계입력'!$C$15)*B1783),SIN((1-'1.설계입력'!$C$15)*B1783))</f>
        <v>4.4248677468075644E-3</v>
      </c>
      <c r="G1783" s="40">
        <f>('1.설계입력'!$C$6+'1.설계입력'!$C$33)*COS(B1783)-('1.설계입력'!$C$7+'1.설계입력'!$C$34)*COS(B1783+F1783)-'1.설계입력'!$C$8*COS('1.설계입력'!$C$15*B1783)</f>
        <v>79.232551434950352</v>
      </c>
      <c r="H1783" s="40">
        <f>-('1.설계입력'!$C$6+'1.설계입력'!$C$33)*SIN(B1783)+('1.설계입력'!$C$7+'1.설계입력'!$C$34)*SIN(B1783+F1783)+'1.설계입력'!$C$8*SIN('1.설계입력'!$C$15*B1783)</f>
        <v>6.3769338543303649</v>
      </c>
      <c r="I1783" s="40">
        <f t="shared" si="82"/>
        <v>79.499956936124036</v>
      </c>
      <c r="J1783" s="40">
        <f t="shared" si="83"/>
        <v>79.488757018049782</v>
      </c>
      <c r="K1783" s="38" t="str">
        <f>IF(OR(A1783&gt;180,'1.설계입력'!$C$39&gt;=1),"",'1.설계입력'!$C$34*(1-SIN(B1783)/SQRT(1+'1.설계입력'!$C$39^2-2*'1.설계입력'!$C$39*COS(B1783)))-'1.설계입력'!$C$33*(1-'1.설계입력'!$C$39*COS(B1783)-SQRT(MAX(0,1-'1.설계입력'!$C$39^2))*SIN(B1783))/SQRT(1+'1.설계입력'!$C$39^2-2*'1.설계입력'!$C$39*COS(B1783)))</f>
        <v/>
      </c>
    </row>
    <row r="1784" spans="1:11" x14ac:dyDescent="0.3">
      <c r="A1784" s="40">
        <f>A1783+'1.설계입력'!$C$12</f>
        <v>355.59999999998837</v>
      </c>
      <c r="B1784" s="40">
        <f t="shared" si="81"/>
        <v>6.2063908200916327</v>
      </c>
      <c r="C1784" s="40">
        <f>ATAN2('1.설계입력'!$C$6/('1.설계입력'!$C$8*'1.설계입력'!$C$15)-COS((1-'1.설계입력'!$C$15)*B1784),SIN((1-'1.설계입력'!$C$15)*B1784))</f>
        <v>6.1927002469125317E-2</v>
      </c>
      <c r="D1784" s="40">
        <f>'1.설계입력'!$C$6*COS(B1784)-'1.설계입력'!$C$7*COS(B1784+C1784)-'1.설계입력'!$C$8*COS('1.설계입력'!$C$15*B1784)</f>
        <v>79.255113834051329</v>
      </c>
      <c r="E1784" s="40">
        <f>-'1.설계입력'!$C$6*SIN(B1784)+'1.설계입력'!$C$7*SIN(B1784+C1784)+'1.설계입력'!$C$8*SIN('1.설계입력'!$C$15*B1784)</f>
        <v>6.1268578482055176</v>
      </c>
      <c r="F1784" s="40">
        <f>ATAN2(('1.설계입력'!$C$6+'1.설계입력'!$C$33)/('1.설계입력'!$C$8*'1.설계입력'!$C$15)-COS((1-'1.설계입력'!$C$15)*B1784),SIN((1-'1.설계입력'!$C$15)*B1784))</f>
        <v>6.1928357112719351E-2</v>
      </c>
      <c r="G1784" s="40">
        <f>('1.설계입력'!$C$6+'1.설계입력'!$C$33)*COS(B1784)-('1.설계입력'!$C$7+'1.설계입력'!$C$34)*COS(B1784+F1784)-'1.설계입력'!$C$8*COS('1.설계입력'!$C$15*B1784)</f>
        <v>79.243923785006388</v>
      </c>
      <c r="H1784" s="40">
        <f>-('1.설계입력'!$C$6+'1.설계입력'!$C$33)*SIN(B1784)+('1.설계입력'!$C$7+'1.설계입력'!$C$34)*SIN(B1784+F1784)+'1.설계입력'!$C$8*SIN('1.설계입력'!$C$15*B1784)</f>
        <v>6.1265050259763951</v>
      </c>
      <c r="I1784" s="40">
        <f t="shared" si="82"/>
        <v>79.491581038123485</v>
      </c>
      <c r="J1784" s="40">
        <f t="shared" si="83"/>
        <v>79.480397084295035</v>
      </c>
      <c r="K1784" s="38" t="str">
        <f>IF(OR(A1784&gt;180,'1.설계입력'!$C$39&gt;=1),"",'1.설계입력'!$C$34*(1-SIN(B1784)/SQRT(1+'1.설계입력'!$C$39^2-2*'1.설계입력'!$C$39*COS(B1784)))-'1.설계입력'!$C$33*(1-'1.설계입력'!$C$39*COS(B1784)-SQRT(MAX(0,1-'1.설계입력'!$C$39^2))*SIN(B1784))/SQRT(1+'1.설계입력'!$C$39^2-2*'1.설계입력'!$C$39*COS(B1784)))</f>
        <v/>
      </c>
    </row>
    <row r="1785" spans="1:11" x14ac:dyDescent="0.3">
      <c r="A1785" s="40">
        <f>A1784+'1.설계입력'!$C$12</f>
        <v>355.79999999998836</v>
      </c>
      <c r="B1785" s="40">
        <f t="shared" si="81"/>
        <v>6.2098814785956211</v>
      </c>
      <c r="C1785" s="40">
        <f>ATAN2('1.설계입력'!$C$6/('1.설계입력'!$C$8*'1.설계입력'!$C$15)-COS((1-'1.설계입력'!$C$15)*B1785),SIN((1-'1.설계입력'!$C$15)*B1785))</f>
        <v>0.11932549770710692</v>
      </c>
      <c r="D1785" s="40">
        <f>'1.설계입력'!$C$6*COS(B1785)-'1.설계입력'!$C$7*COS(B1785+C1785)-'1.설계입력'!$C$8*COS('1.설계입력'!$C$15*B1785)</f>
        <v>79.251243773968341</v>
      </c>
      <c r="E1785" s="40">
        <f>-'1.설계입력'!$C$6*SIN(B1785)+'1.설계입력'!$C$7*SIN(B1785+C1785)+'1.설계입력'!$C$8*SIN('1.설계입력'!$C$15*B1785)</f>
        <v>5.8776863292280028</v>
      </c>
      <c r="F1785" s="40">
        <f>ATAN2(('1.설계입력'!$C$6+'1.설계입력'!$C$33)/('1.설계입력'!$C$8*'1.설계입력'!$C$15)-COS((1-'1.설계입력'!$C$15)*B1785),SIN((1-'1.설계입력'!$C$15)*B1785))</f>
        <v>0.11932812213035461</v>
      </c>
      <c r="G1785" s="40">
        <f>('1.설계입력'!$C$6+'1.설계입력'!$C$33)*COS(B1785)-('1.설계입력'!$C$7+'1.설계입력'!$C$34)*COS(B1785+F1785)-'1.설계입력'!$C$8*COS('1.설계입력'!$C$15*B1785)</f>
        <v>79.240061159393477</v>
      </c>
      <c r="H1785" s="40">
        <f>-('1.설계입력'!$C$6+'1.설계입력'!$C$33)*SIN(B1785)+('1.설계입력'!$C$7+'1.설계입력'!$C$34)*SIN(B1785+F1785)+'1.설계입력'!$C$8*SIN('1.설계입력'!$C$15*B1785)</f>
        <v>5.877842442573967</v>
      </c>
      <c r="I1785" s="40">
        <f t="shared" si="82"/>
        <v>79.468904838973017</v>
      </c>
      <c r="J1785" s="40">
        <f t="shared" si="83"/>
        <v>79.457764405526433</v>
      </c>
      <c r="K1785" s="38" t="str">
        <f>IF(OR(A1785&gt;180,'1.설계입력'!$C$39&gt;=1),"",'1.설계입력'!$C$34*(1-SIN(B1785)/SQRT(1+'1.설계입력'!$C$39^2-2*'1.설계입력'!$C$39*COS(B1785)))-'1.설계입력'!$C$33*(1-'1.설계입력'!$C$39*COS(B1785)-SQRT(MAX(0,1-'1.설계입력'!$C$39^2))*SIN(B1785))/SQRT(1+'1.설계입력'!$C$39^2-2*'1.설계입력'!$C$39*COS(B1785)))</f>
        <v/>
      </c>
    </row>
    <row r="1786" spans="1:11" x14ac:dyDescent="0.3">
      <c r="A1786" s="40">
        <f>A1785+'1.설계입력'!$C$12</f>
        <v>355.99999999998835</v>
      </c>
      <c r="B1786" s="40">
        <f t="shared" si="81"/>
        <v>6.2133721370996096</v>
      </c>
      <c r="C1786" s="40">
        <f>ATAN2('1.설계입력'!$C$6/('1.설계입력'!$C$8*'1.설계입력'!$C$15)-COS((1-'1.설계입력'!$C$15)*B1786),SIN((1-'1.설계입력'!$C$15)*B1786))</f>
        <v>0.17652010854862643</v>
      </c>
      <c r="D1786" s="40">
        <f>'1.설계입력'!$C$6*COS(B1786)-'1.설계입력'!$C$7*COS(B1786+C1786)-'1.설계입력'!$C$8*COS('1.설계입력'!$C$15*B1786)</f>
        <v>79.232542193882125</v>
      </c>
      <c r="E1786" s="40">
        <f>-'1.설계입력'!$C$6*SIN(B1786)+'1.설계입력'!$C$7*SIN(B1786+C1786)+'1.설계입력'!$C$8*SIN('1.설계입력'!$C$15*B1786)</f>
        <v>5.6330188437843098</v>
      </c>
      <c r="F1786" s="40">
        <f>ATAN2(('1.설계입력'!$C$6+'1.설계입력'!$C$33)/('1.설계입력'!$C$8*'1.설계입력'!$C$15)-COS((1-'1.설계입력'!$C$15)*B1786),SIN((1-'1.설계입력'!$C$15)*B1786))</f>
        <v>0.17652402578321202</v>
      </c>
      <c r="G1786" s="40">
        <f>('1.설계입력'!$C$6+'1.설계입력'!$C$33)*COS(B1786)-('1.설계입력'!$C$7+'1.설계입력'!$C$34)*COS(B1786+F1786)-'1.설계입력'!$C$8*COS('1.설계입력'!$C$15*B1786)</f>
        <v>79.221397488610833</v>
      </c>
      <c r="H1786" s="40">
        <f>-('1.설계입력'!$C$6+'1.설계입력'!$C$33)*SIN(B1786)+('1.설계입력'!$C$7+'1.설계입력'!$C$34)*SIN(B1786+F1786)+'1.설계입력'!$C$8*SIN('1.설계입력'!$C$15*B1786)</f>
        <v>5.6336808969570864</v>
      </c>
      <c r="I1786" s="40">
        <f t="shared" si="82"/>
        <v>79.432528877027067</v>
      </c>
      <c r="J1786" s="40">
        <f t="shared" si="83"/>
        <v>79.421459193955982</v>
      </c>
      <c r="K1786" s="38" t="str">
        <f>IF(OR(A1786&gt;180,'1.설계입력'!$C$39&gt;=1),"",'1.설계입력'!$C$34*(1-SIN(B1786)/SQRT(1+'1.설계입력'!$C$39^2-2*'1.설계입력'!$C$39*COS(B1786)))-'1.설계입력'!$C$33*(1-'1.설계입력'!$C$39*COS(B1786)-SQRT(MAX(0,1-'1.설계입력'!$C$39^2))*SIN(B1786))/SQRT(1+'1.설계입력'!$C$39^2-2*'1.설계입력'!$C$39*COS(B1786)))</f>
        <v/>
      </c>
    </row>
    <row r="1787" spans="1:11" x14ac:dyDescent="0.3">
      <c r="A1787" s="40">
        <f>A1786+'1.설계입력'!$C$12</f>
        <v>356.19999999998834</v>
      </c>
      <c r="B1787" s="40">
        <f t="shared" si="81"/>
        <v>6.216862795603598</v>
      </c>
      <c r="C1787" s="40">
        <f>ATAN2('1.설계입력'!$C$6/('1.설계입력'!$C$8*'1.설계입력'!$C$15)-COS((1-'1.설계입력'!$C$15)*B1787),SIN((1-'1.설계입력'!$C$15)*B1787))</f>
        <v>0.23340311918692341</v>
      </c>
      <c r="D1787" s="40">
        <f>'1.설계입력'!$C$6*COS(B1787)-'1.설계입력'!$C$7*COS(B1787+C1787)-'1.설계입력'!$C$8*COS('1.설계입력'!$C$15*B1787)</f>
        <v>79.199843885734438</v>
      </c>
      <c r="E1787" s="40">
        <f>-'1.설계입력'!$C$6*SIN(B1787)+'1.설계입력'!$C$7*SIN(B1787+C1787)+'1.설계입력'!$C$8*SIN('1.설계입력'!$C$15*B1787)</f>
        <v>5.3954697827659013</v>
      </c>
      <c r="F1787" s="40">
        <f>ATAN2(('1.설계입력'!$C$6+'1.설계입력'!$C$33)/('1.설계입력'!$C$8*'1.설계입력'!$C$15)-COS((1-'1.설계입력'!$C$15)*B1787),SIN((1-'1.설계입력'!$C$15)*B1787))</f>
        <v>0.23340836434310916</v>
      </c>
      <c r="G1787" s="40">
        <f>('1.설계입력'!$C$6+'1.설계입력'!$C$33)*COS(B1787)-('1.설계입력'!$C$7+'1.설계입력'!$C$34)*COS(B1787+F1787)-'1.설계입력'!$C$8*COS('1.설계입력'!$C$15*B1787)</f>
        <v>79.188766994216664</v>
      </c>
      <c r="H1787" s="40">
        <f>-('1.설계입력'!$C$6+'1.설계입력'!$C$33)*SIN(B1787)+('1.설계입력'!$C$7+'1.설계입력'!$C$34)*SIN(B1787+F1787)+'1.설계입력'!$C$8*SIN('1.설계입력'!$C$15*B1787)</f>
        <v>5.3966321290387542</v>
      </c>
      <c r="I1787" s="40">
        <f t="shared" si="82"/>
        <v>79.383413668734647</v>
      </c>
      <c r="J1787" s="40">
        <f t="shared" si="83"/>
        <v>79.372441416404172</v>
      </c>
      <c r="K1787" s="38" t="str">
        <f>IF(OR(A1787&gt;180,'1.설계입력'!$C$39&gt;=1),"",'1.설계입력'!$C$34*(1-SIN(B1787)/SQRT(1+'1.설계입력'!$C$39^2-2*'1.설계입력'!$C$39*COS(B1787)))-'1.설계입력'!$C$33*(1-'1.설계입력'!$C$39*COS(B1787)-SQRT(MAX(0,1-'1.설계입력'!$C$39^2))*SIN(B1787))/SQRT(1+'1.설계입력'!$C$39^2-2*'1.설계입력'!$C$39*COS(B1787)))</f>
        <v/>
      </c>
    </row>
    <row r="1788" spans="1:11" x14ac:dyDescent="0.3">
      <c r="A1788" s="40">
        <f>A1787+'1.설계입력'!$C$12</f>
        <v>356.39999999998832</v>
      </c>
      <c r="B1788" s="40">
        <f t="shared" si="81"/>
        <v>6.2203534541075864</v>
      </c>
      <c r="C1788" s="40">
        <f>ATAN2('1.설계입력'!$C$6/('1.설계입력'!$C$8*'1.설계입력'!$C$15)-COS((1-'1.설계입력'!$C$15)*B1788),SIN((1-'1.설계입력'!$C$15)*B1788))</f>
        <v>0.2898548495727718</v>
      </c>
      <c r="D1788" s="40">
        <f>'1.설계입력'!$C$6*COS(B1788)-'1.설계입력'!$C$7*COS(B1788+C1788)-'1.설계입력'!$C$8*COS('1.설계입력'!$C$15*B1788)</f>
        <v>79.154354145455187</v>
      </c>
      <c r="E1788" s="40">
        <f>-'1.설계입력'!$C$6*SIN(B1788)+'1.설계입력'!$C$7*SIN(B1788+C1788)+'1.설계입력'!$C$8*SIN('1.설계입력'!$C$15*B1788)</f>
        <v>5.1674563602769865</v>
      </c>
      <c r="F1788" s="40">
        <f>ATAN2(('1.설계입력'!$C$6+'1.설계입력'!$C$33)/('1.설계입력'!$C$8*'1.설계입력'!$C$15)-COS((1-'1.설계입력'!$C$15)*B1788),SIN((1-'1.설계입력'!$C$15)*B1788))</f>
        <v>0.28986147106754534</v>
      </c>
      <c r="G1788" s="40">
        <f>('1.설계입력'!$C$6+'1.설계입력'!$C$33)*COS(B1788)-('1.설계입력'!$C$7+'1.설계입력'!$C$34)*COS(B1788+F1788)-'1.설계입력'!$C$8*COS('1.설계입력'!$C$15*B1788)</f>
        <v>79.143374075931945</v>
      </c>
      <c r="H1788" s="40">
        <f>-('1.설계입력'!$C$6+'1.설계입력'!$C$33)*SIN(B1788)+('1.설계입력'!$C$7+'1.설계입력'!$C$34)*SIN(B1788+F1788)+'1.설계입력'!$C$8*SIN('1.설계입력'!$C$15*B1788)</f>
        <v>5.1691106993393126</v>
      </c>
      <c r="I1788" s="40">
        <f t="shared" si="82"/>
        <v>79.322849075279095</v>
      </c>
      <c r="J1788" s="40">
        <f t="shared" si="83"/>
        <v>79.312000135823837</v>
      </c>
      <c r="K1788" s="38" t="str">
        <f>IF(OR(A1788&gt;180,'1.설계입력'!$C$39&gt;=1),"",'1.설계입력'!$C$34*(1-SIN(B1788)/SQRT(1+'1.설계입력'!$C$39^2-2*'1.설계입력'!$C$39*COS(B1788)))-'1.설계입력'!$C$33*(1-'1.설계입력'!$C$39*COS(B1788)-SQRT(MAX(0,1-'1.설계입력'!$C$39^2))*SIN(B1788))/SQRT(1+'1.설계입력'!$C$39^2-2*'1.설계입력'!$C$39*COS(B1788)))</f>
        <v/>
      </c>
    </row>
    <row r="1789" spans="1:11" x14ac:dyDescent="0.3">
      <c r="A1789" s="40">
        <f>A1788+'1.설계입력'!$C$12</f>
        <v>356.59999999998831</v>
      </c>
      <c r="B1789" s="40">
        <f t="shared" si="81"/>
        <v>6.2238441126115749</v>
      </c>
      <c r="C1789" s="40">
        <f>ATAN2('1.설계입력'!$C$6/('1.설계입력'!$C$8*'1.설계입력'!$C$15)-COS((1-'1.설계입력'!$C$15)*B1789),SIN((1-'1.설계입력'!$C$15)*B1789))</f>
        <v>0.34573826680870251</v>
      </c>
      <c r="D1789" s="40">
        <f>'1.설계입력'!$C$6*COS(B1789)-'1.설계입력'!$C$7*COS(B1789+C1789)-'1.설계입력'!$C$8*COS('1.설계입력'!$C$15*B1789)</f>
        <v>79.09760391436086</v>
      </c>
      <c r="E1789" s="40">
        <f>-'1.설계입력'!$C$6*SIN(B1789)+'1.설계입력'!$C$7*SIN(B1789+C1789)+'1.설계입력'!$C$8*SIN('1.설계입력'!$C$15*B1789)</f>
        <v>4.9511266500919344</v>
      </c>
      <c r="F1789" s="40">
        <f>ATAN2(('1.설계입력'!$C$6+'1.설계입력'!$C$33)/('1.설계입력'!$C$8*'1.설계입력'!$C$15)-COS((1-'1.설계입력'!$C$15)*B1789),SIN((1-'1.설계입력'!$C$15)*B1789))</f>
        <v>0.34574632812628303</v>
      </c>
      <c r="G1789" s="40">
        <f>('1.설계입력'!$C$6+'1.설계입력'!$C$33)*COS(B1789)-('1.설계입력'!$C$7+'1.설계입력'!$C$34)*COS(B1789+F1789)-'1.설계입력'!$C$8*COS('1.설계입력'!$C$15*B1789)</f>
        <v>79.086748428542606</v>
      </c>
      <c r="H1789" s="40">
        <f>-('1.설계입력'!$C$6+'1.설계입력'!$C$33)*SIN(B1789)+('1.설계입력'!$C$7+'1.설계입력'!$C$34)*SIN(B1789+F1789)+'1.설계입력'!$C$8*SIN('1.설계입력'!$C$15*B1789)</f>
        <v>4.9532620277217845</v>
      </c>
      <c r="I1789" s="40">
        <f t="shared" si="82"/>
        <v>79.252410689507514</v>
      </c>
      <c r="J1789" s="40">
        <f t="shared" si="83"/>
        <v>79.241709861125898</v>
      </c>
      <c r="K1789" s="38" t="str">
        <f>IF(OR(A1789&gt;180,'1.설계입력'!$C$39&gt;=1),"",'1.설계입력'!$C$34*(1-SIN(B1789)/SQRT(1+'1.설계입력'!$C$39^2-2*'1.설계입력'!$C$39*COS(B1789)))-'1.설계입력'!$C$33*(1-'1.설계입력'!$C$39*COS(B1789)-SQRT(MAX(0,1-'1.설계입력'!$C$39^2))*SIN(B1789))/SQRT(1+'1.설계입력'!$C$39^2-2*'1.설계입력'!$C$39*COS(B1789)))</f>
        <v/>
      </c>
    </row>
    <row r="1790" spans="1:11" x14ac:dyDescent="0.3">
      <c r="A1790" s="40">
        <f>A1789+'1.설계입력'!$C$12</f>
        <v>356.7999999999883</v>
      </c>
      <c r="B1790" s="40">
        <f t="shared" si="81"/>
        <v>6.2273347711155633</v>
      </c>
      <c r="C1790" s="40">
        <f>ATAN2('1.설계입력'!$C$6/('1.설계입력'!$C$8*'1.설계입력'!$C$15)-COS((1-'1.설계입력'!$C$15)*B1790),SIN((1-'1.설계입력'!$C$15)*B1790))</f>
        <v>0.40089206957183859</v>
      </c>
      <c r="D1790" s="40">
        <f>'1.설계입력'!$C$6*COS(B1790)-'1.설계입력'!$C$7*COS(B1790+C1790)-'1.설계입력'!$C$8*COS('1.설계입력'!$C$15*B1790)</f>
        <v>79.031389254717695</v>
      </c>
      <c r="E1790" s="40">
        <f>-'1.설계입력'!$C$6*SIN(B1790)+'1.설계입력'!$C$7*SIN(B1790+C1790)+'1.설계입력'!$C$8*SIN('1.설계입력'!$C$15*B1790)</f>
        <v>4.74829033153663</v>
      </c>
      <c r="F1790" s="40">
        <f>ATAN2(('1.설계입력'!$C$6+'1.설계입력'!$C$33)/('1.설계입력'!$C$8*'1.설계입력'!$C$15)-COS((1-'1.설계입력'!$C$15)*B1790),SIN((1-'1.설계입력'!$C$15)*B1790))</f>
        <v>0.40090165168703207</v>
      </c>
      <c r="G1790" s="40">
        <f>('1.설계입력'!$C$6+'1.설계입력'!$C$33)*COS(B1790)-('1.설계입력'!$C$7+'1.설계입력'!$C$34)*COS(B1790+F1790)-'1.설계입력'!$C$8*COS('1.설계입력'!$C$15*B1790)</f>
        <v>79.020684481447361</v>
      </c>
      <c r="H1790" s="40">
        <f>-('1.설계입력'!$C$6+'1.설계입력'!$C$33)*SIN(B1790)+('1.설계입력'!$C$7+'1.설계입력'!$C$34)*SIN(B1790+F1790)+'1.설계입력'!$C$8*SIN('1.설계입력'!$C$15*B1790)</f>
        <v>4.7508931369659564</v>
      </c>
      <c r="I1790" s="40">
        <f t="shared" si="82"/>
        <v>79.173901941253803</v>
      </c>
      <c r="J1790" s="40">
        <f t="shared" si="83"/>
        <v>79.163372600687794</v>
      </c>
      <c r="K1790" s="38" t="str">
        <f>IF(OR(A1790&gt;180,'1.설계입력'!$C$39&gt;=1),"",'1.설계입력'!$C$34*(1-SIN(B1790)/SQRT(1+'1.설계입력'!$C$39^2-2*'1.설계입력'!$C$39*COS(B1790)))-'1.설계입력'!$C$33*(1-'1.설계입력'!$C$39*COS(B1790)-SQRT(MAX(0,1-'1.설계입력'!$C$39^2))*SIN(B1790))/SQRT(1+'1.설계입력'!$C$39^2-2*'1.설계입력'!$C$39*COS(B1790)))</f>
        <v/>
      </c>
    </row>
    <row r="1791" spans="1:11" x14ac:dyDescent="0.3">
      <c r="A1791" s="40">
        <f>A1790+'1.설계입력'!$C$12</f>
        <v>356.99999999998829</v>
      </c>
      <c r="B1791" s="40">
        <f t="shared" si="81"/>
        <v>6.2308254296195518</v>
      </c>
      <c r="C1791" s="40">
        <f>ATAN2('1.설계입력'!$C$6/('1.설계입력'!$C$8*'1.설계입력'!$C$15)-COS((1-'1.설계입력'!$C$15)*B1791),SIN((1-'1.설계입력'!$C$15)*B1791))</f>
        <v>0.45512147352910715</v>
      </c>
      <c r="D1791" s="40">
        <f>'1.설계입력'!$C$6*COS(B1791)-'1.설계입력'!$C$7*COS(B1791+C1791)-'1.설계입력'!$C$8*COS('1.설계입력'!$C$15*B1791)</f>
        <v>78.957693581676054</v>
      </c>
      <c r="E1791" s="40">
        <f>-'1.설계입력'!$C$6*SIN(B1791)+'1.설계입력'!$C$7*SIN(B1791+C1791)+'1.설계입력'!$C$8*SIN('1.설계입력'!$C$15*B1791)</f>
        <v>4.5603521161572589</v>
      </c>
      <c r="F1791" s="40">
        <f>ATAN2(('1.설계입력'!$C$6+'1.설계입력'!$C$33)/('1.설계입력'!$C$8*'1.설계입력'!$C$15)-COS((1-'1.설계입력'!$C$15)*B1791),SIN((1-'1.설계입력'!$C$15)*B1791))</f>
        <v>0.45513267818204634</v>
      </c>
      <c r="G1791" s="40">
        <f>('1.설계입력'!$C$6+'1.설계입력'!$C$33)*COS(B1791)-('1.설계입력'!$C$7+'1.설계입력'!$C$34)*COS(B1791+F1791)-'1.설계입력'!$C$8*COS('1.설계입력'!$C$15*B1791)</f>
        <v>78.947163578303417</v>
      </c>
      <c r="H1791" s="40">
        <f>-('1.설계입력'!$C$6+'1.설계입력'!$C$33)*SIN(B1791)+('1.설계입력'!$C$7+'1.설계입력'!$C$34)*SIN(B1791+F1791)+'1.설계입력'!$C$8*SIN('1.설계입력'!$C$15*B1791)</f>
        <v>4.563406070073845</v>
      </c>
      <c r="I1791" s="40">
        <f t="shared" si="82"/>
        <v>79.089279849807639</v>
      </c>
      <c r="J1791" s="40">
        <f t="shared" si="83"/>
        <v>79.078943543902909</v>
      </c>
      <c r="K1791" s="38" t="str">
        <f>IF(OR(A1791&gt;180,'1.설계입력'!$C$39&gt;=1),"",'1.설계입력'!$C$34*(1-SIN(B1791)/SQRT(1+'1.설계입력'!$C$39^2-2*'1.설계입력'!$C$39*COS(B1791)))-'1.설계입력'!$C$33*(1-'1.설계입력'!$C$39*COS(B1791)-SQRT(MAX(0,1-'1.설계입력'!$C$39^2))*SIN(B1791))/SQRT(1+'1.설계입력'!$C$39^2-2*'1.설계입력'!$C$39*COS(B1791)))</f>
        <v/>
      </c>
    </row>
    <row r="1792" spans="1:11" x14ac:dyDescent="0.3">
      <c r="A1792" s="40">
        <f>A1791+'1.설계입력'!$C$12</f>
        <v>357.19999999998828</v>
      </c>
      <c r="B1792" s="40">
        <f t="shared" si="81"/>
        <v>6.2343160881235402</v>
      </c>
      <c r="C1792" s="40">
        <f>ATAN2('1.설계입력'!$C$6/('1.설계입력'!$C$8*'1.설계입력'!$C$15)-COS((1-'1.설계입력'!$C$15)*B1792),SIN((1-'1.설계입력'!$C$15)*B1792))</f>
        <v>0.50818553784882292</v>
      </c>
      <c r="D1792" s="40">
        <f>'1.설계입력'!$C$6*COS(B1792)-'1.설계입력'!$C$7*COS(B1792+C1792)-'1.설계입력'!$C$8*COS('1.설계입력'!$C$15*B1792)</f>
        <v>78.878589923879318</v>
      </c>
      <c r="E1792" s="40">
        <f>-'1.설계입력'!$C$6*SIN(B1792)+'1.설계입력'!$C$7*SIN(B1792+C1792)+'1.설계입력'!$C$8*SIN('1.설계입력'!$C$15*B1792)</f>
        <v>4.3882468974310749</v>
      </c>
      <c r="F1792" s="40">
        <f>ATAN2(('1.설계입력'!$C$6+'1.설계입력'!$C$33)/('1.설계입력'!$C$8*'1.설계입력'!$C$15)-COS((1-'1.설계입력'!$C$15)*B1792),SIN((1-'1.설계입력'!$C$15)*B1792))</f>
        <v>0.50819849193959865</v>
      </c>
      <c r="G1792" s="40">
        <f>('1.설계입력'!$C$6+'1.설계입력'!$C$33)*COS(B1792)-('1.설계입력'!$C$7+'1.설계입력'!$C$34)*COS(B1792+F1792)-'1.설계입력'!$C$8*COS('1.설계입력'!$C$15*B1792)</f>
        <v>78.868256161663624</v>
      </c>
      <c r="H1792" s="40">
        <f>-('1.설계입력'!$C$6+'1.설계입력'!$C$33)*SIN(B1792)+('1.설계입력'!$C$7+'1.설계입력'!$C$34)*SIN(B1792+F1792)+'1.설계입력'!$C$8*SIN('1.설계입력'!$C$15*B1792)</f>
        <v>4.3917330195974662</v>
      </c>
      <c r="I1792" s="40">
        <f t="shared" si="82"/>
        <v>79.000561132262405</v>
      </c>
      <c r="J1792" s="40">
        <f t="shared" si="83"/>
        <v>78.990437072453361</v>
      </c>
      <c r="K1792" s="38" t="str">
        <f>IF(OR(A1792&gt;180,'1.설계입력'!$C$39&gt;=1),"",'1.설계입력'!$C$34*(1-SIN(B1792)/SQRT(1+'1.설계입력'!$C$39^2-2*'1.설계입력'!$C$39*COS(B1792)))-'1.설계입력'!$C$33*(1-'1.설계입력'!$C$39*COS(B1792)-SQRT(MAX(0,1-'1.설계입력'!$C$39^2))*SIN(B1792))/SQRT(1+'1.설계입력'!$C$39^2-2*'1.설계입력'!$C$39*COS(B1792)))</f>
        <v/>
      </c>
    </row>
    <row r="1793" spans="1:11" x14ac:dyDescent="0.3">
      <c r="A1793" s="40">
        <f>A1792+'1.설계입력'!$C$12</f>
        <v>357.39999999998827</v>
      </c>
      <c r="B1793" s="40">
        <f t="shared" si="81"/>
        <v>6.2378067466275287</v>
      </c>
      <c r="C1793" s="40">
        <f>ATAN2('1.설계입력'!$C$6/('1.설계입력'!$C$8*'1.설계입력'!$C$15)-COS((1-'1.설계입력'!$C$15)*B1793),SIN((1-'1.설계입력'!$C$15)*B1793))</f>
        <v>0.55977923114486094</v>
      </c>
      <c r="D1793" s="40">
        <f>'1.설계입력'!$C$6*COS(B1793)-'1.설계입력'!$C$7*COS(B1793+C1793)-'1.설계입력'!$C$8*COS('1.설계입력'!$C$15*B1793)</f>
        <v>78.796118539862206</v>
      </c>
      <c r="E1793" s="40">
        <f>-'1.설계입력'!$C$6*SIN(B1793)+'1.설계입력'!$C$7*SIN(B1793+C1793)+'1.설계입력'!$C$8*SIN('1.설계입력'!$C$15*B1793)</f>
        <v>4.232374111555754</v>
      </c>
      <c r="F1793" s="40">
        <f>ATAN2(('1.설계입력'!$C$6+'1.설계입력'!$C$33)/('1.설계입력'!$C$8*'1.설계입력'!$C$15)-COS((1-'1.설계입력'!$C$15)*B1793),SIN((1-'1.설계입력'!$C$15)*B1793))</f>
        <v>0.55979409262762359</v>
      </c>
      <c r="G1793" s="40">
        <f>('1.설계입력'!$C$6+'1.설계입력'!$C$33)*COS(B1793)-('1.설계입력'!$C$7+'1.설계입력'!$C$34)*COS(B1793+F1793)-'1.설계입력'!$C$8*COS('1.설계입력'!$C$15*B1793)</f>
        <v>78.785999278061226</v>
      </c>
      <c r="H1793" s="40">
        <f>-('1.설계입력'!$C$6+'1.설계입력'!$C$33)*SIN(B1793)+('1.설계입력'!$C$7+'1.설계입력'!$C$34)*SIN(B1793+F1793)+'1.설계입력'!$C$8*SIN('1.설계입력'!$C$15*B1793)</f>
        <v>4.2362706504397094</v>
      </c>
      <c r="I1793" s="40">
        <f t="shared" si="82"/>
        <v>78.909703380307946</v>
      </c>
      <c r="J1793" s="40">
        <f t="shared" si="83"/>
        <v>78.899807802468317</v>
      </c>
      <c r="K1793" s="38" t="str">
        <f>IF(OR(A1793&gt;180,'1.설계입력'!$C$39&gt;=1),"",'1.설계입력'!$C$34*(1-SIN(B1793)/SQRT(1+'1.설계입력'!$C$39^2-2*'1.설계입력'!$C$39*COS(B1793)))-'1.설계입력'!$C$33*(1-'1.설계입력'!$C$39*COS(B1793)-SQRT(MAX(0,1-'1.설계입력'!$C$39^2))*SIN(B1793))/SQRT(1+'1.설계입력'!$C$39^2-2*'1.설계입력'!$C$39*COS(B1793)))</f>
        <v/>
      </c>
    </row>
    <row r="1794" spans="1:11" x14ac:dyDescent="0.3">
      <c r="A1794" s="40">
        <f>A1793+'1.설계입력'!$C$12</f>
        <v>357.59999999998826</v>
      </c>
      <c r="B1794" s="40">
        <f t="shared" si="81"/>
        <v>6.2412974051315171</v>
      </c>
      <c r="C1794" s="40">
        <f>ATAN2('1.설계입력'!$C$6/('1.설계입력'!$C$8*'1.설계입력'!$C$15)-COS((1-'1.설계입력'!$C$15)*B1794),SIN((1-'1.설계입력'!$C$15)*B1794))</f>
        <v>0.60950735153989466</v>
      </c>
      <c r="D1794" s="40">
        <f>'1.설계입력'!$C$6*COS(B1794)-'1.설계입력'!$C$7*COS(B1794+C1794)-'1.설계입력'!$C$8*COS('1.설계입력'!$C$15*B1794)</f>
        <v>78.712131923968315</v>
      </c>
      <c r="E1794" s="40">
        <f>-'1.설계입력'!$C$6*SIN(B1794)+'1.설계입력'!$C$7*SIN(B1794+C1794)+'1.설계입력'!$C$8*SIN('1.설계입력'!$C$15*B1794)</f>
        <v>4.0925260978816667</v>
      </c>
      <c r="F1794" s="40">
        <f>ATAN2(('1.설계입력'!$C$6+'1.설계입력'!$C$33)/('1.설계입력'!$C$8*'1.설계입력'!$C$15)-COS((1-'1.설계입력'!$C$15)*B1794),SIN((1-'1.설계입력'!$C$15)*B1794))</f>
        <v>0.60952431734864843</v>
      </c>
      <c r="G1794" s="40">
        <f>('1.설계입력'!$C$6+'1.설계입력'!$C$33)*COS(B1794)-('1.설계입력'!$C$7+'1.설계입력'!$C$34)*COS(B1794+F1794)-'1.설계입력'!$C$8*COS('1.설계입력'!$C$15*B1794)</f>
        <v>78.702241418626798</v>
      </c>
      <c r="H1794" s="40">
        <f>-('1.설계입력'!$C$6+'1.설계입력'!$C$33)*SIN(B1794)+('1.설계입력'!$C$7+'1.설계입력'!$C$34)*SIN(B1794+F1794)+'1.설계입력'!$C$8*SIN('1.설계입력'!$C$15*B1794)</f>
        <v>4.096808393361731</v>
      </c>
      <c r="I1794" s="40">
        <f t="shared" si="82"/>
        <v>78.818452673711093</v>
      </c>
      <c r="J1794" s="40">
        <f t="shared" si="83"/>
        <v>78.808798007124395</v>
      </c>
      <c r="K1794" s="38" t="str">
        <f>IF(OR(A1794&gt;180,'1.설계입력'!$C$39&gt;=1),"",'1.설계입력'!$C$34*(1-SIN(B1794)/SQRT(1+'1.설계입력'!$C$39^2-2*'1.설계입력'!$C$39*COS(B1794)))-'1.설계입력'!$C$33*(1-'1.설계입력'!$C$39*COS(B1794)-SQRT(MAX(0,1-'1.설계입력'!$C$39^2))*SIN(B1794))/SQRT(1+'1.설계입력'!$C$39^2-2*'1.설계입력'!$C$39*COS(B1794)))</f>
        <v/>
      </c>
    </row>
    <row r="1795" spans="1:11" x14ac:dyDescent="0.3">
      <c r="A1795" s="40">
        <f>A1794+'1.설계입력'!$C$12</f>
        <v>357.79999999998824</v>
      </c>
      <c r="B1795" s="40">
        <f t="shared" si="81"/>
        <v>6.2447880636355055</v>
      </c>
      <c r="C1795" s="40">
        <f>ATAN2('1.설계입력'!$C$6/('1.설계입력'!$C$8*'1.설계입력'!$C$15)-COS((1-'1.설계입력'!$C$15)*B1795),SIN((1-'1.설계입력'!$C$15)*B1795))</f>
        <v>0.65684553749825392</v>
      </c>
      <c r="D1795" s="40">
        <f>'1.설계입력'!$C$6*COS(B1795)-'1.설계입력'!$C$7*COS(B1795+C1795)-'1.설계입력'!$C$8*COS('1.설계입력'!$C$15*B1795)</f>
        <v>78.628093611638931</v>
      </c>
      <c r="E1795" s="40">
        <f>-'1.설계입력'!$C$6*SIN(B1795)+'1.설계입력'!$C$7*SIN(B1795+C1795)+'1.설계입력'!$C$8*SIN('1.설계입력'!$C$15*B1795)</f>
        <v>3.9678003503310899</v>
      </c>
      <c r="F1795" s="40">
        <f>ATAN2(('1.설계입력'!$C$6+'1.설계입력'!$C$33)/('1.설계입력'!$C$8*'1.설계입력'!$C$15)-COS((1-'1.설계입력'!$C$15)*B1795),SIN((1-'1.설계입력'!$C$15)*B1795))</f>
        <v>0.65686485423747942</v>
      </c>
      <c r="G1795" s="40">
        <f>('1.설계입력'!$C$6+'1.설계입력'!$C$33)*COS(B1795)-('1.설계입력'!$C$7+'1.설계입력'!$C$34)*COS(B1795+F1795)-'1.설계입력'!$C$8*COS('1.설계입력'!$C$15*B1795)</f>
        <v>78.618441074620677</v>
      </c>
      <c r="H1795" s="40">
        <f>-('1.설계입력'!$C$6+'1.설계입력'!$C$33)*SIN(B1795)+('1.설계입력'!$C$7+'1.설계입력'!$C$34)*SIN(B1795+F1795)+'1.설계입력'!$C$8*SIN('1.설계입력'!$C$15*B1795)</f>
        <v>3.9724405803211917</v>
      </c>
      <c r="I1795" s="40">
        <f t="shared" si="82"/>
        <v>78.728143281934081</v>
      </c>
      <c r="J1795" s="40">
        <f t="shared" si="83"/>
        <v>78.718737039969</v>
      </c>
      <c r="K1795" s="38" t="str">
        <f>IF(OR(A1795&gt;180,'1.설계입력'!$C$39&gt;=1),"",'1.설계입력'!$C$34*(1-SIN(B1795)/SQRT(1+'1.설계입력'!$C$39^2-2*'1.설계입력'!$C$39*COS(B1795)))-'1.설계입력'!$C$33*(1-'1.설계입력'!$C$39*COS(B1795)-SQRT(MAX(0,1-'1.설계입력'!$C$39^2))*SIN(B1795))/SQRT(1+'1.설계입력'!$C$39^2-2*'1.설계입력'!$C$39*COS(B1795)))</f>
        <v/>
      </c>
    </row>
    <row r="1796" spans="1:11" x14ac:dyDescent="0.3">
      <c r="A1796" s="40">
        <f>A1795+'1.설계입력'!$C$12</f>
        <v>357.99999999998823</v>
      </c>
      <c r="B1796" s="40">
        <f t="shared" si="81"/>
        <v>6.248278722139494</v>
      </c>
      <c r="C1796" s="40">
        <f>ATAN2('1.설계입력'!$C$6/('1.설계입력'!$C$8*'1.설계입력'!$C$15)-COS((1-'1.설계입력'!$C$15)*B1796),SIN((1-'1.설계입력'!$C$15)*B1796))</f>
        <v>0.70108025199433166</v>
      </c>
      <c r="D1796" s="40">
        <f>'1.설계입력'!$C$6*COS(B1796)-'1.설계입력'!$C$7*COS(B1796+C1796)-'1.설계입력'!$C$8*COS('1.설계입력'!$C$15*B1796)</f>
        <v>78.544807463496028</v>
      </c>
      <c r="E1796" s="40">
        <f>-'1.설계입력'!$C$6*SIN(B1796)+'1.설계입력'!$C$7*SIN(B1796+C1796)+'1.설계입력'!$C$8*SIN('1.설계입력'!$C$15*B1796)</f>
        <v>3.8564762430810036</v>
      </c>
      <c r="F1796" s="40">
        <f>ATAN2(('1.설계입력'!$C$6+'1.설계입력'!$C$33)/('1.설계입력'!$C$8*'1.설계입력'!$C$15)-COS((1-'1.설계입력'!$C$15)*B1796),SIN((1-'1.설계입력'!$C$15)*B1796))</f>
        <v>0.70110223036069075</v>
      </c>
      <c r="G1796" s="40">
        <f>('1.설계입력'!$C$6+'1.설계입력'!$C$33)*COS(B1796)-('1.설계입력'!$C$7+'1.설계입력'!$C$34)*COS(B1796+F1796)-'1.설계입력'!$C$8*COS('1.설계입력'!$C$15*B1796)</f>
        <v>78.535395636300521</v>
      </c>
      <c r="H1796" s="40">
        <f>-('1.설계입력'!$C$6+'1.설계입력'!$C$33)*SIN(B1796)+('1.설계입력'!$C$7+'1.설계입력'!$C$34)*SIN(B1796+F1796)+'1.설계입력'!$C$8*SIN('1.설계입력'!$C$15*B1796)</f>
        <v>3.8614429673842667</v>
      </c>
      <c r="I1796" s="40">
        <f t="shared" si="82"/>
        <v>78.639425153615591</v>
      </c>
      <c r="J1796" s="40">
        <f t="shared" si="83"/>
        <v>78.630268405624889</v>
      </c>
      <c r="K1796" s="38" t="str">
        <f>IF(OR(A1796&gt;180,'1.설계입력'!$C$39&gt;=1),"",'1.설계입력'!$C$34*(1-SIN(B1796)/SQRT(1+'1.설계입력'!$C$39^2-2*'1.설계입력'!$C$39*COS(B1796)))-'1.설계입력'!$C$33*(1-'1.설계입력'!$C$39*COS(B1796)-SQRT(MAX(0,1-'1.설계입력'!$C$39^2))*SIN(B1796))/SQRT(1+'1.설계입력'!$C$39^2-2*'1.설계입력'!$C$39*COS(B1796)))</f>
        <v/>
      </c>
    </row>
    <row r="1797" spans="1:11" x14ac:dyDescent="0.3">
      <c r="A1797" s="40">
        <f>A1796+'1.설계입력'!$C$12</f>
        <v>358.19999999998822</v>
      </c>
      <c r="B1797" s="40">
        <f t="shared" si="81"/>
        <v>6.2517693806434833</v>
      </c>
      <c r="C1797" s="40">
        <f>ATAN2('1.설계입력'!$C$6/('1.설계입력'!$C$8*'1.설계입력'!$C$15)-COS((1-'1.설계입력'!$C$15)*B1797),SIN((1-'1.설계입력'!$C$15)*B1797))</f>
        <v>0.74121343055860633</v>
      </c>
      <c r="D1797" s="40">
        <f>'1.설계입력'!$C$6*COS(B1797)-'1.설계입력'!$C$7*COS(B1797+C1797)-'1.설계입력'!$C$8*COS('1.설계입력'!$C$15*B1797)</f>
        <v>78.462037041806482</v>
      </c>
      <c r="E1797" s="40">
        <f>-'1.설계입력'!$C$6*SIN(B1797)+'1.설계입력'!$C$7*SIN(B1797+C1797)+'1.설계입력'!$C$8*SIN('1.설계입력'!$C$15*B1797)</f>
        <v>3.7558182396932618</v>
      </c>
      <c r="F1797" s="40">
        <f>ATAN2(('1.설계입력'!$C$6+'1.설계입력'!$C$33)/('1.설계입력'!$C$8*'1.설계입력'!$C$15)-COS((1-'1.설계입력'!$C$15)*B1797),SIN((1-'1.설계입력'!$C$15)*B1797))</f>
        <v>0.74123846462296339</v>
      </c>
      <c r="G1797" s="40">
        <f>('1.설계입력'!$C$6+'1.설계입력'!$C$33)*COS(B1797)-('1.설계입력'!$C$7+'1.설계입력'!$C$34)*COS(B1797+F1797)-'1.설계입력'!$C$8*COS('1.설계입력'!$C$15*B1797)</f>
        <v>78.452860161163855</v>
      </c>
      <c r="H1797" s="40">
        <f>-('1.설계입력'!$C$6+'1.설계입력'!$C$33)*SIN(B1797)+('1.설계입력'!$C$7+'1.설계입력'!$C$34)*SIN(B1797+F1797)+'1.설계입력'!$C$8*SIN('1.설계입력'!$C$15*B1797)</f>
        <v>3.7610755816204366</v>
      </c>
      <c r="I1797" s="40">
        <f t="shared" si="82"/>
        <v>78.551877300287515</v>
      </c>
      <c r="J1797" s="40">
        <f t="shared" si="83"/>
        <v>78.542962491860422</v>
      </c>
      <c r="K1797" s="38" t="str">
        <f>IF(OR(A1797&gt;180,'1.설계입력'!$C$39&gt;=1),"",'1.설계입력'!$C$34*(1-SIN(B1797)/SQRT(1+'1.설계입력'!$C$39^2-2*'1.설계입력'!$C$39*COS(B1797)))-'1.설계입력'!$C$33*(1-'1.설계입력'!$C$39*COS(B1797)-SQRT(MAX(0,1-'1.설계입력'!$C$39^2))*SIN(B1797))/SQRT(1+'1.설계입력'!$C$39^2-2*'1.설계입력'!$C$39*COS(B1797)))</f>
        <v/>
      </c>
    </row>
    <row r="1798" spans="1:11" x14ac:dyDescent="0.3">
      <c r="A1798" s="40">
        <f>A1797+'1.설계입력'!$C$12</f>
        <v>358.39999999998821</v>
      </c>
      <c r="B1798" s="40">
        <f t="shared" ref="B1798:B1861" si="84">RADIANS(A1798)</f>
        <v>6.2552600391474718</v>
      </c>
      <c r="C1798" s="40">
        <f>ATAN2('1.설계입력'!$C$6/('1.설계입력'!$C$8*'1.설계입력'!$C$15)-COS((1-'1.설계입력'!$C$15)*B1798),SIN((1-'1.설계입력'!$C$15)*B1798))</f>
        <v>0.77580564375676886</v>
      </c>
      <c r="D1798" s="40">
        <f>'1.설계입력'!$C$6*COS(B1798)-'1.설계입력'!$C$7*COS(B1798+C1798)-'1.설계입력'!$C$8*COS('1.설계입력'!$C$15*B1798)</f>
        <v>78.377944544388612</v>
      </c>
      <c r="E1798" s="40">
        <f>-'1.설계입력'!$C$6*SIN(B1798)+'1.설계입력'!$C$7*SIN(B1798+C1798)+'1.설계입력'!$C$8*SIN('1.설계입력'!$C$15*B1798)</f>
        <v>3.6617286037395074</v>
      </c>
      <c r="F1798" s="40">
        <f>ATAN2(('1.설계입력'!$C$6+'1.설계입력'!$C$33)/('1.설계입력'!$C$8*'1.설계입력'!$C$15)-COS((1-'1.설계입력'!$C$15)*B1798),SIN((1-'1.설계입력'!$C$15)*B1798))</f>
        <v>0.77583423593276912</v>
      </c>
      <c r="G1798" s="40">
        <f>('1.설계입력'!$C$6+'1.설계입력'!$C$33)*COS(B1798)-('1.설계입력'!$C$7+'1.설계입력'!$C$34)*COS(B1798+F1798)-'1.설계입력'!$C$8*COS('1.설계입력'!$C$15*B1798)</f>
        <v>78.368985322788603</v>
      </c>
      <c r="H1798" s="40">
        <f>-('1.설계입력'!$C$6+'1.설계입력'!$C$33)*SIN(B1798)+('1.설계입력'!$C$7+'1.설계입력'!$C$34)*SIN(B1798+F1798)+'1.설계입력'!$C$8*SIN('1.설계입력'!$C$15*B1798)</f>
        <v>3.6672347619258092</v>
      </c>
      <c r="I1798" s="40">
        <f t="shared" ref="I1798:I1805" si="85">SQRT(D1798^2+E1798^2)</f>
        <v>78.463433823474105</v>
      </c>
      <c r="J1798" s="40">
        <f t="shared" ref="J1798:J1805" si="86">SQRT(G1798^2+H1798^2)</f>
        <v>78.454741547739047</v>
      </c>
      <c r="K1798" s="38" t="str">
        <f>IF(OR(A1798&gt;180,'1.설계입력'!$C$39&gt;=1),"",'1.설계입력'!$C$34*(1-SIN(B1798)/SQRT(1+'1.설계입력'!$C$39^2-2*'1.설계입력'!$C$39*COS(B1798)))-'1.설계입력'!$C$33*(1-'1.설계입력'!$C$39*COS(B1798)-SQRT(MAX(0,1-'1.설계입력'!$C$39^2))*SIN(B1798))/SQRT(1+'1.설계입력'!$C$39^2-2*'1.설계입력'!$C$39*COS(B1798)))</f>
        <v/>
      </c>
    </row>
    <row r="1799" spans="1:11" x14ac:dyDescent="0.3">
      <c r="A1799" s="40">
        <f>A1798+'1.설계입력'!$C$12</f>
        <v>358.5999999999882</v>
      </c>
      <c r="B1799" s="40">
        <f t="shared" si="84"/>
        <v>6.2587506976514602</v>
      </c>
      <c r="C1799" s="40">
        <f>ATAN2('1.설계입력'!$C$6/('1.설계입력'!$C$8*'1.설계입력'!$C$15)-COS((1-'1.설계입력'!$C$15)*B1799),SIN((1-'1.설계입력'!$C$15)*B1799))</f>
        <v>0.80270817926392612</v>
      </c>
      <c r="D1799" s="40">
        <f>'1.설계입력'!$C$6*COS(B1799)-'1.설계입력'!$C$7*COS(B1799+C1799)-'1.설계입력'!$C$8*COS('1.설계입력'!$C$15*B1799)</f>
        <v>78.288226243572126</v>
      </c>
      <c r="E1799" s="40">
        <f>-'1.설계입력'!$C$6*SIN(B1799)+'1.설계입력'!$C$7*SIN(B1799+C1799)+'1.설계입력'!$C$8*SIN('1.설계입력'!$C$15*B1799)</f>
        <v>3.5680863660123472</v>
      </c>
      <c r="F1799" s="40">
        <f>ATAN2(('1.설계입력'!$C$6+'1.설계입력'!$C$33)/('1.설계입력'!$C$8*'1.설계입력'!$C$15)-COS((1-'1.설계입력'!$C$15)*B1799),SIN((1-'1.설계입력'!$C$15)*B1799))</f>
        <v>0.80274096964626607</v>
      </c>
      <c r="G1799" s="40">
        <f>('1.설계입력'!$C$6+'1.설계입력'!$C$33)*COS(B1799)-('1.설계입력'!$C$7+'1.설계입력'!$C$34)*COS(B1799+F1799)-'1.설계입력'!$C$8*COS('1.설계입력'!$C$15*B1799)</f>
        <v>78.279451213250496</v>
      </c>
      <c r="H1799" s="40">
        <f>-('1.설계입력'!$C$6+'1.설계입력'!$C$33)*SIN(B1799)+('1.설계입력'!$C$7+'1.설계입력'!$C$34)*SIN(B1799+F1799)+'1.설계입력'!$C$8*SIN('1.설계입력'!$C$15*B1799)</f>
        <v>3.5737908308444752</v>
      </c>
      <c r="I1799" s="40">
        <f t="shared" si="85"/>
        <v>78.369494120353096</v>
      </c>
      <c r="J1799" s="40">
        <f t="shared" si="86"/>
        <v>78.360988145570829</v>
      </c>
      <c r="K1799" s="38" t="str">
        <f>IF(OR(A1799&gt;180,'1.설계입력'!$C$39&gt;=1),"",'1.설계입력'!$C$34*(1-SIN(B1799)/SQRT(1+'1.설계입력'!$C$39^2-2*'1.설계입력'!$C$39*COS(B1799)))-'1.설계입력'!$C$33*(1-'1.설계입력'!$C$39*COS(B1799)-SQRT(MAX(0,1-'1.설계입력'!$C$39^2))*SIN(B1799))/SQRT(1+'1.설계입력'!$C$39^2-2*'1.설계입력'!$C$39*COS(B1799)))</f>
        <v/>
      </c>
    </row>
    <row r="1800" spans="1:11" x14ac:dyDescent="0.3">
      <c r="A1800" s="40">
        <f>A1799+'1.설계입력'!$C$12</f>
        <v>358.79999999998819</v>
      </c>
      <c r="B1800" s="40">
        <f t="shared" si="84"/>
        <v>6.2622413561554486</v>
      </c>
      <c r="C1800" s="40">
        <f>ATAN2('1.설계입력'!$C$6/('1.설계입력'!$C$8*'1.설계입력'!$C$15)-COS((1-'1.설계입력'!$C$15)*B1800),SIN((1-'1.설계입력'!$C$15)*B1800))</f>
        <v>0.81858663793055642</v>
      </c>
      <c r="D1800" s="40">
        <f>'1.설계입력'!$C$6*COS(B1800)-'1.설계입력'!$C$7*COS(B1800+C1800)-'1.설계입력'!$C$8*COS('1.설계입력'!$C$15*B1800)</f>
        <v>78.184736915750776</v>
      </c>
      <c r="E1800" s="40">
        <f>-'1.설계입력'!$C$6*SIN(B1800)+'1.설계입력'!$C$7*SIN(B1800+C1800)+'1.설계입력'!$C$8*SIN('1.설계입력'!$C$15*B1800)</f>
        <v>3.465408165932538</v>
      </c>
      <c r="F1800" s="40">
        <f>ATAN2(('1.설계입력'!$C$6+'1.설계입력'!$C$33)/('1.설계입력'!$C$8*'1.설계입력'!$C$15)-COS((1-'1.설계입력'!$C$15)*B1800),SIN((1-'1.설계입력'!$C$15)*B1800))</f>
        <v>0.81862442801554192</v>
      </c>
      <c r="G1800" s="40">
        <f>('1.설계입력'!$C$6+'1.설계입력'!$C$33)*COS(B1800)-('1.설계입력'!$C$7+'1.설계입력'!$C$34)*COS(B1800+F1800)-'1.설계입력'!$C$8*COS('1.설계입력'!$C$15*B1800)</f>
        <v>78.176088997920544</v>
      </c>
      <c r="H1800" s="40">
        <f>-('1.설계입력'!$C$6+'1.설계입력'!$C$33)*SIN(B1800)+('1.설계입력'!$C$7+'1.설계입력'!$C$34)*SIN(B1800+F1800)+'1.설계입력'!$C$8*SIN('1.설계입력'!$C$15*B1800)</f>
        <v>3.4712462910303072</v>
      </c>
      <c r="I1800" s="40">
        <f t="shared" si="85"/>
        <v>78.261498454487011</v>
      </c>
      <c r="J1800" s="40">
        <f t="shared" si="86"/>
        <v>78.253117777017579</v>
      </c>
      <c r="K1800" s="38" t="str">
        <f>IF(OR(A1800&gt;180,'1.설계입력'!$C$39&gt;=1),"",'1.설계입력'!$C$34*(1-SIN(B1800)/SQRT(1+'1.설계입력'!$C$39^2-2*'1.설계입력'!$C$39*COS(B1800)))-'1.설계입력'!$C$33*(1-'1.설계입력'!$C$39*COS(B1800)-SQRT(MAX(0,1-'1.설계입력'!$C$39^2))*SIN(B1800))/SQRT(1+'1.설계입력'!$C$39^2-2*'1.설계입력'!$C$39*COS(B1800)))</f>
        <v/>
      </c>
    </row>
    <row r="1801" spans="1:11" x14ac:dyDescent="0.3">
      <c r="A1801" s="40">
        <f>A1800+'1.설계입력'!$C$12</f>
        <v>358.99999999998818</v>
      </c>
      <c r="B1801" s="40">
        <f t="shared" si="84"/>
        <v>6.2657320146594371</v>
      </c>
      <c r="C1801" s="40">
        <f>ATAN2('1.설계입력'!$C$6/('1.설계입력'!$C$8*'1.설계입력'!$C$15)-COS((1-'1.설계입력'!$C$15)*B1801),SIN((1-'1.설계입력'!$C$15)*B1801))</f>
        <v>0.81804027674327329</v>
      </c>
      <c r="D1801" s="40">
        <f>'1.설계입력'!$C$6*COS(B1801)-'1.설계입력'!$C$7*COS(B1801+C1801)-'1.설계입력'!$C$8*COS('1.설계입력'!$C$15*B1801)</f>
        <v>78.05330228759999</v>
      </c>
      <c r="E1801" s="40">
        <f>-'1.설계입력'!$C$6*SIN(B1801)+'1.설계입력'!$C$7*SIN(B1801+C1801)+'1.설계입력'!$C$8*SIN('1.설계입력'!$C$15*B1801)</f>
        <v>3.3379756058943979</v>
      </c>
      <c r="F1801" s="40">
        <f>ATAN2(('1.설계입력'!$C$6+'1.설계입력'!$C$33)/('1.설계입력'!$C$8*'1.설계입력'!$C$15)-COS((1-'1.설계입력'!$C$15)*B1801),SIN((1-'1.설계입력'!$C$15)*B1801))</f>
        <v>0.81808400609389964</v>
      </c>
      <c r="G1801" s="40">
        <f>('1.설계입력'!$C$6+'1.설계입력'!$C$33)*COS(B1801)-('1.설계입력'!$C$7+'1.설계입력'!$C$34)*COS(B1801+F1801)-'1.설계입력'!$C$8*COS('1.설계입력'!$C$15*B1801)</f>
        <v>78.044688653574795</v>
      </c>
      <c r="H1801" s="40">
        <f>-('1.설계입력'!$C$6+'1.설계입력'!$C$33)*SIN(B1801)+('1.설계입력'!$C$7+'1.설계입력'!$C$34)*SIN(B1801+F1801)+'1.설계입력'!$C$8*SIN('1.설계입력'!$C$15*B1801)</f>
        <v>3.3438574356441659</v>
      </c>
      <c r="I1801" s="40">
        <f t="shared" si="85"/>
        <v>78.124644505719246</v>
      </c>
      <c r="J1801" s="40">
        <f t="shared" si="86"/>
        <v>78.116290295836109</v>
      </c>
      <c r="K1801" s="38" t="str">
        <f>IF(OR(A1801&gt;180,'1.설계입력'!$C$39&gt;=1),"",'1.설계입력'!$C$34*(1-SIN(B1801)/SQRT(1+'1.설계입력'!$C$39^2-2*'1.설계입력'!$C$39*COS(B1801)))-'1.설계입력'!$C$33*(1-'1.설계입력'!$C$39*COS(B1801)-SQRT(MAX(0,1-'1.설계입력'!$C$39^2))*SIN(B1801))/SQRT(1+'1.설계입력'!$C$39^2-2*'1.설계입력'!$C$39*COS(B1801)))</f>
        <v/>
      </c>
    </row>
    <row r="1802" spans="1:11" x14ac:dyDescent="0.3">
      <c r="A1802" s="40">
        <f>A1801+'1.설계입력'!$C$12</f>
        <v>359.19999999998817</v>
      </c>
      <c r="B1802" s="40">
        <f t="shared" si="84"/>
        <v>6.2692226731634255</v>
      </c>
      <c r="C1802" s="40">
        <f>ATAN2('1.설계입력'!$C$6/('1.설계입력'!$C$8*'1.설계입력'!$C$15)-COS((1-'1.설계입력'!$C$15)*B1802),SIN((1-'1.설계입력'!$C$15)*B1802))</f>
        <v>0.79193106442953354</v>
      </c>
      <c r="D1802" s="40">
        <f>'1.설계입력'!$C$6*COS(B1802)-'1.설계입력'!$C$7*COS(B1802+C1802)-'1.설계입력'!$C$8*COS('1.설계입력'!$C$15*B1802)</f>
        <v>77.870571500370275</v>
      </c>
      <c r="E1802" s="40">
        <f>-'1.설계입력'!$C$6*SIN(B1802)+'1.설계입력'!$C$7*SIN(B1802+C1802)+'1.설계입력'!$C$8*SIN('1.설계입력'!$C$15*B1802)</f>
        <v>3.1573546856988042</v>
      </c>
      <c r="F1802" s="40">
        <f>ATAN2(('1.설계입력'!$C$6+'1.설계입력'!$C$33)/('1.설계입력'!$C$8*'1.설계입력'!$C$15)-COS((1-'1.설계입력'!$C$15)*B1802),SIN((1-'1.설계입력'!$C$15)*B1802))</f>
        <v>0.79198158720443512</v>
      </c>
      <c r="G1802" s="40">
        <f>('1.설계입력'!$C$6+'1.설계입력'!$C$33)*COS(B1802)-('1.설계입력'!$C$7+'1.설계입력'!$C$34)*COS(B1802+F1802)-'1.설계입력'!$C$8*COS('1.설계입력'!$C$15*B1802)</f>
        <v>77.861843967016725</v>
      </c>
      <c r="H1802" s="40">
        <f>-('1.설계입력'!$C$6+'1.설계입력'!$C$33)*SIN(B1802)+('1.설계입력'!$C$7+'1.설계입력'!$C$34)*SIN(B1802+F1802)+'1.설계입력'!$C$8*SIN('1.설계입력'!$C$15*B1802)</f>
        <v>3.1631405015640892</v>
      </c>
      <c r="I1802" s="40">
        <f t="shared" si="85"/>
        <v>77.934554559614853</v>
      </c>
      <c r="J1802" s="40">
        <f t="shared" si="86"/>
        <v>77.926068833072122</v>
      </c>
      <c r="K1802" s="38" t="str">
        <f>IF(OR(A1802&gt;180,'1.설계입력'!$C$39&gt;=1),"",'1.설계입력'!$C$34*(1-SIN(B1802)/SQRT(1+'1.설계입력'!$C$39^2-2*'1.설계입력'!$C$39*COS(B1802)))-'1.설계입력'!$C$33*(1-'1.설계입력'!$C$39*COS(B1802)-SQRT(MAX(0,1-'1.설계입력'!$C$39^2))*SIN(B1802))/SQRT(1+'1.설계입력'!$C$39^2-2*'1.설계입력'!$C$39*COS(B1802)))</f>
        <v/>
      </c>
    </row>
    <row r="1803" spans="1:11" x14ac:dyDescent="0.3">
      <c r="A1803" s="40">
        <f>A1802+'1.설계입력'!$C$12</f>
        <v>359.39999999998815</v>
      </c>
      <c r="B1803" s="40">
        <f t="shared" si="84"/>
        <v>6.272713331667414</v>
      </c>
      <c r="C1803" s="40">
        <f>ATAN2('1.설계입력'!$C$6/('1.설계입력'!$C$8*'1.설계입력'!$C$15)-COS((1-'1.설계입력'!$C$15)*B1803),SIN((1-'1.설계입력'!$C$15)*B1803))</f>
        <v>0.72429172953987886</v>
      </c>
      <c r="D1803" s="40">
        <f>'1.설계입력'!$C$6*COS(B1803)-'1.설계입력'!$C$7*COS(B1803+C1803)-'1.설계입력'!$C$8*COS('1.설계입력'!$C$15*B1803)</f>
        <v>77.601719681783791</v>
      </c>
      <c r="E1803" s="40">
        <f>-'1.설계입력'!$C$6*SIN(B1803)+'1.설계입력'!$C$7*SIN(B1803+C1803)+'1.설계입력'!$C$8*SIN('1.설계입력'!$C$15*B1803)</f>
        <v>2.8674843909892545</v>
      </c>
      <c r="F1803" s="40">
        <f>ATAN2(('1.설계입력'!$C$6+'1.설계입력'!$C$33)/('1.설계입력'!$C$8*'1.설계입력'!$C$15)-COS((1-'1.설계입력'!$C$15)*B1803),SIN((1-'1.설계입력'!$C$15)*B1803))</f>
        <v>0.72434885054209608</v>
      </c>
      <c r="G1803" s="40">
        <f>('1.설계입력'!$C$6+'1.설계입력'!$C$33)*COS(B1803)-('1.설계입력'!$C$7+'1.설계입력'!$C$34)*COS(B1803+F1803)-'1.설계입력'!$C$8*COS('1.설계입력'!$C$15*B1803)</f>
        <v>77.592647235307183</v>
      </c>
      <c r="H1803" s="40">
        <f>-('1.설계입력'!$C$6+'1.설계입력'!$C$33)*SIN(B1803)+('1.설계입력'!$C$7+'1.설계입력'!$C$34)*SIN(B1803+F1803)+'1.설계입력'!$C$8*SIN('1.설계입력'!$C$15*B1803)</f>
        <v>2.8729282560034592</v>
      </c>
      <c r="I1803" s="40">
        <f t="shared" si="85"/>
        <v>77.654680247250496</v>
      </c>
      <c r="J1803" s="40">
        <f t="shared" si="86"/>
        <v>77.645815223661387</v>
      </c>
      <c r="K1803" s="38" t="str">
        <f>IF(OR(A1803&gt;180,'1.설계입력'!$C$39&gt;=1),"",'1.설계입력'!$C$34*(1-SIN(B1803)/SQRT(1+'1.설계입력'!$C$39^2-2*'1.설계입력'!$C$39*COS(B1803)))-'1.설계입력'!$C$33*(1-'1.설계입력'!$C$39*COS(B1803)-SQRT(MAX(0,1-'1.설계입력'!$C$39^2))*SIN(B1803))/SQRT(1+'1.설계입력'!$C$39^2-2*'1.설계입력'!$C$39*COS(B1803)))</f>
        <v/>
      </c>
    </row>
    <row r="1804" spans="1:11" x14ac:dyDescent="0.3">
      <c r="A1804" s="40">
        <f>A1803+'1.설계입력'!$C$12</f>
        <v>359.59999999998814</v>
      </c>
      <c r="B1804" s="40">
        <f t="shared" si="84"/>
        <v>6.2762039901714024</v>
      </c>
      <c r="C1804" s="40">
        <f>ATAN2('1.설계입력'!$C$6/('1.설계입력'!$C$8*'1.설계입력'!$C$15)-COS((1-'1.설계입력'!$C$15)*B1804),SIN((1-'1.설계입력'!$C$15)*B1804))</f>
        <v>0.58786033363853829</v>
      </c>
      <c r="D1804" s="40">
        <f>'1.설계입력'!$C$6*COS(B1804)-'1.설계입력'!$C$7*COS(B1804+C1804)-'1.설계입력'!$C$8*COS('1.설계입력'!$C$15*B1804)</f>
        <v>77.212186755265904</v>
      </c>
      <c r="E1804" s="40">
        <f>-'1.설계입력'!$C$6*SIN(B1804)+'1.설계입력'!$C$7*SIN(B1804+C1804)+'1.설계입력'!$C$8*SIN('1.설계입력'!$C$15*B1804)</f>
        <v>2.3540432689374042</v>
      </c>
      <c r="F1804" s="40">
        <f>ATAN2(('1.설계입력'!$C$6+'1.설계입력'!$C$33)/('1.설계입력'!$C$8*'1.설계입력'!$C$15)-COS((1-'1.설계입력'!$C$15)*B1804),SIN((1-'1.설계입력'!$C$15)*B1804))</f>
        <v>0.58791942954343335</v>
      </c>
      <c r="G1804" s="40">
        <f>('1.설계입력'!$C$6+'1.설계입력'!$C$33)*COS(B1804)-('1.설계입력'!$C$7+'1.설계입력'!$C$34)*COS(B1804+F1804)-'1.설계입력'!$C$8*COS('1.설계입력'!$C$15*B1804)</f>
        <v>77.20244537407811</v>
      </c>
      <c r="H1804" s="40">
        <f>-('1.설계입력'!$C$6+'1.설계입력'!$C$33)*SIN(B1804)+('1.설계입력'!$C$7+'1.설계입력'!$C$34)*SIN(B1804+F1804)+'1.설계입력'!$C$8*SIN('1.설계입력'!$C$15*B1804)</f>
        <v>2.3586645832908935</v>
      </c>
      <c r="I1804" s="40">
        <f t="shared" si="85"/>
        <v>77.248063427131228</v>
      </c>
      <c r="J1804" s="40">
        <f t="shared" si="86"/>
        <v>77.23846755570689</v>
      </c>
      <c r="K1804" s="38" t="str">
        <f>IF(OR(A1804&gt;180,'1.설계입력'!$C$39&gt;=1),"",'1.설계입력'!$C$34*(1-SIN(B1804)/SQRT(1+'1.설계입력'!$C$39^2-2*'1.설계입력'!$C$39*COS(B1804)))-'1.설계입력'!$C$33*(1-'1.설계입력'!$C$39*COS(B1804)-SQRT(MAX(0,1-'1.설계입력'!$C$39^2))*SIN(B1804))/SQRT(1+'1.설계입력'!$C$39^2-2*'1.설계입력'!$C$39*COS(B1804)))</f>
        <v/>
      </c>
    </row>
    <row r="1805" spans="1:11" x14ac:dyDescent="0.3">
      <c r="A1805" s="40">
        <f>A1804+'1.설계입력'!$C$12</f>
        <v>359.79999999998813</v>
      </c>
      <c r="B1805" s="40">
        <f t="shared" si="84"/>
        <v>6.2796946486753908</v>
      </c>
      <c r="C1805" s="40">
        <f>ATAN2('1.설계입력'!$C$6/('1.설계입력'!$C$8*'1.설계입력'!$C$15)-COS((1-'1.설계입력'!$C$15)*B1805),SIN((1-'1.설계입력'!$C$15)*B1805))</f>
        <v>0.34646145689010482</v>
      </c>
      <c r="D1805" s="40">
        <f>'1.설계입력'!$C$6*COS(B1805)-'1.설계입력'!$C$7*COS(B1805+C1805)-'1.설계입력'!$C$8*COS('1.설계입력'!$C$15*B1805)</f>
        <v>76.747059189365856</v>
      </c>
      <c r="E1805" s="40">
        <f>-'1.설계입력'!$C$6*SIN(B1805)+'1.설계입력'!$C$7*SIN(B1805+C1805)+'1.설계입력'!$C$8*SIN('1.설계입력'!$C$15*B1805)</f>
        <v>1.4226191663802408</v>
      </c>
      <c r="F1805" s="40">
        <f>ATAN2(('1.설계입력'!$C$6+'1.설계입력'!$C$33)/('1.설계입력'!$C$8*'1.설계입력'!$C$15)-COS((1-'1.설계입력'!$C$15)*B1805),SIN((1-'1.설계입력'!$C$15)*B1805))</f>
        <v>0.34650536011656258</v>
      </c>
      <c r="G1805" s="40">
        <f>('1.설계입력'!$C$6+'1.설계입력'!$C$33)*COS(B1805)-('1.설계입력'!$C$7+'1.설계입력'!$C$34)*COS(B1805+F1805)-'1.설계입력'!$C$8*COS('1.설계입력'!$C$15*B1805)</f>
        <v>76.736390133452659</v>
      </c>
      <c r="H1805" s="40">
        <f>-('1.설계입력'!$C$6+'1.설계입력'!$C$33)*SIN(B1805)+('1.설계입력'!$C$7+'1.설계입력'!$C$34)*SIN(B1805+F1805)+'1.설계입력'!$C$8*SIN('1.설계입력'!$C$15*B1805)</f>
        <v>1.4254979835775874</v>
      </c>
      <c r="I1805" s="40">
        <f t="shared" si="85"/>
        <v>76.760243222051983</v>
      </c>
      <c r="J1805" s="40">
        <f t="shared" si="86"/>
        <v>76.749629414184369</v>
      </c>
      <c r="K1805" s="38" t="str">
        <f>IF(OR(A1805&gt;180,'1.설계입력'!$C$39&gt;=1),"",'1.설계입력'!$C$34*(1-SIN(B1805)/SQRT(1+'1.설계입력'!$C$39^2-2*'1.설계입력'!$C$39*COS(B1805)))-'1.설계입력'!$C$33*(1-'1.설계입력'!$C$39*COS(B1805)-SQRT(MAX(0,1-'1.설계입력'!$C$39^2))*SIN(B1805))/SQRT(1+'1.설계입력'!$C$39^2-2*'1.설계입력'!$C$39*COS(B1805)))</f>
        <v/>
      </c>
    </row>
  </sheetData>
  <mergeCells count="4">
    <mergeCell ref="A2:K2"/>
    <mergeCell ref="M17:O17"/>
    <mergeCell ref="A1:K1"/>
    <mergeCell ref="M4:O4"/>
  </mergeCells>
  <phoneticPr fontId="5" type="noConversion"/>
  <conditionalFormatting sqref="A2">
    <cfRule type="expression" dxfId="2" priority="1">
      <formula>ISNUMBER(SEARCH("경고",A2))</formula>
    </cfRule>
  </conditionalFormatting>
  <conditionalFormatting sqref="N18:N22">
    <cfRule type="expression" dxfId="1" priority="2">
      <formula>ISNUMBER(SEARCH("통과",N18))</formula>
    </cfRule>
    <cfRule type="expression" dxfId="0" priority="3">
      <formula>OR(ISNUMBER(SEARCH("불일치",N18)),ISNUMBER(SEARCH("확인",N18)))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H3"/>
  <sheetViews>
    <sheetView workbookViewId="0">
      <selection sqref="A1:F1"/>
    </sheetView>
  </sheetViews>
  <sheetFormatPr defaultRowHeight="16.5" x14ac:dyDescent="0.3"/>
  <sheetData>
    <row r="1" spans="1:8" x14ac:dyDescent="0.3">
      <c r="A1" s="34" t="s">
        <v>138</v>
      </c>
      <c r="B1" s="31"/>
      <c r="C1" s="31"/>
      <c r="D1" s="31"/>
      <c r="E1" s="31"/>
      <c r="F1" s="31"/>
    </row>
    <row r="2" spans="1:8" x14ac:dyDescent="0.3">
      <c r="A2" s="30" t="s">
        <v>139</v>
      </c>
      <c r="B2" s="31"/>
      <c r="C2" s="31"/>
      <c r="D2" s="31"/>
      <c r="E2" s="31"/>
      <c r="F2" s="31"/>
      <c r="G2" s="31"/>
      <c r="H2" s="31"/>
    </row>
    <row r="3" spans="1:8" x14ac:dyDescent="0.3">
      <c r="A3" s="30" t="s">
        <v>140</v>
      </c>
      <c r="B3" s="31"/>
      <c r="C3" s="31"/>
      <c r="D3" s="31"/>
      <c r="E3" s="31"/>
      <c r="F3" s="31"/>
      <c r="G3" s="31"/>
      <c r="H3" s="31"/>
    </row>
  </sheetData>
  <mergeCells count="3">
    <mergeCell ref="A2:H2"/>
    <mergeCell ref="A3:H3"/>
    <mergeCell ref="A1:F1"/>
  </mergeCells>
  <phoneticPr fontId="5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D1806"/>
  <sheetViews>
    <sheetView workbookViewId="0">
      <pane ySplit="6" topLeftCell="A7" activePane="bottomLeft" state="frozen"/>
      <selection pane="bottomLeft"/>
    </sheetView>
  </sheetViews>
  <sheetFormatPr defaultRowHeight="16.5" x14ac:dyDescent="0.3"/>
  <cols>
    <col min="1" max="1" width="14" customWidth="1"/>
    <col min="2" max="3" width="16" customWidth="1"/>
    <col min="4" max="4" width="52" customWidth="1"/>
  </cols>
  <sheetData>
    <row r="1" spans="1:4" x14ac:dyDescent="0.3">
      <c r="A1" s="34" t="s">
        <v>141</v>
      </c>
      <c r="B1" s="31"/>
      <c r="C1" s="31"/>
      <c r="D1" s="31"/>
    </row>
    <row r="2" spans="1:4" x14ac:dyDescent="0.3">
      <c r="A2" s="30" t="s">
        <v>142</v>
      </c>
      <c r="B2" s="31"/>
      <c r="C2" s="31"/>
      <c r="D2" s="31"/>
    </row>
    <row r="4" spans="1:4" x14ac:dyDescent="0.3">
      <c r="A4" s="3" t="s">
        <v>143</v>
      </c>
      <c r="B4" s="4" t="s">
        <v>144</v>
      </c>
      <c r="C4" s="30" t="str">
        <f>IF(B4="표준","논문 A 식(1)(2) 결과","논문 B 식(4)(5) 결과 - 제작용")</f>
        <v>논문 B 식(4)(5) 결과 - 제작용</v>
      </c>
      <c r="D4" s="31"/>
    </row>
    <row r="6" spans="1:4" x14ac:dyDescent="0.3">
      <c r="A6" s="15" t="s">
        <v>145</v>
      </c>
      <c r="B6" s="15" t="s">
        <v>146</v>
      </c>
      <c r="C6" s="15" t="s">
        <v>147</v>
      </c>
      <c r="D6" s="15" t="s">
        <v>148</v>
      </c>
    </row>
    <row r="7" spans="1:4" x14ac:dyDescent="0.3">
      <c r="A7" s="19">
        <v>1</v>
      </c>
      <c r="B7" s="17">
        <f>IF($B$4="표준",'2.치형좌표'!D6,'2.치형좌표'!G6)</f>
        <v>76.488799999999998</v>
      </c>
      <c r="C7" s="17">
        <f>IF($B$4="표준",'2.치형좌표'!E6,'2.치형좌표'!H6)</f>
        <v>0</v>
      </c>
      <c r="D7" s="6" t="str">
        <f t="shared" ref="D7:D70" si="0">TEXT(B7,"0.00000")&amp;","&amp;TEXT(C7,"0.00000")</f>
        <v>76.48880,0.00000</v>
      </c>
    </row>
    <row r="8" spans="1:4" x14ac:dyDescent="0.3">
      <c r="A8" s="19">
        <v>2</v>
      </c>
      <c r="B8" s="17">
        <f>IF($B$4="표준",'2.치형좌표'!D7,'2.치형좌표'!G7)</f>
        <v>76.736390133427179</v>
      </c>
      <c r="C8" s="17">
        <f>IF($B$4="표준",'2.치형좌표'!E7,'2.치형좌표'!H7)</f>
        <v>-1.4254979835062305</v>
      </c>
      <c r="D8" s="6" t="str">
        <f t="shared" si="0"/>
        <v>76.73639,-1.42550</v>
      </c>
    </row>
    <row r="9" spans="1:4" x14ac:dyDescent="0.3">
      <c r="A9" s="19">
        <v>3</v>
      </c>
      <c r="B9" s="17">
        <f>IF($B$4="표준",'2.치형좌표'!D8,'2.치형좌표'!G8)</f>
        <v>77.202445374051422</v>
      </c>
      <c r="C9" s="17">
        <f>IF($B$4="표준",'2.치형좌표'!E8,'2.치형좌표'!H8)</f>
        <v>-2.3586645832501976</v>
      </c>
      <c r="D9" s="6" t="str">
        <f t="shared" si="0"/>
        <v>77.20245,-2.35866</v>
      </c>
    </row>
    <row r="10" spans="1:4" x14ac:dyDescent="0.3">
      <c r="A10" s="19">
        <v>4</v>
      </c>
      <c r="B10" s="17">
        <f>IF($B$4="표준",'2.치형좌표'!D9,'2.치형좌표'!G9)</f>
        <v>77.592647235287885</v>
      </c>
      <c r="C10" s="17">
        <f>IF($B$4="표준",'2.치형좌표'!E9,'2.치형좌표'!H9)</f>
        <v>-2.872928255981166</v>
      </c>
      <c r="D10" s="6" t="str">
        <f t="shared" si="0"/>
        <v>77.59265,-2.87293</v>
      </c>
    </row>
    <row r="11" spans="1:4" x14ac:dyDescent="0.3">
      <c r="A11" s="19">
        <v>5</v>
      </c>
      <c r="B11" s="17">
        <f>IF($B$4="표준",'2.치형좌표'!D10,'2.치형좌표'!G10)</f>
        <v>77.861843967003765</v>
      </c>
      <c r="C11" s="17">
        <f>IF($B$4="표준",'2.치형좌표'!E10,'2.치형좌표'!H10)</f>
        <v>-3.1631405015509308</v>
      </c>
      <c r="D11" s="6" t="str">
        <f t="shared" si="0"/>
        <v>77.86184,-3.16314</v>
      </c>
    </row>
    <row r="12" spans="1:4" x14ac:dyDescent="0.3">
      <c r="A12" s="19">
        <v>6</v>
      </c>
      <c r="B12" s="17">
        <f>IF($B$4="표준",'2.치형좌표'!D11,'2.치형좌표'!G11)</f>
        <v>78.044688653565814</v>
      </c>
      <c r="C12" s="17">
        <f>IF($B$4="표준",'2.치형좌표'!E11,'2.치형좌표'!H11)</f>
        <v>-3.343857435635436</v>
      </c>
      <c r="D12" s="6" t="str">
        <f t="shared" si="0"/>
        <v>78.04469,-3.34386</v>
      </c>
    </row>
    <row r="13" spans="1:4" x14ac:dyDescent="0.3">
      <c r="A13" s="19">
        <v>7</v>
      </c>
      <c r="B13" s="17">
        <f>IF($B$4="표준",'2.치형좌표'!D12,'2.치형좌표'!G12)</f>
        <v>78.176088997913794</v>
      </c>
      <c r="C13" s="17">
        <f>IF($B$4="표준",'2.치형좌표'!E12,'2.치형좌표'!H12)</f>
        <v>-3.4712462910237161</v>
      </c>
      <c r="D13" s="6" t="str">
        <f t="shared" si="0"/>
        <v>78.17609,-3.47125</v>
      </c>
    </row>
    <row r="14" spans="1:4" x14ac:dyDescent="0.3">
      <c r="A14" s="19">
        <v>8</v>
      </c>
      <c r="B14" s="17">
        <f>IF($B$4="표준",'2.치형좌표'!D13,'2.치형좌표'!G13)</f>
        <v>78.279451213244911</v>
      </c>
      <c r="C14" s="17">
        <f>IF($B$4="표준",'2.치형좌표'!E13,'2.치형좌표'!H13)</f>
        <v>-3.5737908308388091</v>
      </c>
      <c r="D14" s="6" t="str">
        <f t="shared" si="0"/>
        <v>78.27945,-3.57379</v>
      </c>
    </row>
    <row r="15" spans="1:4" x14ac:dyDescent="0.3">
      <c r="A15" s="19">
        <v>9</v>
      </c>
      <c r="B15" s="17">
        <f>IF($B$4="표준",'2.치형좌표'!D14,'2.치형좌표'!G14)</f>
        <v>78.368985322783587</v>
      </c>
      <c r="C15" s="17">
        <f>IF($B$4="표준",'2.치형좌표'!E14,'2.치형좌표'!H14)</f>
        <v>-3.6672347619203727</v>
      </c>
      <c r="D15" s="6" t="str">
        <f t="shared" si="0"/>
        <v>78.36899,-3.66723</v>
      </c>
    </row>
    <row r="16" spans="1:4" x14ac:dyDescent="0.3">
      <c r="A16" s="19">
        <v>10</v>
      </c>
      <c r="B16" s="17">
        <f>IF($B$4="표준",'2.치형좌표'!D15,'2.치형좌표'!G15)</f>
        <v>78.452860161158995</v>
      </c>
      <c r="C16" s="17">
        <f>IF($B$4="표준",'2.치형좌표'!E15,'2.치형좌표'!H15)</f>
        <v>-3.7610755816147634</v>
      </c>
      <c r="D16" s="6" t="str">
        <f t="shared" si="0"/>
        <v>78.45286,-3.76108</v>
      </c>
    </row>
    <row r="17" spans="1:4" x14ac:dyDescent="0.3">
      <c r="A17" s="19">
        <v>11</v>
      </c>
      <c r="B17" s="17">
        <f>IF($B$4="표준",'2.치형좌표'!D16,'2.치형좌표'!G16)</f>
        <v>78.535395636295661</v>
      </c>
      <c r="C17" s="17">
        <f>IF($B$4="표준",'2.치형좌표'!E16,'2.치형좌표'!H16)</f>
        <v>-3.8614429673780544</v>
      </c>
      <c r="D17" s="6" t="str">
        <f t="shared" si="0"/>
        <v>78.53540,-3.86144</v>
      </c>
    </row>
    <row r="18" spans="1:4" x14ac:dyDescent="0.3">
      <c r="A18" s="19">
        <v>12</v>
      </c>
      <c r="B18" s="17">
        <f>IF($B$4="표준",'2.치형좌표'!D17,'2.치형좌표'!G17)</f>
        <v>78.618441074615745</v>
      </c>
      <c r="C18" s="17">
        <f>IF($B$4="표준",'2.치형좌표'!E17,'2.치형좌표'!H17)</f>
        <v>-3.9724405803142853</v>
      </c>
      <c r="D18" s="6" t="str">
        <f t="shared" si="0"/>
        <v>78.61844,-3.97244</v>
      </c>
    </row>
    <row r="19" spans="1:4" x14ac:dyDescent="0.3">
      <c r="A19" s="19">
        <v>13</v>
      </c>
      <c r="B19" s="17">
        <f>IF($B$4="표준",'2.치형좌표'!D18,'2.치형좌표'!G18)</f>
        <v>78.702241418621867</v>
      </c>
      <c r="C19" s="17">
        <f>IF($B$4="표준",'2.치형좌표'!E18,'2.치형좌표'!H18)</f>
        <v>-4.0968083933539665</v>
      </c>
      <c r="D19" s="6" t="str">
        <f t="shared" si="0"/>
        <v>78.70224,-4.09681</v>
      </c>
    </row>
    <row r="20" spans="1:4" x14ac:dyDescent="0.3">
      <c r="A20" s="19">
        <v>14</v>
      </c>
      <c r="B20" s="17">
        <f>IF($B$4="표준",'2.치형좌표'!D19,'2.치형좌표'!G19)</f>
        <v>78.785999278056309</v>
      </c>
      <c r="C20" s="17">
        <f>IF($B$4="표준",'2.치형좌표'!E19,'2.치형좌표'!H19)</f>
        <v>-4.2362706504310355</v>
      </c>
      <c r="D20" s="6" t="str">
        <f t="shared" si="0"/>
        <v>78.78600,-4.23627</v>
      </c>
    </row>
    <row r="21" spans="1:4" x14ac:dyDescent="0.3">
      <c r="A21" s="19">
        <v>15</v>
      </c>
      <c r="B21" s="17">
        <f>IF($B$4="표준",'2.치형좌표'!D20,'2.치형좌표'!G20)</f>
        <v>78.86825616165892</v>
      </c>
      <c r="C21" s="17">
        <f>IF($B$4="표준",'2.치형좌표'!E20,'2.치형좌표'!H20)</f>
        <v>-4.3917330195878783</v>
      </c>
      <c r="D21" s="6" t="str">
        <f t="shared" si="0"/>
        <v>78.86826,-4.39173</v>
      </c>
    </row>
    <row r="22" spans="1:4" x14ac:dyDescent="0.3">
      <c r="A22" s="19">
        <v>16</v>
      </c>
      <c r="B22" s="17">
        <f>IF($B$4="표준",'2.치형좌표'!D21,'2.치형좌표'!G21)</f>
        <v>78.947163578298898</v>
      </c>
      <c r="C22" s="17">
        <f>IF($B$4="표준",'2.치형좌표'!E21,'2.치형좌표'!H21)</f>
        <v>-4.5634060700632775</v>
      </c>
      <c r="D22" s="6" t="str">
        <f t="shared" si="0"/>
        <v>78.94716,-4.56341</v>
      </c>
    </row>
    <row r="23" spans="1:4" x14ac:dyDescent="0.3">
      <c r="A23" s="19">
        <v>17</v>
      </c>
      <c r="B23" s="17">
        <f>IF($B$4="표준",'2.치형좌표'!D22,'2.치형좌표'!G22)</f>
        <v>79.020684481443269</v>
      </c>
      <c r="C23" s="17">
        <f>IF($B$4="표준",'2.치형좌표'!E22,'2.치형좌표'!H22)</f>
        <v>-4.7508931369545317</v>
      </c>
      <c r="D23" s="6" t="str">
        <f t="shared" si="0"/>
        <v>79.02068,-4.75089</v>
      </c>
    </row>
    <row r="24" spans="1:4" x14ac:dyDescent="0.3">
      <c r="A24" s="19">
        <v>18</v>
      </c>
      <c r="B24" s="17">
        <f>IF($B$4="표준",'2.치형좌표'!D23,'2.치형좌표'!G23)</f>
        <v>79.086748428539011</v>
      </c>
      <c r="C24" s="17">
        <f>IF($B$4="표준",'2.치형좌표'!E23,'2.치형좌표'!H23)</f>
        <v>-4.9532620277095312</v>
      </c>
      <c r="D24" s="6" t="str">
        <f t="shared" si="0"/>
        <v>79.08675,-4.95326</v>
      </c>
    </row>
    <row r="25" spans="1:4" x14ac:dyDescent="0.3">
      <c r="A25" s="19">
        <v>19</v>
      </c>
      <c r="B25" s="17">
        <f>IF($B$4="표준",'2.치형좌표'!D24,'2.치형좌표'!G24)</f>
        <v>79.143374075928932</v>
      </c>
      <c r="C25" s="17">
        <f>IF($B$4="표준",'2.치형좌표'!E24,'2.치형좌표'!H24)</f>
        <v>-5.1691106993263372</v>
      </c>
      <c r="D25" s="6" t="str">
        <f t="shared" si="0"/>
        <v>79.14337,-5.16911</v>
      </c>
    </row>
    <row r="26" spans="1:4" x14ac:dyDescent="0.3">
      <c r="A26" s="19">
        <v>20</v>
      </c>
      <c r="B26" s="17">
        <f>IF($B$4="표준",'2.치형좌표'!D25,'2.치형좌표'!G25)</f>
        <v>79.188766994214362</v>
      </c>
      <c r="C26" s="17">
        <f>IF($B$4="표준",'2.치형좌표'!E25,'2.치형좌표'!H25)</f>
        <v>-5.3966321290251518</v>
      </c>
      <c r="D26" s="6" t="str">
        <f t="shared" si="0"/>
        <v>79.18877,-5.39663</v>
      </c>
    </row>
    <row r="27" spans="1:4" x14ac:dyDescent="0.3">
      <c r="A27" s="19">
        <v>21</v>
      </c>
      <c r="B27" s="17">
        <f>IF($B$4="표준",'2.치형좌표'!D26,'2.치형좌표'!G26)</f>
        <v>79.221397488609327</v>
      </c>
      <c r="C27" s="17">
        <f>IF($B$4="표준",'2.치형좌표'!E26,'2.치형좌표'!H26)</f>
        <v>-5.6336808969430194</v>
      </c>
      <c r="D27" s="6" t="str">
        <f t="shared" si="0"/>
        <v>79.22140,-5.63368</v>
      </c>
    </row>
    <row r="28" spans="1:4" x14ac:dyDescent="0.3">
      <c r="A28" s="19">
        <v>22</v>
      </c>
      <c r="B28" s="17">
        <f>IF($B$4="표준",'2.치형좌표'!D27,'2.치형좌표'!G27)</f>
        <v>79.240061159392809</v>
      </c>
      <c r="C28" s="17">
        <f>IF($B$4="표준",'2.치형좌표'!E27,'2.치형좌표'!H27)</f>
        <v>-5.8778424425595484</v>
      </c>
      <c r="D28" s="6" t="str">
        <f t="shared" si="0"/>
        <v>79.24006,-5.87784</v>
      </c>
    </row>
    <row r="29" spans="1:4" x14ac:dyDescent="0.3">
      <c r="A29" s="19">
        <v>23</v>
      </c>
      <c r="B29" s="17">
        <f>IF($B$4="표준",'2.치형좌표'!D28,'2.치형좌표'!G28)</f>
        <v>79.243923785006615</v>
      </c>
      <c r="C29" s="17">
        <f>IF($B$4="표준",'2.치형좌표'!E28,'2.치형좌표'!H28)</f>
        <v>-6.1265050259618743</v>
      </c>
      <c r="D29" s="6" t="str">
        <f t="shared" si="0"/>
        <v>79.24392,-6.12651</v>
      </c>
    </row>
    <row r="30" spans="1:4" x14ac:dyDescent="0.3">
      <c r="A30" s="19">
        <v>24</v>
      </c>
      <c r="B30" s="17">
        <f>IF($B$4="표준",'2.치형좌표'!D29,'2.치형좌표'!G29)</f>
        <v>79.232551434951461</v>
      </c>
      <c r="C30" s="17">
        <f>IF($B$4="표준",'2.치형좌표'!E29,'2.치형좌표'!H29)</f>
        <v>-6.3769338543157605</v>
      </c>
      <c r="D30" s="6" t="str">
        <f t="shared" si="0"/>
        <v>79.23255,-6.37693</v>
      </c>
    </row>
    <row r="31" spans="1:4" x14ac:dyDescent="0.3">
      <c r="A31" s="19">
        <v>25</v>
      </c>
      <c r="B31" s="17">
        <f>IF($B$4="표준",'2.치형좌표'!D30,'2.치형좌표'!G30)</f>
        <v>79.205926330666458</v>
      </c>
      <c r="C31" s="17">
        <f>IF($B$4="표준",'2.치형좌표'!E30,'2.치형좌표'!H30)</f>
        <v>-6.6263464830071737</v>
      </c>
      <c r="D31" s="6" t="str">
        <f t="shared" si="0"/>
        <v>79.20593,-6.62635</v>
      </c>
    </row>
    <row r="32" spans="1:4" x14ac:dyDescent="0.3">
      <c r="A32" s="19">
        <v>26</v>
      </c>
      <c r="B32" s="17">
        <f>IF($B$4="표준",'2.치형좌표'!D31,'2.치형좌표'!G31)</f>
        <v>79.164448750706541</v>
      </c>
      <c r="C32" s="17">
        <f>IF($B$4="표준",'2.치형좌표'!E31,'2.치형좌표'!H31)</f>
        <v>-6.8719883949383327</v>
      </c>
      <c r="D32" s="6" t="str">
        <f t="shared" si="0"/>
        <v>79.16445,-6.87199</v>
      </c>
    </row>
    <row r="33" spans="1:4" x14ac:dyDescent="0.3">
      <c r="A33" s="19">
        <v>27</v>
      </c>
      <c r="B33" s="17">
        <f>IF($B$4="표준",'2.치형좌표'!D32,'2.치형좌표'!G32)</f>
        <v>79.108925141291579</v>
      </c>
      <c r="C33" s="17">
        <f>IF($B$4="표준",'2.치형좌표'!E32,'2.치형좌표'!H32)</f>
        <v>-7.1112075606000991</v>
      </c>
      <c r="D33" s="6" t="str">
        <f t="shared" si="0"/>
        <v>79.10893,-7.11121</v>
      </c>
    </row>
    <row r="34" spans="1:4" x14ac:dyDescent="0.3">
      <c r="A34" s="19">
        <v>28</v>
      </c>
      <c r="B34" s="17">
        <f>IF($B$4="표준",'2.치형좌표'!D33,'2.치형좌표'!G33)</f>
        <v>79.0405424834683</v>
      </c>
      <c r="C34" s="17">
        <f>IF($B$4="표준",'2.치형좌표'!E33,'2.치형좌표'!H33)</f>
        <v>-7.3415267664346695</v>
      </c>
      <c r="D34" s="6" t="str">
        <f t="shared" si="0"/>
        <v>79.04054,-7.34153</v>
      </c>
    </row>
    <row r="35" spans="1:4" x14ac:dyDescent="0.3">
      <c r="A35" s="19">
        <v>29</v>
      </c>
      <c r="B35" s="17">
        <f>IF($B$4="표준",'2.치형좌표'!D34,'2.치형좌표'!G34)</f>
        <v>78.960828828224919</v>
      </c>
      <c r="C35" s="17">
        <f>IF($B$4="표준",'2.치형좌표'!E34,'2.치형좌표'!H34)</f>
        <v>-7.5607125642082282</v>
      </c>
      <c r="D35" s="6" t="str">
        <f t="shared" si="0"/>
        <v>78.96083,-7.56071</v>
      </c>
    </row>
    <row r="36" spans="1:4" x14ac:dyDescent="0.3">
      <c r="A36" s="19">
        <v>30</v>
      </c>
      <c r="B36" s="17">
        <f>IF($B$4="표준",'2.치형좌표'!D35,'2.치형좌표'!G35)</f>
        <v>78.871599679435917</v>
      </c>
      <c r="C36" s="17">
        <f>IF($B$4="표준",'2.치형좌표'!E35,'2.치형좌표'!H35)</f>
        <v>-7.7668398468084678</v>
      </c>
      <c r="D36" s="6" t="str">
        <f t="shared" si="0"/>
        <v>78.87160,-7.76684</v>
      </c>
    </row>
    <row r="37" spans="1:4" x14ac:dyDescent="0.3">
      <c r="A37" s="19">
        <v>31</v>
      </c>
      <c r="B37" s="17">
        <f>IF($B$4="표준",'2.치형좌표'!D36,'2.치형좌표'!G36)</f>
        <v>78.774889500268316</v>
      </c>
      <c r="C37" s="17">
        <f>IF($B$4="표준",'2.치형좌표'!E36,'2.치형좌표'!H36)</f>
        <v>-7.9583513193024213</v>
      </c>
      <c r="D37" s="6" t="str">
        <f t="shared" si="0"/>
        <v>78.77489,-7.95835</v>
      </c>
    </row>
    <row r="38" spans="1:4" x14ac:dyDescent="0.3">
      <c r="A38" s="19">
        <v>32</v>
      </c>
      <c r="B38" s="17">
        <f>IF($B$4="표준",'2.치형좌표'!D37,'2.치형좌표'!G37)</f>
        <v>78.672866920511723</v>
      </c>
      <c r="C38" s="17">
        <f>IF($B$4="표준",'2.치형좌표'!E37,'2.치형좌표'!H37)</f>
        <v>-8.1341115575126484</v>
      </c>
      <c r="D38" s="6" t="str">
        <f t="shared" si="0"/>
        <v>78.67287,-8.13411</v>
      </c>
    </row>
    <row r="39" spans="1:4" x14ac:dyDescent="0.3">
      <c r="A39" s="19">
        <v>33</v>
      </c>
      <c r="B39" s="17">
        <f>IF($B$4="표준",'2.치형좌표'!D38,'2.치형좌표'!G38)</f>
        <v>78.567731035293448</v>
      </c>
      <c r="C39" s="17">
        <f>IF($B$4="표준",'2.치형좌표'!E38,'2.치형좌표'!H38)</f>
        <v>-8.2934560268596211</v>
      </c>
      <c r="D39" s="6" t="str">
        <f t="shared" si="0"/>
        <v>78.56773,-8.29346</v>
      </c>
    </row>
    <row r="40" spans="1:4" x14ac:dyDescent="0.3">
      <c r="A40" s="19">
        <v>34</v>
      </c>
      <c r="B40" s="17">
        <f>IF($B$4="표준",'2.치형좌표'!D39,'2.치형좌표'!G39)</f>
        <v>78.461584180393189</v>
      </c>
      <c r="C40" s="17">
        <f>IF($B$4="표준",'2.치형좌표'!E39,'2.치형좌표'!H39)</f>
        <v>-8.436236562295262</v>
      </c>
      <c r="D40" s="6" t="str">
        <f t="shared" si="0"/>
        <v>78.46158,-8.43624</v>
      </c>
    </row>
    <row r="41" spans="1:4" x14ac:dyDescent="0.3">
      <c r="A41" s="19">
        <v>35</v>
      </c>
      <c r="B41" s="17">
        <f>IF($B$4="표준",'2.치형좌표'!D40,'2.치형좌표'!G40)</f>
        <v>78.356273169032804</v>
      </c>
      <c r="C41" s="17">
        <f>IF($B$4="표준",'2.치형좌표'!E40,'2.치형좌표'!H40)</f>
        <v>-8.5628667672616317</v>
      </c>
      <c r="D41" s="6" t="str">
        <f t="shared" si="0"/>
        <v>78.35627,-8.56287</v>
      </c>
    </row>
    <row r="42" spans="1:4" x14ac:dyDescent="0.3">
      <c r="A42" s="19">
        <v>36</v>
      </c>
      <c r="B42" s="17">
        <f>IF($B$4="표준",'2.치형좌표'!D41,'2.치형좌표'!G41)</f>
        <v>78.253185139938907</v>
      </c>
      <c r="C42" s="17">
        <f>IF($B$4="표준",'2.치형좌표'!E41,'2.치형좌표'!H41)</f>
        <v>-8.6743743630732553</v>
      </c>
      <c r="D42" s="6" t="str">
        <f t="shared" si="0"/>
        <v>78.25319,-8.67437</v>
      </c>
    </row>
    <row r="43" spans="1:4" x14ac:dyDescent="0.3">
      <c r="A43" s="19">
        <v>37</v>
      </c>
      <c r="B43" s="17">
        <f>IF($B$4="표준",'2.치형좌표'!D42,'2.치형좌표'!G42)</f>
        <v>78.152973977605754</v>
      </c>
      <c r="C43" s="17">
        <f>IF($B$4="표준",'2.치형좌표'!E42,'2.치형좌표'!H42)</f>
        <v>-8.7724743964610639</v>
      </c>
      <c r="D43" s="6" t="str">
        <f t="shared" si="0"/>
        <v>78.15297,-8.77247</v>
      </c>
    </row>
    <row r="44" spans="1:4" x14ac:dyDescent="0.3">
      <c r="A44" s="19">
        <v>38</v>
      </c>
      <c r="B44" s="17">
        <f>IF($B$4="표준",'2.치형좌표'!D43,'2.치형좌표'!G43)</f>
        <v>78.055175118717088</v>
      </c>
      <c r="C44" s="17">
        <f>IF($B$4="표준",'2.치형좌표'!E43,'2.치형좌표'!H43)</f>
        <v>-8.8596911611605158</v>
      </c>
      <c r="D44" s="6" t="str">
        <f t="shared" si="0"/>
        <v>78.05518,-8.85969</v>
      </c>
    </row>
    <row r="45" spans="1:4" x14ac:dyDescent="0.3">
      <c r="A45" s="19">
        <v>39</v>
      </c>
      <c r="B45" s="17">
        <f>IF($B$4="표준",'2.치형좌표'!D44,'2.치형좌표'!G44)</f>
        <v>77.957633660285495</v>
      </c>
      <c r="C45" s="17">
        <f>IF($B$4="표준",'2.치형좌표'!E44,'2.치형좌표'!H44)</f>
        <v>-8.9395865351905801</v>
      </c>
      <c r="D45" s="6" t="str">
        <f t="shared" si="0"/>
        <v>77.95763,-8.93959</v>
      </c>
    </row>
    <row r="46" spans="1:4" x14ac:dyDescent="0.3">
      <c r="A46" s="19">
        <v>40</v>
      </c>
      <c r="B46" s="17">
        <f>IF($B$4="표준",'2.치형좌표'!D45,'2.치형좌표'!G45)</f>
        <v>77.855610628409337</v>
      </c>
      <c r="C46" s="17">
        <f>IF($B$4="표준",'2.치형좌표'!E45,'2.치형좌표'!H45)</f>
        <v>-9.0172199041728263</v>
      </c>
      <c r="D46" s="6" t="str">
        <f t="shared" si="0"/>
        <v>77.85561,-9.01722</v>
      </c>
    </row>
    <row r="47" spans="1:4" x14ac:dyDescent="0.3">
      <c r="A47" s="19">
        <v>41</v>
      </c>
      <c r="B47" s="17">
        <f>IF($B$4="표준",'2.치형좌표'!D46,'2.치형좌표'!G46)</f>
        <v>77.740325432069355</v>
      </c>
      <c r="C47" s="17">
        <f>IF($B$4="표준",'2.치형좌표'!E46,'2.치형좌표'!H46)</f>
        <v>-9.1001261414960712</v>
      </c>
      <c r="D47" s="6" t="str">
        <f t="shared" si="0"/>
        <v>77.74033,-9.10013</v>
      </c>
    </row>
    <row r="48" spans="1:4" x14ac:dyDescent="0.3">
      <c r="A48" s="19">
        <v>42</v>
      </c>
      <c r="B48" s="17">
        <f>IF($B$4="표준",'2.치형좌표'!D47,'2.치형좌표'!G47)</f>
        <v>77.596526841602227</v>
      </c>
      <c r="C48" s="17">
        <f>IF($B$4="표준",'2.치형좌표'!E47,'2.치형좌표'!H47)</f>
        <v>-9.2005047082818212</v>
      </c>
      <c r="D48" s="6" t="str">
        <f t="shared" si="0"/>
        <v>77.59653,-9.20050</v>
      </c>
    </row>
    <row r="49" spans="1:4" x14ac:dyDescent="0.3">
      <c r="A49" s="19">
        <v>43</v>
      </c>
      <c r="B49" s="17">
        <f>IF($B$4="표준",'2.치형좌표'!D48,'2.치형좌표'!G48)</f>
        <v>77.398584613229545</v>
      </c>
      <c r="C49" s="17">
        <f>IF($B$4="표준",'2.치형좌표'!E48,'2.치형좌표'!H48)</f>
        <v>-9.3403744500686692</v>
      </c>
      <c r="D49" s="6" t="str">
        <f t="shared" si="0"/>
        <v>77.39858,-9.34037</v>
      </c>
    </row>
    <row r="50" spans="1:4" x14ac:dyDescent="0.3">
      <c r="A50" s="19">
        <v>44</v>
      </c>
      <c r="B50" s="17">
        <f>IF($B$4="표준",'2.치형좌표'!D49,'2.치형좌표'!G49)</f>
        <v>77.105618510492747</v>
      </c>
      <c r="C50" s="17">
        <f>IF($B$4="표준",'2.치형좌표'!E49,'2.치형좌표'!H49)</f>
        <v>-9.5641227190905482</v>
      </c>
      <c r="D50" s="6" t="str">
        <f t="shared" si="0"/>
        <v>77.10562,-9.56412</v>
      </c>
    </row>
    <row r="51" spans="1:4" x14ac:dyDescent="0.3">
      <c r="A51" s="19">
        <v>45</v>
      </c>
      <c r="B51" s="17">
        <f>IF($B$4="표준",'2.치형좌표'!D50,'2.치형좌표'!G50)</f>
        <v>76.664463708242607</v>
      </c>
      <c r="C51" s="17">
        <f>IF($B$4="표준",'2.치형좌표'!E50,'2.치형좌표'!H50)</f>
        <v>-9.9674272657029075</v>
      </c>
      <c r="D51" s="6" t="str">
        <f t="shared" si="0"/>
        <v>76.66446,-9.96743</v>
      </c>
    </row>
    <row r="52" spans="1:4" x14ac:dyDescent="0.3">
      <c r="A52" s="19">
        <v>46</v>
      </c>
      <c r="B52" s="17">
        <f>IF($B$4="표준",'2.치형좌표'!D51,'2.치형좌표'!G51)</f>
        <v>76.067453301460958</v>
      </c>
      <c r="C52" s="17">
        <f>IF($B$4="표준",'2.치형좌표'!E51,'2.치형좌표'!H51)</f>
        <v>-10.736937211364038</v>
      </c>
      <c r="D52" s="6" t="str">
        <f t="shared" si="0"/>
        <v>76.06745,-10.73694</v>
      </c>
    </row>
    <row r="53" spans="1:4" x14ac:dyDescent="0.3">
      <c r="A53" s="19">
        <v>47</v>
      </c>
      <c r="B53" s="17">
        <f>IF($B$4="표준",'2.치형좌표'!D52,'2.치형좌표'!G52)</f>
        <v>75.543127213960943</v>
      </c>
      <c r="C53" s="17">
        <f>IF($B$4="표준",'2.치형좌표'!E52,'2.치형좌표'!H52)</f>
        <v>-12.035713968161883</v>
      </c>
      <c r="D53" s="6" t="str">
        <f t="shared" si="0"/>
        <v>75.54313,-12.03571</v>
      </c>
    </row>
    <row r="54" spans="1:4" x14ac:dyDescent="0.3">
      <c r="A54" s="19">
        <v>48</v>
      </c>
      <c r="B54" s="17">
        <f>IF($B$4="표준",'2.치형좌표'!D53,'2.치형좌표'!G53)</f>
        <v>75.482155037985294</v>
      </c>
      <c r="C54" s="17">
        <f>IF($B$4="표준",'2.치형좌표'!E53,'2.치형좌표'!H53)</f>
        <v>-13.516893531196857</v>
      </c>
      <c r="D54" s="6" t="str">
        <f t="shared" si="0"/>
        <v>75.48216,-13.51689</v>
      </c>
    </row>
    <row r="55" spans="1:4" x14ac:dyDescent="0.3">
      <c r="A55" s="19">
        <v>49</v>
      </c>
      <c r="B55" s="17">
        <f>IF($B$4="표준",'2.치형좌표'!D54,'2.치형좌표'!G54)</f>
        <v>75.772550010409788</v>
      </c>
      <c r="C55" s="17">
        <f>IF($B$4="표준",'2.치형좌표'!E54,'2.치형좌표'!H54)</f>
        <v>-14.591595906277297</v>
      </c>
      <c r="D55" s="6" t="str">
        <f t="shared" si="0"/>
        <v>75.77255,-14.59160</v>
      </c>
    </row>
    <row r="56" spans="1:4" x14ac:dyDescent="0.3">
      <c r="A56" s="19">
        <v>50</v>
      </c>
      <c r="B56" s="17">
        <f>IF($B$4="표준",'2.치형좌표'!D55,'2.치형좌표'!G55)</f>
        <v>76.085730667027917</v>
      </c>
      <c r="C56" s="17">
        <f>IF($B$4="표준",'2.치형좌표'!E55,'2.치형좌표'!H55)</f>
        <v>-15.214438704068433</v>
      </c>
      <c r="D56" s="6" t="str">
        <f t="shared" si="0"/>
        <v>76.08573,-15.21444</v>
      </c>
    </row>
    <row r="57" spans="1:4" x14ac:dyDescent="0.3">
      <c r="A57" s="19">
        <v>51</v>
      </c>
      <c r="B57" s="17">
        <f>IF($B$4="표준",'2.치형좌표'!D56,'2.치형좌표'!G56)</f>
        <v>76.317518785271361</v>
      </c>
      <c r="C57" s="17">
        <f>IF($B$4="표준",'2.치형좌표'!E56,'2.치형좌표'!H56)</f>
        <v>-15.571447513399095</v>
      </c>
      <c r="D57" s="6" t="str">
        <f t="shared" si="0"/>
        <v>76.31752,-15.57145</v>
      </c>
    </row>
    <row r="58" spans="1:4" x14ac:dyDescent="0.3">
      <c r="A58" s="19">
        <v>52</v>
      </c>
      <c r="B58" s="17">
        <f>IF($B$4="표준",'2.치형좌표'!D57,'2.치형좌표'!G57)</f>
        <v>76.477653798594034</v>
      </c>
      <c r="C58" s="17">
        <f>IF($B$4="표준",'2.치형좌표'!E57,'2.치형좌표'!H57)</f>
        <v>-15.792896242032985</v>
      </c>
      <c r="D58" s="6" t="str">
        <f t="shared" si="0"/>
        <v>76.47765,-15.79290</v>
      </c>
    </row>
    <row r="59" spans="1:4" x14ac:dyDescent="0.3">
      <c r="A59" s="19">
        <v>53</v>
      </c>
      <c r="B59" s="17">
        <f>IF($B$4="표준",'2.치형좌표'!D58,'2.치형좌표'!G58)</f>
        <v>76.592006927852054</v>
      </c>
      <c r="C59" s="17">
        <f>IF($B$4="표준",'2.치형좌표'!E58,'2.치형좌표'!H58)</f>
        <v>-15.946508886638142</v>
      </c>
      <c r="D59" s="6" t="str">
        <f t="shared" si="0"/>
        <v>76.59201,-15.94651</v>
      </c>
    </row>
    <row r="60" spans="1:4" x14ac:dyDescent="0.3">
      <c r="A60" s="19">
        <v>54</v>
      </c>
      <c r="B60" s="17">
        <f>IF($B$4="표준",'2.치형좌표'!D59,'2.치형좌표'!G59)</f>
        <v>76.680325098880701</v>
      </c>
      <c r="C60" s="17">
        <f>IF($B$4="표준",'2.치형좌표'!E59,'2.치형좌표'!H59)</f>
        <v>-16.067365860353188</v>
      </c>
      <c r="D60" s="6" t="str">
        <f t="shared" si="0"/>
        <v>76.68033,-16.06737</v>
      </c>
    </row>
    <row r="61" spans="1:4" x14ac:dyDescent="0.3">
      <c r="A61" s="19">
        <v>55</v>
      </c>
      <c r="B61" s="17">
        <f>IF($B$4="표준",'2.치형좌표'!D60,'2.치형좌표'!G60)</f>
        <v>76.755058459452229</v>
      </c>
      <c r="C61" s="17">
        <f>IF($B$4="표준",'2.치형좌표'!E60,'2.치형좌표'!H60)</f>
        <v>-16.174859850347232</v>
      </c>
      <c r="D61" s="6" t="str">
        <f t="shared" si="0"/>
        <v>76.75506,-16.17486</v>
      </c>
    </row>
    <row r="62" spans="1:4" x14ac:dyDescent="0.3">
      <c r="A62" s="19">
        <v>56</v>
      </c>
      <c r="B62" s="17">
        <f>IF($B$4="표준",'2.치형좌표'!D61,'2.치형좌표'!G61)</f>
        <v>76.823383743252862</v>
      </c>
      <c r="C62" s="17">
        <f>IF($B$4="표준",'2.치형좌표'!E61,'2.치형좌표'!H61)</f>
        <v>-16.280504901395162</v>
      </c>
      <c r="D62" s="6" t="str">
        <f t="shared" si="0"/>
        <v>76.82338,-16.28050</v>
      </c>
    </row>
    <row r="63" spans="1:4" x14ac:dyDescent="0.3">
      <c r="A63" s="19">
        <v>57</v>
      </c>
      <c r="B63" s="17">
        <f>IF($B$4="표준",'2.치형좌표'!D62,'2.치형좌표'!G62)</f>
        <v>76.888996142234845</v>
      </c>
      <c r="C63" s="17">
        <f>IF($B$4="표준",'2.치형좌표'!E62,'2.치형좌표'!H62)</f>
        <v>-16.391522860225599</v>
      </c>
      <c r="D63" s="6" t="str">
        <f t="shared" si="0"/>
        <v>76.88900,-16.39152</v>
      </c>
    </row>
    <row r="64" spans="1:4" x14ac:dyDescent="0.3">
      <c r="A64" s="19">
        <v>58</v>
      </c>
      <c r="B64" s="17">
        <f>IF($B$4="표준",'2.치형좌표'!D63,'2.치형좌표'!G63)</f>
        <v>76.953331230787455</v>
      </c>
      <c r="C64" s="17">
        <f>IF($B$4="표준",'2.치형좌표'!E63,'2.치형좌표'!H63)</f>
        <v>-16.512565180751505</v>
      </c>
      <c r="D64" s="6" t="str">
        <f t="shared" si="0"/>
        <v>76.95333,-16.51257</v>
      </c>
    </row>
    <row r="65" spans="1:4" x14ac:dyDescent="0.3">
      <c r="A65" s="19">
        <v>59</v>
      </c>
      <c r="B65" s="17">
        <f>IF($B$4="표준",'2.치형좌표'!D64,'2.치형좌표'!G64)</f>
        <v>77.016363842973831</v>
      </c>
      <c r="C65" s="17">
        <f>IF($B$4="표준",'2.치형좌표'!E64,'2.치형좌표'!H64)</f>
        <v>-16.646587871863918</v>
      </c>
      <c r="D65" s="6" t="str">
        <f t="shared" si="0"/>
        <v>77.01636,-16.64659</v>
      </c>
    </row>
    <row r="66" spans="1:4" x14ac:dyDescent="0.3">
      <c r="A66" s="19">
        <v>60</v>
      </c>
      <c r="B66" s="17">
        <f>IF($B$4="표준",'2.치형좌표'!D65,'2.치형좌표'!G65)</f>
        <v>77.077138058710773</v>
      </c>
      <c r="C66" s="17">
        <f>IF($B$4="표준",'2.치형좌표'!E65,'2.치형좌표'!H65)</f>
        <v>-16.795325119940244</v>
      </c>
      <c r="D66" s="6" t="str">
        <f t="shared" si="0"/>
        <v>77.07714,-16.79533</v>
      </c>
    </row>
    <row r="67" spans="1:4" x14ac:dyDescent="0.3">
      <c r="A67" s="19">
        <v>61</v>
      </c>
      <c r="B67" s="17">
        <f>IF($B$4="표준",'2.치형좌표'!D66,'2.치형좌표'!G66)</f>
        <v>77.13413111089065</v>
      </c>
      <c r="C67" s="17">
        <f>IF($B$4="표준",'2.치형좌표'!E66,'2.치형좌표'!H66)</f>
        <v>-16.959565153407993</v>
      </c>
      <c r="D67" s="6" t="str">
        <f t="shared" si="0"/>
        <v>77.13413,-16.95957</v>
      </c>
    </row>
    <row r="68" spans="1:4" x14ac:dyDescent="0.3">
      <c r="A68" s="19">
        <v>62</v>
      </c>
      <c r="B68" s="17">
        <f>IF($B$4="표준",'2.치형좌표'!D67,'2.치형좌표'!G67)</f>
        <v>77.185513417023287</v>
      </c>
      <c r="C68" s="17">
        <f>IF($B$4="표준",'2.치형좌표'!E67,'2.치형좌표'!H67)</f>
        <v>-17.13932590389236</v>
      </c>
      <c r="D68" s="6" t="str">
        <f t="shared" si="0"/>
        <v>77.18551,-17.13933</v>
      </c>
    </row>
    <row r="69" spans="1:4" x14ac:dyDescent="0.3">
      <c r="A69" s="19">
        <v>63</v>
      </c>
      <c r="B69" s="17">
        <f>IF($B$4="표준",'2.치형좌표'!D68,'2.치형좌표'!G68)</f>
        <v>77.22934145515994</v>
      </c>
      <c r="C69" s="17">
        <f>IF($B$4="표준",'2.치형좌표'!E68,'2.치형좌표'!H68)</f>
        <v>-17.333979308946674</v>
      </c>
      <c r="D69" s="6" t="str">
        <f t="shared" si="0"/>
        <v>77.22934,-17.33398</v>
      </c>
    </row>
    <row r="70" spans="1:4" x14ac:dyDescent="0.3">
      <c r="A70" s="19">
        <v>64</v>
      </c>
      <c r="B70" s="17">
        <f>IF($B$4="표준",'2.치형좌표'!D69,'2.치형좌표'!G69)</f>
        <v>77.263705116303257</v>
      </c>
      <c r="C70" s="17">
        <f>IF($B$4="표준",'2.치형좌표'!E69,'2.치형좌표'!H69)</f>
        <v>-17.542349588036277</v>
      </c>
      <c r="D70" s="6" t="str">
        <f t="shared" si="0"/>
        <v>77.26371,-17.54235</v>
      </c>
    </row>
    <row r="71" spans="1:4" x14ac:dyDescent="0.3">
      <c r="A71" s="19">
        <v>65</v>
      </c>
      <c r="B71" s="17">
        <f>IF($B$4="표준",'2.치형좌표'!D70,'2.치형좌표'!G70)</f>
        <v>77.286842338848913</v>
      </c>
      <c r="C71" s="17">
        <f>IF($B$4="표준",'2.치형좌표'!E70,'2.치형좌표'!H70)</f>
        <v>-17.762798915423851</v>
      </c>
      <c r="D71" s="6" t="str">
        <f t="shared" ref="D71:D134" si="1">TEXT(B71,"0.00000")&amp;","&amp;TEXT(C71,"0.00000")</f>
        <v>77.28684,-17.76280</v>
      </c>
    </row>
    <row r="72" spans="1:4" x14ac:dyDescent="0.3">
      <c r="A72" s="19">
        <v>66</v>
      </c>
      <c r="B72" s="17">
        <f>IF($B$4="표준",'2.치형좌표'!D71,'2.치형좌표'!G71)</f>
        <v>77.297228649967224</v>
      </c>
      <c r="C72" s="17">
        <f>IF($B$4="표준",'2.치형좌표'!E71,'2.치형좌표'!H71)</f>
        <v>-17.99330760190097</v>
      </c>
      <c r="D72" s="6" t="str">
        <f t="shared" si="1"/>
        <v>77.29723,-17.99331</v>
      </c>
    </row>
    <row r="73" spans="1:4" x14ac:dyDescent="0.3">
      <c r="A73" s="19">
        <v>67</v>
      </c>
      <c r="B73" s="17">
        <f>IF($B$4="표준",'2.치형좌표'!D72,'2.치형좌표'!G72)</f>
        <v>77.293646178229992</v>
      </c>
      <c r="C73" s="17">
        <f>IF($B$4="표준",'2.치형좌표'!E72,'2.치형좌표'!H72)</f>
        <v>-18.231552406075444</v>
      </c>
      <c r="D73" s="6" t="str">
        <f t="shared" si="1"/>
        <v>77.29365,-18.23155</v>
      </c>
    </row>
    <row r="74" spans="1:4" x14ac:dyDescent="0.3">
      <c r="A74" s="19">
        <v>68</v>
      </c>
      <c r="B74" s="17">
        <f>IF($B$4="표준",'2.치형좌표'!D73,'2.치형좌표'!G73)</f>
        <v>77.275234887001162</v>
      </c>
      <c r="C74" s="17">
        <f>IF($B$4="표준",'2.치형좌표'!E73,'2.치형좌표'!H73)</f>
        <v>-18.474984588420671</v>
      </c>
      <c r="D74" s="6" t="str">
        <f t="shared" si="1"/>
        <v>77.27523,-18.47498</v>
      </c>
    </row>
    <row r="75" spans="1:4" x14ac:dyDescent="0.3">
      <c r="A75" s="19">
        <v>69</v>
      </c>
      <c r="B75" s="17">
        <f>IF($B$4="표준",'2.치형좌표'!D74,'2.치형좌표'!G74)</f>
        <v>77.241527705524319</v>
      </c>
      <c r="C75" s="17">
        <f>IF($B$4="표준",'2.치형좌표'!E74,'2.치형좌표'!H74)</f>
        <v>-18.720908128603543</v>
      </c>
      <c r="D75" s="6" t="str">
        <f t="shared" si="1"/>
        <v>77.24153,-18.72091</v>
      </c>
    </row>
    <row r="76" spans="1:4" x14ac:dyDescent="0.3">
      <c r="A76" s="19">
        <v>70</v>
      </c>
      <c r="B76" s="17">
        <f>IF($B$4="표준",'2.치형좌표'!D75,'2.치형좌표'!G75)</f>
        <v>77.19247060876188</v>
      </c>
      <c r="C76" s="17">
        <f>IF($B$4="표준",'2.치형좌표'!E75,'2.치형좌표'!H75)</f>
        <v>-18.966557802073044</v>
      </c>
      <c r="D76" s="6" t="str">
        <f t="shared" si="1"/>
        <v>77.19247,-18.96656</v>
      </c>
    </row>
    <row r="77" spans="1:4" x14ac:dyDescent="0.3">
      <c r="A77" s="19">
        <v>71</v>
      </c>
      <c r="B77" s="17">
        <f>IF($B$4="표준",'2.치형좌표'!D76,'2.치형좌표'!G76)</f>
        <v>77.12842833933189</v>
      </c>
      <c r="C77" s="17">
        <f>IF($B$4="표준",'2.치형좌표'!E76,'2.치형좌표'!H76)</f>
        <v>-19.209176370121263</v>
      </c>
      <c r="D77" s="6" t="str">
        <f t="shared" si="1"/>
        <v>77.12843,-19.20918</v>
      </c>
    </row>
    <row r="78" spans="1:4" x14ac:dyDescent="0.3">
      <c r="A78" s="19">
        <v>72</v>
      </c>
      <c r="B78" s="17">
        <f>IF($B$4="표준",'2.치형좌표'!D77,'2.치형좌표'!G77)</f>
        <v>77.05017626247583</v>
      </c>
      <c r="C78" s="17">
        <f>IF($B$4="표준",'2.치형좌표'!E77,'2.치형좌표'!H77)</f>
        <v>-19.446089876751962</v>
      </c>
      <c r="D78" s="6" t="str">
        <f t="shared" si="1"/>
        <v>77.05018,-19.44609</v>
      </c>
    </row>
    <row r="79" spans="1:4" x14ac:dyDescent="0.3">
      <c r="A79" s="19">
        <v>73</v>
      </c>
      <c r="B79" s="17">
        <f>IF($B$4="표준",'2.치형좌표'!D78,'2.치형좌표'!G78)</f>
        <v>76.958878721088908</v>
      </c>
      <c r="C79" s="17">
        <f>IF($B$4="표준",'2.치형좌표'!E78,'2.치형좌표'!H78)</f>
        <v>-19.674779908674413</v>
      </c>
      <c r="D79" s="6" t="str">
        <f t="shared" si="1"/>
        <v>76.95888,-19.67478</v>
      </c>
    </row>
    <row r="80" spans="1:4" x14ac:dyDescent="0.3">
      <c r="A80" s="19">
        <v>74</v>
      </c>
      <c r="B80" s="17">
        <f>IF($B$4="표준",'2.치형좌표'!D79,'2.치형좌표'!G79)</f>
        <v>76.856054153580999</v>
      </c>
      <c r="C80" s="17">
        <f>IF($B$4="표준",'2.치형좌표'!E79,'2.치형좌표'!H79)</f>
        <v>-19.892951629797182</v>
      </c>
      <c r="D80" s="6" t="str">
        <f t="shared" si="1"/>
        <v>76.85605,-19.89295</v>
      </c>
    </row>
    <row r="81" spans="1:4" x14ac:dyDescent="0.3">
      <c r="A81" s="19">
        <v>75</v>
      </c>
      <c r="B81" s="17">
        <f>IF($B$4="표준",'2.치형좌표'!D80,'2.치형좌표'!G80)</f>
        <v>76.743527099020838</v>
      </c>
      <c r="C81" s="17">
        <f>IF($B$4="표준",'2.치형좌표'!E80,'2.치형좌표'!H80)</f>
        <v>-20.098596432522989</v>
      </c>
      <c r="D81" s="6" t="str">
        <f t="shared" si="1"/>
        <v>76.74353,-20.09860</v>
      </c>
    </row>
    <row r="82" spans="1:4" x14ac:dyDescent="0.3">
      <c r="A82" s="19">
        <v>76</v>
      </c>
      <c r="B82" s="17">
        <f>IF($B$4="표준",'2.치형좌표'!D81,'2.치형좌표'!G81)</f>
        <v>76.623366981832191</v>
      </c>
      <c r="C82" s="17">
        <f>IF($B$4="표준",'2.치형좌표'!E81,'2.치형좌표'!H81)</f>
        <v>-20.290048150425033</v>
      </c>
      <c r="D82" s="6" t="str">
        <f t="shared" si="1"/>
        <v>76.62337,-20.29005</v>
      </c>
    </row>
    <row r="83" spans="1:4" x14ac:dyDescent="0.3">
      <c r="A83" s="19">
        <v>77</v>
      </c>
      <c r="B83" s="17">
        <f>IF($B$4="표준",'2.치형좌표'!D82,'2.치형좌표'!G82)</f>
        <v>76.49781316289392</v>
      </c>
      <c r="C83" s="17">
        <f>IF($B$4="표준",'2.치형좌표'!E82,'2.치형좌표'!H82)</f>
        <v>-20.466031958204898</v>
      </c>
      <c r="D83" s="6" t="str">
        <f t="shared" si="1"/>
        <v>76.49781,-20.46603</v>
      </c>
    </row>
    <row r="84" spans="1:4" x14ac:dyDescent="0.3">
      <c r="A84" s="19">
        <v>78</v>
      </c>
      <c r="B84" s="17">
        <f>IF($B$4="표준",'2.치형좌표'!D83,'2.치형좌표'!G83)</f>
        <v>76.369185046373985</v>
      </c>
      <c r="C84" s="17">
        <f>IF($B$4="표준",'2.치형좌표'!E83,'2.치형좌표'!H83)</f>
        <v>-20.625705370694778</v>
      </c>
      <c r="D84" s="6" t="str">
        <f t="shared" si="1"/>
        <v>76.36919,-20.62571</v>
      </c>
    </row>
    <row r="85" spans="1:4" x14ac:dyDescent="0.3">
      <c r="A85" s="19">
        <v>79</v>
      </c>
      <c r="B85" s="17">
        <f>IF($B$4="표준",'2.치형좌표'!D84,'2.치형좌표'!G84)</f>
        <v>76.23977484979342</v>
      </c>
      <c r="C85" s="17">
        <f>IF($B$4="표준",'2.치형좌표'!E84,'2.치형좌표'!H84)</f>
        <v>-20.76869120053766</v>
      </c>
      <c r="D85" s="6" t="str">
        <f t="shared" si="1"/>
        <v>76.23977,-20.76869</v>
      </c>
    </row>
    <row r="86" spans="1:4" x14ac:dyDescent="0.3">
      <c r="A86" s="19">
        <v>80</v>
      </c>
      <c r="B86" s="17">
        <f>IF($B$4="표준",'2.치형좌표'!D85,'2.치형좌표'!G85)</f>
        <v>76.111718651986322</v>
      </c>
      <c r="C86" s="17">
        <f>IF($B$4="표준",'2.치형좌표'!E85,'2.치형좌표'!H85)</f>
        <v>-20.895103064803109</v>
      </c>
      <c r="D86" s="6" t="str">
        <f t="shared" si="1"/>
        <v>76.11172,-20.89510</v>
      </c>
    </row>
    <row r="87" spans="1:4" x14ac:dyDescent="0.3">
      <c r="A87" s="19">
        <v>81</v>
      </c>
      <c r="B87" s="17">
        <f>IF($B$4="표준",'2.치형좌표'!D86,'2.치형좌표'!G86)</f>
        <v>75.986837953589145</v>
      </c>
      <c r="C87" s="17">
        <f>IF($B$4="표준",'2.치형좌표'!E86,'2.치형좌표'!H86)</f>
        <v>-21.005565297214389</v>
      </c>
      <c r="D87" s="6" t="str">
        <f t="shared" si="1"/>
        <v>75.98684,-21.00557</v>
      </c>
    </row>
    <row r="88" spans="1:4" x14ac:dyDescent="0.3">
      <c r="A88" s="19">
        <v>82</v>
      </c>
      <c r="B88" s="17">
        <f>IF($B$4="표준",'2.치형좌표'!D87,'2.치형좌표'!G87)</f>
        <v>75.866438169039355</v>
      </c>
      <c r="C88" s="17">
        <f>IF($B$4="표준",'2.치형좌표'!E87,'2.치형좌표'!H87)</f>
        <v>-21.101231466374454</v>
      </c>
      <c r="D88" s="6" t="str">
        <f t="shared" si="1"/>
        <v>75.86644,-21.10123</v>
      </c>
    </row>
    <row r="89" spans="1:4" x14ac:dyDescent="0.3">
      <c r="A89" s="19">
        <v>83</v>
      </c>
      <c r="B89" s="17">
        <f>IF($B$4="표준",'2.치형좌표'!D88,'2.치형좌표'!G88)</f>
        <v>75.751040256371695</v>
      </c>
      <c r="C89" s="17">
        <f>IF($B$4="표준",'2.치형좌표'!E88,'2.치형좌표'!H88)</f>
        <v>-21.183810318309678</v>
      </c>
      <c r="D89" s="6" t="str">
        <f t="shared" si="1"/>
        <v>75.75104,-21.18381</v>
      </c>
    </row>
    <row r="90" spans="1:4" x14ac:dyDescent="0.3">
      <c r="A90" s="19">
        <v>84</v>
      </c>
      <c r="B90" s="17">
        <f>IF($B$4="표준",'2.치형좌표'!D89,'2.치형좌표'!G89)</f>
        <v>75.64000332216844</v>
      </c>
      <c r="C90" s="17">
        <f>IF($B$4="표준",'2.치형좌표'!E89,'2.치형좌표'!H89)</f>
        <v>-21.255617607005956</v>
      </c>
      <c r="D90" s="6" t="str">
        <f t="shared" si="1"/>
        <v>75.64000,-21.25562</v>
      </c>
    </row>
    <row r="91" spans="1:4" x14ac:dyDescent="0.3">
      <c r="A91" s="19">
        <v>85</v>
      </c>
      <c r="B91" s="17">
        <f>IF($B$4="표준",'2.치형좌표'!D90,'2.치형좌표'!G90)</f>
        <v>75.530962188767759</v>
      </c>
      <c r="C91" s="17">
        <f>IF($B$4="표준",'2.치형좌표'!E90,'2.치형좌표'!H90)</f>
        <v>-21.319693578420992</v>
      </c>
      <c r="D91" s="6" t="str">
        <f t="shared" si="1"/>
        <v>75.53096,-21.31969</v>
      </c>
    </row>
    <row r="92" spans="1:4" x14ac:dyDescent="0.3">
      <c r="A92" s="19">
        <v>86</v>
      </c>
      <c r="B92" s="17">
        <f>IF($B$4="표준",'2.치형좌표'!D91,'2.치형좌표'!G91)</f>
        <v>75.418940338978061</v>
      </c>
      <c r="C92" s="17">
        <f>IF($B$4="표준",'2.치형좌표'!E91,'2.치형좌표'!H91)</f>
        <v>-21.380075616206</v>
      </c>
      <c r="D92" s="6" t="str">
        <f t="shared" si="1"/>
        <v>75.41894,-21.38008</v>
      </c>
    </row>
    <row r="93" spans="1:4" x14ac:dyDescent="0.3">
      <c r="A93" s="19">
        <v>87</v>
      </c>
      <c r="B93" s="17">
        <f>IF($B$4="표준",'2.치형좌표'!D92,'2.치형좌표'!G92)</f>
        <v>75.294879174984658</v>
      </c>
      <c r="C93" s="17">
        <f>IF($B$4="표준",'2.치형좌표'!E92,'2.치형좌표'!H92)</f>
        <v>-21.442438534275794</v>
      </c>
      <c r="D93" s="6" t="str">
        <f t="shared" si="1"/>
        <v>75.29488,-21.44244</v>
      </c>
    </row>
    <row r="94" spans="1:4" x14ac:dyDescent="0.3">
      <c r="A94" s="19">
        <v>88</v>
      </c>
      <c r="B94" s="17">
        <f>IF($B$4="표준",'2.치형좌표'!D93,'2.치형좌표'!G93)</f>
        <v>75.143112179239026</v>
      </c>
      <c r="C94" s="17">
        <f>IF($B$4="표준",'2.치형좌표'!E93,'2.치형좌표'!H93)</f>
        <v>-21.515636720687667</v>
      </c>
      <c r="D94" s="6" t="str">
        <f t="shared" si="1"/>
        <v>75.14311,-21.51564</v>
      </c>
    </row>
    <row r="95" spans="1:4" x14ac:dyDescent="0.3">
      <c r="A95" s="19">
        <v>89</v>
      </c>
      <c r="B95" s="17">
        <f>IF($B$4="표준",'2.치형좌표'!D94,'2.치형좌표'!G94)</f>
        <v>74.93703123894052</v>
      </c>
      <c r="C95" s="17">
        <f>IF($B$4="표준",'2.치형좌표'!E94,'2.치형좌표'!H94)</f>
        <v>-21.615563902112136</v>
      </c>
      <c r="D95" s="6" t="str">
        <f t="shared" si="1"/>
        <v>74.93703,-21.61556</v>
      </c>
    </row>
    <row r="96" spans="1:4" x14ac:dyDescent="0.3">
      <c r="A96" s="19">
        <v>90</v>
      </c>
      <c r="B96" s="17">
        <f>IF($B$4="표준",'2.치형좌표'!D95,'2.치형좌표'!G95)</f>
        <v>74.632482417143464</v>
      </c>
      <c r="C96" s="17">
        <f>IF($B$4="표준",'2.치형좌표'!E95,'2.치형좌표'!H95)</f>
        <v>-21.775165242068212</v>
      </c>
      <c r="D96" s="6" t="str">
        <f t="shared" si="1"/>
        <v>74.63248,-21.77517</v>
      </c>
    </row>
    <row r="97" spans="1:4" x14ac:dyDescent="0.3">
      <c r="A97" s="19">
        <v>91</v>
      </c>
      <c r="B97" s="17">
        <f>IF($B$4="표준",'2.치형좌표'!D96,'2.치형좌표'!G96)</f>
        <v>74.1638754589233</v>
      </c>
      <c r="C97" s="17">
        <f>IF($B$4="표준",'2.치형좌표'!E96,'2.치형좌표'!H96)</f>
        <v>-22.069897016536537</v>
      </c>
      <c r="D97" s="6" t="str">
        <f t="shared" si="1"/>
        <v>74.16388,-22.06990</v>
      </c>
    </row>
    <row r="98" spans="1:4" x14ac:dyDescent="0.3">
      <c r="A98" s="19">
        <v>92</v>
      </c>
      <c r="B98" s="17">
        <f>IF($B$4="표준",'2.치형좌표'!D97,'2.치형좌표'!G97)</f>
        <v>73.480273708631543</v>
      </c>
      <c r="C98" s="17">
        <f>IF($B$4="표준",'2.치형좌표'!E97,'2.치형좌표'!H97)</f>
        <v>-22.665805599569076</v>
      </c>
      <c r="D98" s="6" t="str">
        <f t="shared" si="1"/>
        <v>73.48027,-22.66581</v>
      </c>
    </row>
    <row r="99" spans="1:4" x14ac:dyDescent="0.3">
      <c r="A99" s="19">
        <v>93</v>
      </c>
      <c r="B99" s="17">
        <f>IF($B$4="표준",'2.치형좌표'!D98,'2.치형좌표'!G98)</f>
        <v>72.727499399204802</v>
      </c>
      <c r="C99" s="17">
        <f>IF($B$4="표준",'2.치형좌표'!E98,'2.치형좌표'!H98)</f>
        <v>-23.781181961572958</v>
      </c>
      <c r="D99" s="6" t="str">
        <f t="shared" si="1"/>
        <v>72.72750,-23.78118</v>
      </c>
    </row>
    <row r="100" spans="1:4" x14ac:dyDescent="0.3">
      <c r="A100" s="19">
        <v>94</v>
      </c>
      <c r="B100" s="17">
        <f>IF($B$4="표준",'2.치형좌표'!D99,'2.치형좌표'!G99)</f>
        <v>72.347297476756694</v>
      </c>
      <c r="C100" s="17">
        <f>IF($B$4="표준",'2.치형좌표'!E99,'2.치형좌표'!H99)</f>
        <v>-25.238272972781616</v>
      </c>
      <c r="D100" s="6" t="str">
        <f t="shared" si="1"/>
        <v>72.34730,-25.23827</v>
      </c>
    </row>
    <row r="101" spans="1:4" x14ac:dyDescent="0.3">
      <c r="A101" s="19">
        <v>95</v>
      </c>
      <c r="B101" s="17">
        <f>IF($B$4="표준",'2.치형좌표'!D100,'2.치형좌표'!G100)</f>
        <v>72.420603885769623</v>
      </c>
      <c r="C101" s="17">
        <f>IF($B$4="표준",'2.치형좌표'!E100,'2.치형좌표'!H100)</f>
        <v>-26.41913908963393</v>
      </c>
      <c r="D101" s="6" t="str">
        <f t="shared" si="1"/>
        <v>72.42060,-26.41914</v>
      </c>
    </row>
    <row r="102" spans="1:4" x14ac:dyDescent="0.3">
      <c r="A102" s="19">
        <v>96</v>
      </c>
      <c r="B102" s="17">
        <f>IF($B$4="표준",'2.치형좌표'!D101,'2.치형좌표'!G101)</f>
        <v>72.628957718266136</v>
      </c>
      <c r="C102" s="17">
        <f>IF($B$4="표준",'2.치형좌표'!E101,'2.치형좌표'!H101)</f>
        <v>-27.142286127581787</v>
      </c>
      <c r="D102" s="6" t="str">
        <f t="shared" si="1"/>
        <v>72.62896,-27.14229</v>
      </c>
    </row>
    <row r="103" spans="1:4" x14ac:dyDescent="0.3">
      <c r="A103" s="19">
        <v>97</v>
      </c>
      <c r="B103" s="17">
        <f>IF($B$4="표준",'2.치형좌표'!D102,'2.치형좌표'!G102)</f>
        <v>72.808459486150383</v>
      </c>
      <c r="C103" s="17">
        <f>IF($B$4="표준",'2.치형좌표'!E102,'2.치형좌표'!H102)</f>
        <v>-27.563954505022913</v>
      </c>
      <c r="D103" s="6" t="str">
        <f t="shared" si="1"/>
        <v>72.80846,-27.56395</v>
      </c>
    </row>
    <row r="104" spans="1:4" x14ac:dyDescent="0.3">
      <c r="A104" s="19">
        <v>98</v>
      </c>
      <c r="B104" s="17">
        <f>IF($B$4="표준",'2.치형좌표'!D103,'2.치형좌표'!G103)</f>
        <v>72.937714279690397</v>
      </c>
      <c r="C104" s="17">
        <f>IF($B$4="표준",'2.치형좌표'!E103,'2.치형좌표'!H103)</f>
        <v>-27.82479769596037</v>
      </c>
      <c r="D104" s="6" t="str">
        <f t="shared" si="1"/>
        <v>72.93771,-27.82480</v>
      </c>
    </row>
    <row r="105" spans="1:4" x14ac:dyDescent="0.3">
      <c r="A105" s="19">
        <v>99</v>
      </c>
      <c r="B105" s="17">
        <f>IF($B$4="표준",'2.치형좌표'!D104,'2.치형좌표'!G104)</f>
        <v>73.030210468631722</v>
      </c>
      <c r="C105" s="17">
        <f>IF($B$4="표준",'2.치형좌표'!E104,'2.치형좌표'!H104)</f>
        <v>-28.003152443705073</v>
      </c>
      <c r="D105" s="6" t="str">
        <f t="shared" si="1"/>
        <v>73.03021,-28.00315</v>
      </c>
    </row>
    <row r="106" spans="1:4" x14ac:dyDescent="0.3">
      <c r="A106" s="19">
        <v>100</v>
      </c>
      <c r="B106" s="17">
        <f>IF($B$4="표준",'2.치형좌표'!D105,'2.치형좌표'!G105)</f>
        <v>73.100430596219326</v>
      </c>
      <c r="C106" s="17">
        <f>IF($B$4="표준",'2.치형좌표'!E105,'2.치형좌표'!H105)</f>
        <v>-28.140557967085737</v>
      </c>
      <c r="D106" s="6" t="str">
        <f t="shared" si="1"/>
        <v>73.10043,-28.14056</v>
      </c>
    </row>
    <row r="107" spans="1:4" x14ac:dyDescent="0.3">
      <c r="A107" s="19">
        <v>101</v>
      </c>
      <c r="B107" s="17">
        <f>IF($B$4="표준",'2.치형좌표'!D106,'2.치형좌표'!G106)</f>
        <v>73.158261147891267</v>
      </c>
      <c r="C107" s="17">
        <f>IF($B$4="표준",'2.치형좌표'!E106,'2.치형좌표'!H106)</f>
        <v>-28.260039897975616</v>
      </c>
      <c r="D107" s="6" t="str">
        <f t="shared" si="1"/>
        <v>73.15826,-28.26004</v>
      </c>
    </row>
    <row r="108" spans="1:4" x14ac:dyDescent="0.3">
      <c r="A108" s="19">
        <v>102</v>
      </c>
      <c r="B108" s="17">
        <f>IF($B$4="표준",'2.치형좌표'!D107,'2.치형좌표'!G107)</f>
        <v>73.209463982798653</v>
      </c>
      <c r="C108" s="17">
        <f>IF($B$4="표준",'2.치형좌표'!E107,'2.치형좌표'!H107)</f>
        <v>-28.375121560481389</v>
      </c>
      <c r="D108" s="6" t="str">
        <f t="shared" si="1"/>
        <v>73.20946,-28.37512</v>
      </c>
    </row>
    <row r="109" spans="1:4" x14ac:dyDescent="0.3">
      <c r="A109" s="19">
        <v>103</v>
      </c>
      <c r="B109" s="17">
        <f>IF($B$4="표준",'2.치형좌표'!D108,'2.치형좌표'!G108)</f>
        <v>73.256882273835274</v>
      </c>
      <c r="C109" s="17">
        <f>IF($B$4="표준",'2.치형좌표'!E108,'2.치형좌표'!H108)</f>
        <v>-28.494105958541777</v>
      </c>
      <c r="D109" s="6" t="str">
        <f t="shared" si="1"/>
        <v>73.25688,-28.49411</v>
      </c>
    </row>
    <row r="110" spans="1:4" x14ac:dyDescent="0.3">
      <c r="A110" s="19">
        <v>104</v>
      </c>
      <c r="B110" s="17">
        <f>IF($B$4="표준",'2.치형좌표'!D109,'2.치형좌표'!G109)</f>
        <v>73.301418210917959</v>
      </c>
      <c r="C110" s="17">
        <f>IF($B$4="표준",'2.치형좌표'!E109,'2.치형좌표'!H109)</f>
        <v>-28.622180651589527</v>
      </c>
      <c r="D110" s="6" t="str">
        <f t="shared" si="1"/>
        <v>73.30142,-28.62218</v>
      </c>
    </row>
    <row r="111" spans="1:4" x14ac:dyDescent="0.3">
      <c r="A111" s="19">
        <v>105</v>
      </c>
      <c r="B111" s="17">
        <f>IF($B$4="표준",'2.치형좌표'!D110,'2.치형좌표'!G110)</f>
        <v>73.342719534698418</v>
      </c>
      <c r="C111" s="17">
        <f>IF($B$4="표준",'2.치형좌표'!E110,'2.치형좌표'!H110)</f>
        <v>-28.76250918410155</v>
      </c>
      <c r="D111" s="6" t="str">
        <f t="shared" si="1"/>
        <v>73.34272,-28.76251</v>
      </c>
    </row>
    <row r="112" spans="1:4" x14ac:dyDescent="0.3">
      <c r="A112" s="19">
        <v>106</v>
      </c>
      <c r="B112" s="17">
        <f>IF($B$4="표준",'2.치형좌표'!D111,'2.치형좌표'!G111)</f>
        <v>73.37965253136403</v>
      </c>
      <c r="C112" s="17">
        <f>IF($B$4="표준",'2.치형좌표'!E111,'2.치형좌표'!H111)</f>
        <v>-28.91683296861774</v>
      </c>
      <c r="D112" s="6" t="str">
        <f t="shared" si="1"/>
        <v>73.37965,-28.91683</v>
      </c>
    </row>
    <row r="113" spans="1:4" x14ac:dyDescent="0.3">
      <c r="A113" s="19">
        <v>107</v>
      </c>
      <c r="B113" s="17">
        <f>IF($B$4="표준",'2.치형좌표'!D112,'2.치형좌표'!G112)</f>
        <v>73.410633807179508</v>
      </c>
      <c r="C113" s="17">
        <f>IF($B$4="표준",'2.치형좌표'!E112,'2.치형좌표'!H112)</f>
        <v>-29.08582730062539</v>
      </c>
      <c r="D113" s="6" t="str">
        <f t="shared" si="1"/>
        <v>73.41063,-29.08583</v>
      </c>
    </row>
    <row r="114" spans="1:4" x14ac:dyDescent="0.3">
      <c r="A114" s="19">
        <v>108</v>
      </c>
      <c r="B114" s="17">
        <f>IF($B$4="표준",'2.치형좌표'!D113,'2.치형좌표'!G113)</f>
        <v>73.433869873096597</v>
      </c>
      <c r="C114" s="17">
        <f>IF($B$4="표준",'2.치형좌표'!E113,'2.치형좌표'!H113)</f>
        <v>-29.269329817338829</v>
      </c>
      <c r="D114" s="6" t="str">
        <f t="shared" si="1"/>
        <v>73.43387,-29.26933</v>
      </c>
    </row>
    <row r="115" spans="1:4" x14ac:dyDescent="0.3">
      <c r="A115" s="19">
        <v>109</v>
      </c>
      <c r="B115" s="17">
        <f>IF($B$4="표준",'2.치형좌표'!D114,'2.치형좌표'!G114)</f>
        <v>73.447535169622554</v>
      </c>
      <c r="C115" s="17">
        <f>IF($B$4="표준",'2.치형좌표'!E114,'2.치형좌표'!H114)</f>
        <v>-29.466501280574782</v>
      </c>
      <c r="D115" s="6" t="str">
        <f t="shared" si="1"/>
        <v>73.44754,-29.46650</v>
      </c>
    </row>
    <row r="116" spans="1:4" x14ac:dyDescent="0.3">
      <c r="A116" s="19">
        <v>110</v>
      </c>
      <c r="B116" s="17">
        <f>IF($B$4="표준",'2.치형좌표'!D115,'2.치형좌표'!G115)</f>
        <v>73.44990720210815</v>
      </c>
      <c r="C116" s="17">
        <f>IF($B$4="표준",'2.치형좌표'!E115,'2.치형좌표'!H115)</f>
        <v>-29.675950058400691</v>
      </c>
      <c r="D116" s="6" t="str">
        <f t="shared" si="1"/>
        <v>73.44991,-29.67595</v>
      </c>
    </row>
    <row r="117" spans="1:4" x14ac:dyDescent="0.3">
      <c r="A117" s="19">
        <v>111</v>
      </c>
      <c r="B117" s="17">
        <f>IF($B$4="표준",'2.치형좌표'!D116,'2.치형좌표'!G116)</f>
        <v>73.439470109917963</v>
      </c>
      <c r="C117" s="17">
        <f>IF($B$4="표준",'2.치형좌표'!E116,'2.치형좌표'!H116)</f>
        <v>-29.895837131337785</v>
      </c>
      <c r="D117" s="6" t="str">
        <f t="shared" si="1"/>
        <v>73.43947,-29.89584</v>
      </c>
    </row>
    <row r="118" spans="1:4" x14ac:dyDescent="0.3">
      <c r="A118" s="19">
        <v>112</v>
      </c>
      <c r="B118" s="17">
        <f>IF($B$4="표준",'2.치형좌표'!D117,'2.치형좌표'!G117)</f>
        <v>73.414993558079047</v>
      </c>
      <c r="C118" s="17">
        <f>IF($B$4="표준",'2.치형좌표'!E117,'2.치형좌표'!H117)</f>
        <v>-30.123970697743385</v>
      </c>
      <c r="D118" s="6" t="str">
        <f t="shared" si="1"/>
        <v>73.41499,-30.12397</v>
      </c>
    </row>
    <row r="119" spans="1:4" x14ac:dyDescent="0.3">
      <c r="A119" s="19">
        <v>113</v>
      </c>
      <c r="B119" s="17">
        <f>IF($B$4="표준",'2.치형좌표'!D118,'2.치형좌표'!G118)</f>
        <v>73.375591177270479</v>
      </c>
      <c r="C119" s="17">
        <f>IF($B$4="표준",'2.치형좌표'!E118,'2.치형좌표'!H118)</f>
        <v>-30.35789515607587</v>
      </c>
      <c r="D119" s="6" t="str">
        <f t="shared" si="1"/>
        <v>73.37559,-30.35790</v>
      </c>
    </row>
    <row r="120" spans="1:4" x14ac:dyDescent="0.3">
      <c r="A120" s="19">
        <v>114</v>
      </c>
      <c r="B120" s="17">
        <f>IF($B$4="표준",'2.치형좌표'!D119,'2.치형좌표'!G119)</f>
        <v>73.320761186582061</v>
      </c>
      <c r="C120" s="17">
        <f>IF($B$4="표준",'2.치형좌표'!E119,'2.치형좌표'!H119)</f>
        <v>-30.594976773667096</v>
      </c>
      <c r="D120" s="6" t="str">
        <f t="shared" si="1"/>
        <v>73.32076,-30.59498</v>
      </c>
    </row>
    <row r="121" spans="1:4" x14ac:dyDescent="0.3">
      <c r="A121" s="19">
        <v>115</v>
      </c>
      <c r="B121" s="17">
        <f>IF($B$4="표준",'2.치형좌표'!D120,'2.치형좌표'!G120)</f>
        <v>73.250410891803554</v>
      </c>
      <c r="C121" s="17">
        <f>IF($B$4="표준",'2.치형좌표'!E120,'2.치형좌표'!H120)</f>
        <v>-30.832486891802969</v>
      </c>
      <c r="D121" s="6" t="str">
        <f t="shared" si="1"/>
        <v>73.25041,-30.83249</v>
      </c>
    </row>
    <row r="122" spans="1:4" x14ac:dyDescent="0.3">
      <c r="A122" s="19">
        <v>116</v>
      </c>
      <c r="B122" s="17">
        <f>IF($B$4="표준",'2.치형좌표'!D121,'2.치형좌표'!G121)</f>
        <v>73.164866205413517</v>
      </c>
      <c r="C122" s="17">
        <f>IF($B$4="표준",'2.치형좌표'!E121,'2.치형좌표'!H121)</f>
        <v>-31.067682636203401</v>
      </c>
      <c r="D122" s="6" t="str">
        <f t="shared" si="1"/>
        <v>73.16487,-31.06768</v>
      </c>
    </row>
    <row r="123" spans="1:4" x14ac:dyDescent="0.3">
      <c r="A123" s="19">
        <v>117</v>
      </c>
      <c r="B123" s="17">
        <f>IF($B$4="표준",'2.치형좌표'!D122,'2.치형좌표'!G122)</f>
        <v>73.064867025634413</v>
      </c>
      <c r="C123" s="17">
        <f>IF($B$4="표준",'2.치형좌표'!E122,'2.치형좌표'!H122)</f>
        <v>-31.297884568418425</v>
      </c>
      <c r="D123" s="6" t="str">
        <f t="shared" si="1"/>
        <v>73.06487,-31.29788</v>
      </c>
    </row>
    <row r="124" spans="1:4" x14ac:dyDescent="0.3">
      <c r="A124" s="19">
        <v>118</v>
      </c>
      <c r="B124" s="17">
        <f>IF($B$4="표준",'2.치형좌표'!D123,'2.치형좌표'!G123)</f>
        <v>72.951549139708348</v>
      </c>
      <c r="C124" s="17">
        <f>IF($B$4="표준",'2.치형좌표'!E123,'2.치형좌표'!H123)</f>
        <v>-31.520550397778052</v>
      </c>
      <c r="D124" s="6" t="str">
        <f t="shared" si="1"/>
        <v>72.95155,-31.52055</v>
      </c>
    </row>
    <row r="125" spans="1:4" x14ac:dyDescent="0.3">
      <c r="A125" s="19">
        <v>119</v>
      </c>
      <c r="B125" s="17">
        <f>IF($B$4="표준",'2.치형좌표'!D124,'2.치형좌표'!G124)</f>
        <v>72.826413211018703</v>
      </c>
      <c r="C125" s="17">
        <f>IF($B$4="표준",'2.치형좌표'!E124,'2.치형좌표'!H124)</f>
        <v>-31.733343700849932</v>
      </c>
      <c r="D125" s="6" t="str">
        <f t="shared" si="1"/>
        <v>72.82641,-31.73334</v>
      </c>
    </row>
    <row r="126" spans="1:4" x14ac:dyDescent="0.3">
      <c r="A126" s="19">
        <v>120</v>
      </c>
      <c r="B126" s="17">
        <f>IF($B$4="표준",'2.치형좌표'!D125,'2.치형좌표'!G125)</f>
        <v>72.691281316497097</v>
      </c>
      <c r="C126" s="17">
        <f>IF($B$4="표준",'2.치형좌표'!E125,'2.치형좌표'!H125)</f>
        <v>-31.934196521725326</v>
      </c>
      <c r="D126" s="6" t="str">
        <f t="shared" si="1"/>
        <v>72.69128,-31.93420</v>
      </c>
    </row>
    <row r="127" spans="1:4" x14ac:dyDescent="0.3">
      <c r="A127" s="19">
        <v>121</v>
      </c>
      <c r="B127" s="17">
        <f>IF($B$4="표준",'2.치형좌표'!D126,'2.치형좌표'!G126)</f>
        <v>72.548241369780058</v>
      </c>
      <c r="C127" s="17">
        <f>IF($B$4="표준",'2.치형좌표'!E126,'2.치형좌표'!H126)</f>
        <v>-32.121364725254118</v>
      </c>
      <c r="D127" s="6" t="str">
        <f t="shared" si="1"/>
        <v>72.54824,-32.12136</v>
      </c>
    </row>
    <row r="128" spans="1:4" x14ac:dyDescent="0.3">
      <c r="A128" s="19">
        <v>122</v>
      </c>
      <c r="B128" s="17">
        <f>IF($B$4="표준",'2.치형좌표'!D127,'2.치형좌표'!G127)</f>
        <v>72.399579540468835</v>
      </c>
      <c r="C128" s="17">
        <f>IF($B$4="표준",'2.치형좌표'!E127,'2.치형좌표'!H127)</f>
        <v>-32.293475031103185</v>
      </c>
      <c r="D128" s="6" t="str">
        <f t="shared" si="1"/>
        <v>72.39958,-32.29348</v>
      </c>
    </row>
    <row r="129" spans="1:4" x14ac:dyDescent="0.3">
      <c r="A129" s="19">
        <v>123</v>
      </c>
      <c r="B129" s="17">
        <f>IF($B$4="표준",'2.치형좌표'!D128,'2.치형좌표'!G128)</f>
        <v>72.247700385393259</v>
      </c>
      <c r="C129" s="17">
        <f>IF($B$4="표준",'2.치형좌표'!E128,'2.치형좌표'!H128)</f>
        <v>-32.449562762666311</v>
      </c>
      <c r="D129" s="6" t="str">
        <f t="shared" si="1"/>
        <v>72.24770,-32.44956</v>
      </c>
    </row>
    <row r="130" spans="1:4" x14ac:dyDescent="0.3">
      <c r="A130" s="19">
        <v>124</v>
      </c>
      <c r="B130" s="17">
        <f>IF($B$4="표준",'2.치형좌표'!D129,'2.치형좌표'!G129)</f>
        <v>72.09503373082282</v>
      </c>
      <c r="C130" s="17">
        <f>IF($B$4="표준",'2.치형좌표'!E129,'2.치형좌표'!H129)</f>
        <v>-32.58909950542612</v>
      </c>
      <c r="D130" s="6" t="str">
        <f t="shared" si="1"/>
        <v>72.09503,-32.58910</v>
      </c>
    </row>
    <row r="131" spans="1:4" x14ac:dyDescent="0.3">
      <c r="A131" s="19">
        <v>125</v>
      </c>
      <c r="B131" s="17">
        <f>IF($B$4="표준",'2.치형좌표'!D130,'2.치형좌표'!G130)</f>
        <v>71.94392620136145</v>
      </c>
      <c r="C131" s="17">
        <f>IF($B$4="표준",'2.치형좌표'!E130,'2.치형좌표'!H130)</f>
        <v>-32.712010106261864</v>
      </c>
      <c r="D131" s="6" t="str">
        <f t="shared" si="1"/>
        <v>71.94393,-32.71201</v>
      </c>
    </row>
    <row r="132" spans="1:4" x14ac:dyDescent="0.3">
      <c r="A132" s="19">
        <v>126</v>
      </c>
      <c r="B132" s="17">
        <f>IF($B$4="표준",'2.치형좌표'!D131,'2.치형좌표'!G131)</f>
        <v>71.796513368109458</v>
      </c>
      <c r="C132" s="17">
        <f>IF($B$4="표준",'2.치형좌표'!E131,'2.치형좌표'!H131)</f>
        <v>-32.81867881667057</v>
      </c>
      <c r="D132" s="6" t="str">
        <f t="shared" si="1"/>
        <v>71.79651,-32.81868</v>
      </c>
    </row>
    <row r="133" spans="1:4" x14ac:dyDescent="0.3">
      <c r="A133" s="19">
        <v>127</v>
      </c>
      <c r="B133" s="17">
        <f>IF($B$4="표준",'2.치형좌표'!D132,'2.치형좌표'!G132)</f>
        <v>71.65456522929361</v>
      </c>
      <c r="C133" s="17">
        <f>IF($B$4="표준",'2.치형좌표'!E132,'2.치형좌표'!H132)</f>
        <v>-32.909945027074059</v>
      </c>
      <c r="D133" s="6" t="str">
        <f t="shared" si="1"/>
        <v>71.65457,-32.90995</v>
      </c>
    </row>
    <row r="134" spans="1:4" x14ac:dyDescent="0.3">
      <c r="A134" s="19">
        <v>128</v>
      </c>
      <c r="B134" s="17">
        <f>IF($B$4="표준",'2.치형좌표'!D133,'2.치형좌표'!G133)</f>
        <v>71.519292121808576</v>
      </c>
      <c r="C134" s="17">
        <f>IF($B$4="표준",'2.치형좌표'!E133,'2.치형좌표'!H133)</f>
        <v>-32.987090277783004</v>
      </c>
      <c r="D134" s="6" t="str">
        <f t="shared" si="1"/>
        <v>71.51929,-32.98709</v>
      </c>
    </row>
    <row r="135" spans="1:4" x14ac:dyDescent="0.3">
      <c r="A135" s="19">
        <v>129</v>
      </c>
      <c r="B135" s="17">
        <f>IF($B$4="표준",'2.치형좌표'!D134,'2.치형좌표'!G134)</f>
        <v>71.391088267254389</v>
      </c>
      <c r="C135" s="17">
        <f>IF($B$4="표준",'2.치형좌표'!E134,'2.치형좌표'!H134)</f>
        <v>-33.051820822702794</v>
      </c>
      <c r="D135" s="6" t="str">
        <f t="shared" ref="D135:D198" si="2">TEXT(B135,"0.00000")&amp;","&amp;TEXT(C135,"0.00000")</f>
        <v>71.39109,-33.05182</v>
      </c>
    </row>
    <row r="136" spans="1:4" x14ac:dyDescent="0.3">
      <c r="A136" s="19">
        <v>130</v>
      </c>
      <c r="B136" s="17">
        <f>IF($B$4="표준",'2.치형좌표'!D135,'2.치형좌표'!G135)</f>
        <v>71.269172241049432</v>
      </c>
      <c r="C136" s="17">
        <f>IF($B$4="표준",'2.치형좌표'!E135,'2.치형좌표'!H135)</f>
        <v>-33.106255803540144</v>
      </c>
      <c r="D136" s="6" t="str">
        <f t="shared" si="2"/>
        <v>71.26917,-33.10626</v>
      </c>
    </row>
    <row r="137" spans="1:4" x14ac:dyDescent="0.3">
      <c r="A137" s="19">
        <v>131</v>
      </c>
      <c r="B137" s="17">
        <f>IF($B$4="표준",'2.치형좌표'!D136,'2.치형좌표'!G136)</f>
        <v>71.151050270580299</v>
      </c>
      <c r="C137" s="17">
        <f>IF($B$4="표준",'2.치형좌표'!E136,'2.치형좌표'!H136)</f>
        <v>-33.152944702965463</v>
      </c>
      <c r="D137" s="6" t="str">
        <f t="shared" si="2"/>
        <v>71.15105,-33.15294</v>
      </c>
    </row>
    <row r="138" spans="1:4" x14ac:dyDescent="0.3">
      <c r="A138" s="19">
        <v>132</v>
      </c>
      <c r="B138" s="17">
        <f>IF($B$4="표준",'2.치형좌표'!D137,'2.치형좌표'!G137)</f>
        <v>71.031664382724742</v>
      </c>
      <c r="C138" s="17">
        <f>IF($B$4="표준",'2.치형좌표'!E137,'2.치형좌표'!H137)</f>
        <v>-33.19497143128811</v>
      </c>
      <c r="D138" s="6" t="str">
        <f t="shared" si="2"/>
        <v>71.03166,-33.19497</v>
      </c>
    </row>
    <row r="139" spans="1:4" x14ac:dyDescent="0.3">
      <c r="A139" s="19">
        <v>133</v>
      </c>
      <c r="B139" s="17">
        <f>IF($B$4="표준",'2.치형좌표'!D138,'2.치형좌표'!G138)</f>
        <v>70.901963148270781</v>
      </c>
      <c r="C139" s="17">
        <f>IF($B$4="표준",'2.치형좌표'!E138,'2.치형좌표'!H138)</f>
        <v>-33.23629019418933</v>
      </c>
      <c r="D139" s="6" t="str">
        <f t="shared" si="2"/>
        <v>70.90196,-33.23629</v>
      </c>
    </row>
    <row r="140" spans="1:4" x14ac:dyDescent="0.3">
      <c r="A140" s="19">
        <v>134</v>
      </c>
      <c r="B140" s="17">
        <f>IF($B$4="표준",'2.치형좌표'!D139,'2.치형좌표'!G139)</f>
        <v>70.746394902475302</v>
      </c>
      <c r="C140" s="17">
        <f>IF($B$4="표준",'2.치형좌표'!E139,'2.치형좌표'!H139)</f>
        <v>-33.282679770918698</v>
      </c>
      <c r="D140" s="6" t="str">
        <f t="shared" si="2"/>
        <v>70.74639,-33.28268</v>
      </c>
    </row>
    <row r="141" spans="1:4" x14ac:dyDescent="0.3">
      <c r="A141" s="19">
        <v>135</v>
      </c>
      <c r="B141" s="17">
        <f>IF($B$4="표준",'2.치형좌표'!D140,'2.치형좌표'!G140)</f>
        <v>70.538423366260091</v>
      </c>
      <c r="C141" s="17">
        <f>IF($B$4="표준",'2.치형좌표'!E140,'2.치형좌표'!H140)</f>
        <v>-33.344401177205988</v>
      </c>
      <c r="D141" s="6" t="str">
        <f t="shared" si="2"/>
        <v>70.53842,-33.34440</v>
      </c>
    </row>
    <row r="142" spans="1:4" x14ac:dyDescent="0.3">
      <c r="A142" s="19">
        <v>136</v>
      </c>
      <c r="B142" s="17">
        <f>IF($B$4="표준",'2.치형좌표'!D141,'2.치형좌표'!G141)</f>
        <v>70.232913537827287</v>
      </c>
      <c r="C142" s="17">
        <f>IF($B$4="표준",'2.치형좌표'!E141,'2.치형좌표'!H141)</f>
        <v>-33.443709704098495</v>
      </c>
      <c r="D142" s="6" t="str">
        <f t="shared" si="2"/>
        <v>70.23291,-33.44371</v>
      </c>
    </row>
    <row r="143" spans="1:4" x14ac:dyDescent="0.3">
      <c r="A143" s="19">
        <v>137</v>
      </c>
      <c r="B143" s="17">
        <f>IF($B$4="표준",'2.치형좌표'!D142,'2.치형좌표'!G142)</f>
        <v>69.757302571818869</v>
      </c>
      <c r="C143" s="17">
        <f>IF($B$4="표준",'2.치형좌표'!E142,'2.치형좌표'!H142)</f>
        <v>-33.635925191082684</v>
      </c>
      <c r="D143" s="6" t="str">
        <f t="shared" si="2"/>
        <v>69.75730,-33.63593</v>
      </c>
    </row>
    <row r="144" spans="1:4" x14ac:dyDescent="0.3">
      <c r="A144" s="19">
        <v>138</v>
      </c>
      <c r="B144" s="17">
        <f>IF($B$4="표준",'2.치형좌표'!D143,'2.치형좌표'!G143)</f>
        <v>69.02840154114817</v>
      </c>
      <c r="C144" s="17">
        <f>IF($B$4="표준",'2.치형좌표'!E143,'2.치형좌표'!H143)</f>
        <v>-34.058657121642035</v>
      </c>
      <c r="D144" s="6" t="str">
        <f t="shared" si="2"/>
        <v>69.02840,-34.05866</v>
      </c>
    </row>
    <row r="145" spans="1:4" x14ac:dyDescent="0.3">
      <c r="A145" s="19">
        <v>139</v>
      </c>
      <c r="B145" s="17">
        <f>IF($B$4="표준",'2.치형좌표'!D144,'2.치형좌표'!G144)</f>
        <v>68.10592471081651</v>
      </c>
      <c r="C145" s="17">
        <f>IF($B$4="표준",'2.치형좌표'!E144,'2.치형좌표'!H144)</f>
        <v>-34.951665913028997</v>
      </c>
      <c r="D145" s="6" t="str">
        <f t="shared" si="2"/>
        <v>68.10592,-34.95167</v>
      </c>
    </row>
    <row r="146" spans="1:4" x14ac:dyDescent="0.3">
      <c r="A146" s="19">
        <v>140</v>
      </c>
      <c r="B146" s="17">
        <f>IF($B$4="표준",'2.치형좌표'!D145,'2.치형좌표'!G145)</f>
        <v>67.419430804499655</v>
      </c>
      <c r="C146" s="17">
        <f>IF($B$4="표준",'2.치형좌표'!E145,'2.치형좌표'!H145)</f>
        <v>-36.303460469988856</v>
      </c>
      <c r="D146" s="6" t="str">
        <f t="shared" si="2"/>
        <v>67.41943,-36.30346</v>
      </c>
    </row>
    <row r="147" spans="1:4" x14ac:dyDescent="0.3">
      <c r="A147" s="19">
        <v>141</v>
      </c>
      <c r="B147" s="17">
        <f>IF($B$4="표준",'2.치형좌표'!D146,'2.치형좌표'!G146)</f>
        <v>67.241813695472828</v>
      </c>
      <c r="C147" s="17">
        <f>IF($B$4="표준",'2.치형좌표'!E146,'2.치형좌표'!H146)</f>
        <v>-37.541954143900647</v>
      </c>
      <c r="D147" s="6" t="str">
        <f t="shared" si="2"/>
        <v>67.24181,-37.54195</v>
      </c>
    </row>
    <row r="148" spans="1:4" x14ac:dyDescent="0.3">
      <c r="A148" s="19">
        <v>142</v>
      </c>
      <c r="B148" s="17">
        <f>IF($B$4="표준",'2.치형좌표'!D147,'2.치형좌표'!G147)</f>
        <v>67.317042048819644</v>
      </c>
      <c r="C148" s="17">
        <f>IF($B$4="표준",'2.치형좌표'!E147,'2.치형좌표'!H147)</f>
        <v>-38.350168810628062</v>
      </c>
      <c r="D148" s="6" t="str">
        <f t="shared" si="2"/>
        <v>67.31704,-38.35017</v>
      </c>
    </row>
    <row r="149" spans="1:4" x14ac:dyDescent="0.3">
      <c r="A149" s="19">
        <v>143</v>
      </c>
      <c r="B149" s="17">
        <f>IF($B$4="표준",'2.치형좌표'!D148,'2.치형좌표'!G148)</f>
        <v>67.42848165123678</v>
      </c>
      <c r="C149" s="17">
        <f>IF($B$4="표준",'2.치형좌표'!E148,'2.치형좌표'!H148)</f>
        <v>-38.831382491970558</v>
      </c>
      <c r="D149" s="6" t="str">
        <f t="shared" si="2"/>
        <v>67.42848,-38.83138</v>
      </c>
    </row>
    <row r="150" spans="1:4" x14ac:dyDescent="0.3">
      <c r="A150" s="19">
        <v>144</v>
      </c>
      <c r="B150" s="17">
        <f>IF($B$4="표준",'2.치형좌표'!D149,'2.치형좌표'!G149)</f>
        <v>67.518267468729789</v>
      </c>
      <c r="C150" s="17">
        <f>IF($B$4="표준",'2.치형좌표'!E149,'2.치형좌표'!H149)</f>
        <v>-39.128849561154013</v>
      </c>
      <c r="D150" s="6" t="str">
        <f t="shared" si="2"/>
        <v>67.51827,-39.12885</v>
      </c>
    </row>
    <row r="151" spans="1:4" x14ac:dyDescent="0.3">
      <c r="A151" s="19">
        <v>145</v>
      </c>
      <c r="B151" s="17">
        <f>IF($B$4="표준",'2.치형좌표'!D150,'2.치형좌표'!G150)</f>
        <v>67.5840124258076</v>
      </c>
      <c r="C151" s="17">
        <f>IF($B$4="표준",'2.치형좌표'!E150,'2.치형좌표'!H150)</f>
        <v>-39.329688394588388</v>
      </c>
      <c r="D151" s="6" t="str">
        <f t="shared" si="2"/>
        <v>67.58401,-39.32969</v>
      </c>
    </row>
    <row r="152" spans="1:4" x14ac:dyDescent="0.3">
      <c r="A152" s="19">
        <v>146</v>
      </c>
      <c r="B152" s="17">
        <f>IF($B$4="표준",'2.치형좌표'!D151,'2.치형좌표'!G151)</f>
        <v>67.633194069305461</v>
      </c>
      <c r="C152" s="17">
        <f>IF($B$4="표준",'2.치형좌표'!E151,'2.치형좌표'!H151)</f>
        <v>-39.481423396979253</v>
      </c>
      <c r="D152" s="6" t="str">
        <f t="shared" si="2"/>
        <v>67.63319,-39.48142</v>
      </c>
    </row>
    <row r="153" spans="1:4" x14ac:dyDescent="0.3">
      <c r="A153" s="19">
        <v>147</v>
      </c>
      <c r="B153" s="17">
        <f>IF($B$4="표준",'2.치형좌표'!D152,'2.치형좌표'!G152)</f>
        <v>67.672259536561384</v>
      </c>
      <c r="C153" s="17">
        <f>IF($B$4="표준",'2.치형좌표'!E152,'2.치형좌표'!H152)</f>
        <v>-39.610548322789583</v>
      </c>
      <c r="D153" s="6" t="str">
        <f t="shared" si="2"/>
        <v>67.67226,-39.61055</v>
      </c>
    </row>
    <row r="154" spans="1:4" x14ac:dyDescent="0.3">
      <c r="A154" s="19">
        <v>148</v>
      </c>
      <c r="B154" s="17">
        <f>IF($B$4="표준",'2.치형좌표'!D153,'2.치형좌표'!G153)</f>
        <v>67.705097322598746</v>
      </c>
      <c r="C154" s="17">
        <f>IF($B$4="표준",'2.치형좌표'!E153,'2.치형좌표'!H153)</f>
        <v>-39.732514238740144</v>
      </c>
      <c r="D154" s="6" t="str">
        <f t="shared" si="2"/>
        <v>67.70510,-39.73251</v>
      </c>
    </row>
    <row r="155" spans="1:4" x14ac:dyDescent="0.3">
      <c r="A155" s="19">
        <v>149</v>
      </c>
      <c r="B155" s="17">
        <f>IF($B$4="표준",'2.치형좌표'!D154,'2.치형좌표'!G154)</f>
        <v>67.733453416669363</v>
      </c>
      <c r="C155" s="17">
        <f>IF($B$4="표준",'2.치형좌표'!E154,'2.치형좌표'!H154)</f>
        <v>-39.856654786674973</v>
      </c>
      <c r="D155" s="6" t="str">
        <f t="shared" si="2"/>
        <v>67.73345,-39.85665</v>
      </c>
    </row>
    <row r="156" spans="1:4" x14ac:dyDescent="0.3">
      <c r="A156" s="19">
        <v>150</v>
      </c>
      <c r="B156" s="17">
        <f>IF($B$4="표준",'2.치형좌표'!D155,'2.치형좌표'!G155)</f>
        <v>67.757567690791959</v>
      </c>
      <c r="C156" s="17">
        <f>IF($B$4="표준",'2.치형좌표'!E155,'2.치형좌표'!H155)</f>
        <v>-39.988660661937374</v>
      </c>
      <c r="D156" s="6" t="str">
        <f t="shared" si="2"/>
        <v>67.75757,-39.98866</v>
      </c>
    </row>
    <row r="157" spans="1:4" x14ac:dyDescent="0.3">
      <c r="A157" s="19">
        <v>151</v>
      </c>
      <c r="B157" s="17">
        <f>IF($B$4="표준",'2.치형좌표'!D156,'2.치형좌표'!G156)</f>
        <v>67.776698452834026</v>
      </c>
      <c r="C157" s="17">
        <f>IF($B$4="표준",'2.치형좌표'!E156,'2.치형좌표'!H156)</f>
        <v>-40.131883499684619</v>
      </c>
      <c r="D157" s="6" t="str">
        <f t="shared" si="2"/>
        <v>67.77670,-40.13188</v>
      </c>
    </row>
    <row r="158" spans="1:4" x14ac:dyDescent="0.3">
      <c r="A158" s="19">
        <v>152</v>
      </c>
      <c r="B158" s="17">
        <f>IF($B$4="표준",'2.치형좌표'!D157,'2.치형좌표'!G157)</f>
        <v>67.789511181644698</v>
      </c>
      <c r="C158" s="17">
        <f>IF($B$4="표준",'2.치형좌표'!E157,'2.치형좌표'!H157)</f>
        <v>-40.288064424924968</v>
      </c>
      <c r="D158" s="6" t="str">
        <f t="shared" si="2"/>
        <v>67.78951,-40.28806</v>
      </c>
    </row>
    <row r="159" spans="1:4" x14ac:dyDescent="0.3">
      <c r="A159" s="19">
        <v>153</v>
      </c>
      <c r="B159" s="17">
        <f>IF($B$4="표준",'2.치형좌표'!D158,'2.치형좌표'!G158)</f>
        <v>67.794362146277095</v>
      </c>
      <c r="C159" s="17">
        <f>IF($B$4="표준",'2.치형좌표'!E158,'2.치형좌표'!H158)</f>
        <v>-40.457769229332776</v>
      </c>
      <c r="D159" s="6" t="str">
        <f t="shared" si="2"/>
        <v>67.79436,-40.45777</v>
      </c>
    </row>
    <row r="160" spans="1:4" x14ac:dyDescent="0.3">
      <c r="A160" s="19">
        <v>154</v>
      </c>
      <c r="B160" s="17">
        <f>IF($B$4="표준",'2.치형좌표'!D159,'2.치형좌표'!G159)</f>
        <v>67.789507536161835</v>
      </c>
      <c r="C160" s="17">
        <f>IF($B$4="표준",'2.치형좌표'!E159,'2.치형좌표'!H159)</f>
        <v>-40.640668732242133</v>
      </c>
      <c r="D160" s="6" t="str">
        <f t="shared" si="2"/>
        <v>67.78951,-40.64067</v>
      </c>
    </row>
    <row r="161" spans="1:4" x14ac:dyDescent="0.3">
      <c r="A161" s="19">
        <v>155</v>
      </c>
      <c r="B161" s="17">
        <f>IF($B$4="표준",'2.치형좌표'!D160,'2.치형좌표'!G160)</f>
        <v>67.773260042562541</v>
      </c>
      <c r="C161" s="17">
        <f>IF($B$4="표준",'2.치형좌표'!E160,'2.치형좌표'!H160)</f>
        <v>-40.835735091195787</v>
      </c>
      <c r="D161" s="6" t="str">
        <f t="shared" si="2"/>
        <v>67.77326,-40.83574</v>
      </c>
    </row>
    <row r="162" spans="1:4" x14ac:dyDescent="0.3">
      <c r="A162" s="19">
        <v>156</v>
      </c>
      <c r="B162" s="17">
        <f>IF($B$4="표준",'2.치형좌표'!D161,'2.치형좌표'!G161)</f>
        <v>67.744107241663443</v>
      </c>
      <c r="C162" s="17">
        <f>IF($B$4="표준",'2.치형좌표'!E161,'2.치형좌표'!H161)</f>
        <v>-41.041391438681053</v>
      </c>
      <c r="D162" s="6" t="str">
        <f t="shared" si="2"/>
        <v>67.74411,-41.04139</v>
      </c>
    </row>
    <row r="163" spans="1:4" x14ac:dyDescent="0.3">
      <c r="A163" s="19">
        <v>157</v>
      </c>
      <c r="B163" s="17">
        <f>IF($B$4="표준",'2.치형좌표'!D162,'2.치형좌표'!G162)</f>
        <v>67.700800881302371</v>
      </c>
      <c r="C163" s="17">
        <f>IF($B$4="표준",'2.치형좌표'!E162,'2.치형좌표'!H162)</f>
        <v>-41.255635068797126</v>
      </c>
      <c r="D163" s="6" t="str">
        <f t="shared" si="2"/>
        <v>67.70080,-41.25564</v>
      </c>
    </row>
    <row r="164" spans="1:4" x14ac:dyDescent="0.3">
      <c r="A164" s="19">
        <v>158</v>
      </c>
      <c r="B164" s="17">
        <f>IF($B$4="표준",'2.치형좌표'!D163,'2.치형좌표'!G163)</f>
        <v>67.64242280635159</v>
      </c>
      <c r="C164" s="17">
        <f>IF($B$4="표준",'2.치형좌표'!E163,'2.치형좌표'!H163)</f>
        <v>-41.476145221877459</v>
      </c>
      <c r="D164" s="6" t="str">
        <f t="shared" si="2"/>
        <v>67.64242,-41.47615</v>
      </c>
    </row>
    <row r="165" spans="1:4" x14ac:dyDescent="0.3">
      <c r="A165" s="19">
        <v>159</v>
      </c>
      <c r="B165" s="17">
        <f>IF($B$4="표준",'2.치형좌표'!D164,'2.치형좌표'!G164)</f>
        <v>67.568431167179355</v>
      </c>
      <c r="C165" s="17">
        <f>IF($B$4="표준",'2.치형좌표'!E164,'2.치형좌표'!H164)</f>
        <v>-41.700381420033153</v>
      </c>
      <c r="D165" s="6" t="str">
        <f t="shared" si="2"/>
        <v>67.56843,-41.70038</v>
      </c>
    </row>
    <row r="166" spans="1:4" x14ac:dyDescent="0.3">
      <c r="A166" s="19">
        <v>160</v>
      </c>
      <c r="B166" s="17">
        <f>IF($B$4="표준",'2.치형좌표'!D165,'2.치형좌표'!G165)</f>
        <v>67.478689284829102</v>
      </c>
      <c r="C166" s="17">
        <f>IF($B$4="표준",'2.치형좌표'!E165,'2.치형좌표'!H165)</f>
        <v>-41.925675382640911</v>
      </c>
      <c r="D166" s="6" t="str">
        <f t="shared" si="2"/>
        <v>67.47869,-41.92568</v>
      </c>
    </row>
    <row r="167" spans="1:4" x14ac:dyDescent="0.3">
      <c r="A167" s="19">
        <v>161</v>
      </c>
      <c r="B167" s="17">
        <f>IF($B$4="표준",'2.치형좌표'!D166,'2.치형좌표'!G166)</f>
        <v>67.373478791404693</v>
      </c>
      <c r="C167" s="17">
        <f>IF($B$4="표준",'2.치형좌표'!E166,'2.치형좌표'!H166)</f>
        <v>-42.149317827185904</v>
      </c>
      <c r="D167" s="6" t="str">
        <f t="shared" si="2"/>
        <v>67.37348,-42.14932</v>
      </c>
    </row>
    <row r="168" spans="1:4" x14ac:dyDescent="0.3">
      <c r="A168" s="19">
        <v>162</v>
      </c>
      <c r="B168" s="17">
        <f>IF($B$4="표준",'2.치형좌표'!D167,'2.치형좌표'!G167)</f>
        <v>67.253498229159078</v>
      </c>
      <c r="C168" s="17">
        <f>IF($B$4="표준",'2.치형좌표'!E167,'2.치형좌표'!H167)</f>
        <v>-42.368640426507994</v>
      </c>
      <c r="D168" s="6" t="str">
        <f t="shared" si="2"/>
        <v>67.25350,-42.36864</v>
      </c>
    </row>
    <row r="169" spans="1:4" x14ac:dyDescent="0.3">
      <c r="A169" s="19">
        <v>163</v>
      </c>
      <c r="B169" s="17">
        <f>IF($B$4="표준",'2.치형좌표'!D168,'2.치형좌표'!G168)</f>
        <v>67.119848050922556</v>
      </c>
      <c r="C169" s="17">
        <f>IF($B$4="표준",'2.치형좌표'!E168,'2.치형좌표'!H168)</f>
        <v>-42.581092570093212</v>
      </c>
      <c r="D169" s="6" t="str">
        <f t="shared" si="2"/>
        <v>67.11985,-42.58109</v>
      </c>
    </row>
    <row r="170" spans="1:4" x14ac:dyDescent="0.3">
      <c r="A170" s="19">
        <v>164</v>
      </c>
      <c r="B170" s="17">
        <f>IF($B$4="표준",'2.치형좌표'!D169,'2.치형좌표'!G169)</f>
        <v>66.974002833941313</v>
      </c>
      <c r="C170" s="17">
        <f>IF($B$4="표준",'2.치형좌표'!E169,'2.치형좌표'!H169)</f>
        <v>-42.78431220781826</v>
      </c>
      <c r="D170" s="6" t="str">
        <f t="shared" si="2"/>
        <v>66.97400,-42.78431</v>
      </c>
    </row>
    <row r="171" spans="1:4" x14ac:dyDescent="0.3">
      <c r="A171" s="19">
        <v>165</v>
      </c>
      <c r="B171" s="17">
        <f>IF($B$4="표준",'2.치형좌표'!D170,'2.치형좌표'!G170)</f>
        <v>66.817771439322271</v>
      </c>
      <c r="C171" s="17">
        <f>IF($B$4="표준",'2.치형좌표'!E170,'2.치형좌표'!H170)</f>
        <v>-42.976189847794132</v>
      </c>
      <c r="D171" s="6" t="str">
        <f t="shared" si="2"/>
        <v>66.81777,-42.97619</v>
      </c>
    </row>
    <row r="172" spans="1:4" x14ac:dyDescent="0.3">
      <c r="A172" s="19">
        <v>166</v>
      </c>
      <c r="B172" s="17">
        <f>IF($B$4="표준",'2.치형좌표'!D171,'2.치형좌표'!G171)</f>
        <v>66.653245772559089</v>
      </c>
      <c r="C172" s="17">
        <f>IF($B$4="표준",'2.치형좌표'!E171,'2.치형좌표'!H171)</f>
        <v>-43.154924679549737</v>
      </c>
      <c r="D172" s="6" t="str">
        <f t="shared" si="2"/>
        <v>66.65325,-43.15492</v>
      </c>
    </row>
    <row r="173" spans="1:4" x14ac:dyDescent="0.3">
      <c r="A173" s="19">
        <v>167</v>
      </c>
      <c r="B173" s="17">
        <f>IF($B$4="표준",'2.치형좌표'!D172,'2.치형좌표'!G172)</f>
        <v>66.482738682196199</v>
      </c>
      <c r="C173" s="17">
        <f>IF($B$4="표준",'2.치형좌표'!E172,'2.치형좌표'!H172)</f>
        <v>-43.319071763304599</v>
      </c>
      <c r="D173" s="6" t="str">
        <f t="shared" si="2"/>
        <v>66.48274,-43.31907</v>
      </c>
    </row>
    <row r="174" spans="1:4" x14ac:dyDescent="0.3">
      <c r="A174" s="19">
        <v>168</v>
      </c>
      <c r="B174" s="17">
        <f>IF($B$4="표준",'2.치형좌표'!D173,'2.치형좌표'!G173)</f>
        <v>66.30871132233537</v>
      </c>
      <c r="C174" s="17">
        <f>IF($B$4="표준",'2.치형좌표'!E173,'2.치형좌표'!H173)</f>
        <v>-43.467579239996908</v>
      </c>
      <c r="D174" s="6" t="str">
        <f t="shared" si="2"/>
        <v>66.30871,-43.46758</v>
      </c>
    </row>
    <row r="175" spans="1:4" x14ac:dyDescent="0.3">
      <c r="A175" s="19">
        <v>169</v>
      </c>
      <c r="B175" s="17">
        <f>IF($B$4="표준",'2.치형좌표'!D174,'2.치형좌표'!G174)</f>
        <v>66.133689931317747</v>
      </c>
      <c r="C175" s="17">
        <f>IF($B$4="표준",'2.치형좌표'!E174,'2.치형좌표'!H174)</f>
        <v>-43.599814555797082</v>
      </c>
      <c r="D175" s="6" t="str">
        <f t="shared" si="2"/>
        <v>66.13369,-43.59981</v>
      </c>
    </row>
    <row r="176" spans="1:4" x14ac:dyDescent="0.3">
      <c r="A176" s="19">
        <v>170</v>
      </c>
      <c r="B176" s="17">
        <f>IF($B$4="표준",'2.치형좌표'!D175,'2.치형좌표'!G175)</f>
        <v>65.960171338899031</v>
      </c>
      <c r="C176" s="17">
        <f>IF($B$4="표준",'2.치형좌표'!E175,'2.치형좌표'!H175)</f>
        <v>-43.715578744170841</v>
      </c>
      <c r="D176" s="6" t="str">
        <f t="shared" si="2"/>
        <v>65.96017,-43.71558</v>
      </c>
    </row>
    <row r="177" spans="1:4" x14ac:dyDescent="0.3">
      <c r="A177" s="19">
        <v>171</v>
      </c>
      <c r="B177" s="17">
        <f>IF($B$4="표준",'2.치형좌표'!D176,'2.치형좌표'!G176)</f>
        <v>65.790515436934768</v>
      </c>
      <c r="C177" s="17">
        <f>IF($B$4="표준",'2.치형좌표'!E176,'2.치형좌표'!H176)</f>
        <v>-43.815107858995681</v>
      </c>
      <c r="D177" s="6" t="str">
        <f t="shared" si="2"/>
        <v>65.79052,-43.81511</v>
      </c>
    </row>
    <row r="178" spans="1:4" x14ac:dyDescent="0.3">
      <c r="A178" s="19">
        <v>172</v>
      </c>
      <c r="B178" s="17">
        <f>IF($B$4="표준",'2.치형좌표'!D177,'2.치형좌표'!G177)</f>
        <v>65.626821041454647</v>
      </c>
      <c r="C178" s="17">
        <f>IF($B$4="표준",'2.치형좌표'!E177,'2.치형좌표'!H177)</f>
        <v>-43.89906070761328</v>
      </c>
      <c r="D178" s="6" t="str">
        <f t="shared" si="2"/>
        <v>65.62682,-43.89906</v>
      </c>
    </row>
    <row r="179" spans="1:4" x14ac:dyDescent="0.3">
      <c r="A179" s="19">
        <v>173</v>
      </c>
      <c r="B179" s="17">
        <f>IF($B$4="표준",'2.치형좌표'!D178,'2.치형좌표'!G178)</f>
        <v>65.470778515924209</v>
      </c>
      <c r="C179" s="17">
        <f>IF($B$4="표준",'2.치형좌표'!E178,'2.치형좌표'!H178)</f>
        <v>-43.968492131187048</v>
      </c>
      <c r="D179" s="6" t="str">
        <f t="shared" si="2"/>
        <v>65.47078,-43.96849</v>
      </c>
    </row>
    <row r="180" spans="1:4" x14ac:dyDescent="0.3">
      <c r="A180" s="19">
        <v>174</v>
      </c>
      <c r="B180" s="17">
        <f>IF($B$4="표준",'2.치형좌표'!D179,'2.치형좌표'!G179)</f>
        <v>65.323487256569976</v>
      </c>
      <c r="C180" s="17">
        <f>IF($B$4="표준",'2.치형좌표'!E179,'2.치형좌표'!H179)</f>
        <v>-44.024811351227946</v>
      </c>
      <c r="D180" s="6" t="str">
        <f t="shared" si="2"/>
        <v>65.32349,-44.02481</v>
      </c>
    </row>
    <row r="181" spans="1:4" x14ac:dyDescent="0.3">
      <c r="A181" s="19">
        <v>175</v>
      </c>
      <c r="B181" s="17">
        <f>IF($B$4="표준",'2.치형좌표'!D180,'2.치형좌표'!G180)</f>
        <v>65.185216835020469</v>
      </c>
      <c r="C181" s="17">
        <f>IF($B$4="표준",'2.치형좌표'!E180,'2.치형좌표'!H180)</f>
        <v>-44.069725720811874</v>
      </c>
      <c r="D181" s="6" t="str">
        <f t="shared" si="2"/>
        <v>65.18522,-44.06973</v>
      </c>
    </row>
    <row r="182" spans="1:4" x14ac:dyDescent="0.3">
      <c r="A182" s="19">
        <v>176</v>
      </c>
      <c r="B182" s="17">
        <f>IF($B$4="표준",'2.치형좌표'!D181,'2.치형좌표'!G181)</f>
        <v>65.05507366721838</v>
      </c>
      <c r="C182" s="17">
        <f>IF($B$4="표준",'2.치형좌표'!E181,'2.치형좌표'!H181)</f>
        <v>-44.105172626298078</v>
      </c>
      <c r="D182" s="6" t="str">
        <f t="shared" si="2"/>
        <v>65.05507,-44.10517</v>
      </c>
    </row>
    <row r="183" spans="1:4" x14ac:dyDescent="0.3">
      <c r="A183" s="19">
        <v>177</v>
      </c>
      <c r="B183" s="17">
        <f>IF($B$4="표준",'2.치형좌표'!D182,'2.치형좌표'!G182)</f>
        <v>64.93050328372459</v>
      </c>
      <c r="C183" s="17">
        <f>IF($B$4="표준",'2.치형좌표'!E182,'2.치형좌표'!H182)</f>
        <v>-44.133249166467976</v>
      </c>
      <c r="D183" s="6" t="str">
        <f t="shared" si="2"/>
        <v>64.93050,-44.13325</v>
      </c>
    </row>
    <row r="184" spans="1:4" x14ac:dyDescent="0.3">
      <c r="A184" s="19">
        <v>178</v>
      </c>
      <c r="B184" s="17">
        <f>IF($B$4="표준",'2.치형좌표'!D183,'2.치형좌표'!G183)</f>
        <v>64.806496609525823</v>
      </c>
      <c r="C184" s="17">
        <f>IF($B$4="표준",'2.치형좌표'!E183,'2.치형좌표'!H183)</f>
        <v>-44.156168803281766</v>
      </c>
      <c r="D184" s="6" t="str">
        <f t="shared" si="2"/>
        <v>64.80650,-44.15617</v>
      </c>
    </row>
    <row r="185" spans="1:4" x14ac:dyDescent="0.3">
      <c r="A185" s="19">
        <v>179</v>
      </c>
      <c r="B185" s="17">
        <f>IF($B$4="표준",'2.치형좌표'!D184,'2.치형좌표'!G184)</f>
        <v>64.674245843967725</v>
      </c>
      <c r="C185" s="17">
        <f>IF($B$4="표준",'2.치형좌표'!E184,'2.치형좌표'!H184)</f>
        <v>-44.176330709345429</v>
      </c>
      <c r="D185" s="6" t="str">
        <f t="shared" si="2"/>
        <v>64.67425,-44.17633</v>
      </c>
    </row>
    <row r="186" spans="1:4" x14ac:dyDescent="0.3">
      <c r="A186" s="19">
        <v>180</v>
      </c>
      <c r="B186" s="17">
        <f>IF($B$4="표준",'2.치형좌표'!D185,'2.치형좌표'!G185)</f>
        <v>64.518749221802764</v>
      </c>
      <c r="C186" s="17">
        <f>IF($B$4="표준",'2.치형좌표'!E185,'2.치형좌표'!H185)</f>
        <v>-44.196756160284536</v>
      </c>
      <c r="D186" s="6" t="str">
        <f t="shared" si="2"/>
        <v>64.51875,-44.19676</v>
      </c>
    </row>
    <row r="187" spans="1:4" x14ac:dyDescent="0.3">
      <c r="A187" s="19">
        <v>181</v>
      </c>
      <c r="B187" s="17">
        <f>IF($B$4="표준",'2.치형좌표'!D186,'2.치형좌표'!G186)</f>
        <v>64.314397310783946</v>
      </c>
      <c r="C187" s="17">
        <f>IF($B$4="표준",'2.치형좌표'!E186,'2.치형좌표'!H186)</f>
        <v>-44.222669761306022</v>
      </c>
      <c r="D187" s="6" t="str">
        <f t="shared" si="2"/>
        <v>64.31440,-44.22267</v>
      </c>
    </row>
    <row r="188" spans="1:4" x14ac:dyDescent="0.3">
      <c r="A188" s="19">
        <v>182</v>
      </c>
      <c r="B188" s="17">
        <f>IF($B$4="표준",'2.치형좌표'!D187,'2.치형좌표'!G187)</f>
        <v>64.016950537374086</v>
      </c>
      <c r="C188" s="17">
        <f>IF($B$4="표준",'2.치형좌표'!E187,'2.치형좌표'!H187)</f>
        <v>-44.266675667821232</v>
      </c>
      <c r="D188" s="6" t="str">
        <f t="shared" si="2"/>
        <v>64.01695,-44.26668</v>
      </c>
    </row>
    <row r="189" spans="1:4" x14ac:dyDescent="0.3">
      <c r="A189" s="19">
        <v>183</v>
      </c>
      <c r="B189" s="17">
        <f>IF($B$4="표준",'2.치형좌표'!D188,'2.치형좌표'!G188)</f>
        <v>63.551518274309942</v>
      </c>
      <c r="C189" s="17">
        <f>IF($B$4="표준",'2.치형좌표'!E188,'2.치형좌표'!H188)</f>
        <v>-44.365096134012617</v>
      </c>
      <c r="D189" s="6" t="str">
        <f t="shared" si="2"/>
        <v>63.55152,-44.36510</v>
      </c>
    </row>
    <row r="190" spans="1:4" x14ac:dyDescent="0.3">
      <c r="A190" s="19">
        <v>184</v>
      </c>
      <c r="B190" s="17">
        <f>IF($B$4="표준",'2.치형좌표'!D189,'2.치형좌표'!G189)</f>
        <v>62.813711545641063</v>
      </c>
      <c r="C190" s="17">
        <f>IF($B$4="표준",'2.치형좌표'!E189,'2.치형좌표'!H189)</f>
        <v>-44.62329323867727</v>
      </c>
      <c r="D190" s="6" t="str">
        <f t="shared" si="2"/>
        <v>62.81371,-44.62329</v>
      </c>
    </row>
    <row r="191" spans="1:4" x14ac:dyDescent="0.3">
      <c r="A191" s="19">
        <v>185</v>
      </c>
      <c r="B191" s="17">
        <f>IF($B$4="표준",'2.치형좌표'!D190,'2.치형좌표'!G190)</f>
        <v>61.784459626010111</v>
      </c>
      <c r="C191" s="17">
        <f>IF($B$4="표준",'2.치형좌표'!E190,'2.치형좌표'!H190)</f>
        <v>-45.27362856457723</v>
      </c>
      <c r="D191" s="6" t="str">
        <f t="shared" si="2"/>
        <v>61.78446,-45.27363</v>
      </c>
    </row>
    <row r="192" spans="1:4" x14ac:dyDescent="0.3">
      <c r="A192" s="19">
        <v>186</v>
      </c>
      <c r="B192" s="17">
        <f>IF($B$4="표준",'2.치형좌표'!D191,'2.치형좌표'!G191)</f>
        <v>60.827806451945001</v>
      </c>
      <c r="C192" s="17">
        <f>IF($B$4="표준",'2.치형좌표'!E191,'2.치형좌표'!H191)</f>
        <v>-46.445403051753871</v>
      </c>
      <c r="D192" s="6" t="str">
        <f t="shared" si="2"/>
        <v>60.82781,-46.44540</v>
      </c>
    </row>
    <row r="193" spans="1:4" x14ac:dyDescent="0.3">
      <c r="A193" s="19">
        <v>187</v>
      </c>
      <c r="B193" s="17">
        <f>IF($B$4="표준",'2.치형좌표'!D192,'2.치형좌표'!G192)</f>
        <v>60.377632849007128</v>
      </c>
      <c r="C193" s="17">
        <f>IF($B$4="표준",'2.치형좌표'!E192,'2.치형좌표'!H192)</f>
        <v>-47.681464427644357</v>
      </c>
      <c r="D193" s="6" t="str">
        <f t="shared" si="2"/>
        <v>60.37763,-47.68146</v>
      </c>
    </row>
    <row r="194" spans="1:4" x14ac:dyDescent="0.3">
      <c r="A194" s="19">
        <v>188</v>
      </c>
      <c r="B194" s="17">
        <f>IF($B$4="표준",'2.치형좌표'!D193,'2.치형좌표'!G193)</f>
        <v>60.292654239065214</v>
      </c>
      <c r="C194" s="17">
        <f>IF($B$4="표준",'2.치형좌표'!E193,'2.치형좌표'!H193)</f>
        <v>-48.551679939794859</v>
      </c>
      <c r="D194" s="6" t="str">
        <f t="shared" si="2"/>
        <v>60.29265,-48.55168</v>
      </c>
    </row>
    <row r="195" spans="1:4" x14ac:dyDescent="0.3">
      <c r="A195" s="19">
        <v>189</v>
      </c>
      <c r="B195" s="17">
        <f>IF($B$4="표준",'2.치형좌표'!D194,'2.치형좌표'!G194)</f>
        <v>60.319850592784171</v>
      </c>
      <c r="C195" s="17">
        <f>IF($B$4="표준",'2.치형좌표'!E194,'2.치형좌표'!H194)</f>
        <v>-49.083840993905419</v>
      </c>
      <c r="D195" s="6" t="str">
        <f t="shared" si="2"/>
        <v>60.31985,-49.08384</v>
      </c>
    </row>
    <row r="196" spans="1:4" x14ac:dyDescent="0.3">
      <c r="A196" s="19">
        <v>190</v>
      </c>
      <c r="B196" s="17">
        <f>IF($B$4="표준",'2.치형좌표'!D195,'2.치형좌표'!G195)</f>
        <v>60.361354259861152</v>
      </c>
      <c r="C196" s="17">
        <f>IF($B$4="표준",'2.치형좌표'!E195,'2.치형좌표'!H195)</f>
        <v>-49.413514146016141</v>
      </c>
      <c r="D196" s="6" t="str">
        <f t="shared" si="2"/>
        <v>60.36135,-49.41351</v>
      </c>
    </row>
    <row r="197" spans="1:4" x14ac:dyDescent="0.3">
      <c r="A197" s="19">
        <v>191</v>
      </c>
      <c r="B197" s="17">
        <f>IF($B$4="표준",'2.치형좌표'!D196,'2.치형좌표'!G196)</f>
        <v>60.395466187366168</v>
      </c>
      <c r="C197" s="17">
        <f>IF($B$4="표준",'2.치형좌표'!E196,'2.치형좌표'!H196)</f>
        <v>-49.633721889374222</v>
      </c>
      <c r="D197" s="6" t="str">
        <f t="shared" si="2"/>
        <v>60.39547,-49.63372</v>
      </c>
    </row>
    <row r="198" spans="1:4" x14ac:dyDescent="0.3">
      <c r="A198" s="19">
        <v>192</v>
      </c>
      <c r="B198" s="17">
        <f>IF($B$4="표준",'2.치형좌표'!D197,'2.치형좌표'!G197)</f>
        <v>60.420835713725374</v>
      </c>
      <c r="C198" s="17">
        <f>IF($B$4="표준",'2.치형좌표'!E197,'2.치형좌표'!H197)</f>
        <v>-49.797095824729965</v>
      </c>
      <c r="D198" s="6" t="str">
        <f t="shared" si="2"/>
        <v>60.42084,-49.79710</v>
      </c>
    </row>
    <row r="199" spans="1:4" x14ac:dyDescent="0.3">
      <c r="A199" s="19">
        <v>193</v>
      </c>
      <c r="B199" s="17">
        <f>IF($B$4="표준",'2.치형좌표'!D198,'2.치형좌표'!G198)</f>
        <v>60.439542904341209</v>
      </c>
      <c r="C199" s="17">
        <f>IF($B$4="표준",'2.치형좌표'!E198,'2.치형좌표'!H198)</f>
        <v>-49.93325526396994</v>
      </c>
      <c r="D199" s="6" t="str">
        <f t="shared" ref="D199:D262" si="3">TEXT(B199,"0.00000")&amp;","&amp;TEXT(C199,"0.00000")</f>
        <v>60.43954,-49.93326</v>
      </c>
    </row>
    <row r="200" spans="1:4" x14ac:dyDescent="0.3">
      <c r="A200" s="19">
        <v>194</v>
      </c>
      <c r="B200" s="17">
        <f>IF($B$4="표준",'2.치형좌표'!D199,'2.치형좌표'!G199)</f>
        <v>60.453118308706436</v>
      </c>
      <c r="C200" s="17">
        <f>IF($B$4="표준",'2.치형좌표'!E199,'2.치형좌표'!H199)</f>
        <v>-50.059409964143057</v>
      </c>
      <c r="D200" s="6" t="str">
        <f t="shared" si="3"/>
        <v>60.45312,-50.05941</v>
      </c>
    </row>
    <row r="201" spans="1:4" x14ac:dyDescent="0.3">
      <c r="A201" s="19">
        <v>195</v>
      </c>
      <c r="B201" s="17">
        <f>IF($B$4="표준",'2.치형좌표'!D200,'2.치형좌표'!G200)</f>
        <v>60.461952956467272</v>
      </c>
      <c r="C201" s="17">
        <f>IF($B$4="표준",'2.치형좌표'!E200,'2.치형좌표'!H200)</f>
        <v>-50.185827620567295</v>
      </c>
      <c r="D201" s="6" t="str">
        <f t="shared" si="3"/>
        <v>60.46195,-50.18583</v>
      </c>
    </row>
    <row r="202" spans="1:4" x14ac:dyDescent="0.3">
      <c r="A202" s="19">
        <v>196</v>
      </c>
      <c r="B202" s="17">
        <f>IF($B$4="표준",'2.치형좌표'!D201,'2.치형좌표'!G201)</f>
        <v>60.465489123497086</v>
      </c>
      <c r="C202" s="17">
        <f>IF($B$4="표준",'2.치형좌표'!E201,'2.치형좌표'!H201)</f>
        <v>-50.318644318868436</v>
      </c>
      <c r="D202" s="6" t="str">
        <f t="shared" si="3"/>
        <v>60.46549,-50.31864</v>
      </c>
    </row>
    <row r="203" spans="1:4" x14ac:dyDescent="0.3">
      <c r="A203" s="19">
        <v>197</v>
      </c>
      <c r="B203" s="17">
        <f>IF($B$4="표준",'2.치형좌표'!D202,'2.치형좌표'!G202)</f>
        <v>60.462529607510959</v>
      </c>
      <c r="C203" s="17">
        <f>IF($B$4="표준",'2.치형좌표'!E202,'2.치형좌표'!H202)</f>
        <v>-50.461367372201359</v>
      </c>
      <c r="D203" s="6" t="str">
        <f t="shared" si="3"/>
        <v>60.46253,-50.46137</v>
      </c>
    </row>
    <row r="204" spans="1:4" x14ac:dyDescent="0.3">
      <c r="A204" s="19">
        <v>198</v>
      </c>
      <c r="B204" s="17">
        <f>IF($B$4="표준",'2.치형좌표'!D203,'2.치형좌표'!G203)</f>
        <v>60.451513110277901</v>
      </c>
      <c r="C204" s="17">
        <f>IF($B$4="표준",'2.치형좌표'!E203,'2.치형좌표'!H203)</f>
        <v>-50.615723997091358</v>
      </c>
      <c r="D204" s="6" t="str">
        <f t="shared" si="3"/>
        <v>60.45151,-50.61572</v>
      </c>
    </row>
    <row r="205" spans="1:4" x14ac:dyDescent="0.3">
      <c r="A205" s="19">
        <v>199</v>
      </c>
      <c r="B205" s="17">
        <f>IF($B$4="표준",'2.치형좌표'!D204,'2.치형좌표'!G204)</f>
        <v>60.430732774734452</v>
      </c>
      <c r="C205" s="17">
        <f>IF($B$4="표준",'2.치형좌표'!E204,'2.치형좌표'!H204)</f>
        <v>-50.782171855431699</v>
      </c>
      <c r="D205" s="6" t="str">
        <f t="shared" si="3"/>
        <v>60.43073,-50.78217</v>
      </c>
    </row>
    <row r="206" spans="1:4" x14ac:dyDescent="0.3">
      <c r="A206" s="19">
        <v>200</v>
      </c>
      <c r="B206" s="17">
        <f>IF($B$4="표준",'2.치형좌표'!D205,'2.치형좌표'!G205)</f>
        <v>60.398504423763221</v>
      </c>
      <c r="C206" s="17">
        <f>IF($B$4="표준",'2.치형좌표'!E205,'2.치형좌표'!H205)</f>
        <v>-50.960228714413432</v>
      </c>
      <c r="D206" s="6" t="str">
        <f t="shared" si="3"/>
        <v>60.39850,-50.96023</v>
      </c>
    </row>
    <row r="207" spans="1:4" x14ac:dyDescent="0.3">
      <c r="A207" s="19">
        <v>201</v>
      </c>
      <c r="B207" s="17">
        <f>IF($B$4="표준",'2.치형좌표'!D206,'2.치형좌표'!G206)</f>
        <v>60.353294931857889</v>
      </c>
      <c r="C207" s="17">
        <f>IF($B$4="표준",'2.치형좌표'!E206,'2.치형좌표'!H206)</f>
        <v>-51.148702233231845</v>
      </c>
      <c r="D207" s="6" t="str">
        <f t="shared" si="3"/>
        <v>60.35329,-51.14870</v>
      </c>
    </row>
    <row r="208" spans="1:4" x14ac:dyDescent="0.3">
      <c r="A208" s="19">
        <v>202</v>
      </c>
      <c r="B208" s="17">
        <f>IF($B$4="표준",'2.치형좌표'!D207,'2.치형좌표'!G207)</f>
        <v>60.293819291592513</v>
      </c>
      <c r="C208" s="17">
        <f>IF($B$4="표준",'2.치형좌표'!E207,'2.치형좌표'!H207)</f>
        <v>-51.345862964881555</v>
      </c>
      <c r="D208" s="6" t="str">
        <f t="shared" si="3"/>
        <v>60.29382,-51.34586</v>
      </c>
    </row>
    <row r="209" spans="1:4" x14ac:dyDescent="0.3">
      <c r="A209" s="19">
        <v>203</v>
      </c>
      <c r="B209" s="17">
        <f>IF($B$4="표준",'2.치형좌표'!D208,'2.치형좌표'!G208)</f>
        <v>60.219112457358882</v>
      </c>
      <c r="C209" s="17">
        <f>IF($B$4="표준",'2.치형좌표'!E208,'2.치형좌표'!H208)</f>
        <v>-51.549584057158107</v>
      </c>
      <c r="D209" s="6" t="str">
        <f t="shared" si="3"/>
        <v>60.21911,-51.54958</v>
      </c>
    </row>
    <row r="210" spans="1:4" x14ac:dyDescent="0.3">
      <c r="A210" s="19">
        <v>204</v>
      </c>
      <c r="B210" s="17">
        <f>IF($B$4="표준",'2.치형좌표'!D209,'2.치형좌표'!G209)</f>
        <v>60.128580097506415</v>
      </c>
      <c r="C210" s="17">
        <f>IF($B$4="표준",'2.치형좌표'!E209,'2.치형좌표'!H209)</f>
        <v>-51.75746061032779</v>
      </c>
      <c r="D210" s="6" t="str">
        <f t="shared" si="3"/>
        <v>60.12858,-51.75746</v>
      </c>
    </row>
    <row r="211" spans="1:4" x14ac:dyDescent="0.3">
      <c r="A211" s="19">
        <v>205</v>
      </c>
      <c r="B211" s="17">
        <f>IF($B$4="표준",'2.치형좌표'!D210,'2.치형좌표'!G210)</f>
        <v>60.022031054958134</v>
      </c>
      <c r="C211" s="17">
        <f>IF($B$4="표준",'2.치형좌표'!E210,'2.치형좌표'!H210)</f>
        <v>-51.966915794544015</v>
      </c>
      <c r="D211" s="6" t="str">
        <f t="shared" si="3"/>
        <v>60.02203,-51.96692</v>
      </c>
    </row>
    <row r="212" spans="1:4" x14ac:dyDescent="0.3">
      <c r="A212" s="19">
        <v>206</v>
      </c>
      <c r="B212" s="17">
        <f>IF($B$4="표준",'2.치형좌표'!D211,'2.치형좌표'!G211)</f>
        <v>59.899693470272553</v>
      </c>
      <c r="C212" s="17">
        <f>IF($B$4="표준",'2.치형좌표'!E211,'2.치형좌표'!H211)</f>
        <v>-52.175297472271282</v>
      </c>
      <c r="D212" s="6" t="str">
        <f t="shared" si="3"/>
        <v>59.89969,-52.17530</v>
      </c>
    </row>
    <row r="213" spans="1:4" x14ac:dyDescent="0.3">
      <c r="A213" s="19">
        <v>207</v>
      </c>
      <c r="B213" s="17">
        <f>IF($B$4="표준",'2.치형좌표'!D212,'2.치형좌표'!G212)</f>
        <v>59.762216011665927</v>
      </c>
      <c r="C213" s="17">
        <f>IF($B$4="표준",'2.치형좌표'!E212,'2.치형좌표'!H212)</f>
        <v>-52.379967096746583</v>
      </c>
      <c r="D213" s="6" t="str">
        <f t="shared" si="3"/>
        <v>59.76222,-52.37997</v>
      </c>
    </row>
    <row r="214" spans="1:4" x14ac:dyDescent="0.3">
      <c r="A214" s="19">
        <v>208</v>
      </c>
      <c r="B214" s="17">
        <f>IF($B$4="표준",'2.치형좌표'!D213,'2.치형좌표'!G213)</f>
        <v>59.610655367339788</v>
      </c>
      <c r="C214" s="17">
        <f>IF($B$4="표준",'2.치형좌표'!E213,'2.치형좌표'!H213)</f>
        <v>-52.578381477717038</v>
      </c>
      <c r="D214" s="6" t="str">
        <f t="shared" si="3"/>
        <v>59.61066,-52.57838</v>
      </c>
    </row>
    <row r="215" spans="1:4" x14ac:dyDescent="0.3">
      <c r="A215" s="19">
        <v>209</v>
      </c>
      <c r="B215" s="17">
        <f>IF($B$4="표준",'2.치형좌표'!D214,'2.치형좌표'!G214)</f>
        <v>59.446451002577959</v>
      </c>
      <c r="C215" s="17">
        <f>IF($B$4="표준",'2.치형좌표'!E214,'2.치형좌표'!H214)</f>
        <v>-52.768167297780963</v>
      </c>
      <c r="D215" s="6" t="str">
        <f t="shared" si="3"/>
        <v>59.44645,-52.76817</v>
      </c>
    </row>
    <row r="216" spans="1:4" x14ac:dyDescent="0.3">
      <c r="A216" s="19">
        <v>210</v>
      </c>
      <c r="B216" s="17">
        <f>IF($B$4="표준",'2.치형좌표'!D215,'2.치형좌표'!G215)</f>
        <v>59.27138810707374</v>
      </c>
      <c r="C216" s="17">
        <f>IF($B$4="표준",'2.치형좌표'!E215,'2.치형좌표'!H215)</f>
        <v>-52.947187843709507</v>
      </c>
      <c r="D216" s="6" t="str">
        <f t="shared" si="3"/>
        <v>59.27139,-52.94719</v>
      </c>
    </row>
    <row r="217" spans="1:4" x14ac:dyDescent="0.3">
      <c r="A217" s="19">
        <v>211</v>
      </c>
      <c r="B217" s="17">
        <f>IF($B$4="표준",'2.치형좌표'!D216,'2.치형좌표'!G216)</f>
        <v>59.087549611132935</v>
      </c>
      <c r="C217" s="17">
        <f>IF($B$4="표준",'2.치형좌표'!E216,'2.치형좌표'!H216)</f>
        <v>-53.113601179087475</v>
      </c>
      <c r="D217" s="6" t="str">
        <f t="shared" si="3"/>
        <v>59.08755,-53.11360</v>
      </c>
    </row>
    <row r="218" spans="1:4" x14ac:dyDescent="0.3">
      <c r="A218" s="19">
        <v>212</v>
      </c>
      <c r="B218" s="17">
        <f>IF($B$4="표준",'2.치형좌표'!D217,'2.치형좌표'!G217)</f>
        <v>58.897258094332791</v>
      </c>
      <c r="C218" s="17">
        <f>IF($B$4="표준",'2.치형좌표'!E217,'2.치형좌표'!H217)</f>
        <v>-53.265908860137721</v>
      </c>
      <c r="D218" s="6" t="str">
        <f t="shared" si="3"/>
        <v>58.89726,-53.26591</v>
      </c>
    </row>
    <row r="219" spans="1:4" x14ac:dyDescent="0.3">
      <c r="A219" s="19">
        <v>213</v>
      </c>
      <c r="B219" s="17">
        <f>IF($B$4="표준",'2.치형좌표'!D218,'2.치형좌표'!G218)</f>
        <v>58.703008309002492</v>
      </c>
      <c r="C219" s="17">
        <f>IF($B$4="표준",'2.치형좌표'!E218,'2.치형좌표'!H218)</f>
        <v>-53.402994240243665</v>
      </c>
      <c r="D219" s="6" t="str">
        <f t="shared" si="3"/>
        <v>58.70301,-53.40299</v>
      </c>
    </row>
    <row r="220" spans="1:4" x14ac:dyDescent="0.3">
      <c r="A220" s="19">
        <v>214</v>
      </c>
      <c r="B220" s="17">
        <f>IF($B$4="표준",'2.치형좌표'!D219,'2.치형좌표'!G219)</f>
        <v>58.507390848869818</v>
      </c>
      <c r="C220" s="17">
        <f>IF($B$4="표준",'2.치형좌표'!E219,'2.치형좌표'!H219)</f>
        <v>-53.524149386049309</v>
      </c>
      <c r="D220" s="6" t="str">
        <f t="shared" si="3"/>
        <v>58.50739,-53.52415</v>
      </c>
    </row>
    <row r="221" spans="1:4" x14ac:dyDescent="0.3">
      <c r="A221" s="19">
        <v>215</v>
      </c>
      <c r="B221" s="17">
        <f>IF($B$4="표준",'2.치형좌표'!D220,'2.치형좌표'!G220)</f>
        <v>58.313007149045916</v>
      </c>
      <c r="C221" s="17">
        <f>IF($B$4="표준",'2.치형좌표'!E220,'2.치형좌표'!H220)</f>
        <v>-53.629089608828743</v>
      </c>
      <c r="D221" s="6" t="str">
        <f t="shared" si="3"/>
        <v>58.31301,-53.62909</v>
      </c>
    </row>
    <row r="222" spans="1:4" x14ac:dyDescent="0.3">
      <c r="A222" s="19">
        <v>216</v>
      </c>
      <c r="B222" s="17">
        <f>IF($B$4="표준",'2.치형좌표'!D221,'2.치형좌표'!G221)</f>
        <v>58.122375413358043</v>
      </c>
      <c r="C222" s="17">
        <f>IF($B$4="표준",'2.치형좌표'!E221,'2.치형좌표'!H221)</f>
        <v>-53.717954568079449</v>
      </c>
      <c r="D222" s="6" t="str">
        <f t="shared" si="3"/>
        <v>58.12238,-53.71795</v>
      </c>
    </row>
    <row r="223" spans="1:4" x14ac:dyDescent="0.3">
      <c r="A223" s="19">
        <v>217</v>
      </c>
      <c r="B223" s="17">
        <f>IF($B$4="표준",'2.치형좌표'!D222,'2.치형좌표'!G222)</f>
        <v>57.937826074893991</v>
      </c>
      <c r="C223" s="17">
        <f>IF($B$4="표준",'2.치형좌표'!E222,'2.치형좌표'!H222)</f>
        <v>-53.791294794533584</v>
      </c>
      <c r="D223" s="6" t="str">
        <f t="shared" si="3"/>
        <v>57.93783,-53.79129</v>
      </c>
    </row>
    <row r="224" spans="1:4" x14ac:dyDescent="0.3">
      <c r="A224" s="19">
        <v>218</v>
      </c>
      <c r="B224" s="17">
        <f>IF($B$4="표준",'2.치형좌표'!D223,'2.치형좌표'!G223)</f>
        <v>57.761383740267981</v>
      </c>
      <c r="C224" s="17">
        <f>IF($B$4="표준",'2.치형좌표'!E223,'2.치형좌표'!H223)</f>
        <v>-53.850042264857301</v>
      </c>
      <c r="D224" s="6" t="str">
        <f t="shared" si="3"/>
        <v>57.76138,-53.85004</v>
      </c>
    </row>
    <row r="225" spans="1:4" x14ac:dyDescent="0.3">
      <c r="A225" s="19">
        <v>219</v>
      </c>
      <c r="B225" s="17">
        <f>IF($B$4="표준",'2.치형좌표'!D224,'2.치형좌표'!G224)</f>
        <v>57.594629773084101</v>
      </c>
      <c r="C225" s="17">
        <f>IF($B$4="표준",'2.치형좌표'!E224,'2.치형좌표'!H224)</f>
        <v>-53.895463293975205</v>
      </c>
      <c r="D225" s="6" t="str">
        <f t="shared" si="3"/>
        <v>57.59463,-53.89546</v>
      </c>
    </row>
    <row r="226" spans="1:4" x14ac:dyDescent="0.3">
      <c r="A226" s="19">
        <v>220</v>
      </c>
      <c r="B226" s="17">
        <f>IF($B$4="표준",'2.치형좌표'!D225,'2.치형좌표'!G225)</f>
        <v>57.438534859154771</v>
      </c>
      <c r="C226" s="17">
        <f>IF($B$4="표준",'2.치형좌표'!E225,'2.치형좌표'!H225)</f>
        <v>-53.92909146126717</v>
      </c>
      <c r="D226" s="6" t="str">
        <f t="shared" si="3"/>
        <v>57.43853,-53.92909</v>
      </c>
    </row>
    <row r="227" spans="1:4" x14ac:dyDescent="0.3">
      <c r="A227" s="19">
        <v>221</v>
      </c>
      <c r="B227" s="17">
        <f>IF($B$4="표준",'2.치형좌표'!D226,'2.치형좌표'!G226)</f>
        <v>57.293242384782658</v>
      </c>
      <c r="C227" s="17">
        <f>IF($B$4="표준",'2.치형좌표'!E226,'2.치형좌표'!H226)</f>
        <v>-53.952637604995324</v>
      </c>
      <c r="D227" s="6" t="str">
        <f t="shared" si="3"/>
        <v>57.29324,-53.95264</v>
      </c>
    </row>
    <row r="228" spans="1:4" x14ac:dyDescent="0.3">
      <c r="A228" s="19">
        <v>222</v>
      </c>
      <c r="B228" s="17">
        <f>IF($B$4="표준",'2.치형좌표'!D227,'2.치형좌표'!G227)</f>
        <v>57.157767924673486</v>
      </c>
      <c r="C228" s="17">
        <f>IF($B$4="표준",'2.치형좌표'!E227,'2.치형좌표'!H227)</f>
        <v>-53.967873465655295</v>
      </c>
      <c r="D228" s="6" t="str">
        <f t="shared" si="3"/>
        <v>57.15777,-53.96787</v>
      </c>
    </row>
    <row r="229" spans="1:4" x14ac:dyDescent="0.3">
      <c r="A229" s="19">
        <v>223</v>
      </c>
      <c r="B229" s="17">
        <f>IF($B$4="표준",'2.치형좌표'!D228,'2.치형좌표'!G228)</f>
        <v>57.029550775299988</v>
      </c>
      <c r="C229" s="17">
        <f>IF($B$4="표준",'2.치형좌표'!E228,'2.치형좌표'!H228)</f>
        <v>-53.976486724018692</v>
      </c>
      <c r="D229" s="6" t="str">
        <f t="shared" si="3"/>
        <v>57.02955,-53.97649</v>
      </c>
    </row>
    <row r="230" spans="1:4" x14ac:dyDescent="0.3">
      <c r="A230" s="19">
        <v>224</v>
      </c>
      <c r="B230" s="17">
        <f>IF($B$4="표준",'2.치형좌표'!D229,'2.치형좌표'!G229)</f>
        <v>56.903735935598355</v>
      </c>
      <c r="C230" s="17">
        <f>IF($B$4="표준",'2.치형좌표'!E229,'2.치형좌표'!H229)</f>
        <v>-53.979912699841051</v>
      </c>
      <c r="D230" s="6" t="str">
        <f t="shared" si="3"/>
        <v>56.90374,-53.97991</v>
      </c>
    </row>
    <row r="231" spans="1:4" x14ac:dyDescent="0.3">
      <c r="A231" s="19">
        <v>225</v>
      </c>
      <c r="B231" s="17">
        <f>IF($B$4="표준",'2.치형좌표'!D230,'2.치형좌표'!G230)</f>
        <v>56.771948343722393</v>
      </c>
      <c r="C231" s="17">
        <f>IF($B$4="표준",'2.치형좌표'!E230,'2.치형좌표'!H230)</f>
        <v>-53.979177591622296</v>
      </c>
      <c r="D231" s="6" t="str">
        <f t="shared" si="3"/>
        <v>56.77195,-53.97918</v>
      </c>
    </row>
    <row r="232" spans="1:4" x14ac:dyDescent="0.3">
      <c r="A232" s="19">
        <v>226</v>
      </c>
      <c r="B232" s="17">
        <f>IF($B$4="표준",'2.치형좌표'!D231,'2.치형좌표'!G231)</f>
        <v>56.62007968056156</v>
      </c>
      <c r="C232" s="17">
        <f>IF($B$4="표준",'2.치형좌표'!E231,'2.치형좌표'!H231)</f>
        <v>-53.974892922426442</v>
      </c>
      <c r="D232" s="6" t="str">
        <f t="shared" si="3"/>
        <v>56.62008,-53.97489</v>
      </c>
    </row>
    <row r="233" spans="1:4" x14ac:dyDescent="0.3">
      <c r="A233" s="19">
        <v>227</v>
      </c>
      <c r="B233" s="17">
        <f>IF($B$4="표준",'2.치형좌표'!D232,'2.치형좌표'!G232)</f>
        <v>56.424116234895614</v>
      </c>
      <c r="C233" s="17">
        <f>IF($B$4="표준",'2.치형좌표'!E232,'2.치형좌표'!H232)</f>
        <v>-53.967905306701638</v>
      </c>
      <c r="D233" s="6" t="str">
        <f t="shared" si="3"/>
        <v>56.42412,-53.96791</v>
      </c>
    </row>
    <row r="234" spans="1:4" x14ac:dyDescent="0.3">
      <c r="A234" s="19">
        <v>228</v>
      </c>
      <c r="B234" s="17">
        <f>IF($B$4="표준",'2.치형좌표'!D233,'2.치형좌표'!G233)</f>
        <v>56.142186593557625</v>
      </c>
      <c r="C234" s="17">
        <f>IF($B$4="표준",'2.치형좌표'!E233,'2.치형좌표'!H233)</f>
        <v>-53.962384207525247</v>
      </c>
      <c r="D234" s="6" t="str">
        <f t="shared" si="3"/>
        <v>56.14219,-53.96238</v>
      </c>
    </row>
    <row r="235" spans="1:4" x14ac:dyDescent="0.3">
      <c r="A235" s="19">
        <v>229</v>
      </c>
      <c r="B235" s="17">
        <f>IF($B$4="표준",'2.치형좌표'!D234,'2.치형좌표'!G234)</f>
        <v>55.700842196124185</v>
      </c>
      <c r="C235" s="17">
        <f>IF($B$4="표준",'2.치형좌표'!E234,'2.치형좌표'!H234)</f>
        <v>-53.97751283219538</v>
      </c>
      <c r="D235" s="6" t="str">
        <f t="shared" si="3"/>
        <v>55.70084,-53.97751</v>
      </c>
    </row>
    <row r="236" spans="1:4" x14ac:dyDescent="0.3">
      <c r="A236" s="19">
        <v>230</v>
      </c>
      <c r="B236" s="17">
        <f>IF($B$4="표준",'2.치형좌표'!D235,'2.치형좌표'!G235)</f>
        <v>54.984605118930737</v>
      </c>
      <c r="C236" s="17">
        <f>IF($B$4="표준",'2.치형좌표'!E235,'2.치형좌표'!H235)</f>
        <v>-54.085835679856963</v>
      </c>
      <c r="D236" s="6" t="str">
        <f t="shared" si="3"/>
        <v>54.98461,-54.08584</v>
      </c>
    </row>
    <row r="237" spans="1:4" x14ac:dyDescent="0.3">
      <c r="A237" s="19">
        <v>231</v>
      </c>
      <c r="B237" s="17">
        <f>IF($B$4="표준",'2.치형좌표'!D236,'2.치형좌표'!G236)</f>
        <v>53.910026669071968</v>
      </c>
      <c r="C237" s="17">
        <f>IF($B$4="표준",'2.치형좌표'!E236,'2.치형좌표'!H236)</f>
        <v>-54.490705375790533</v>
      </c>
      <c r="D237" s="6" t="str">
        <f t="shared" si="3"/>
        <v>53.91003,-54.49071</v>
      </c>
    </row>
    <row r="238" spans="1:4" x14ac:dyDescent="0.3">
      <c r="A238" s="19">
        <v>232</v>
      </c>
      <c r="B238" s="17">
        <f>IF($B$4="표준",'2.치형좌표'!D237,'2.치형좌표'!G237)</f>
        <v>52.739197167996174</v>
      </c>
      <c r="C238" s="17">
        <f>IF($B$4="표준",'2.치형좌표'!E237,'2.치형좌표'!H237)</f>
        <v>-55.421530296041979</v>
      </c>
      <c r="D238" s="6" t="str">
        <f t="shared" si="3"/>
        <v>52.73920,-55.42153</v>
      </c>
    </row>
    <row r="239" spans="1:4" x14ac:dyDescent="0.3">
      <c r="A239" s="19">
        <v>233</v>
      </c>
      <c r="B239" s="17">
        <f>IF($B$4="표준",'2.치형좌표'!D238,'2.치형좌표'!G238)</f>
        <v>52.011312340892978</v>
      </c>
      <c r="C239" s="17">
        <f>IF($B$4="표준",'2.치형좌표'!E238,'2.치형좌표'!H238)</f>
        <v>-56.587005355184424</v>
      </c>
      <c r="D239" s="6" t="str">
        <f t="shared" si="3"/>
        <v>52.01131,-56.58701</v>
      </c>
    </row>
    <row r="240" spans="1:4" x14ac:dyDescent="0.3">
      <c r="A240" s="19">
        <v>234</v>
      </c>
      <c r="B240" s="17">
        <f>IF($B$4="표준",'2.치형좌표'!D239,'2.치형좌표'!G239)</f>
        <v>51.742451497580305</v>
      </c>
      <c r="C240" s="17">
        <f>IF($B$4="표준",'2.치형좌표'!E239,'2.치형좌표'!H239)</f>
        <v>-57.487837053523251</v>
      </c>
      <c r="D240" s="6" t="str">
        <f t="shared" si="3"/>
        <v>51.74245,-57.48784</v>
      </c>
    </row>
    <row r="241" spans="1:4" x14ac:dyDescent="0.3">
      <c r="A241" s="19">
        <v>235</v>
      </c>
      <c r="B241" s="17">
        <f>IF($B$4="표준",'2.치형좌표'!D240,'2.치형좌표'!G240)</f>
        <v>51.669489156956566</v>
      </c>
      <c r="C241" s="17">
        <f>IF($B$4="표준",'2.치형좌표'!E240,'2.치형좌표'!H240)</f>
        <v>-58.058393860790552</v>
      </c>
      <c r="D241" s="6" t="str">
        <f t="shared" si="3"/>
        <v>51.66949,-58.05839</v>
      </c>
    </row>
    <row r="242" spans="1:4" x14ac:dyDescent="0.3">
      <c r="A242" s="19">
        <v>236</v>
      </c>
      <c r="B242" s="17">
        <f>IF($B$4="표준",'2.치형좌표'!D241,'2.치형좌표'!G241)</f>
        <v>51.653928858148042</v>
      </c>
      <c r="C242" s="17">
        <f>IF($B$4="표준",'2.치형좌표'!E241,'2.치형좌표'!H241)</f>
        <v>-58.414000904005903</v>
      </c>
      <c r="D242" s="6" t="str">
        <f t="shared" si="3"/>
        <v>51.65393,-58.41400</v>
      </c>
    </row>
    <row r="243" spans="1:4" x14ac:dyDescent="0.3">
      <c r="A243" s="19">
        <v>237</v>
      </c>
      <c r="B243" s="17">
        <f>IF($B$4="표준",'2.치형좌표'!D242,'2.치형좌표'!G242)</f>
        <v>51.6516593542257</v>
      </c>
      <c r="C243" s="17">
        <f>IF($B$4="표준",'2.치형좌표'!E242,'2.치형좌표'!H242)</f>
        <v>-58.649528322869322</v>
      </c>
      <c r="D243" s="6" t="str">
        <f t="shared" si="3"/>
        <v>51.65166,-58.64953</v>
      </c>
    </row>
    <row r="244" spans="1:4" x14ac:dyDescent="0.3">
      <c r="A244" s="19">
        <v>238</v>
      </c>
      <c r="B244" s="17">
        <f>IF($B$4="표준",'2.치형좌표'!D243,'2.치형좌표'!G243)</f>
        <v>51.650671279705769</v>
      </c>
      <c r="C244" s="17">
        <f>IF($B$4="표준",'2.치형좌표'!E243,'2.치형좌표'!H243)</f>
        <v>-58.821365094900855</v>
      </c>
      <c r="D244" s="6" t="str">
        <f t="shared" si="3"/>
        <v>51.65067,-58.82137</v>
      </c>
    </row>
    <row r="245" spans="1:4" x14ac:dyDescent="0.3">
      <c r="A245" s="19">
        <v>239</v>
      </c>
      <c r="B245" s="17">
        <f>IF($B$4="표준",'2.치형좌표'!D244,'2.치형좌표'!G244)</f>
        <v>51.64772547417634</v>
      </c>
      <c r="C245" s="17">
        <f>IF($B$4="표준",'2.치형좌표'!E244,'2.치형좌표'!H244)</f>
        <v>-58.961706930514076</v>
      </c>
      <c r="D245" s="6" t="str">
        <f t="shared" si="3"/>
        <v>51.64773,-58.96171</v>
      </c>
    </row>
    <row r="246" spans="1:4" x14ac:dyDescent="0.3">
      <c r="A246" s="19">
        <v>240</v>
      </c>
      <c r="B246" s="17">
        <f>IF($B$4="표준",'2.치형좌표'!D245,'2.치형좌표'!G245)</f>
        <v>51.641496760293229</v>
      </c>
      <c r="C246" s="17">
        <f>IF($B$4="표준",'2.치형좌표'!E245,'2.치형좌표'!H245)</f>
        <v>-59.089252749200611</v>
      </c>
      <c r="D246" s="6" t="str">
        <f t="shared" si="3"/>
        <v>51.64150,-59.08925</v>
      </c>
    </row>
    <row r="247" spans="1:4" x14ac:dyDescent="0.3">
      <c r="A247" s="19">
        <v>241</v>
      </c>
      <c r="B247" s="17">
        <f>IF($B$4="표준",'2.치형좌표'!D246,'2.치형좌표'!G246)</f>
        <v>51.630757654558799</v>
      </c>
      <c r="C247" s="17">
        <f>IF($B$4="표준",'2.치형좌표'!E246,'2.치형좌표'!H246)</f>
        <v>-59.215055393198931</v>
      </c>
      <c r="D247" s="6" t="str">
        <f t="shared" si="3"/>
        <v>51.63076,-59.21506</v>
      </c>
    </row>
    <row r="248" spans="1:4" x14ac:dyDescent="0.3">
      <c r="A248" s="19">
        <v>242</v>
      </c>
      <c r="B248" s="17">
        <f>IF($B$4="표준",'2.치형좌표'!D247,'2.치형좌표'!G247)</f>
        <v>51.614015016834685</v>
      </c>
      <c r="C248" s="17">
        <f>IF($B$4="표준",'2.치형좌표'!E247,'2.치형좌표'!H247)</f>
        <v>-59.345610554518835</v>
      </c>
      <c r="D248" s="6" t="str">
        <f t="shared" si="3"/>
        <v>51.61402,-59.34561</v>
      </c>
    </row>
    <row r="249" spans="1:4" x14ac:dyDescent="0.3">
      <c r="A249" s="19">
        <v>243</v>
      </c>
      <c r="B249" s="17">
        <f>IF($B$4="표준",'2.치형좌표'!D248,'2.치형좌표'!G248)</f>
        <v>51.5895484286768</v>
      </c>
      <c r="C249" s="17">
        <f>IF($B$4="표준",'2.치형좌표'!E248,'2.치형좌표'!H248)</f>
        <v>-59.484533971365515</v>
      </c>
      <c r="D249" s="6" t="str">
        <f t="shared" si="3"/>
        <v>51.58955,-59.48453</v>
      </c>
    </row>
    <row r="250" spans="1:4" x14ac:dyDescent="0.3">
      <c r="A250" s="19">
        <v>244</v>
      </c>
      <c r="B250" s="17">
        <f>IF($B$4="표준",'2.치형좌표'!D249,'2.치형좌표'!G249)</f>
        <v>51.555541996258981</v>
      </c>
      <c r="C250" s="17">
        <f>IF($B$4="표준",'2.치형좌표'!E249,'2.치형좌표'!H249)</f>
        <v>-59.633517996920602</v>
      </c>
      <c r="D250" s="6" t="str">
        <f t="shared" si="3"/>
        <v>51.55554,-59.63352</v>
      </c>
    </row>
    <row r="251" spans="1:4" x14ac:dyDescent="0.3">
      <c r="A251" s="19">
        <v>245</v>
      </c>
      <c r="B251" s="17">
        <f>IF($B$4="표준",'2.치형좌표'!D250,'2.치형좌표'!G250)</f>
        <v>51.510220372269366</v>
      </c>
      <c r="C251" s="17">
        <f>IF($B$4="표준",'2.치형좌표'!E250,'2.치형좌표'!H250)</f>
        <v>-59.792910538204232</v>
      </c>
      <c r="D251" s="6" t="str">
        <f t="shared" si="3"/>
        <v>51.51022,-59.79291</v>
      </c>
    </row>
    <row r="252" spans="1:4" x14ac:dyDescent="0.3">
      <c r="A252" s="19">
        <v>246</v>
      </c>
      <c r="B252" s="17">
        <f>IF($B$4="표준",'2.치형좌표'!D251,'2.치형좌표'!G251)</f>
        <v>51.45196548275036</v>
      </c>
      <c r="C252" s="17">
        <f>IF($B$4="표준",'2.치형좌표'!E251,'2.치형좌표'!H251)</f>
        <v>-59.96208952138641</v>
      </c>
      <c r="D252" s="6" t="str">
        <f t="shared" si="3"/>
        <v>51.45197,-59.96209</v>
      </c>
    </row>
    <row r="253" spans="1:4" x14ac:dyDescent="0.3">
      <c r="A253" s="19">
        <v>247</v>
      </c>
      <c r="B253" s="17">
        <f>IF($B$4="표준",'2.치형좌표'!D252,'2.치형좌표'!G252)</f>
        <v>51.379409909037257</v>
      </c>
      <c r="C253" s="17">
        <f>IF($B$4="표준",'2.치형좌표'!E252,'2.치형좌표'!H252)</f>
        <v>-60.139722913153648</v>
      </c>
      <c r="D253" s="6" t="str">
        <f t="shared" si="3"/>
        <v>51.37941,-60.13972</v>
      </c>
    </row>
    <row r="254" spans="1:4" x14ac:dyDescent="0.3">
      <c r="A254" s="19">
        <v>248</v>
      </c>
      <c r="B254" s="17">
        <f>IF($B$4="표준",'2.치형좌표'!D253,'2.치형좌표'!G253)</f>
        <v>51.291508152699748</v>
      </c>
      <c r="C254" s="17">
        <f>IF($B$4="표준",'2.치형좌표'!E253,'2.치형좌표'!H253)</f>
        <v>-60.323962516106839</v>
      </c>
      <c r="D254" s="6" t="str">
        <f t="shared" si="3"/>
        <v>51.29151,-60.32396</v>
      </c>
    </row>
    <row r="255" spans="1:4" x14ac:dyDescent="0.3">
      <c r="A255" s="19">
        <v>249</v>
      </c>
      <c r="B255" s="17">
        <f>IF($B$4="표준",'2.치형좌표'!D254,'2.치형좌표'!G254)</f>
        <v>51.187588008082137</v>
      </c>
      <c r="C255" s="17">
        <f>IF($B$4="표준",'2.치형좌표'!E254,'2.치형좌표'!H254)</f>
        <v>-60.512597990210409</v>
      </c>
      <c r="D255" s="6" t="str">
        <f t="shared" si="3"/>
        <v>51.18759,-60.51260</v>
      </c>
    </row>
    <row r="256" spans="1:4" x14ac:dyDescent="0.3">
      <c r="A256" s="19">
        <v>250</v>
      </c>
      <c r="B256" s="17">
        <f>IF($B$4="표준",'2.치형좌표'!D255,'2.치형좌표'!G255)</f>
        <v>51.067384097068654</v>
      </c>
      <c r="C256" s="17">
        <f>IF($B$4="표준",'2.치형좌표'!E255,'2.치형좌표'!H255)</f>
        <v>-60.703185817086748</v>
      </c>
      <c r="D256" s="6" t="str">
        <f t="shared" si="3"/>
        <v>51.06738,-60.70319</v>
      </c>
    </row>
    <row r="257" spans="1:4" x14ac:dyDescent="0.3">
      <c r="A257" s="19">
        <v>251</v>
      </c>
      <c r="B257" s="17">
        <f>IF($B$4="표준",'2.치형좌표'!D256,'2.치형좌표'!G256)</f>
        <v>50.93105524525685</v>
      </c>
      <c r="C257" s="17">
        <f>IF($B$4="표준",'2.치형좌표'!E256,'2.치형좌표'!H256)</f>
        <v>-60.893161385279839</v>
      </c>
      <c r="D257" s="6" t="str">
        <f t="shared" si="3"/>
        <v>50.93106,-60.89316</v>
      </c>
    </row>
    <row r="258" spans="1:4" x14ac:dyDescent="0.3">
      <c r="A258" s="19">
        <v>252</v>
      </c>
      <c r="B258" s="17">
        <f>IF($B$4="표준",'2.치형좌표'!D257,'2.치형좌표'!G257)</f>
        <v>50.779187065715846</v>
      </c>
      <c r="C258" s="17">
        <f>IF($B$4="표준",'2.치형좌표'!E257,'2.치형좌표'!H257)</f>
        <v>-61.079938624752124</v>
      </c>
      <c r="D258" s="6" t="str">
        <f t="shared" si="3"/>
        <v>50.77919,-61.07994</v>
      </c>
    </row>
    <row r="259" spans="1:4" x14ac:dyDescent="0.3">
      <c r="A259" s="19">
        <v>253</v>
      </c>
      <c r="B259" s="17">
        <f>IF($B$4="표준",'2.치형좌표'!D258,'2.치형좌표'!G258)</f>
        <v>50.612780914089726</v>
      </c>
      <c r="C259" s="17">
        <f>IF($B$4="표준",'2.치형좌표'!E258,'2.치형좌표'!H258)</f>
        <v>-61.260999418394505</v>
      </c>
      <c r="D259" s="6" t="str">
        <f t="shared" si="3"/>
        <v>50.61278,-61.26100</v>
      </c>
    </row>
    <row r="260" spans="1:4" x14ac:dyDescent="0.3">
      <c r="A260" s="19">
        <v>254</v>
      </c>
      <c r="B260" s="17">
        <f>IF($B$4="표준",'2.치형좌표'!D259,'2.치형좌표'!G259)</f>
        <v>50.433230270762422</v>
      </c>
      <c r="C260" s="17">
        <f>IF($B$4="표준",'2.치형좌표'!E259,'2.치형좌표'!H259)</f>
        <v>-61.433973707783338</v>
      </c>
      <c r="D260" s="6" t="str">
        <f t="shared" si="3"/>
        <v>50.43323,-61.43397</v>
      </c>
    </row>
    <row r="261" spans="1:4" x14ac:dyDescent="0.3">
      <c r="A261" s="19">
        <v>255</v>
      </c>
      <c r="B261" s="17">
        <f>IF($B$4="표준",'2.치형좌표'!D260,'2.치형좌표'!G260)</f>
        <v>50.242285561443531</v>
      </c>
      <c r="C261" s="17">
        <f>IF($B$4="표준",'2.치형좌표'!E260,'2.치형좌표'!H260)</f>
        <v>-61.596710427095253</v>
      </c>
      <c r="D261" s="6" t="str">
        <f t="shared" si="3"/>
        <v>50.24229,-61.59671</v>
      </c>
    </row>
    <row r="262" spans="1:4" x14ac:dyDescent="0.3">
      <c r="A262" s="19">
        <v>256</v>
      </c>
      <c r="B262" s="17">
        <f>IF($B$4="표준",'2.치형좌표'!D261,'2.치형좌표'!G261)</f>
        <v>50.04200841620171</v>
      </c>
      <c r="C262" s="17">
        <f>IF($B$4="표준",'2.치형좌표'!E261,'2.치형좌표'!H261)</f>
        <v>-61.747338936278631</v>
      </c>
      <c r="D262" s="6" t="str">
        <f t="shared" si="3"/>
        <v>50.04201,-61.74734</v>
      </c>
    </row>
    <row r="263" spans="1:4" x14ac:dyDescent="0.3">
      <c r="A263" s="19">
        <v>257</v>
      </c>
      <c r="B263" s="17">
        <f>IF($B$4="표준",'2.치형좌표'!D262,'2.치형좌표'!G262)</f>
        <v>49.834716360574852</v>
      </c>
      <c r="C263" s="17">
        <f>IF($B$4="표준",'2.치형좌표'!E262,'2.치형좌표'!H262)</f>
        <v>-61.88432035938343</v>
      </c>
      <c r="D263" s="6" t="str">
        <f t="shared" ref="D263:D326" si="4">TEXT(B263,"0.00000")&amp;","&amp;TEXT(C263,"0.00000")</f>
        <v>49.83472,-61.88432</v>
      </c>
    </row>
    <row r="264" spans="1:4" x14ac:dyDescent="0.3">
      <c r="A264" s="19">
        <v>258</v>
      </c>
      <c r="B264" s="17">
        <f>IF($B$4="표준",'2.치형좌표'!D263,'2.치형좌표'!G263)</f>
        <v>49.62291890389028</v>
      </c>
      <c r="C264" s="17">
        <f>IF($B$4="표준",'2.치형좌표'!E263,'2.치형좌표'!H263)</f>
        <v>-62.006488088907439</v>
      </c>
      <c r="D264" s="6" t="str">
        <f t="shared" si="4"/>
        <v>49.62292,-62.00649</v>
      </c>
    </row>
    <row r="265" spans="1:4" x14ac:dyDescent="0.3">
      <c r="A265" s="19">
        <v>259</v>
      </c>
      <c r="B265" s="17">
        <f>IF($B$4="표준",'2.치형좌표'!D264,'2.치형좌표'!G264)</f>
        <v>49.409245909972533</v>
      </c>
      <c r="C265" s="17">
        <f>IF($B$4="표준",'2.치형좌표'!E264,'2.치형좌표'!H264)</f>
        <v>-62.11307663876984</v>
      </c>
      <c r="D265" s="6" t="str">
        <f t="shared" si="4"/>
        <v>49.40925,-62.11308</v>
      </c>
    </row>
    <row r="266" spans="1:4" x14ac:dyDescent="0.3">
      <c r="A266" s="19">
        <v>260</v>
      </c>
      <c r="B266" s="17">
        <f>IF($B$4="표준",'2.치형좌표'!D265,'2.치형좌표'!G265)</f>
        <v>49.196368967197721</v>
      </c>
      <c r="C266" s="17">
        <f>IF($B$4="표준",'2.치형좌표'!E265,'2.치형좌표'!H265)</f>
        <v>-62.203737975035921</v>
      </c>
      <c r="D266" s="6" t="str">
        <f t="shared" si="4"/>
        <v>49.19637,-62.20374</v>
      </c>
    </row>
    <row r="267" spans="1:4" x14ac:dyDescent="0.3">
      <c r="A267" s="19">
        <v>261</v>
      </c>
      <c r="B267" s="17">
        <f>IF($B$4="표준",'2.치형좌표'!D266,'2.치형좌표'!G266)</f>
        <v>48.986916166081535</v>
      </c>
      <c r="C267" s="17">
        <f>IF($B$4="표준",'2.치형좌표'!E266,'2.치형좌표'!H266)</f>
        <v>-62.278544385335032</v>
      </c>
      <c r="D267" s="6" t="str">
        <f t="shared" si="4"/>
        <v>48.98692,-62.27854</v>
      </c>
    </row>
    <row r="268" spans="1:4" x14ac:dyDescent="0.3">
      <c r="A268" s="19">
        <v>262</v>
      </c>
      <c r="B268" s="17">
        <f>IF($B$4="표준",'2.치형좌표'!D267,'2.치형좌표'!G267)</f>
        <v>48.783380161869829</v>
      </c>
      <c r="C268" s="17">
        <f>IF($B$4="표준",'2.치형좌표'!E267,'2.치형좌표'!H267)</f>
        <v>-62.337976820797259</v>
      </c>
      <c r="D268" s="6" t="str">
        <f t="shared" si="4"/>
        <v>48.78338,-62.33798</v>
      </c>
    </row>
    <row r="269" spans="1:4" x14ac:dyDescent="0.3">
      <c r="A269" s="19">
        <v>263</v>
      </c>
      <c r="B269" s="17">
        <f>IF($B$4="표준",'2.치형좌표'!D268,'2.치형좌표'!G268)</f>
        <v>48.588018512137197</v>
      </c>
      <c r="C269" s="17">
        <f>IF($B$4="표준",'2.치형좌표'!E268,'2.치형좌표'!H268)</f>
        <v>-62.382897401331576</v>
      </c>
      <c r="D269" s="6" t="str">
        <f t="shared" si="4"/>
        <v>48.58802,-62.38290</v>
      </c>
    </row>
    <row r="270" spans="1:4" x14ac:dyDescent="0.3">
      <c r="A270" s="19">
        <v>264</v>
      </c>
      <c r="B270" s="17">
        <f>IF($B$4="표준",'2.치형좌표'!D269,'2.치형좌표'!G269)</f>
        <v>48.402743801630749</v>
      </c>
      <c r="C270" s="17">
        <f>IF($B$4="표준",'2.치형좌표'!E269,'2.치형좌표'!H269)</f>
        <v>-62.414504336592195</v>
      </c>
      <c r="D270" s="6" t="str">
        <f t="shared" si="4"/>
        <v>48.40274,-62.41450</v>
      </c>
    </row>
    <row r="271" spans="1:4" x14ac:dyDescent="0.3">
      <c r="A271" s="19">
        <v>265</v>
      </c>
      <c r="B271" s="17">
        <f>IF($B$4="표준",'2.치형좌표'!D270,'2.치형좌표'!G270)</f>
        <v>48.228998578659528</v>
      </c>
      <c r="C271" s="17">
        <f>IF($B$4="표준",'2.치형좌표'!E270,'2.치형좌표'!H270)</f>
        <v>-62.434266765994117</v>
      </c>
      <c r="D271" s="6" t="str">
        <f t="shared" si="4"/>
        <v>48.22900,-62.43427</v>
      </c>
    </row>
    <row r="272" spans="1:4" x14ac:dyDescent="0.3">
      <c r="A272" s="19">
        <v>266</v>
      </c>
      <c r="B272" s="17">
        <f>IF($B$4="표준",'2.치형좌표'!D271,'2.치형좌표'!G271)</f>
        <v>48.067605848321051</v>
      </c>
      <c r="C272" s="17">
        <f>IF($B$4="표준",'2.치형좌표'!E271,'2.치형좌표'!H271)</f>
        <v>-62.44383579757573</v>
      </c>
      <c r="D272" s="6" t="str">
        <f t="shared" si="4"/>
        <v>48.06761,-62.44384</v>
      </c>
    </row>
    <row r="273" spans="1:4" x14ac:dyDescent="0.3">
      <c r="A273" s="19">
        <v>267</v>
      </c>
      <c r="B273" s="17">
        <f>IF($B$4="표준",'2.치형좌표'!D272,'2.치형좌표'!G272)</f>
        <v>47.918578295178662</v>
      </c>
      <c r="C273" s="17">
        <f>IF($B$4="표준",'2.치형좌표'!E272,'2.치형좌표'!H272)</f>
        <v>-62.444926113266682</v>
      </c>
      <c r="D273" s="6" t="str">
        <f t="shared" si="4"/>
        <v>47.91858,-62.44493</v>
      </c>
    </row>
    <row r="274" spans="1:4" x14ac:dyDescent="0.3">
      <c r="A274" s="19">
        <v>268</v>
      </c>
      <c r="B274" s="17">
        <f>IF($B$4="표준",'2.치형좌표'!D273,'2.치형좌표'!G273)</f>
        <v>47.780855547421275</v>
      </c>
      <c r="C274" s="17">
        <f>IF($B$4="표준",'2.치형좌표'!E273,'2.치형좌표'!H273)</f>
        <v>-62.439159709411804</v>
      </c>
      <c r="D274" s="6" t="str">
        <f t="shared" si="4"/>
        <v>47.78086,-62.43916</v>
      </c>
    </row>
    <row r="275" spans="1:4" x14ac:dyDescent="0.3">
      <c r="A275" s="19">
        <v>269</v>
      </c>
      <c r="B275" s="17">
        <f>IF($B$4="표준",'2.치형좌표'!D274,'2.치형좌표'!G274)</f>
        <v>47.651912460955892</v>
      </c>
      <c r="C275" s="17">
        <f>IF($B$4="표준",'2.치형좌표'!E274,'2.치형좌표'!H274)</f>
        <v>-62.427859809670856</v>
      </c>
      <c r="D275" s="6" t="str">
        <f t="shared" si="4"/>
        <v>47.65191,-62.42786</v>
      </c>
    </row>
    <row r="276" spans="1:4" x14ac:dyDescent="0.3">
      <c r="A276" s="19">
        <v>270</v>
      </c>
      <c r="B276" s="17">
        <f>IF($B$4="표준",'2.치형좌표'!D275,'2.치형좌표'!G275)</f>
        <v>47.527129360441627</v>
      </c>
      <c r="C276" s="17">
        <f>IF($B$4="표준",'2.치형좌표'!E275,'2.치형좌표'!H275)</f>
        <v>-62.41178055789171</v>
      </c>
      <c r="D276" s="6" t="str">
        <f t="shared" si="4"/>
        <v>47.52713,-62.41178</v>
      </c>
    </row>
    <row r="277" spans="1:4" x14ac:dyDescent="0.3">
      <c r="A277" s="19">
        <v>271</v>
      </c>
      <c r="B277" s="17">
        <f>IF($B$4="표준",'2.치형좌표'!D276,'2.치형좌표'!G276)</f>
        <v>47.398708246976902</v>
      </c>
      <c r="C277" s="17">
        <f>IF($B$4="표준",'2.치형좌표'!E276,'2.치형좌표'!H276)</f>
        <v>-62.390765281114739</v>
      </c>
      <c r="D277" s="6" t="str">
        <f t="shared" si="4"/>
        <v>47.39871,-62.39077</v>
      </c>
    </row>
    <row r="278" spans="1:4" x14ac:dyDescent="0.3">
      <c r="A278" s="19">
        <v>272</v>
      </c>
      <c r="B278" s="17">
        <f>IF($B$4="표준",'2.치형좌표'!D277,'2.치형좌표'!G277)</f>
        <v>47.253692090258127</v>
      </c>
      <c r="C278" s="17">
        <f>IF($B$4="표준",'2.치형좌표'!E277,'2.치형좌표'!H277)</f>
        <v>-62.363376851059925</v>
      </c>
      <c r="D278" s="6" t="str">
        <f t="shared" si="4"/>
        <v>47.25369,-62.36338</v>
      </c>
    </row>
    <row r="279" spans="1:4" x14ac:dyDescent="0.3">
      <c r="A279" s="19">
        <v>273</v>
      </c>
      <c r="B279" s="17">
        <f>IF($B$4="표준",'2.치형좌표'!D278,'2.치형좌표'!G278)</f>
        <v>47.070159001327049</v>
      </c>
      <c r="C279" s="17">
        <f>IF($B$4="표준",'2.치형좌표'!E278,'2.치형좌표'!H278)</f>
        <v>-62.326769469134</v>
      </c>
      <c r="D279" s="6" t="str">
        <f t="shared" si="4"/>
        <v>47.07016,-62.32677</v>
      </c>
    </row>
    <row r="280" spans="1:4" x14ac:dyDescent="0.3">
      <c r="A280" s="19">
        <v>274</v>
      </c>
      <c r="B280" s="17">
        <f>IF($B$4="표준",'2.치형좌표'!D279,'2.치형좌표'!G279)</f>
        <v>46.809702255764044</v>
      </c>
      <c r="C280" s="17">
        <f>IF($B$4="표준",'2.치형좌표'!E279,'2.치형좌표'!H279)</f>
        <v>-62.277982667090292</v>
      </c>
      <c r="D280" s="6" t="str">
        <f t="shared" si="4"/>
        <v>46.80970,-62.27798</v>
      </c>
    </row>
    <row r="281" spans="1:4" x14ac:dyDescent="0.3">
      <c r="A281" s="19">
        <v>275</v>
      </c>
      <c r="B281" s="17">
        <f>IF($B$4="표준",'2.치형좌표'!D280,'2.치형좌표'!G280)</f>
        <v>46.403219252967389</v>
      </c>
      <c r="C281" s="17">
        <f>IF($B$4="표준",'2.치형좌표'!E280,'2.치형좌표'!H280)</f>
        <v>-62.221356605436021</v>
      </c>
      <c r="D281" s="6" t="str">
        <f t="shared" si="4"/>
        <v>46.40322,-62.22136</v>
      </c>
    </row>
    <row r="282" spans="1:4" x14ac:dyDescent="0.3">
      <c r="A282" s="19">
        <v>276</v>
      </c>
      <c r="B282" s="17">
        <f>IF($B$4="표준",'2.치형좌표'!D281,'2.치형좌표'!G281)</f>
        <v>45.732742571374217</v>
      </c>
      <c r="C282" s="17">
        <f>IF($B$4="표준",'2.치형좌표'!E281,'2.치형좌표'!H281)</f>
        <v>-62.198442691267346</v>
      </c>
      <c r="D282" s="6" t="str">
        <f t="shared" si="4"/>
        <v>45.73274,-62.19844</v>
      </c>
    </row>
    <row r="283" spans="1:4" x14ac:dyDescent="0.3">
      <c r="A283" s="19">
        <v>277</v>
      </c>
      <c r="B283" s="17">
        <f>IF($B$4="표준",'2.치형좌표'!D282,'2.치형좌표'!G282)</f>
        <v>44.668358340772613</v>
      </c>
      <c r="C283" s="17">
        <f>IF($B$4="표준",'2.치형좌표'!E282,'2.치형좌표'!H282)</f>
        <v>-62.369903325437974</v>
      </c>
      <c r="D283" s="6" t="str">
        <f t="shared" si="4"/>
        <v>44.66836,-62.36990</v>
      </c>
    </row>
    <row r="284" spans="1:4" x14ac:dyDescent="0.3">
      <c r="A284" s="19">
        <v>278</v>
      </c>
      <c r="B284" s="17">
        <f>IF($B$4="표준",'2.치형좌표'!D283,'2.치형좌표'!G283)</f>
        <v>43.353406150964119</v>
      </c>
      <c r="C284" s="17">
        <f>IF($B$4="표준",'2.치형좌표'!E283,'2.치형좌표'!H283)</f>
        <v>-63.018179338374736</v>
      </c>
      <c r="D284" s="6" t="str">
        <f t="shared" si="4"/>
        <v>43.35341,-63.01818</v>
      </c>
    </row>
    <row r="285" spans="1:4" x14ac:dyDescent="0.3">
      <c r="A285" s="19">
        <v>279</v>
      </c>
      <c r="B285" s="17">
        <f>IF($B$4="표준",'2.치형좌표'!D284,'2.치형좌표'!G284)</f>
        <v>42.362302762568383</v>
      </c>
      <c r="C285" s="17">
        <f>IF($B$4="표준",'2.치형좌표'!E284,'2.치형좌표'!H284)</f>
        <v>-64.041991621171377</v>
      </c>
      <c r="D285" s="6" t="str">
        <f t="shared" si="4"/>
        <v>42.36230,-64.04199</v>
      </c>
    </row>
    <row r="286" spans="1:4" x14ac:dyDescent="0.3">
      <c r="A286" s="19">
        <v>280</v>
      </c>
      <c r="B286" s="17">
        <f>IF($B$4="표준",'2.치형좌표'!D285,'2.치형좌표'!G285)</f>
        <v>41.891904854162767</v>
      </c>
      <c r="C286" s="17">
        <f>IF($B$4="표준",'2.치형좌표'!E285,'2.치형좌표'!H285)</f>
        <v>-64.933851628042348</v>
      </c>
      <c r="D286" s="6" t="str">
        <f t="shared" si="4"/>
        <v>41.89190,-64.93385</v>
      </c>
    </row>
    <row r="287" spans="1:4" x14ac:dyDescent="0.3">
      <c r="A287" s="19">
        <v>281</v>
      </c>
      <c r="B287" s="17">
        <f>IF($B$4="표준",'2.치형좌표'!D286,'2.치형좌표'!G286)</f>
        <v>41.704005123808258</v>
      </c>
      <c r="C287" s="17">
        <f>IF($B$4="표준",'2.치형좌표'!E286,'2.치형좌표'!H286)</f>
        <v>-65.525914303973863</v>
      </c>
      <c r="D287" s="6" t="str">
        <f t="shared" si="4"/>
        <v>41.70401,-65.52591</v>
      </c>
    </row>
    <row r="288" spans="1:4" x14ac:dyDescent="0.3">
      <c r="A288" s="19">
        <v>282</v>
      </c>
      <c r="B288" s="17">
        <f>IF($B$4="표준",'2.치형좌표'!D287,'2.치형좌표'!G287)</f>
        <v>41.622956244083213</v>
      </c>
      <c r="C288" s="17">
        <f>IF($B$4="표준",'2.치형좌표'!E287,'2.치형좌표'!H287)</f>
        <v>-65.899140868670202</v>
      </c>
      <c r="D288" s="6" t="str">
        <f t="shared" si="4"/>
        <v>41.62296,-65.89914</v>
      </c>
    </row>
    <row r="289" spans="1:4" x14ac:dyDescent="0.3">
      <c r="A289" s="19">
        <v>283</v>
      </c>
      <c r="B289" s="17">
        <f>IF($B$4="표준",'2.치형좌표'!D288,'2.치형좌표'!G288)</f>
        <v>41.579837776366858</v>
      </c>
      <c r="C289" s="17">
        <f>IF($B$4="표준",'2.치형좌표'!E288,'2.치형좌표'!H288)</f>
        <v>-66.144936342161671</v>
      </c>
      <c r="D289" s="6" t="str">
        <f t="shared" si="4"/>
        <v>41.57984,-66.14494</v>
      </c>
    </row>
    <row r="290" spans="1:4" x14ac:dyDescent="0.3">
      <c r="A290" s="19">
        <v>284</v>
      </c>
      <c r="B290" s="17">
        <f>IF($B$4="표준",'2.치형좌표'!D289,'2.치형좌표'!G289)</f>
        <v>41.550245411382988</v>
      </c>
      <c r="C290" s="17">
        <f>IF($B$4="표준",'2.치형좌표'!E289,'2.치형좌표'!H289)</f>
        <v>-66.321564250458977</v>
      </c>
      <c r="D290" s="6" t="str">
        <f t="shared" si="4"/>
        <v>41.55025,-66.32156</v>
      </c>
    </row>
    <row r="291" spans="1:4" x14ac:dyDescent="0.3">
      <c r="A291" s="19">
        <v>285</v>
      </c>
      <c r="B291" s="17">
        <f>IF($B$4="표준",'2.치형좌표'!D290,'2.치형좌표'!G290)</f>
        <v>41.524680648980684</v>
      </c>
      <c r="C291" s="17">
        <f>IF($B$4="표준",'2.치형좌표'!E290,'2.치형좌표'!H290)</f>
        <v>-66.463013624995909</v>
      </c>
      <c r="D291" s="6" t="str">
        <f t="shared" si="4"/>
        <v>41.52468,-66.46301</v>
      </c>
    </row>
    <row r="292" spans="1:4" x14ac:dyDescent="0.3">
      <c r="A292" s="19">
        <v>286</v>
      </c>
      <c r="B292" s="17">
        <f>IF($B$4="표준",'2.치형좌표'!D291,'2.치형좌표'!G291)</f>
        <v>41.498468097683876</v>
      </c>
      <c r="C292" s="17">
        <f>IF($B$4="표준",'2.치형좌표'!E291,'2.치형좌표'!H291)</f>
        <v>-66.589090442784837</v>
      </c>
      <c r="D292" s="6" t="str">
        <f t="shared" si="4"/>
        <v>41.49847,-66.58909</v>
      </c>
    </row>
    <row r="293" spans="1:4" x14ac:dyDescent="0.3">
      <c r="A293" s="19">
        <v>287</v>
      </c>
      <c r="B293" s="17">
        <f>IF($B$4="표준",'2.치형좌표'!D292,'2.치형좌표'!G292)</f>
        <v>41.46850094940708</v>
      </c>
      <c r="C293" s="17">
        <f>IF($B$4="표준",'2.치형좌표'!E292,'2.치형좌표'!H292)</f>
        <v>-66.711425792223537</v>
      </c>
      <c r="D293" s="6" t="str">
        <f t="shared" si="4"/>
        <v>41.46850,-66.71143</v>
      </c>
    </row>
    <row r="294" spans="1:4" x14ac:dyDescent="0.3">
      <c r="A294" s="19">
        <v>288</v>
      </c>
      <c r="B294" s="17">
        <f>IF($B$4="표준",'2.치형좌표'!D293,'2.치형좌표'!G293)</f>
        <v>41.432214966019423</v>
      </c>
      <c r="C294" s="17">
        <f>IF($B$4="표준",'2.치형좌표'!E293,'2.치형좌표'!H293)</f>
        <v>-66.836758276837287</v>
      </c>
      <c r="D294" s="6" t="str">
        <f t="shared" si="4"/>
        <v>41.43221,-66.83676</v>
      </c>
    </row>
    <row r="295" spans="1:4" x14ac:dyDescent="0.3">
      <c r="A295" s="19">
        <v>289</v>
      </c>
      <c r="B295" s="17">
        <f>IF($B$4="표준",'2.치형좌표'!D294,'2.치형좌표'!G294)</f>
        <v>41.387299787452662</v>
      </c>
      <c r="C295" s="17">
        <f>IF($B$4="표준",'2.치형좌표'!E294,'2.치형좌표'!H294)</f>
        <v>-66.968748340145979</v>
      </c>
      <c r="D295" s="6" t="str">
        <f t="shared" si="4"/>
        <v>41.38730,-66.96875</v>
      </c>
    </row>
    <row r="296" spans="1:4" x14ac:dyDescent="0.3">
      <c r="A296" s="19">
        <v>290</v>
      </c>
      <c r="B296" s="17">
        <f>IF($B$4="표준",'2.치형좌표'!D295,'2.치형좌표'!G295)</f>
        <v>41.331656679426608</v>
      </c>
      <c r="C296" s="17">
        <f>IF($B$4="표준",'2.치형좌표'!E295,'2.치형좌표'!H295)</f>
        <v>-67.109024101412402</v>
      </c>
      <c r="D296" s="6" t="str">
        <f t="shared" si="4"/>
        <v>41.33166,-67.10902</v>
      </c>
    </row>
    <row r="297" spans="1:4" x14ac:dyDescent="0.3">
      <c r="A297" s="19">
        <v>291</v>
      </c>
      <c r="B297" s="17">
        <f>IF($B$4="표준",'2.치형좌표'!D296,'2.치형좌표'!G296)</f>
        <v>41.263434590789657</v>
      </c>
      <c r="C297" s="17">
        <f>IF($B$4="표준",'2.치형좌표'!E296,'2.치형좌표'!H296)</f>
        <v>-67.25781822127783</v>
      </c>
      <c r="D297" s="6" t="str">
        <f t="shared" si="4"/>
        <v>41.26343,-67.25782</v>
      </c>
    </row>
    <row r="298" spans="1:4" x14ac:dyDescent="0.3">
      <c r="A298" s="19">
        <v>292</v>
      </c>
      <c r="B298" s="17">
        <f>IF($B$4="표준",'2.치형좌표'!D297,'2.치형좌표'!G297)</f>
        <v>41.181084857204695</v>
      </c>
      <c r="C298" s="17">
        <f>IF($B$4="표준",'2.치형좌표'!E297,'2.치형좌표'!H297)</f>
        <v>-67.414380630888346</v>
      </c>
      <c r="D298" s="6" t="str">
        <f t="shared" si="4"/>
        <v>41.18108,-67.41438</v>
      </c>
    </row>
    <row r="299" spans="1:4" x14ac:dyDescent="0.3">
      <c r="A299" s="19">
        <v>293</v>
      </c>
      <c r="B299" s="17">
        <f>IF($B$4="표준",'2.치형좌표'!D298,'2.치형좌표'!G298)</f>
        <v>41.083412984802806</v>
      </c>
      <c r="C299" s="17">
        <f>IF($B$4="표준",'2.치형좌표'!E298,'2.치형좌표'!H298)</f>
        <v>-67.577264283687697</v>
      </c>
      <c r="D299" s="6" t="str">
        <f t="shared" si="4"/>
        <v>41.08341,-67.57726</v>
      </c>
    </row>
    <row r="300" spans="1:4" x14ac:dyDescent="0.3">
      <c r="A300" s="19">
        <v>294</v>
      </c>
      <c r="B300" s="17">
        <f>IF($B$4="표준",'2.치형좌표'!D299,'2.치형좌표'!G299)</f>
        <v>40.969619829675331</v>
      </c>
      <c r="C300" s="17">
        <f>IF($B$4="표준",'2.치형좌표'!E299,'2.치형좌표'!H299)</f>
        <v>-67.744536362892646</v>
      </c>
      <c r="D300" s="6" t="str">
        <f t="shared" si="4"/>
        <v>40.96962,-67.74454</v>
      </c>
    </row>
    <row r="301" spans="1:4" x14ac:dyDescent="0.3">
      <c r="A301" s="19">
        <v>295</v>
      </c>
      <c r="B301" s="17">
        <f>IF($B$4="표준",'2.치형좌표'!D300,'2.치형좌표'!G300)</f>
        <v>40.839329685196553</v>
      </c>
      <c r="C301" s="17">
        <f>IF($B$4="표준",'2.치형좌표'!E300,'2.치형좌표'!H300)</f>
        <v>-67.913943897019976</v>
      </c>
      <c r="D301" s="6" t="str">
        <f t="shared" si="4"/>
        <v>40.83933,-67.91394</v>
      </c>
    </row>
    <row r="302" spans="1:4" x14ac:dyDescent="0.3">
      <c r="A302" s="19">
        <v>296</v>
      </c>
      <c r="B302" s="17">
        <f>IF($B$4="표준",'2.치형좌표'!D301,'2.치형좌표'!G301)</f>
        <v>40.692604773698974</v>
      </c>
      <c r="C302" s="17">
        <f>IF($B$4="표준",'2.치형좌표'!E301,'2.치형좌표'!H301)</f>
        <v>-68.083050012776454</v>
      </c>
      <c r="D302" s="6" t="str">
        <f t="shared" si="4"/>
        <v>40.69260,-68.08305</v>
      </c>
    </row>
    <row r="303" spans="1:4" x14ac:dyDescent="0.3">
      <c r="A303" s="19">
        <v>297</v>
      </c>
      <c r="B303" s="17">
        <f>IF($B$4="표준",'2.치형좌표'!D302,'2.치형좌표'!G302)</f>
        <v>40.529946418554914</v>
      </c>
      <c r="C303" s="17">
        <f>IF($B$4="표준",'2.치형좌표'!E302,'2.치형좌표'!H302)</f>
        <v>-68.249349947624523</v>
      </c>
      <c r="D303" s="6" t="str">
        <f t="shared" si="4"/>
        <v>40.52995,-68.24935</v>
      </c>
    </row>
    <row r="304" spans="1:4" x14ac:dyDescent="0.3">
      <c r="A304" s="19">
        <v>298</v>
      </c>
      <c r="B304" s="17">
        <f>IF($B$4="표준",'2.치형좌표'!D303,'2.치형좌표'!G303)</f>
        <v>40.352283502509067</v>
      </c>
      <c r="C304" s="17">
        <f>IF($B$4="표준",'2.치형좌표'!E303,'2.치형좌표'!H303)</f>
        <v>-68.410371866487708</v>
      </c>
      <c r="D304" s="6" t="str">
        <f t="shared" si="4"/>
        <v>40.35228,-68.41037</v>
      </c>
    </row>
    <row r="305" spans="1:4" x14ac:dyDescent="0.3">
      <c r="A305" s="19">
        <v>299</v>
      </c>
      <c r="B305" s="17">
        <f>IF($B$4="표준",'2.치형좌표'!D304,'2.치형좌표'!G304)</f>
        <v>40.160948984506888</v>
      </c>
      <c r="C305" s="17">
        <f>IF($B$4="표준",'2.치형좌표'!E304,'2.치형좌표'!H304)</f>
        <v>-68.563765137120285</v>
      </c>
      <c r="D305" s="6" t="str">
        <f t="shared" si="4"/>
        <v>40.16095,-68.56377</v>
      </c>
    </row>
    <row r="306" spans="1:4" x14ac:dyDescent="0.3">
      <c r="A306" s="19">
        <v>300</v>
      </c>
      <c r="B306" s="17">
        <f>IF($B$4="표준",'2.치형좌표'!D305,'2.치형좌표'!G305)</f>
        <v>39.957645355707626</v>
      </c>
      <c r="C306" s="17">
        <f>IF($B$4="표준",'2.치형좌표'!E305,'2.치형좌표'!H305)</f>
        <v>-68.707377299156605</v>
      </c>
      <c r="D306" s="6" t="str">
        <f t="shared" si="4"/>
        <v>39.95765,-68.70738</v>
      </c>
    </row>
    <row r="307" spans="1:4" x14ac:dyDescent="0.3">
      <c r="A307" s="19">
        <v>301</v>
      </c>
      <c r="B307" s="17">
        <f>IF($B$4="표준",'2.치형좌표'!D306,'2.치형좌표'!G306)</f>
        <v>39.744399999999665</v>
      </c>
      <c r="C307" s="17">
        <f>IF($B$4="표준",'2.치형좌표'!E306,'2.치형좌표'!H306)</f>
        <v>-68.839320116340687</v>
      </c>
      <c r="D307" s="6" t="str">
        <f t="shared" si="4"/>
        <v>39.74440,-68.83932</v>
      </c>
    </row>
    <row r="308" spans="1:4" x14ac:dyDescent="0.3">
      <c r="A308" s="19">
        <v>302</v>
      </c>
      <c r="B308" s="17">
        <f>IF($B$4="표준",'2.치형좌표'!D307,'2.치형좌표'!G307)</f>
        <v>39.523511490617359</v>
      </c>
      <c r="C308" s="17">
        <f>IF($B$4="표준",'2.치형좌표'!E307,'2.치형좌표'!H307)</f>
        <v>-68.958024603030765</v>
      </c>
      <c r="D308" s="6" t="str">
        <f t="shared" si="4"/>
        <v>39.52351,-68.95802</v>
      </c>
    </row>
    <row r="309" spans="1:4" x14ac:dyDescent="0.3">
      <c r="A309" s="19">
        <v>303</v>
      </c>
      <c r="B309" s="17">
        <f>IF($B$4="표준",'2.치형좌표'!D308,'2.치형좌표'!G308)</f>
        <v>39.297487895601847</v>
      </c>
      <c r="C309" s="17">
        <f>IF($B$4="표준",'2.치형좌표'!E308,'2.치형좌표'!H308)</f>
        <v>-69.062284629234256</v>
      </c>
      <c r="D309" s="6" t="str">
        <f t="shared" si="4"/>
        <v>39.29749,-69.06228</v>
      </c>
    </row>
    <row r="310" spans="1:4" x14ac:dyDescent="0.3">
      <c r="A310" s="19">
        <v>304</v>
      </c>
      <c r="B310" s="17">
        <f>IF($B$4="표준",'2.치형좌표'!D309,'2.치형좌표'!G309)</f>
        <v>39.068978167463378</v>
      </c>
      <c r="C310" s="17">
        <f>IF($B$4="표준",'2.치형좌표'!E309,'2.치형좌표'!H309)</f>
        <v>-69.151288547128658</v>
      </c>
      <c r="D310" s="6" t="str">
        <f t="shared" si="4"/>
        <v>39.06898,-69.15129</v>
      </c>
    </row>
    <row r="311" spans="1:4" x14ac:dyDescent="0.3">
      <c r="A311" s="19">
        <v>305</v>
      </c>
      <c r="B311" s="17">
        <f>IF($B$4="표준",'2.치형좌표'!D310,'2.치형좌표'!G310)</f>
        <v>38.84069763713881</v>
      </c>
      <c r="C311" s="17">
        <f>IF($B$4="표준",'2.치형좌표'!E310,'2.치형좌표'!H310)</f>
        <v>-69.224638186303139</v>
      </c>
      <c r="D311" s="6" t="str">
        <f t="shared" si="4"/>
        <v>38.84070,-69.22464</v>
      </c>
    </row>
    <row r="312" spans="1:4" x14ac:dyDescent="0.3">
      <c r="A312" s="19">
        <v>306</v>
      </c>
      <c r="B312" s="17">
        <f>IF($B$4="표준",'2.치형좌표'!D311,'2.치형좌표'!G311)</f>
        <v>38.615348491340661</v>
      </c>
      <c r="C312" s="17">
        <f>IF($B$4="표준",'2.치형좌표'!E311,'2.치형좌표'!H311)</f>
        <v>-69.282354486571606</v>
      </c>
      <c r="D312" s="6" t="str">
        <f t="shared" si="4"/>
        <v>38.61535,-69.28235</v>
      </c>
    </row>
    <row r="313" spans="1:4" x14ac:dyDescent="0.3">
      <c r="A313" s="19">
        <v>307</v>
      </c>
      <c r="B313" s="17">
        <f>IF($B$4="표준",'2.치형좌표'!D312,'2.치형좌표'!G312)</f>
        <v>38.395535843411494</v>
      </c>
      <c r="C313" s="17">
        <f>IF($B$4="표준",'2.치형좌표'!E312,'2.치형좌표'!H312)</f>
        <v>-69.324868929418258</v>
      </c>
      <c r="D313" s="6" t="str">
        <f t="shared" si="4"/>
        <v>38.39554,-69.32487</v>
      </c>
    </row>
    <row r="314" spans="1:4" x14ac:dyDescent="0.3">
      <c r="A314" s="19">
        <v>308</v>
      </c>
      <c r="B314" s="17">
        <f>IF($B$4="표준",'2.치형좌표'!D313,'2.치형좌표'!G313)</f>
        <v>38.183679543025356</v>
      </c>
      <c r="C314" s="17">
        <f>IF($B$4="표준",'2.치형좌표'!E313,'2.치형좌표'!H313)</f>
        <v>-69.352999737335892</v>
      </c>
      <c r="D314" s="6" t="str">
        <f t="shared" si="4"/>
        <v>38.18368,-69.35300</v>
      </c>
    </row>
    <row r="315" spans="1:4" x14ac:dyDescent="0.3">
      <c r="A315" s="19">
        <v>309</v>
      </c>
      <c r="B315" s="17">
        <f>IF($B$4="표준",'2.치형좌표'!D314,'2.치형좌표'!G314)</f>
        <v>37.981921095526353</v>
      </c>
      <c r="C315" s="17">
        <f>IF($B$4="표준",'2.치형좌표'!E314,'2.치형좌표'!H314)</f>
        <v>-69.367911460850578</v>
      </c>
      <c r="D315" s="6" t="str">
        <f t="shared" si="4"/>
        <v>37.98192,-69.36791</v>
      </c>
    </row>
    <row r="316" spans="1:4" x14ac:dyDescent="0.3">
      <c r="A316" s="19">
        <v>310</v>
      </c>
      <c r="B316" s="17">
        <f>IF($B$4="표준",'2.치형좌표'!D315,'2.치형좌표'!G315)</f>
        <v>37.792023778139999</v>
      </c>
      <c r="C316" s="17">
        <f>IF($B$4="표준",'2.치형좌표'!E315,'2.치형좌표'!H315)</f>
        <v>-69.371055957186101</v>
      </c>
      <c r="D316" s="6" t="str">
        <f t="shared" si="4"/>
        <v>37.79202,-69.37106</v>
      </c>
    </row>
    <row r="317" spans="1:4" x14ac:dyDescent="0.3">
      <c r="A317" s="19">
        <v>311</v>
      </c>
      <c r="B317" s="17">
        <f>IF($B$4="표준",'2.치형좌표'!D316,'2.치형좌표'!G316)</f>
        <v>37.615261887347167</v>
      </c>
      <c r="C317" s="17">
        <f>IF($B$4="표준",'2.치형좌표'!E316,'2.치형좌표'!H316)</f>
        <v>-69.364091713660272</v>
      </c>
      <c r="D317" s="6" t="str">
        <f t="shared" si="4"/>
        <v>37.61526,-69.36409</v>
      </c>
    </row>
    <row r="318" spans="1:4" x14ac:dyDescent="0.3">
      <c r="A318" s="19">
        <v>312</v>
      </c>
      <c r="B318" s="17">
        <f>IF($B$4="표준",'2.치형좌표'!D317,'2.치형좌표'!G317)</f>
        <v>37.452291355291507</v>
      </c>
      <c r="C318" s="17">
        <f>IF($B$4="표준",'2.치형좌표'!E317,'2.치형좌표'!H317)</f>
        <v>-69.348776715586354</v>
      </c>
      <c r="D318" s="6" t="str">
        <f t="shared" si="4"/>
        <v>37.45229,-69.34878</v>
      </c>
    </row>
    <row r="319" spans="1:4" x14ac:dyDescent="0.3">
      <c r="A319" s="19">
        <v>313</v>
      </c>
      <c r="B319" s="17">
        <f>IF($B$4="표준",'2.치형좌표'!D318,'2.치형좌표'!G318)</f>
        <v>37.302987428486588</v>
      </c>
      <c r="C319" s="17">
        <f>IF($B$4="표준",'2.치형좌표'!E318,'2.치형좌표'!H318)</f>
        <v>-69.326827180049222</v>
      </c>
      <c r="D319" s="6" t="str">
        <f t="shared" si="4"/>
        <v>37.30299,-69.32683</v>
      </c>
    </row>
    <row r="320" spans="1:4" x14ac:dyDescent="0.3">
      <c r="A320" s="19">
        <v>314</v>
      </c>
      <c r="B320" s="17">
        <f>IF($B$4="표준",'2.치형좌표'!D319,'2.치형좌표'!G319)</f>
        <v>37.166223091330814</v>
      </c>
      <c r="C320" s="17">
        <f>IF($B$4="표준",'2.치형좌표'!E319,'2.치형좌표'!H319)</f>
        <v>-69.299729834049188</v>
      </c>
      <c r="D320" s="6" t="str">
        <f t="shared" si="4"/>
        <v>37.16622,-69.29973</v>
      </c>
    </row>
    <row r="321" spans="1:4" x14ac:dyDescent="0.3">
      <c r="A321" s="19">
        <v>315</v>
      </c>
      <c r="B321" s="17">
        <f>IF($B$4="표준",'2.치형좌표'!D320,'2.치형좌표'!G320)</f>
        <v>37.039538984042075</v>
      </c>
      <c r="C321" s="17">
        <f>IF($B$4="표준",'2.치형좌표'!E320,'2.치형좌표'!H320)</f>
        <v>-69.268488175157302</v>
      </c>
      <c r="D321" s="6" t="str">
        <f t="shared" si="4"/>
        <v>37.03954,-69.26849</v>
      </c>
    </row>
    <row r="322" spans="1:4" x14ac:dyDescent="0.3">
      <c r="A322" s="19">
        <v>316</v>
      </c>
      <c r="B322" s="17">
        <f>IF($B$4="표준",'2.치형좌표'!D321,'2.치형좌표'!G321)</f>
        <v>36.918609889508915</v>
      </c>
      <c r="C322" s="17">
        <f>IF($B$4="표준",'2.치형좌표'!E321,'2.치형좌표'!H321)</f>
        <v>-69.233272812124639</v>
      </c>
      <c r="D322" s="6" t="str">
        <f t="shared" si="4"/>
        <v>36.91861,-69.23327</v>
      </c>
    </row>
    <row r="323" spans="1:4" x14ac:dyDescent="0.3">
      <c r="A323" s="19">
        <v>317</v>
      </c>
      <c r="B323" s="17">
        <f>IF($B$4="표준",'2.치형좌표'!D322,'2.치형좌표'!G322)</f>
        <v>36.796317886826991</v>
      </c>
      <c r="C323" s="17">
        <f>IF($B$4="표준",'2.치형좌표'!E322,'2.치형좌표'!H322)</f>
        <v>-69.192935138551178</v>
      </c>
      <c r="D323" s="6" t="str">
        <f t="shared" si="4"/>
        <v>36.79632,-69.19294</v>
      </c>
    </row>
    <row r="324" spans="1:4" x14ac:dyDescent="0.3">
      <c r="A324" s="19">
        <v>318</v>
      </c>
      <c r="B324" s="17">
        <f>IF($B$4="표준",'2.치형좌표'!D323,'2.치형좌표'!G323)</f>
        <v>36.66103675392737</v>
      </c>
      <c r="C324" s="17">
        <f>IF($B$4="표준",'2.치형좌표'!E323,'2.치형좌표'!H323)</f>
        <v>-69.144350184964793</v>
      </c>
      <c r="D324" s="6" t="str">
        <f t="shared" si="4"/>
        <v>36.66104,-69.14435</v>
      </c>
    </row>
    <row r="325" spans="1:4" x14ac:dyDescent="0.3">
      <c r="A325" s="19">
        <v>319</v>
      </c>
      <c r="B325" s="17">
        <f>IF($B$4="표준",'2.치형좌표'!D324,'2.치형좌표'!G324)</f>
        <v>36.493276315832517</v>
      </c>
      <c r="C325" s="17">
        <f>IF($B$4="표준",'2.치형좌표'!E324,'2.치형좌표'!H324)</f>
        <v>-69.081663970650169</v>
      </c>
      <c r="D325" s="6" t="str">
        <f t="shared" si="4"/>
        <v>36.49328,-69.08166</v>
      </c>
    </row>
    <row r="326" spans="1:4" x14ac:dyDescent="0.3">
      <c r="A326" s="19">
        <v>320</v>
      </c>
      <c r="B326" s="17">
        <f>IF($B$4="표준",'2.치형좌표'!D325,'2.치형좌표'!G325)</f>
        <v>36.258851957795216</v>
      </c>
      <c r="C326" s="17">
        <f>IF($B$4="표준",'2.치형좌표'!E325,'2.치형좌표'!H325)</f>
        <v>-68.996107922318984</v>
      </c>
      <c r="D326" s="6" t="str">
        <f t="shared" si="4"/>
        <v>36.25885,-68.99611</v>
      </c>
    </row>
    <row r="327" spans="1:4" x14ac:dyDescent="0.3">
      <c r="A327" s="19">
        <v>321</v>
      </c>
      <c r="B327" s="17">
        <f>IF($B$4="표준",'2.치형좌표'!D326,'2.치형좌표'!G326)</f>
        <v>35.895103831537931</v>
      </c>
      <c r="C327" s="17">
        <f>IF($B$4="표준",'2.치형좌표'!E326,'2.치형좌표'!H326)</f>
        <v>-68.879685028760875</v>
      </c>
      <c r="D327" s="6" t="str">
        <f t="shared" ref="D327:D390" si="5">TEXT(B327,"0.00000")&amp;","&amp;TEXT(C327,"0.00000")</f>
        <v>35.89510,-68.87969</v>
      </c>
    </row>
    <row r="328" spans="1:4" x14ac:dyDescent="0.3">
      <c r="A328" s="19">
        <v>322</v>
      </c>
      <c r="B328" s="17">
        <f>IF($B$4="표준",'2.치형좌표'!D327,'2.치형좌표'!G327)</f>
        <v>35.288412648370361</v>
      </c>
      <c r="C328" s="17">
        <f>IF($B$4="표준",'2.치형좌표'!E327,'2.치형좌표'!H327)</f>
        <v>-68.746379630646388</v>
      </c>
      <c r="D328" s="6" t="str">
        <f t="shared" si="5"/>
        <v>35.28841,-68.74638</v>
      </c>
    </row>
    <row r="329" spans="1:4" x14ac:dyDescent="0.3">
      <c r="A329" s="19">
        <v>323</v>
      </c>
      <c r="B329" s="17">
        <f>IF($B$4="표준",'2.치형좌표'!D328,'2.치형좌표'!G328)</f>
        <v>34.280840271596574</v>
      </c>
      <c r="C329" s="17">
        <f>IF($B$4="표준",'2.치형좌표'!E328,'2.치형좌표'!H328)</f>
        <v>-68.707826165777917</v>
      </c>
      <c r="D329" s="6" t="str">
        <f t="shared" si="5"/>
        <v>34.28084,-68.70783</v>
      </c>
    </row>
    <row r="330" spans="1:4" x14ac:dyDescent="0.3">
      <c r="A330" s="19">
        <v>324</v>
      </c>
      <c r="B330" s="17">
        <f>IF($B$4="표준",'2.치형좌표'!D329,'2.치형좌표'!G329)</f>
        <v>32.898641131789603</v>
      </c>
      <c r="C330" s="17">
        <f>IF($B$4="표준",'2.치형좌표'!E329,'2.치형좌표'!H329)</f>
        <v>-69.054240736508788</v>
      </c>
      <c r="D330" s="6" t="str">
        <f t="shared" si="5"/>
        <v>32.89864,-69.05424</v>
      </c>
    </row>
    <row r="331" spans="1:4" x14ac:dyDescent="0.3">
      <c r="A331" s="19">
        <v>325</v>
      </c>
      <c r="B331" s="17">
        <f>IF($B$4="표준",'2.치형좌표'!D330,'2.치형좌표'!G330)</f>
        <v>31.679741541019553</v>
      </c>
      <c r="C331" s="17">
        <f>IF($B$4="표준",'2.치형좌표'!E330,'2.치형좌표'!H330)</f>
        <v>-69.868884731177388</v>
      </c>
      <c r="D331" s="6" t="str">
        <f t="shared" si="5"/>
        <v>31.67974,-69.86888</v>
      </c>
    </row>
    <row r="332" spans="1:4" x14ac:dyDescent="0.3">
      <c r="A332" s="19">
        <v>326</v>
      </c>
      <c r="B332" s="17">
        <f>IF($B$4="표준",'2.치형좌표'!D331,'2.치형좌표'!G331)</f>
        <v>30.999060160779546</v>
      </c>
      <c r="C332" s="17">
        <f>IF($B$4="표준",'2.치형좌표'!E331,'2.치형좌표'!H331)</f>
        <v>-70.70493819718007</v>
      </c>
      <c r="D332" s="6" t="str">
        <f t="shared" si="5"/>
        <v>30.99906,-70.70494</v>
      </c>
    </row>
    <row r="333" spans="1:4" x14ac:dyDescent="0.3">
      <c r="A333" s="19">
        <v>327</v>
      </c>
      <c r="B333" s="17">
        <f>IF($B$4="표준",'2.치형좌표'!D332,'2.치형좌표'!G332)</f>
        <v>30.683665851753929</v>
      </c>
      <c r="C333" s="17">
        <f>IF($B$4="표준",'2.치형좌표'!E332,'2.치형좌표'!H332)</f>
        <v>-71.297044993168413</v>
      </c>
      <c r="D333" s="6" t="str">
        <f t="shared" si="5"/>
        <v>30.68367,-71.29704</v>
      </c>
    </row>
    <row r="334" spans="1:4" x14ac:dyDescent="0.3">
      <c r="A334" s="19">
        <v>328</v>
      </c>
      <c r="B334" s="17">
        <f>IF($B$4="표준",'2.치형좌표'!D333,'2.치형좌표'!G333)</f>
        <v>30.529463958264781</v>
      </c>
      <c r="C334" s="17">
        <f>IF($B$4="표준",'2.치형좌표'!E333,'2.치형좌표'!H333)</f>
        <v>-71.677382630623484</v>
      </c>
      <c r="D334" s="6" t="str">
        <f t="shared" si="5"/>
        <v>30.52946,-71.67738</v>
      </c>
    </row>
    <row r="335" spans="1:4" x14ac:dyDescent="0.3">
      <c r="A335" s="19">
        <v>329</v>
      </c>
      <c r="B335" s="17">
        <f>IF($B$4="표준",'2.치형좌표'!D334,'2.치형좌표'!G334)</f>
        <v>30.441486195422662</v>
      </c>
      <c r="C335" s="17">
        <f>IF($B$4="표준",'2.치형좌표'!E334,'2.치형좌표'!H334)</f>
        <v>-71.927338189889639</v>
      </c>
      <c r="D335" s="6" t="str">
        <f t="shared" si="5"/>
        <v>30.44149,-71.92734</v>
      </c>
    </row>
    <row r="336" spans="1:4" x14ac:dyDescent="0.3">
      <c r="A336" s="19">
        <v>330</v>
      </c>
      <c r="B336" s="17">
        <f>IF($B$4="표준",'2.치형좌표'!D335,'2.치형좌표'!G335)</f>
        <v>30.381422573671053</v>
      </c>
      <c r="C336" s="17">
        <f>IF($B$4="표준",'2.치형좌표'!E335,'2.치형좌표'!H335)</f>
        <v>-72.104586198301789</v>
      </c>
      <c r="D336" s="6" t="str">
        <f t="shared" si="5"/>
        <v>30.38142,-72.10459</v>
      </c>
    </row>
    <row r="337" spans="1:4" x14ac:dyDescent="0.3">
      <c r="A337" s="19">
        <v>331</v>
      </c>
      <c r="B337" s="17">
        <f>IF($B$4="표준",'2.치형좌표'!D336,'2.치형좌표'!G336)</f>
        <v>30.332633571508921</v>
      </c>
      <c r="C337" s="17">
        <f>IF($B$4="표준",'2.치형좌표'!E336,'2.치형좌표'!H336)</f>
        <v>-72.243868089006739</v>
      </c>
      <c r="D337" s="6" t="str">
        <f t="shared" si="5"/>
        <v>30.33263,-72.24387</v>
      </c>
    </row>
    <row r="338" spans="1:4" x14ac:dyDescent="0.3">
      <c r="A338" s="19">
        <v>332</v>
      </c>
      <c r="B338" s="17">
        <f>IF($B$4="표준",'2.치형좌표'!D337,'2.치형좌표'!G337)</f>
        <v>30.286622778332994</v>
      </c>
      <c r="C338" s="17">
        <f>IF($B$4="표준",'2.치형좌표'!E337,'2.치형좌표'!H337)</f>
        <v>-72.365591674037944</v>
      </c>
      <c r="D338" s="6" t="str">
        <f t="shared" si="5"/>
        <v>30.28662,-72.36559</v>
      </c>
    </row>
    <row r="339" spans="1:4" x14ac:dyDescent="0.3">
      <c r="A339" s="19">
        <v>333</v>
      </c>
      <c r="B339" s="17">
        <f>IF($B$4="표준",'2.치형좌표'!D338,'2.치형좌표'!G338)</f>
        <v>30.238156268590419</v>
      </c>
      <c r="C339" s="17">
        <f>IF($B$4="표준",'2.치형좌표'!E338,'2.치형좌표'!H338)</f>
        <v>-72.481696634935844</v>
      </c>
      <c r="D339" s="6" t="str">
        <f t="shared" si="5"/>
        <v>30.23816,-72.48170</v>
      </c>
    </row>
    <row r="340" spans="1:4" x14ac:dyDescent="0.3">
      <c r="A340" s="19">
        <v>334</v>
      </c>
      <c r="B340" s="17">
        <f>IF($B$4="표준",'2.치형좌표'!D339,'2.치형좌표'!G339)</f>
        <v>30.183470725593587</v>
      </c>
      <c r="C340" s="17">
        <f>IF($B$4="표준",'2.치형좌표'!E339,'2.치형좌표'!H339)</f>
        <v>-72.599014573327736</v>
      </c>
      <c r="D340" s="6" t="str">
        <f t="shared" si="5"/>
        <v>30.18347,-72.59901</v>
      </c>
    </row>
    <row r="341" spans="1:4" x14ac:dyDescent="0.3">
      <c r="A341" s="19">
        <v>335</v>
      </c>
      <c r="B341" s="17">
        <f>IF($B$4="표준",'2.치형좌표'!D340,'2.치형좌표'!G340)</f>
        <v>30.119603203941672</v>
      </c>
      <c r="C341" s="17">
        <f>IF($B$4="표준",'2.치형좌표'!E340,'2.치형좌표'!H340)</f>
        <v>-72.721169173492058</v>
      </c>
      <c r="D341" s="6" t="str">
        <f t="shared" si="5"/>
        <v>30.11960,-72.72117</v>
      </c>
    </row>
    <row r="342" spans="1:4" x14ac:dyDescent="0.3">
      <c r="A342" s="19">
        <v>336</v>
      </c>
      <c r="B342" s="17">
        <f>IF($B$4="표준",'2.치형좌표'!D341,'2.치형좌표'!G341)</f>
        <v>30.044145186283917</v>
      </c>
      <c r="C342" s="17">
        <f>IF($B$4="표준",'2.치형좌표'!E341,'2.치형좌표'!H341)</f>
        <v>-72.849685662531755</v>
      </c>
      <c r="D342" s="6" t="str">
        <f t="shared" si="5"/>
        <v>30.04415,-72.84969</v>
      </c>
    </row>
    <row r="343" spans="1:4" x14ac:dyDescent="0.3">
      <c r="A343" s="19">
        <v>337</v>
      </c>
      <c r="B343" s="17">
        <f>IF($B$4="표준",'2.치형좌표'!D342,'2.치형좌표'!G342)</f>
        <v>29.955161796675355</v>
      </c>
      <c r="C343" s="17">
        <f>IF($B$4="표준",'2.치형좌표'!E342,'2.치형좌표'!H342)</f>
        <v>-72.984671351200234</v>
      </c>
      <c r="D343" s="6" t="str">
        <f t="shared" si="5"/>
        <v>29.95516,-72.98467</v>
      </c>
    </row>
    <row r="344" spans="1:4" x14ac:dyDescent="0.3">
      <c r="A344" s="19">
        <v>338</v>
      </c>
      <c r="B344" s="17">
        <f>IF($B$4="표준",'2.치형좌표'!D343,'2.치형좌표'!G343)</f>
        <v>29.85117441928714</v>
      </c>
      <c r="C344" s="17">
        <f>IF($B$4="표준",'2.치형좌표'!E343,'2.치형좌표'!H343)</f>
        <v>-73.125257913378519</v>
      </c>
      <c r="D344" s="6" t="str">
        <f t="shared" si="5"/>
        <v>29.85117,-73.12526</v>
      </c>
    </row>
    <row r="345" spans="1:4" x14ac:dyDescent="0.3">
      <c r="A345" s="19">
        <v>339</v>
      </c>
      <c r="B345" s="17">
        <f>IF($B$4="표준",'2.치형좌표'!D344,'2.치형좌표'!G344)</f>
        <v>29.731164655162392</v>
      </c>
      <c r="C345" s="17">
        <f>IF($B$4="표준",'2.치형좌표'!E344,'2.치형좌표'!H344)</f>
        <v>-73.269907051725653</v>
      </c>
      <c r="D345" s="6" t="str">
        <f t="shared" si="5"/>
        <v>29.73116,-73.26991</v>
      </c>
    </row>
    <row r="346" spans="1:4" x14ac:dyDescent="0.3">
      <c r="A346" s="19">
        <v>340</v>
      </c>
      <c r="B346" s="17">
        <f>IF($B$4="표준",'2.치형좌표'!D345,'2.치형좌표'!G345)</f>
        <v>29.594581466400545</v>
      </c>
      <c r="C346" s="17">
        <f>IF($B$4="표준",'2.치형좌표'!E345,'2.치형좌표'!H345)</f>
        <v>-73.416634913052178</v>
      </c>
      <c r="D346" s="6" t="str">
        <f t="shared" si="5"/>
        <v>29.59458,-73.41663</v>
      </c>
    </row>
    <row r="347" spans="1:4" x14ac:dyDescent="0.3">
      <c r="A347" s="19">
        <v>341</v>
      </c>
      <c r="B347" s="17">
        <f>IF($B$4="표준",'2.치형좌표'!D346,'2.치형좌표'!G346)</f>
        <v>29.441343465375581</v>
      </c>
      <c r="C347" s="17">
        <f>IF($B$4="표준",'2.치형좌표'!E346,'2.치형좌표'!H346)</f>
        <v>-73.563186045553195</v>
      </c>
      <c r="D347" s="6" t="str">
        <f t="shared" si="5"/>
        <v>29.44134,-73.56319</v>
      </c>
    </row>
    <row r="348" spans="1:4" x14ac:dyDescent="0.3">
      <c r="A348" s="19">
        <v>342</v>
      </c>
      <c r="B348" s="17">
        <f>IF($B$4="표준",'2.치형좌표'!D347,'2.치형좌표'!G347)</f>
        <v>29.271832813132502</v>
      </c>
      <c r="C348" s="17">
        <f>IF($B$4="표준",'2.치형좌표'!E347,'2.치형좌표'!H347)</f>
        <v>-73.707174287064021</v>
      </c>
      <c r="D348" s="6" t="str">
        <f t="shared" si="5"/>
        <v>29.27183,-73.70717</v>
      </c>
    </row>
    <row r="349" spans="1:4" x14ac:dyDescent="0.3">
      <c r="A349" s="19">
        <v>343</v>
      </c>
      <c r="B349" s="17">
        <f>IF($B$4="표준",'2.치형좌표'!D348,'2.치형좌표'!G348)</f>
        <v>29.086879321397589</v>
      </c>
      <c r="C349" s="17">
        <f>IF($B$4="표준",'2.치형좌표'!E348,'2.치형좌표'!H348)</f>
        <v>-73.846200459253907</v>
      </c>
      <c r="D349" s="6" t="str">
        <f t="shared" si="5"/>
        <v>29.08688,-73.84620</v>
      </c>
    </row>
    <row r="350" spans="1:4" x14ac:dyDescent="0.3">
      <c r="A350" s="19">
        <v>344</v>
      </c>
      <c r="B350" s="17">
        <f>IF($B$4="표준",'2.치형좌표'!D349,'2.치형좌표'!G349)</f>
        <v>28.887734432505258</v>
      </c>
      <c r="C350" s="17">
        <f>IF($B$4="표준",'2.치형좌표'!E349,'2.치형좌표'!H349)</f>
        <v>-73.977952425158151</v>
      </c>
      <c r="D350" s="6" t="str">
        <f t="shared" si="5"/>
        <v>28.88773,-73.97795</v>
      </c>
    </row>
    <row r="351" spans="1:4" x14ac:dyDescent="0.3">
      <c r="A351" s="19">
        <v>345</v>
      </c>
      <c r="B351" s="17">
        <f>IF($B$4="표준",'2.치형좌표'!D350,'2.치형좌표'!G350)</f>
        <v>28.676035346872496</v>
      </c>
      <c r="C351" s="17">
        <f>IF($B$4="표준",'2.치형좌표'!E350,'2.치형좌표'!H350)</f>
        <v>-74.100290538341881</v>
      </c>
      <c r="D351" s="6" t="str">
        <f t="shared" si="5"/>
        <v>28.67604,-74.10029</v>
      </c>
    </row>
    <row r="352" spans="1:4" x14ac:dyDescent="0.3">
      <c r="A352" s="19">
        <v>346</v>
      </c>
      <c r="B352" s="17">
        <f>IF($B$4="표준",'2.치형좌표'!D351,'2.치형좌표'!G351)</f>
        <v>28.45375992680373</v>
      </c>
      <c r="C352" s="17">
        <f>IF($B$4="표준",'2.치형좌표'!E351,'2.치형좌표'!H351)</f>
        <v>-74.211320012965004</v>
      </c>
      <c r="D352" s="6" t="str">
        <f t="shared" si="5"/>
        <v>28.45376,-74.21132</v>
      </c>
    </row>
    <row r="353" spans="1:4" x14ac:dyDescent="0.3">
      <c r="A353" s="19">
        <v>347</v>
      </c>
      <c r="B353" s="17">
        <f>IF($B$4="표준",'2.치형좌표'!D352,'2.치형좌표'!G352)</f>
        <v>28.223173238695836</v>
      </c>
      <c r="C353" s="17">
        <f>IF($B$4="표준",'2.치형좌표'!E352,'2.치형좌표'!H352)</f>
        <v>-74.309450853950111</v>
      </c>
      <c r="D353" s="6" t="str">
        <f t="shared" si="5"/>
        <v>28.22317,-74.30945</v>
      </c>
    </row>
    <row r="354" spans="1:4" x14ac:dyDescent="0.3">
      <c r="A354" s="19">
        <v>348</v>
      </c>
      <c r="B354" s="17">
        <f>IF($B$4="표준",'2.치형좌표'!D353,'2.치형좌표'!G353)</f>
        <v>27.986766750983698</v>
      </c>
      <c r="C354" s="17">
        <f>IF($B$4="표준",'2.치형좌표'!E353,'2.치형좌표'!H353)</f>
        <v>-74.393445463282504</v>
      </c>
      <c r="D354" s="6" t="str">
        <f t="shared" si="5"/>
        <v>27.98677,-74.39345</v>
      </c>
    </row>
    <row r="355" spans="1:4" x14ac:dyDescent="0.3">
      <c r="A355" s="19">
        <v>349</v>
      </c>
      <c r="B355" s="17">
        <f>IF($B$4="표준",'2.치형좌표'!D354,'2.치형좌표'!G354)</f>
        <v>27.747191300507726</v>
      </c>
      <c r="C355" s="17">
        <f>IF($B$4="표준",'2.치형좌표'!E354,'2.치형좌표'!H354)</f>
        <v>-74.462453736975334</v>
      </c>
      <c r="D355" s="6" t="str">
        <f t="shared" si="5"/>
        <v>27.74719,-74.46245</v>
      </c>
    </row>
    <row r="356" spans="1:4" x14ac:dyDescent="0.3">
      <c r="A356" s="19">
        <v>350</v>
      </c>
      <c r="B356" s="17">
        <f>IF($B$4="표준",'2.치형좌표'!D355,'2.치형좌표'!G355)</f>
        <v>27.507184977771026</v>
      </c>
      <c r="C356" s="17">
        <f>IF($B$4="표준",'2.치형좌표'!E355,'2.치형좌표'!H355)</f>
        <v>-74.516035294808319</v>
      </c>
      <c r="D356" s="6" t="str">
        <f t="shared" si="5"/>
        <v>27.50718,-74.51604</v>
      </c>
    </row>
    <row r="357" spans="1:4" x14ac:dyDescent="0.3">
      <c r="A357" s="19">
        <v>351</v>
      </c>
      <c r="B357" s="17">
        <f>IF($B$4="표준",'2.치형좌표'!D356,'2.치형좌표'!G356)</f>
        <v>27.269497053768813</v>
      </c>
      <c r="C357" s="17">
        <f>IF($B$4="표준",'2.치형좌표'!E356,'2.치형좌표'!H356)</f>
        <v>-74.554168376581146</v>
      </c>
      <c r="D357" s="6" t="str">
        <f t="shared" si="5"/>
        <v>27.26950,-74.55417</v>
      </c>
    </row>
    <row r="358" spans="1:4" x14ac:dyDescent="0.3">
      <c r="A358" s="19">
        <v>352</v>
      </c>
      <c r="B358" s="17">
        <f>IF($B$4="표준",'2.치형좌표'!D357,'2.치형좌표'!G357)</f>
        <v>27.036808959709312</v>
      </c>
      <c r="C358" s="17">
        <f>IF($B$4="표준",'2.치형좌표'!E357,'2.치형좌표'!H357)</f>
        <v>-74.577244841422328</v>
      </c>
      <c r="D358" s="6" t="str">
        <f t="shared" si="5"/>
        <v>27.03681,-74.57724</v>
      </c>
    </row>
    <row r="359" spans="1:4" x14ac:dyDescent="0.3">
      <c r="A359" s="19">
        <v>353</v>
      </c>
      <c r="B359" s="17">
        <f>IF($B$4="표준",'2.치형좌표'!D358,'2.치형좌표'!G358)</f>
        <v>26.811653104475631</v>
      </c>
      <c r="C359" s="17">
        <f>IF($B$4="표준",'2.치형좌표'!E358,'2.치형좌표'!H358)</f>
        <v>-74.586050568556033</v>
      </c>
      <c r="D359" s="6" t="str">
        <f t="shared" si="5"/>
        <v>26.81165,-74.58605</v>
      </c>
    </row>
    <row r="360" spans="1:4" x14ac:dyDescent="0.3">
      <c r="A360" s="19">
        <v>354</v>
      </c>
      <c r="B360" s="17">
        <f>IF($B$4="표준",'2.치형좌표'!D359,'2.치형좌표'!G359)</f>
        <v>26.596329919538235</v>
      </c>
      <c r="C360" s="17">
        <f>IF($B$4="표준",'2.치형좌표'!E359,'2.치형좌표'!H359)</f>
        <v>-74.581730316708018</v>
      </c>
      <c r="D360" s="6" t="str">
        <f t="shared" si="5"/>
        <v>26.59633,-74.58173</v>
      </c>
    </row>
    <row r="361" spans="1:4" x14ac:dyDescent="0.3">
      <c r="A361" s="19">
        <v>355</v>
      </c>
      <c r="B361" s="17">
        <f>IF($B$4="표준",'2.치형좌표'!D360,'2.치형좌표'!G360)</f>
        <v>26.392822864828901</v>
      </c>
      <c r="C361" s="17">
        <f>IF($B$4="표준",'2.치형좌표'!E360,'2.치형좌표'!H360)</f>
        <v>-74.565735669256924</v>
      </c>
      <c r="D361" s="6" t="str">
        <f t="shared" si="5"/>
        <v>26.39282,-74.56574</v>
      </c>
    </row>
    <row r="362" spans="1:4" x14ac:dyDescent="0.3">
      <c r="A362" s="19">
        <v>356</v>
      </c>
      <c r="B362" s="17">
        <f>IF($B$4="표준",'2.치형좌표'!D361,'2.치형좌표'!G361)</f>
        <v>26.202710048141583</v>
      </c>
      <c r="C362" s="17">
        <f>IF($B$4="표준",'2.치형좌표'!E361,'2.치형좌표'!H361)</f>
        <v>-74.539753943394985</v>
      </c>
      <c r="D362" s="6" t="str">
        <f t="shared" si="5"/>
        <v>26.20271,-74.53975</v>
      </c>
    </row>
    <row r="363" spans="1:4" x14ac:dyDescent="0.3">
      <c r="A363" s="19">
        <v>357</v>
      </c>
      <c r="B363" s="17">
        <f>IF($B$4="표준",'2.치형좌표'!D362,'2.치형좌표'!G362)</f>
        <v>26.02706930615993</v>
      </c>
      <c r="C363" s="17">
        <f>IF($B$4="표준",'2.치형좌표'!E362,'2.치형좌표'!H362)</f>
        <v>-74.505614666021984</v>
      </c>
      <c r="D363" s="6" t="str">
        <f t="shared" si="5"/>
        <v>26.02707,-74.50561</v>
      </c>
    </row>
    <row r="364" spans="1:4" x14ac:dyDescent="0.3">
      <c r="A364" s="19">
        <v>358</v>
      </c>
      <c r="B364" s="17">
        <f>IF($B$4="표준",'2.치형좌표'!D363,'2.치형좌표'!G363)</f>
        <v>25.866370504239796</v>
      </c>
      <c r="C364" s="17">
        <f>IF($B$4="표준",'2.치형좌표'!E363,'2.치형좌표'!H363)</f>
        <v>-74.465168073095953</v>
      </c>
      <c r="D364" s="6" t="str">
        <f t="shared" si="5"/>
        <v>25.86637,-74.46517</v>
      </c>
    </row>
    <row r="365" spans="1:4" x14ac:dyDescent="0.3">
      <c r="A365" s="19">
        <v>359</v>
      </c>
      <c r="B365" s="17">
        <f>IF($B$4="표준",'2.치형좌표'!D364,'2.치형좌표'!G364)</f>
        <v>25.720343337142143</v>
      </c>
      <c r="C365" s="17">
        <f>IF($B$4="표준",'2.치형좌표'!E364,'2.치형좌표'!H364)</f>
        <v>-74.420126494684283</v>
      </c>
      <c r="D365" s="6" t="str">
        <f t="shared" si="5"/>
        <v>25.72034,-74.42013</v>
      </c>
    </row>
    <row r="366" spans="1:4" x14ac:dyDescent="0.3">
      <c r="A366" s="19">
        <v>360</v>
      </c>
      <c r="B366" s="17">
        <f>IF($B$4="표준",'2.치형좌표'!D365,'2.치형좌표'!G365)</f>
        <v>25.587798834893491</v>
      </c>
      <c r="C366" s="17">
        <f>IF($B$4="표준",'2.치형좌표'!E365,'2.치형좌표'!H365)</f>
        <v>-74.371853473149613</v>
      </c>
      <c r="D366" s="6" t="str">
        <f t="shared" si="5"/>
        <v>25.58780,-74.37185</v>
      </c>
    </row>
    <row r="367" spans="1:4" x14ac:dyDescent="0.3">
      <c r="A367" s="19">
        <v>361</v>
      </c>
      <c r="B367" s="17">
        <f>IF($B$4="표준",'2.치형좌표'!D366,'2.치형좌표'!G366)</f>
        <v>25.466363429733242</v>
      </c>
      <c r="C367" s="17">
        <f>IF($B$4="표준",'2.치형좌표'!E366,'2.치형좌표'!H366)</f>
        <v>-74.321075442085061</v>
      </c>
      <c r="D367" s="6" t="str">
        <f t="shared" si="5"/>
        <v>25.46636,-74.32108</v>
      </c>
    </row>
    <row r="368" spans="1:4" x14ac:dyDescent="0.3">
      <c r="A368" s="19">
        <v>362</v>
      </c>
      <c r="B368" s="17">
        <f>IF($B$4="표준",'2.치형좌표'!D367,'2.치형좌표'!G367)</f>
        <v>25.352045591300239</v>
      </c>
      <c r="C368" s="17">
        <f>IF($B$4="표준",'2.치형좌표'!E367,'2.치형좌표'!H367)</f>
        <v>-74.267474458465827</v>
      </c>
      <c r="D368" s="6" t="str">
        <f t="shared" si="5"/>
        <v>25.35205,-74.26747</v>
      </c>
    </row>
    <row r="369" spans="1:4" x14ac:dyDescent="0.3">
      <c r="A369" s="19">
        <v>363</v>
      </c>
      <c r="B369" s="17">
        <f>IF($B$4="표준",'2.치형좌표'!D368,'2.치형좌표'!G368)</f>
        <v>25.238473315229651</v>
      </c>
      <c r="C369" s="17">
        <f>IF($B$4="표준",'2.치형좌표'!E368,'2.치형좌표'!H368)</f>
        <v>-74.209095773578255</v>
      </c>
      <c r="D369" s="6" t="str">
        <f t="shared" si="5"/>
        <v>25.23847,-74.20910</v>
      </c>
    </row>
    <row r="370" spans="1:4" x14ac:dyDescent="0.3">
      <c r="A370" s="19">
        <v>364</v>
      </c>
      <c r="B370" s="17">
        <f>IF($B$4="표준",'2.치형좌표'!D369,'2.치형좌표'!G369)</f>
        <v>25.115460817610099</v>
      </c>
      <c r="C370" s="17">
        <f>IF($B$4="표준",'2.치형좌표'!E369,'2.치형좌표'!H369)</f>
        <v>-74.141475998194707</v>
      </c>
      <c r="D370" s="6" t="str">
        <f t="shared" si="5"/>
        <v>25.11546,-74.14148</v>
      </c>
    </row>
    <row r="371" spans="1:4" x14ac:dyDescent="0.3">
      <c r="A371" s="19">
        <v>365</v>
      </c>
      <c r="B371" s="17">
        <f>IF($B$4="표준",'2.치형좌표'!D370,'2.치형좌표'!G370)</f>
        <v>24.966151770466389</v>
      </c>
      <c r="C371" s="17">
        <f>IF($B$4="표준",'2.치형좌표'!E370,'2.치형좌표'!H370)</f>
        <v>-74.056413309813934</v>
      </c>
      <c r="D371" s="6" t="str">
        <f t="shared" si="5"/>
        <v>24.96615,-74.05641</v>
      </c>
    </row>
    <row r="372" spans="1:4" x14ac:dyDescent="0.3">
      <c r="A372" s="19">
        <v>366</v>
      </c>
      <c r="B372" s="17">
        <f>IF($B$4="표준",'2.치형좌표'!D371,'2.치형좌표'!G371)</f>
        <v>24.761044290481475</v>
      </c>
      <c r="C372" s="17">
        <f>IF($B$4="표준",'2.치형좌표'!E371,'2.치형좌표'!H371)</f>
        <v>-73.940615048432861</v>
      </c>
      <c r="D372" s="6" t="str">
        <f t="shared" si="5"/>
        <v>24.76104,-73.94062</v>
      </c>
    </row>
    <row r="373" spans="1:4" x14ac:dyDescent="0.3">
      <c r="A373" s="19">
        <v>367</v>
      </c>
      <c r="B373" s="17">
        <f>IF($B$4="표준",'2.치형좌표'!D372,'2.치형좌표'!G372)</f>
        <v>24.445299407887589</v>
      </c>
      <c r="C373" s="17">
        <f>IF($B$4="표준",'2.치형좌표'!E372,'2.치형좌표'!H372)</f>
        <v>-73.776287140883667</v>
      </c>
      <c r="D373" s="6" t="str">
        <f t="shared" si="5"/>
        <v>24.44530,-73.77629</v>
      </c>
    </row>
    <row r="374" spans="1:4" x14ac:dyDescent="0.3">
      <c r="A374" s="19">
        <v>368</v>
      </c>
      <c r="B374" s="17">
        <f>IF($B$4="표준",'2.치형좌표'!D373,'2.치형좌표'!G373)</f>
        <v>23.914701548179153</v>
      </c>
      <c r="C374" s="17">
        <f>IF($B$4="표준",'2.치형좌표'!E373,'2.치형좌표'!H373)</f>
        <v>-73.554195977749572</v>
      </c>
      <c r="D374" s="6" t="str">
        <f t="shared" si="5"/>
        <v>23.91470,-73.55420</v>
      </c>
    </row>
    <row r="375" spans="1:4" x14ac:dyDescent="0.3">
      <c r="A375" s="19">
        <v>369</v>
      </c>
      <c r="B375" s="17">
        <f>IF($B$4="표준",'2.치형좌표'!D374,'2.치형좌표'!G374)</f>
        <v>23.000127991225632</v>
      </c>
      <c r="C375" s="17">
        <f>IF($B$4="표준",'2.치형좌표'!E374,'2.치형좌표'!H374)</f>
        <v>-73.336620448972141</v>
      </c>
      <c r="D375" s="6" t="str">
        <f t="shared" si="5"/>
        <v>23.00013,-73.33662</v>
      </c>
    </row>
    <row r="376" spans="1:4" x14ac:dyDescent="0.3">
      <c r="A376" s="19">
        <v>370</v>
      </c>
      <c r="B376" s="17">
        <f>IF($B$4="표준",'2.치형좌표'!D375,'2.치형좌표'!G375)</f>
        <v>21.626854568978484</v>
      </c>
      <c r="C376" s="17">
        <f>IF($B$4="표준",'2.치형좌표'!E375,'2.치형좌표'!H375)</f>
        <v>-73.384249670702914</v>
      </c>
      <c r="D376" s="6" t="str">
        <f t="shared" si="5"/>
        <v>21.62685,-73.38425</v>
      </c>
    </row>
    <row r="377" spans="1:4" x14ac:dyDescent="0.3">
      <c r="A377" s="19">
        <v>371</v>
      </c>
      <c r="B377" s="17">
        <f>IF($B$4="표준",'2.치형좌표'!D376,'2.치형좌표'!G376)</f>
        <v>20.235321791028237</v>
      </c>
      <c r="C377" s="17">
        <f>IF($B$4="표준",'2.치형좌표'!E376,'2.치형좌표'!H376)</f>
        <v>-73.932805302010422</v>
      </c>
      <c r="D377" s="6" t="str">
        <f t="shared" si="5"/>
        <v>20.23532,-73.93281</v>
      </c>
    </row>
    <row r="378" spans="1:4" x14ac:dyDescent="0.3">
      <c r="A378" s="19">
        <v>372</v>
      </c>
      <c r="B378" s="17">
        <f>IF($B$4="표준",'2.치형좌표'!D377,'2.치형좌표'!G377)</f>
        <v>19.347405124199614</v>
      </c>
      <c r="C378" s="17">
        <f>IF($B$4="표준",'2.치형좌표'!E377,'2.치형좌표'!H377)</f>
        <v>-74.660982689980457</v>
      </c>
      <c r="D378" s="6" t="str">
        <f t="shared" si="5"/>
        <v>19.34741,-74.66098</v>
      </c>
    </row>
    <row r="379" spans="1:4" x14ac:dyDescent="0.3">
      <c r="A379" s="19">
        <v>373</v>
      </c>
      <c r="B379" s="17">
        <f>IF($B$4="표준",'2.치형좌표'!D378,'2.치형좌표'!G378)</f>
        <v>18.89547624771863</v>
      </c>
      <c r="C379" s="17">
        <f>IF($B$4="표준",'2.치형좌표'!E378,'2.치형좌표'!H378)</f>
        <v>-75.227100770130889</v>
      </c>
      <c r="D379" s="6" t="str">
        <f t="shared" si="5"/>
        <v>18.89548,-75.22710</v>
      </c>
    </row>
    <row r="380" spans="1:4" x14ac:dyDescent="0.3">
      <c r="A380" s="19">
        <v>374</v>
      </c>
      <c r="B380" s="17">
        <f>IF($B$4="표준",'2.치형좌표'!D379,'2.치형좌표'!G379)</f>
        <v>18.661702275713715</v>
      </c>
      <c r="C380" s="17">
        <f>IF($B$4="표준",'2.치형좌표'!E379,'2.치형좌표'!H379)</f>
        <v>-75.601751917790608</v>
      </c>
      <c r="D380" s="6" t="str">
        <f t="shared" si="5"/>
        <v>18.66170,-75.60175</v>
      </c>
    </row>
    <row r="381" spans="1:4" x14ac:dyDescent="0.3">
      <c r="A381" s="19">
        <v>375</v>
      </c>
      <c r="B381" s="17">
        <f>IF($B$4="표준",'2.치형좌표'!D380,'2.치형좌표'!G380)</f>
        <v>18.525518867188485</v>
      </c>
      <c r="C381" s="17">
        <f>IF($B$4="표준",'2.치형좌표'!E380,'2.치형좌표'!H380)</f>
        <v>-75.848670698857021</v>
      </c>
      <c r="D381" s="6" t="str">
        <f t="shared" si="5"/>
        <v>18.52552,-75.84867</v>
      </c>
    </row>
    <row r="382" spans="1:4" x14ac:dyDescent="0.3">
      <c r="A382" s="19">
        <v>376</v>
      </c>
      <c r="B382" s="17">
        <f>IF($B$4="표준",'2.치형좌표'!D381,'2.치형좌표'!G381)</f>
        <v>18.433588597085176</v>
      </c>
      <c r="C382" s="17">
        <f>IF($B$4="표준",'2.치형좌표'!E381,'2.치형좌표'!H381)</f>
        <v>-76.021873828879095</v>
      </c>
      <c r="D382" s="6" t="str">
        <f t="shared" si="5"/>
        <v>18.43359,-76.02187</v>
      </c>
    </row>
    <row r="383" spans="1:4" x14ac:dyDescent="0.3">
      <c r="A383" s="19">
        <v>377</v>
      </c>
      <c r="B383" s="17">
        <f>IF($B$4="표준",'2.치형좌표'!D382,'2.치형좌표'!G382)</f>
        <v>18.361364897875212</v>
      </c>
      <c r="C383" s="17">
        <f>IF($B$4="표준",'2.치형좌표'!E382,'2.치형좌표'!H382)</f>
        <v>-76.155538283813001</v>
      </c>
      <c r="D383" s="6" t="str">
        <f t="shared" si="5"/>
        <v>18.36136,-76.15554</v>
      </c>
    </row>
    <row r="384" spans="1:4" x14ac:dyDescent="0.3">
      <c r="A384" s="19">
        <v>378</v>
      </c>
      <c r="B384" s="17">
        <f>IF($B$4="표준",'2.치형좌표'!D383,'2.치형좌표'!G383)</f>
        <v>18.296107724329211</v>
      </c>
      <c r="C384" s="17">
        <f>IF($B$4="표준",'2.치형좌표'!E383,'2.치형좌표'!H383)</f>
        <v>-76.270037240390508</v>
      </c>
      <c r="D384" s="6" t="str">
        <f t="shared" si="5"/>
        <v>18.29611,-76.27004</v>
      </c>
    </row>
    <row r="385" spans="1:4" x14ac:dyDescent="0.3">
      <c r="A385" s="19">
        <v>379</v>
      </c>
      <c r="B385" s="17">
        <f>IF($B$4="표준",'2.치형좌표'!D384,'2.치형좌표'!G384)</f>
        <v>18.23023332238348</v>
      </c>
      <c r="C385" s="17">
        <f>IF($B$4="표준",'2.치형좌표'!E384,'2.치형좌표'!H384)</f>
        <v>-76.377283099833988</v>
      </c>
      <c r="D385" s="6" t="str">
        <f t="shared" si="5"/>
        <v>18.23023,-76.37728</v>
      </c>
    </row>
    <row r="386" spans="1:4" x14ac:dyDescent="0.3">
      <c r="A386" s="19">
        <v>380</v>
      </c>
      <c r="B386" s="17">
        <f>IF($B$4="표준",'2.치형좌표'!D385,'2.치형좌표'!G385)</f>
        <v>18.158665447144632</v>
      </c>
      <c r="C386" s="17">
        <f>IF($B$4="표준",'2.치형좌표'!E385,'2.치형좌표'!H385)</f>
        <v>-76.484015779210566</v>
      </c>
      <c r="D386" s="6" t="str">
        <f t="shared" si="5"/>
        <v>18.15867,-76.48402</v>
      </c>
    </row>
    <row r="387" spans="1:4" x14ac:dyDescent="0.3">
      <c r="A387" s="19">
        <v>381</v>
      </c>
      <c r="B387" s="17">
        <f>IF($B$4="표준",'2.치형좌표'!D386,'2.치형좌표'!G386)</f>
        <v>18.077733574709967</v>
      </c>
      <c r="C387" s="17">
        <f>IF($B$4="표준",'2.치형좌표'!E386,'2.치형좌표'!H386)</f>
        <v>-76.593722172899135</v>
      </c>
      <c r="D387" s="6" t="str">
        <f t="shared" si="5"/>
        <v>18.07773,-76.59372</v>
      </c>
    </row>
    <row r="388" spans="1:4" x14ac:dyDescent="0.3">
      <c r="A388" s="19">
        <v>382</v>
      </c>
      <c r="B388" s="17">
        <f>IF($B$4="표준",'2.치형좌표'!D387,'2.치형좌표'!G387)</f>
        <v>17.984695778894128</v>
      </c>
      <c r="C388" s="17">
        <f>IF($B$4="표준",'2.치형좌표'!E387,'2.치형좌표'!H387)</f>
        <v>-76.707776074820018</v>
      </c>
      <c r="D388" s="6" t="str">
        <f t="shared" si="5"/>
        <v>17.98470,-76.70778</v>
      </c>
    </row>
    <row r="389" spans="1:4" x14ac:dyDescent="0.3">
      <c r="A389" s="19">
        <v>383</v>
      </c>
      <c r="B389" s="17">
        <f>IF($B$4="표준",'2.치형좌표'!D388,'2.치형좌표'!G388)</f>
        <v>17.877525474771861</v>
      </c>
      <c r="C389" s="17">
        <f>IF($B$4="표준",'2.치형좌표'!E388,'2.치형좌표'!H388)</f>
        <v>-76.826144152038395</v>
      </c>
      <c r="D389" s="6" t="str">
        <f t="shared" si="5"/>
        <v>17.87753,-76.82614</v>
      </c>
    </row>
    <row r="390" spans="1:4" x14ac:dyDescent="0.3">
      <c r="A390" s="19">
        <v>384</v>
      </c>
      <c r="B390" s="17">
        <f>IF($B$4="표준",'2.치형좌표'!D389,'2.치형좌표'!G389)</f>
        <v>17.754812726097729</v>
      </c>
      <c r="C390" s="17">
        <f>IF($B$4="표준",'2.치형좌표'!E389,'2.치형좌표'!H389)</f>
        <v>-76.947846809242535</v>
      </c>
      <c r="D390" s="6" t="str">
        <f t="shared" si="5"/>
        <v>17.75481,-76.94785</v>
      </c>
    </row>
    <row r="391" spans="1:4" x14ac:dyDescent="0.3">
      <c r="A391" s="19">
        <v>385</v>
      </c>
      <c r="B391" s="17">
        <f>IF($B$4="표준",'2.치형좌표'!D390,'2.치형좌표'!G390)</f>
        <v>17.615714757076265</v>
      </c>
      <c r="C391" s="17">
        <f>IF($B$4="표준",'2.치형좌표'!E390,'2.치형좌표'!H390)</f>
        <v>-77.071276618169833</v>
      </c>
      <c r="D391" s="6" t="str">
        <f t="shared" ref="D391:D454" si="6">TEXT(B391,"0.00000")&amp;","&amp;TEXT(C391,"0.00000")</f>
        <v>17.61571,-77.07128</v>
      </c>
    </row>
    <row r="392" spans="1:4" x14ac:dyDescent="0.3">
      <c r="A392" s="19">
        <v>386</v>
      </c>
      <c r="B392" s="17">
        <f>IF($B$4="표준",'2.치형좌표'!D391,'2.치형좌표'!G391)</f>
        <v>17.459925588615608</v>
      </c>
      <c r="C392" s="17">
        <f>IF($B$4="표준",'2.치형좌표'!E391,'2.치형좌표'!H391)</f>
        <v>-77.194430920304214</v>
      </c>
      <c r="D392" s="6" t="str">
        <f t="shared" si="6"/>
        <v>17.45993,-77.19443</v>
      </c>
    </row>
    <row r="393" spans="1:4" x14ac:dyDescent="0.3">
      <c r="A393" s="19">
        <v>387</v>
      </c>
      <c r="B393" s="17">
        <f>IF($B$4="표준",'2.치형좌표'!D392,'2.치형좌표'!G392)</f>
        <v>17.287650408554239</v>
      </c>
      <c r="C393" s="17">
        <f>IF($B$4="표준",'2.치형좌표'!E392,'2.치형좌표'!H392)</f>
        <v>-77.315090366552084</v>
      </c>
      <c r="D393" s="6" t="str">
        <f t="shared" si="6"/>
        <v>17.28765,-77.31509</v>
      </c>
    </row>
    <row r="394" spans="1:4" x14ac:dyDescent="0.3">
      <c r="A394" s="19">
        <v>388</v>
      </c>
      <c r="B394" s="17">
        <f>IF($B$4="표준",'2.치형좌표'!D393,'2.치형좌표'!G393)</f>
        <v>17.099577659836431</v>
      </c>
      <c r="C394" s="17">
        <f>IF($B$4="표준",'2.치형좌표'!E393,'2.치형좌표'!H393)</f>
        <v>-77.430961477291461</v>
      </c>
      <c r="D394" s="6" t="str">
        <f t="shared" si="6"/>
        <v>17.09958,-77.43096</v>
      </c>
    </row>
    <row r="395" spans="1:4" x14ac:dyDescent="0.3">
      <c r="A395" s="19">
        <v>389</v>
      </c>
      <c r="B395" s="17">
        <f>IF($B$4="표준",'2.치형좌표'!D394,'2.치형좌표'!G394)</f>
        <v>16.896845495703168</v>
      </c>
      <c r="C395" s="17">
        <f>IF($B$4="표준",'2.치형좌표'!E394,'2.치형좌표'!H394)</f>
        <v>-77.539793594287303</v>
      </c>
      <c r="D395" s="6" t="str">
        <f t="shared" si="6"/>
        <v>16.89685,-77.53979</v>
      </c>
    </row>
    <row r="396" spans="1:4" x14ac:dyDescent="0.3">
      <c r="A396" s="19">
        <v>390</v>
      </c>
      <c r="B396" s="17">
        <f>IF($B$4="표준",'2.치형좌표'!D395,'2.치형좌표'!G395)</f>
        <v>16.681001181378786</v>
      </c>
      <c r="C396" s="17">
        <f>IF($B$4="표준",'2.치형좌표'!E395,'2.치형좌표'!H395)</f>
        <v>-77.639476153010023</v>
      </c>
      <c r="D396" s="6" t="str">
        <f t="shared" si="6"/>
        <v>16.68100,-77.63948</v>
      </c>
    </row>
    <row r="397" spans="1:4" x14ac:dyDescent="0.3">
      <c r="A397" s="19">
        <v>391</v>
      </c>
      <c r="B397" s="17">
        <f>IF($B$4="표준",'2.치형좌표'!D396,'2.치형좌표'!G396)</f>
        <v>16.453953101997676</v>
      </c>
      <c r="C397" s="17">
        <f>IF($B$4="표준",'2.치형좌표'!E396,'2.치형좌표'!H396)</f>
        <v>-77.72811960015845</v>
      </c>
      <c r="D397" s="6" t="str">
        <f t="shared" si="6"/>
        <v>16.45395,-77.72812</v>
      </c>
    </row>
    <row r="398" spans="1:4" x14ac:dyDescent="0.3">
      <c r="A398" s="19">
        <v>392</v>
      </c>
      <c r="B398" s="17">
        <f>IF($B$4="표준",'2.치형좌표'!D397,'2.치형좌표'!G397)</f>
        <v>16.217915678061438</v>
      </c>
      <c r="C398" s="17">
        <f>IF($B$4="표준",'2.치형좌표'!E397,'2.치형좌표'!H397)</f>
        <v>-77.804121740147679</v>
      </c>
      <c r="D398" s="6" t="str">
        <f t="shared" si="6"/>
        <v>16.21792,-77.80412</v>
      </c>
    </row>
    <row r="399" spans="1:4" x14ac:dyDescent="0.3">
      <c r="A399" s="19">
        <v>393</v>
      </c>
      <c r="B399" s="17">
        <f>IF($B$4="표준",'2.치형좌표'!D398,'2.치형좌표'!G398)</f>
        <v>15.975347889735822</v>
      </c>
      <c r="C399" s="17">
        <f>IF($B$4="표준",'2.치형좌표'!E398,'2.치형좌표'!H398)</f>
        <v>-77.866220381950086</v>
      </c>
      <c r="D399" s="6" t="str">
        <f t="shared" si="6"/>
        <v>15.97535,-77.86622</v>
      </c>
    </row>
    <row r="400" spans="1:4" x14ac:dyDescent="0.3">
      <c r="A400" s="19">
        <v>394</v>
      </c>
      <c r="B400" s="17">
        <f>IF($B$4="표준",'2.치형좌표'!D399,'2.치형좌표'!G399)</f>
        <v>15.728886365901474</v>
      </c>
      <c r="C400" s="17">
        <f>IF($B$4="표준",'2.치형좌표'!E399,'2.치형좌표'!H399)</f>
        <v>-77.91353262321411</v>
      </c>
      <c r="D400" s="6" t="str">
        <f t="shared" si="6"/>
        <v>15.72889,-77.91353</v>
      </c>
    </row>
    <row r="401" spans="1:4" x14ac:dyDescent="0.3">
      <c r="A401" s="19">
        <v>395</v>
      </c>
      <c r="B401" s="17">
        <f>IF($B$4="표준",'2.치형좌표'!D400,'2.치형좌표'!G400)</f>
        <v>15.481274149341838</v>
      </c>
      <c r="C401" s="17">
        <f>IF($B$4="표준",'2.치형좌표'!E400,'2.치형좌표'!H400)</f>
        <v>-77.945580800929207</v>
      </c>
      <c r="D401" s="6" t="str">
        <f t="shared" si="6"/>
        <v>15.48127,-77.94558</v>
      </c>
    </row>
    <row r="402" spans="1:4" x14ac:dyDescent="0.3">
      <c r="A402" s="19">
        <v>396</v>
      </c>
      <c r="B402" s="17">
        <f>IF($B$4="표준",'2.치형좌표'!D401,'2.치형좌표'!G401)</f>
        <v>15.235286325859894</v>
      </c>
      <c r="C402" s="17">
        <f>IF($B$4="표준",'2.치형좌표'!E401,'2.치형좌표'!H401)</f>
        <v>-77.962304960292556</v>
      </c>
      <c r="D402" s="6" t="str">
        <f t="shared" si="6"/>
        <v>15.23529,-77.96230</v>
      </c>
    </row>
    <row r="403" spans="1:4" x14ac:dyDescent="0.3">
      <c r="A403" s="19">
        <v>397</v>
      </c>
      <c r="B403" s="17">
        <f>IF($B$4="표준",'2.치형좌표'!D402,'2.치형좌표'!G402)</f>
        <v>14.993653706922105</v>
      </c>
      <c r="C403" s="17">
        <f>IF($B$4="표준",'2.치형좌표'!E402,'2.치형좌표'!H402)</f>
        <v>-77.964061577604241</v>
      </c>
      <c r="D403" s="6" t="str">
        <f t="shared" si="6"/>
        <v>14.99365,-77.96406</v>
      </c>
    </row>
    <row r="404" spans="1:4" x14ac:dyDescent="0.3">
      <c r="A404" s="19">
        <v>398</v>
      </c>
      <c r="B404" s="17">
        <f>IF($B$4="표준",'2.치형좌표'!D403,'2.치형좌표'!G403)</f>
        <v>14.758985675162371</v>
      </c>
      <c r="C404" s="17">
        <f>IF($B$4="표준",'2.치형좌표'!E403,'2.치형좌표'!H403)</f>
        <v>-77.951608163091791</v>
      </c>
      <c r="D404" s="6" t="str">
        <f t="shared" si="6"/>
        <v>14.75899,-77.95161</v>
      </c>
    </row>
    <row r="405" spans="1:4" x14ac:dyDescent="0.3">
      <c r="A405" s="19">
        <v>399</v>
      </c>
      <c r="B405" s="17">
        <f>IF($B$4="표준",'2.치형좌표'!D404,'2.치형좌표'!G404)</f>
        <v>14.533693119340079</v>
      </c>
      <c r="C405" s="17">
        <f>IF($B$4="표준",'2.치형좌표'!E404,'2.치형좌표'!H404)</f>
        <v>-77.926073210003693</v>
      </c>
      <c r="D405" s="6" t="str">
        <f t="shared" si="6"/>
        <v>14.53369,-77.92607</v>
      </c>
    </row>
    <row r="406" spans="1:4" x14ac:dyDescent="0.3">
      <c r="A406" s="19">
        <v>400</v>
      </c>
      <c r="B406" s="17">
        <f>IF($B$4="표준",'2.치형좌표'!D405,'2.치형좌표'!G405)</f>
        <v>14.319912061025097</v>
      </c>
      <c r="C406" s="17">
        <f>IF($B$4="표준",'2.치형좌표'!E405,'2.치형좌표'!H405)</f>
        <v>-77.88891068014803</v>
      </c>
      <c r="D406" s="6" t="str">
        <f t="shared" si="6"/>
        <v>14.31991,-77.88891</v>
      </c>
    </row>
    <row r="407" spans="1:4" x14ac:dyDescent="0.3">
      <c r="A407" s="19">
        <v>401</v>
      </c>
      <c r="B407" s="17">
        <f>IF($B$4="표준",'2.치형좌표'!D406,'2.치형좌표'!G406)</f>
        <v>14.119428038655077</v>
      </c>
      <c r="C407" s="17">
        <f>IF($B$4="표준",'2.치형좌표'!E406,'2.치형좌표'!H406)</f>
        <v>-77.841837729699321</v>
      </c>
      <c r="D407" s="6" t="str">
        <f t="shared" si="6"/>
        <v>14.11943,-77.84184</v>
      </c>
    </row>
    <row r="408" spans="1:4" x14ac:dyDescent="0.3">
      <c r="A408" s="19">
        <v>402</v>
      </c>
      <c r="B408" s="17">
        <f>IF($B$4="표준",'2.치형좌표'!D407,'2.치형좌표'!G407)</f>
        <v>13.93360043746509</v>
      </c>
      <c r="C408" s="17">
        <f>IF($B$4="표준",'2.치형좌표'!E407,'2.치형좌표'!H407)</f>
        <v>-77.786753538772274</v>
      </c>
      <c r="D408" s="6" t="str">
        <f t="shared" si="6"/>
        <v>13.93360,-77.78675</v>
      </c>
    </row>
    <row r="409" spans="1:4" x14ac:dyDescent="0.3">
      <c r="A409" s="19">
        <v>403</v>
      </c>
      <c r="B409" s="17">
        <f>IF($B$4="표준",'2.치형좌표'!D408,'2.치형좌표'!G408)</f>
        <v>13.763284498783255</v>
      </c>
      <c r="C409" s="17">
        <f>IF($B$4="표준",'2.치형좌표'!E408,'2.치형좌표'!H408)</f>
        <v>-77.72563567994456</v>
      </c>
      <c r="D409" s="6" t="str">
        <f t="shared" si="6"/>
        <v>13.76328,-77.72564</v>
      </c>
    </row>
    <row r="410" spans="1:4" x14ac:dyDescent="0.3">
      <c r="A410" s="19">
        <v>404</v>
      </c>
      <c r="B410" s="17">
        <f>IF($B$4="표준",'2.치형좌표'!D409,'2.치형좌표'!G409)</f>
        <v>13.608746257283325</v>
      </c>
      <c r="C410" s="17">
        <f>IF($B$4="표준",'2.치형좌표'!E409,'2.치형좌표'!H409)</f>
        <v>-77.660408049254201</v>
      </c>
      <c r="D410" s="6" t="str">
        <f t="shared" si="6"/>
        <v>13.60875,-77.66041</v>
      </c>
    </row>
    <row r="411" spans="1:4" x14ac:dyDescent="0.3">
      <c r="A411" s="19">
        <v>405</v>
      </c>
      <c r="B411" s="17">
        <f>IF($B$4="표준",'2.치형좌표'!D410,'2.치형좌표'!G410)</f>
        <v>13.46956125026969</v>
      </c>
      <c r="C411" s="17">
        <f>IF($B$4="표준",'2.치형좌표'!E410,'2.치형좌표'!H410)</f>
        <v>-77.592770303273724</v>
      </c>
      <c r="D411" s="6" t="str">
        <f t="shared" si="6"/>
        <v>13.46956,-77.59277</v>
      </c>
    </row>
    <row r="412" spans="1:4" x14ac:dyDescent="0.3">
      <c r="A412" s="19">
        <v>406</v>
      </c>
      <c r="B412" s="17">
        <f>IF($B$4="표준",'2.치형좌표'!D411,'2.치형좌표'!G411)</f>
        <v>13.344479702384684</v>
      </c>
      <c r="C412" s="17">
        <f>IF($B$4="표준",'2.치형좌표'!E411,'2.치형좌표'!H411)</f>
        <v>-77.523971792634171</v>
      </c>
      <c r="D412" s="6" t="str">
        <f t="shared" si="6"/>
        <v>13.34448,-77.52397</v>
      </c>
    </row>
    <row r="413" spans="1:4" x14ac:dyDescent="0.3">
      <c r="A413" s="19">
        <v>407</v>
      </c>
      <c r="B413" s="17">
        <f>IF($B$4="표준",'2.치형좌표'!D412,'2.치형좌표'!G412)</f>
        <v>13.231225151124052</v>
      </c>
      <c r="C413" s="17">
        <f>IF($B$4="표준",'2.치형좌표'!E412,'2.치형좌표'!H412)</f>
        <v>-77.454501033003737</v>
      </c>
      <c r="D413" s="6" t="str">
        <f t="shared" si="6"/>
        <v>13.23123,-77.45450</v>
      </c>
    </row>
    <row r="414" spans="1:4" x14ac:dyDescent="0.3">
      <c r="A414" s="19">
        <v>408</v>
      </c>
      <c r="B414" s="17">
        <f>IF($B$4="표준",'2.치형좌표'!D413,'2.치형좌표'!G413)</f>
        <v>13.126161573054199</v>
      </c>
      <c r="C414" s="17">
        <f>IF($B$4="표준",'2.치형좌표'!E413,'2.치형좌표'!H413)</f>
        <v>-77.38364117539723</v>
      </c>
      <c r="D414" s="6" t="str">
        <f t="shared" si="6"/>
        <v>13.12616,-77.38364</v>
      </c>
    </row>
    <row r="415" spans="1:4" x14ac:dyDescent="0.3">
      <c r="A415" s="19">
        <v>409</v>
      </c>
      <c r="B415" s="17">
        <f>IF($B$4="표준",'2.치형좌표'!D414,'2.치형좌표'!G414)</f>
        <v>13.023696100080079</v>
      </c>
      <c r="C415" s="17">
        <f>IF($B$4="표준",'2.치형좌표'!E414,'2.치형좌표'!H414)</f>
        <v>-77.308807180263727</v>
      </c>
      <c r="D415" s="6" t="str">
        <f t="shared" si="6"/>
        <v>13.02370,-77.30881</v>
      </c>
    </row>
    <row r="416" spans="1:4" x14ac:dyDescent="0.3">
      <c r="A416" s="19">
        <v>410</v>
      </c>
      <c r="B416" s="17">
        <f>IF($B$4="표준",'2.치형좌표'!D415,'2.치형좌표'!G415)</f>
        <v>12.9151321620411</v>
      </c>
      <c r="C416" s="17">
        <f>IF($B$4="표준",'2.치형좌표'!E415,'2.치형좌표'!H415)</f>
        <v>-77.224526558336947</v>
      </c>
      <c r="D416" s="6" t="str">
        <f t="shared" si="6"/>
        <v>12.91513,-77.22453</v>
      </c>
    </row>
    <row r="417" spans="1:4" x14ac:dyDescent="0.3">
      <c r="A417" s="19">
        <v>411</v>
      </c>
      <c r="B417" s="17">
        <f>IF($B$4="표준",'2.치형좌표'!D416,'2.치형좌표'!G416)</f>
        <v>12.786330946886299</v>
      </c>
      <c r="C417" s="17">
        <f>IF($B$4="표준",'2.치형좌표'!E416,'2.치형좌표'!H416)</f>
        <v>-77.12086893634995</v>
      </c>
      <c r="D417" s="6" t="str">
        <f t="shared" si="6"/>
        <v>12.78633,-77.12087</v>
      </c>
    </row>
    <row r="418" spans="1:4" x14ac:dyDescent="0.3">
      <c r="A418" s="19">
        <v>412</v>
      </c>
      <c r="B418" s="17">
        <f>IF($B$4="표준",'2.치형좌표'!D417,'2.치형좌표'!G417)</f>
        <v>12.612681410780478</v>
      </c>
      <c r="C418" s="17">
        <f>IF($B$4="표준",'2.치형좌표'!E417,'2.치형좌표'!H417)</f>
        <v>-76.981223268879361</v>
      </c>
      <c r="D418" s="6" t="str">
        <f t="shared" si="6"/>
        <v>12.61268,-76.98122</v>
      </c>
    </row>
    <row r="419" spans="1:4" x14ac:dyDescent="0.3">
      <c r="A419" s="19">
        <v>413</v>
      </c>
      <c r="B419" s="17">
        <f>IF($B$4="표준",'2.치형좌표'!D418,'2.치형좌표'!G418)</f>
        <v>12.347927919644979</v>
      </c>
      <c r="C419" s="17">
        <f>IF($B$4="표준",'2.치형좌표'!E418,'2.치형좌표'!H418)</f>
        <v>-76.780443462784874</v>
      </c>
      <c r="D419" s="6" t="str">
        <f t="shared" si="6"/>
        <v>12.34793,-76.78044</v>
      </c>
    </row>
    <row r="420" spans="1:4" x14ac:dyDescent="0.3">
      <c r="A420" s="19">
        <v>414</v>
      </c>
      <c r="B420" s="17">
        <f>IF($B$4="표준",'2.치형좌표'!D419,'2.치형좌표'!G419)</f>
        <v>11.900661104739223</v>
      </c>
      <c r="C420" s="17">
        <f>IF($B$4="표준",'2.치형좌표'!E419,'2.치형좌표'!H419)</f>
        <v>-76.490810202518375</v>
      </c>
      <c r="D420" s="6" t="str">
        <f t="shared" si="6"/>
        <v>11.90066,-76.49081</v>
      </c>
    </row>
    <row r="421" spans="1:4" x14ac:dyDescent="0.3">
      <c r="A421" s="19">
        <v>415</v>
      </c>
      <c r="B421" s="17">
        <f>IF($B$4="표준",'2.치형좌표'!D420,'2.치형좌표'!G420)</f>
        <v>11.104543059477226</v>
      </c>
      <c r="C421" s="17">
        <f>IF($B$4="표준",'2.치형좌표'!E420,'2.치형좌표'!H420)</f>
        <v>-76.129296081431036</v>
      </c>
      <c r="D421" s="6" t="str">
        <f t="shared" si="6"/>
        <v>11.10454,-76.12930</v>
      </c>
    </row>
    <row r="422" spans="1:4" x14ac:dyDescent="0.3">
      <c r="A422" s="19">
        <v>416</v>
      </c>
      <c r="B422" s="17">
        <f>IF($B$4="표준",'2.치형좌표'!D421,'2.치형좌표'!G421)</f>
        <v>9.8089957058489521</v>
      </c>
      <c r="C422" s="17">
        <f>IF($B$4="표준",'2.치형좌표'!E421,'2.치형좌표'!H421)</f>
        <v>-75.901127169744214</v>
      </c>
      <c r="D422" s="6" t="str">
        <f t="shared" si="6"/>
        <v>9.80900,-75.90113</v>
      </c>
    </row>
    <row r="423" spans="1:4" x14ac:dyDescent="0.3">
      <c r="A423" s="19">
        <v>417</v>
      </c>
      <c r="B423" s="17">
        <f>IF($B$4="표준",'2.치형좌표'!D422,'2.치형좌표'!G422)</f>
        <v>8.3158826454154582</v>
      </c>
      <c r="C423" s="17">
        <f>IF($B$4="표준",'2.치형좌표'!E422,'2.치형좌표'!H422)</f>
        <v>-76.143725877508842</v>
      </c>
      <c r="D423" s="6" t="str">
        <f t="shared" si="6"/>
        <v>8.31588,-76.14373</v>
      </c>
    </row>
    <row r="424" spans="1:4" x14ac:dyDescent="0.3">
      <c r="A424" s="19">
        <v>418</v>
      </c>
      <c r="B424" s="17">
        <f>IF($B$4="표준",'2.치형좌표'!D423,'2.치형좌표'!G423)</f>
        <v>7.2380497723938308</v>
      </c>
      <c r="C424" s="17">
        <f>IF($B$4="표준",'2.치형좌표'!E423,'2.치형좌표'!H423)</f>
        <v>-76.709916523853536</v>
      </c>
      <c r="D424" s="6" t="str">
        <f t="shared" si="6"/>
        <v>7.23805,-76.70992</v>
      </c>
    </row>
    <row r="425" spans="1:4" x14ac:dyDescent="0.3">
      <c r="A425" s="19">
        <v>419</v>
      </c>
      <c r="B425" s="17">
        <f>IF($B$4="표준",'2.치형좌표'!D424,'2.치형좌표'!G424)</f>
        <v>6.6455411562374227</v>
      </c>
      <c r="C425" s="17">
        <f>IF($B$4="표준",'2.치형좌표'!E424,'2.치형좌표'!H424)</f>
        <v>-77.219777341631058</v>
      </c>
      <c r="D425" s="6" t="str">
        <f t="shared" si="6"/>
        <v>6.64554,-77.21978</v>
      </c>
    </row>
    <row r="426" spans="1:4" x14ac:dyDescent="0.3">
      <c r="A426" s="19">
        <v>420</v>
      </c>
      <c r="B426" s="17">
        <f>IF($B$4="표준",'2.치형좌표'!D425,'2.치형좌표'!G425)</f>
        <v>6.3275904007319035</v>
      </c>
      <c r="C426" s="17">
        <f>IF($B$4="표준",'2.치형좌표'!E425,'2.치형좌표'!H425)</f>
        <v>-77.573643272089328</v>
      </c>
      <c r="D426" s="6" t="str">
        <f t="shared" si="6"/>
        <v>6.32759,-77.57364</v>
      </c>
    </row>
    <row r="427" spans="1:4" x14ac:dyDescent="0.3">
      <c r="A427" s="19">
        <v>421</v>
      </c>
      <c r="B427" s="17">
        <f>IF($B$4="표준",'2.치형좌표'!D426,'2.치형좌표'!G426)</f>
        <v>6.1407567810685029</v>
      </c>
      <c r="C427" s="17">
        <f>IF($B$4="표준",'2.치형좌표'!E426,'2.치형좌표'!H426)</f>
        <v>-77.809236780878081</v>
      </c>
      <c r="D427" s="6" t="str">
        <f t="shared" si="6"/>
        <v>6.14076,-77.80924</v>
      </c>
    </row>
    <row r="428" spans="1:4" x14ac:dyDescent="0.3">
      <c r="A428" s="19">
        <v>422</v>
      </c>
      <c r="B428" s="17">
        <f>IF($B$4="표준",'2.치형좌표'!D427,'2.치형좌표'!G427)</f>
        <v>6.016138988771087</v>
      </c>
      <c r="C428" s="17">
        <f>IF($B$4="표준",'2.치형좌표'!E427,'2.치형좌표'!H427)</f>
        <v>-77.973253926621382</v>
      </c>
      <c r="D428" s="6" t="str">
        <f t="shared" si="6"/>
        <v>6.01614,-77.97325</v>
      </c>
    </row>
    <row r="429" spans="1:4" x14ac:dyDescent="0.3">
      <c r="A429" s="19">
        <v>423</v>
      </c>
      <c r="B429" s="17">
        <f>IF($B$4="표준",'2.치형좌표'!D428,'2.치형좌표'!G428)</f>
        <v>5.9207017182916317</v>
      </c>
      <c r="C429" s="17">
        <f>IF($B$4="표준",'2.치형좌표'!E428,'2.치형좌표'!H428)</f>
        <v>-78.097705226149273</v>
      </c>
      <c r="D429" s="6" t="str">
        <f t="shared" si="6"/>
        <v>5.92070,-78.09771</v>
      </c>
    </row>
    <row r="430" spans="1:4" x14ac:dyDescent="0.3">
      <c r="A430" s="19">
        <v>424</v>
      </c>
      <c r="B430" s="17">
        <f>IF($B$4="표준",'2.치형좌표'!D429,'2.치형좌표'!G429)</f>
        <v>5.8371156126727488</v>
      </c>
      <c r="C430" s="17">
        <f>IF($B$4="표준",'2.치형좌표'!E429,'2.치형좌표'!H429)</f>
        <v>-78.202156795760644</v>
      </c>
      <c r="D430" s="6" t="str">
        <f t="shared" si="6"/>
        <v>5.83712,-78.20216</v>
      </c>
    </row>
    <row r="431" spans="1:4" x14ac:dyDescent="0.3">
      <c r="A431" s="19">
        <v>425</v>
      </c>
      <c r="B431" s="17">
        <f>IF($B$4="표준",'2.치형좌표'!D430,'2.치형좌표'!G430)</f>
        <v>5.755263287847125</v>
      </c>
      <c r="C431" s="17">
        <f>IF($B$4="표준",'2.치형좌표'!E430,'2.치형좌표'!H430)</f>
        <v>-78.298089907448698</v>
      </c>
      <c r="D431" s="6" t="str">
        <f t="shared" si="6"/>
        <v>5.75526,-78.29809</v>
      </c>
    </row>
    <row r="432" spans="1:4" x14ac:dyDescent="0.3">
      <c r="A432" s="19">
        <v>426</v>
      </c>
      <c r="B432" s="17">
        <f>IF($B$4="표준",'2.치형좌표'!D431,'2.치형좌표'!G431)</f>
        <v>5.6686630990626972</v>
      </c>
      <c r="C432" s="17">
        <f>IF($B$4="표준",'2.치형좌표'!E431,'2.치형좌표'!H431)</f>
        <v>-78.391932754028531</v>
      </c>
      <c r="D432" s="6" t="str">
        <f t="shared" si="6"/>
        <v>5.66866,-78.39193</v>
      </c>
    </row>
    <row r="433" spans="1:4" x14ac:dyDescent="0.3">
      <c r="A433" s="19">
        <v>427</v>
      </c>
      <c r="B433" s="17">
        <f>IF($B$4="표준",'2.치형좌표'!D432,'2.치형좌표'!G432)</f>
        <v>5.57289359452502</v>
      </c>
      <c r="C433" s="17">
        <f>IF($B$4="표준",'2.치형좌표'!E432,'2.치형좌표'!H432)</f>
        <v>-78.486916590731028</v>
      </c>
      <c r="D433" s="6" t="str">
        <f t="shared" si="6"/>
        <v>5.57289,-78.48692</v>
      </c>
    </row>
    <row r="434" spans="1:4" x14ac:dyDescent="0.3">
      <c r="A434" s="19">
        <v>428</v>
      </c>
      <c r="B434" s="17">
        <f>IF($B$4="표준",'2.치형좌표'!D433,'2.치형좌표'!G433)</f>
        <v>5.4648613986955796</v>
      </c>
      <c r="C434" s="17">
        <f>IF($B$4="표준",'2.치형좌표'!E433,'2.치형좌표'!H433)</f>
        <v>-78.58420510359295</v>
      </c>
      <c r="D434" s="6" t="str">
        <f t="shared" si="6"/>
        <v>5.46486,-78.58421</v>
      </c>
    </row>
    <row r="435" spans="1:4" x14ac:dyDescent="0.3">
      <c r="A435" s="19">
        <v>429</v>
      </c>
      <c r="B435" s="17">
        <f>IF($B$4="표준",'2.치형좌표'!D434,'2.치형좌표'!G434)</f>
        <v>5.3424418937416727</v>
      </c>
      <c r="C435" s="17">
        <f>IF($B$4="표준",'2.치형좌표'!E434,'2.치형좌표'!H434)</f>
        <v>-78.683603465928627</v>
      </c>
      <c r="D435" s="6" t="str">
        <f t="shared" si="6"/>
        <v>5.34244,-78.68360</v>
      </c>
    </row>
    <row r="436" spans="1:4" x14ac:dyDescent="0.3">
      <c r="A436" s="19">
        <v>430</v>
      </c>
      <c r="B436" s="17">
        <f>IF($B$4="표준",'2.치형좌표'!D435,'2.치형좌표'!G435)</f>
        <v>5.204291254340605</v>
      </c>
      <c r="C436" s="17">
        <f>IF($B$4="표준",'2.치형좌표'!E435,'2.치형좌표'!H435)</f>
        <v>-78.784024545321799</v>
      </c>
      <c r="D436" s="6" t="str">
        <f t="shared" si="6"/>
        <v>5.20429,-78.78402</v>
      </c>
    </row>
    <row r="437" spans="1:4" x14ac:dyDescent="0.3">
      <c r="A437" s="19">
        <v>431</v>
      </c>
      <c r="B437" s="17">
        <f>IF($B$4="표준",'2.치형좌표'!D436,'2.치형좌표'!G436)</f>
        <v>5.0497387569775736</v>
      </c>
      <c r="C437" s="17">
        <f>IF($B$4="표준",'2.치형좌표'!E436,'2.치형좌표'!H436)</f>
        <v>-78.883811625955929</v>
      </c>
      <c r="D437" s="6" t="str">
        <f t="shared" si="6"/>
        <v>5.04974,-78.88381</v>
      </c>
    </row>
    <row r="438" spans="1:4" x14ac:dyDescent="0.3">
      <c r="A438" s="19">
        <v>432</v>
      </c>
      <c r="B438" s="17">
        <f>IF($B$4="표준",'2.치형좌표'!D437,'2.치형좌표'!G437)</f>
        <v>4.878716064140896</v>
      </c>
      <c r="C438" s="17">
        <f>IF($B$4="표준",'2.치형좌표'!E437,'2.치형좌표'!H437)</f>
        <v>-78.980973389546506</v>
      </c>
      <c r="D438" s="6" t="str">
        <f t="shared" si="6"/>
        <v>4.87872,-78.98097</v>
      </c>
    </row>
    <row r="439" spans="1:4" x14ac:dyDescent="0.3">
      <c r="A439" s="19">
        <v>433</v>
      </c>
      <c r="B439" s="17">
        <f>IF($B$4="표준",'2.치형좌표'!D438,'2.치형좌표'!G438)</f>
        <v>4.6917020399513198</v>
      </c>
      <c r="C439" s="17">
        <f>IF($B$4="표준",'2.치형좌표'!E438,'2.치형좌표'!H438)</f>
        <v>-79.073362804423141</v>
      </c>
      <c r="D439" s="6" t="str">
        <f t="shared" si="6"/>
        <v>4.69170,-79.07336</v>
      </c>
    </row>
    <row r="440" spans="1:4" x14ac:dyDescent="0.3">
      <c r="A440" s="19">
        <v>434</v>
      </c>
      <c r="B440" s="17">
        <f>IF($B$4="표준",'2.치형좌표'!D439,'2.치형좌표'!G439)</f>
        <v>4.4896722016820672</v>
      </c>
      <c r="C440" s="17">
        <f>IF($B$4="표준",'2.치형좌표'!E439,'2.치형좌표'!H439)</f>
        <v>-79.158818117349981</v>
      </c>
      <c r="D440" s="6" t="str">
        <f t="shared" si="6"/>
        <v>4.48967,-79.15882</v>
      </c>
    </row>
    <row r="441" spans="1:4" x14ac:dyDescent="0.3">
      <c r="A441" s="19">
        <v>435</v>
      </c>
      <c r="B441" s="17">
        <f>IF($B$4="표준",'2.치형좌표'!D440,'2.치형좌표'!G440)</f>
        <v>4.274047274284146</v>
      </c>
      <c r="C441" s="17">
        <f>IF($B$4="표준",'2.치형좌표'!E440,'2.치형좌표'!H440)</f>
        <v>-79.235276493596814</v>
      </c>
      <c r="D441" s="6" t="str">
        <f t="shared" si="6"/>
        <v>4.27405,-79.23528</v>
      </c>
    </row>
    <row r="442" spans="1:4" x14ac:dyDescent="0.3">
      <c r="A442" s="19">
        <v>436</v>
      </c>
      <c r="B442" s="17">
        <f>IF($B$4="표준",'2.치형좌표'!D441,'2.치형좌표'!G441)</f>
        <v>4.0466381846138155</v>
      </c>
      <c r="C442" s="17">
        <f>IF($B$4="표준",'2.치형좌표'!E441,'2.치형좌표'!H441)</f>
        <v>-79.300866423498974</v>
      </c>
      <c r="D442" s="6" t="str">
        <f t="shared" si="6"/>
        <v>4.04664,-79.30087</v>
      </c>
    </row>
    <row r="443" spans="1:4" x14ac:dyDescent="0.3">
      <c r="A443" s="19">
        <v>437</v>
      </c>
      <c r="B443" s="17">
        <f>IF($B$4="표준",'2.치형좌표'!D442,'2.치형좌표'!G442)</f>
        <v>3.8095864463907319</v>
      </c>
      <c r="C443" s="17">
        <f>IF($B$4="표준",'2.치형좌표'!E442,'2.치형좌표'!H442)</f>
        <v>-79.353982414612616</v>
      </c>
      <c r="D443" s="6" t="str">
        <f t="shared" si="6"/>
        <v>3.80959,-79.35398</v>
      </c>
    </row>
    <row r="444" spans="1:4" x14ac:dyDescent="0.3">
      <c r="A444" s="19">
        <v>438</v>
      </c>
      <c r="B444" s="17">
        <f>IF($B$4="표준",'2.치형좌표'!D443,'2.치형좌표'!G443)</f>
        <v>3.5652998384438646</v>
      </c>
      <c r="C444" s="17">
        <f>IF($B$4="표준",'2.치형좌표'!E443,'2.치형좌표'!H443)</f>
        <v>-79.393343951233405</v>
      </c>
      <c r="D444" s="6" t="str">
        <f t="shared" si="6"/>
        <v>3.56530,-79.39334</v>
      </c>
    </row>
    <row r="445" spans="1:4" x14ac:dyDescent="0.3">
      <c r="A445" s="19">
        <v>439</v>
      </c>
      <c r="B445" s="17">
        <f>IF($B$4="표준",'2.치형좌표'!D444,'2.치형좌표'!G444)</f>
        <v>3.3163838611354786</v>
      </c>
      <c r="C445" s="17">
        <f>IF($B$4="표준",'2.치형좌표'!E444,'2.치형좌표'!H444)</f>
        <v>-79.41803979529702</v>
      </c>
      <c r="D445" s="6" t="str">
        <f t="shared" si="6"/>
        <v>3.31638,-79.41804</v>
      </c>
    </row>
    <row r="446" spans="1:4" x14ac:dyDescent="0.3">
      <c r="A446" s="19">
        <v>440</v>
      </c>
      <c r="B446" s="17">
        <f>IF($B$4="표준",'2.치형좌표'!D445,'2.치형좌표'!G445)</f>
        <v>3.0655698185839606</v>
      </c>
      <c r="C446" s="17">
        <f>IF($B$4="표준",'2.치형좌표'!E445,'2.치형좌표'!H445)</f>
        <v>-79.427558173077529</v>
      </c>
      <c r="D446" s="6" t="str">
        <f t="shared" si="6"/>
        <v>3.06557,-79.42756</v>
      </c>
    </row>
    <row r="447" spans="1:4" x14ac:dyDescent="0.3">
      <c r="A447" s="19">
        <v>441</v>
      </c>
      <c r="B447" s="17">
        <f>IF($B$4="표준",'2.치형좌표'!D446,'2.치형좌표'!G446)</f>
        <v>2.8156405948241816</v>
      </c>
      <c r="C447" s="17">
        <f>IF($B$4="표준",'2.치형좌표'!E446,'2.치형좌표'!H446)</f>
        <v>-79.421803088281479</v>
      </c>
      <c r="D447" s="6" t="str">
        <f t="shared" si="6"/>
        <v>2.81564,-79.42180</v>
      </c>
    </row>
    <row r="448" spans="1:4" x14ac:dyDescent="0.3">
      <c r="A448" s="19">
        <v>442</v>
      </c>
      <c r="B448" s="17">
        <f>IF($B$4="표준",'2.치형좌표'!D447,'2.치형좌표'!G447)</f>
        <v>2.5693553097715816</v>
      </c>
      <c r="C448" s="17">
        <f>IF($B$4="표준",'2.치형좌표'!E447,'2.치형좌표'!H447)</f>
        <v>-79.40109682605916</v>
      </c>
      <c r="D448" s="6" t="str">
        <f t="shared" si="6"/>
        <v>2.56936,-79.40110</v>
      </c>
    </row>
    <row r="449" spans="1:4" x14ac:dyDescent="0.3">
      <c r="A449" s="19">
        <v>443</v>
      </c>
      <c r="B449" s="17">
        <f>IF($B$4="표준",'2.치형좌표'!D448,'2.치형좌표'!G448)</f>
        <v>2.3293740736588893</v>
      </c>
      <c r="C449" s="17">
        <f>IF($B$4="표준",'2.치형좌표'!E448,'2.치형좌표'!H448)</f>
        <v>-79.366168594653985</v>
      </c>
      <c r="D449" s="6" t="str">
        <f t="shared" si="6"/>
        <v>2.32937,-79.36617</v>
      </c>
    </row>
    <row r="450" spans="1:4" x14ac:dyDescent="0.3">
      <c r="A450" s="19">
        <v>444</v>
      </c>
      <c r="B450" s="17">
        <f>IF($B$4="표준",'2.치형좌표'!D449,'2.치형좌표'!G449)</f>
        <v>2.0981840100219284</v>
      </c>
      <c r="C450" s="17">
        <f>IF($B$4="표준",'2.치형좌표'!E449,'2.치형좌표'!H449)</f>
        <v>-79.318129134766892</v>
      </c>
      <c r="D450" s="6" t="str">
        <f t="shared" si="6"/>
        <v>2.09818,-79.31813</v>
      </c>
    </row>
    <row r="451" spans="1:4" x14ac:dyDescent="0.3">
      <c r="A451" s="19">
        <v>445</v>
      </c>
      <c r="B451" s="17">
        <f>IF($B$4="표준",'2.치형좌표'!D450,'2.치형좌표'!G450)</f>
        <v>1.8780275781865994</v>
      </c>
      <c r="C451" s="17">
        <f>IF($B$4="표준",'2.치형좌표'!E450,'2.치형좌표'!H450)</f>
        <v>-79.258430954158115</v>
      </c>
      <c r="D451" s="6" t="str">
        <f t="shared" si="6"/>
        <v>1.87803,-79.25843</v>
      </c>
    </row>
    <row r="452" spans="1:4" x14ac:dyDescent="0.3">
      <c r="A452" s="19">
        <v>446</v>
      </c>
      <c r="B452" s="17">
        <f>IF($B$4="표준",'2.치형좌표'!D451,'2.치형좌표'!G451)</f>
        <v>1.6708339717265928</v>
      </c>
      <c r="C452" s="17">
        <f>IF($B$4="표준",'2.치형좌표'!E451,'2.치형좌표'!H451)</f>
        <v>-79.18881354731819</v>
      </c>
      <c r="D452" s="6" t="str">
        <f t="shared" si="6"/>
        <v>1.67083,-79.18881</v>
      </c>
    </row>
    <row r="453" spans="1:4" x14ac:dyDescent="0.3">
      <c r="A453" s="19">
        <v>447</v>
      </c>
      <c r="B453" s="17">
        <f>IF($B$4="표준",'2.치형좌표'!D452,'2.치형좌표'!G452)</f>
        <v>1.4781539499053373</v>
      </c>
      <c r="C453" s="17">
        <f>IF($B$4="표준",'2.치형좌표'!E452,'2.치형좌표'!H452)</f>
        <v>-79.111232439745649</v>
      </c>
      <c r="D453" s="6" t="str">
        <f t="shared" si="6"/>
        <v>1.47815,-79.11123</v>
      </c>
    </row>
    <row r="454" spans="1:4" x14ac:dyDescent="0.3">
      <c r="A454" s="19">
        <v>448</v>
      </c>
      <c r="B454" s="17">
        <f>IF($B$4="표준",'2.치형좌표'!D453,'2.치형좌표'!G453)</f>
        <v>1.3010977808281314</v>
      </c>
      <c r="C454" s="17">
        <f>IF($B$4="표준",'2.치형좌표'!E453,'2.치형좌표'!H453)</f>
        <v>-79.027770002473588</v>
      </c>
      <c r="D454" s="6" t="str">
        <f t="shared" si="6"/>
        <v>1.30110,-79.02777</v>
      </c>
    </row>
    <row r="455" spans="1:4" x14ac:dyDescent="0.3">
      <c r="A455" s="19">
        <v>449</v>
      </c>
      <c r="B455" s="17">
        <f>IF($B$4="표준",'2.치형좌표'!D454,'2.치형좌표'!G454)</f>
        <v>1.1402748599114969</v>
      </c>
      <c r="C455" s="17">
        <f>IF($B$4="표준",'2.치형좌표'!E454,'2.치형좌표'!H454)</f>
        <v>-78.940524466704161</v>
      </c>
      <c r="D455" s="6" t="str">
        <f t="shared" ref="D455:D518" si="7">TEXT(B455,"0.00000")&amp;","&amp;TEXT(C455,"0.00000")</f>
        <v>1.14027,-78.94052</v>
      </c>
    </row>
    <row r="456" spans="1:4" x14ac:dyDescent="0.3">
      <c r="A456" s="19">
        <v>450</v>
      </c>
      <c r="B456" s="17">
        <f>IF($B$4="표준",'2.치형좌표'!D455,'2.치형좌표'!G455)</f>
        <v>0.9957316704663195</v>
      </c>
      <c r="C456" s="17">
        <f>IF($B$4="표준",'2.치형좌표'!E455,'2.치형좌표'!H455)</f>
        <v>-78.85147100589576</v>
      </c>
      <c r="D456" s="6" t="str">
        <f t="shared" si="7"/>
        <v>0.99573,-78.85147</v>
      </c>
    </row>
    <row r="457" spans="1:4" x14ac:dyDescent="0.3">
      <c r="A457" s="19">
        <v>451</v>
      </c>
      <c r="B457" s="17">
        <f>IF($B$4="표준",'2.치형좌표'!D456,'2.치형좌표'!G456)</f>
        <v>0.86688138602701592</v>
      </c>
      <c r="C457" s="17">
        <f>IF($B$4="표준",'2.치형좌표'!E456,'2.치형좌표'!H456)</f>
        <v>-78.762284394633753</v>
      </c>
      <c r="D457" s="6" t="str">
        <f t="shared" si="7"/>
        <v>0.86688,-78.76228</v>
      </c>
    </row>
    <row r="458" spans="1:4" x14ac:dyDescent="0.3">
      <c r="A458" s="19">
        <v>452</v>
      </c>
      <c r="B458" s="17">
        <f>IF($B$4="표준",'2.치형좌표'!D457,'2.치형좌표'!G457)</f>
        <v>0.75241215115687621</v>
      </c>
      <c r="C458" s="17">
        <f>IF($B$4="표준",'2.치형좌표'!E457,'2.치형좌표'!H457)</f>
        <v>-78.674105249837936</v>
      </c>
      <c r="D458" s="6" t="str">
        <f t="shared" si="7"/>
        <v>0.75241,-78.67411</v>
      </c>
    </row>
    <row r="459" spans="1:4" x14ac:dyDescent="0.3">
      <c r="A459" s="19">
        <v>453</v>
      </c>
      <c r="B459" s="17">
        <f>IF($B$4="표준",'2.치형좌표'!D458,'2.치형좌표'!G458)</f>
        <v>0.65014884679216745</v>
      </c>
      <c r="C459" s="17">
        <f>IF($B$4="표준",'2.치형좌표'!E458,'2.치형좌표'!H458)</f>
        <v>-78.587218738222759</v>
      </c>
      <c r="D459" s="6" t="str">
        <f t="shared" si="7"/>
        <v>0.65015,-78.58722</v>
      </c>
    </row>
    <row r="460" spans="1:4" x14ac:dyDescent="0.3">
      <c r="A460" s="19">
        <v>454</v>
      </c>
      <c r="B460" s="17">
        <f>IF($B$4="표준",'2.치형좌표'!D459,'2.치형좌표'!G459)</f>
        <v>0.55681802567620431</v>
      </c>
      <c r="C460" s="17">
        <f>IF($B$4="표준",'2.치형좌표'!E459,'2.치형좌표'!H459)</f>
        <v>-78.500591366438087</v>
      </c>
      <c r="D460" s="6" t="str">
        <f t="shared" si="7"/>
        <v>0.55682,-78.50059</v>
      </c>
    </row>
    <row r="461" spans="1:4" x14ac:dyDescent="0.3">
      <c r="A461" s="19">
        <v>455</v>
      </c>
      <c r="B461" s="17">
        <f>IF($B$4="표준",'2.치형좌표'!D460,'2.치형좌표'!G460)</f>
        <v>0.46761133708587299</v>
      </c>
      <c r="C461" s="17">
        <f>IF($B$4="표준",'2.치형좌표'!E460,'2.치형좌표'!H460)</f>
        <v>-78.4111700515504</v>
      </c>
      <c r="D461" s="6" t="str">
        <f t="shared" si="7"/>
        <v>0.46761,-78.41117</v>
      </c>
    </row>
    <row r="462" spans="1:4" x14ac:dyDescent="0.3">
      <c r="A462" s="19">
        <v>456</v>
      </c>
      <c r="B462" s="17">
        <f>IF($B$4="표준",'2.치형좌표'!D461,'2.치형좌표'!G461)</f>
        <v>0.37531860470028366</v>
      </c>
      <c r="C462" s="17">
        <f>IF($B$4="표준",'2.치형좌표'!E461,'2.치형좌표'!H461)</f>
        <v>-78.312775901590825</v>
      </c>
      <c r="D462" s="6" t="str">
        <f t="shared" si="7"/>
        <v>0.37532,-78.31278</v>
      </c>
    </row>
    <row r="463" spans="1:4" x14ac:dyDescent="0.3">
      <c r="A463" s="19">
        <v>457</v>
      </c>
      <c r="B463" s="17">
        <f>IF($B$4="표준",'2.치형좌표'!D462,'2.치형좌표'!G462)</f>
        <v>0.26850305973534438</v>
      </c>
      <c r="C463" s="17">
        <f>IF($B$4="표준",'2.치형좌표'!E462,'2.치형좌표'!H462)</f>
        <v>-78.194315847726287</v>
      </c>
      <c r="D463" s="6" t="str">
        <f t="shared" si="7"/>
        <v>0.26850,-78.19432</v>
      </c>
    </row>
    <row r="464" spans="1:4" x14ac:dyDescent="0.3">
      <c r="A464" s="19">
        <v>458</v>
      </c>
      <c r="B464" s="17">
        <f>IF($B$4="표준",'2.치형좌표'!D463,'2.치형좌표'!G463)</f>
        <v>0.12744400645348419</v>
      </c>
      <c r="C464" s="17">
        <f>IF($B$4="표준",'2.치형좌표'!E463,'2.치형좌표'!H463)</f>
        <v>-78.036959628008802</v>
      </c>
      <c r="D464" s="6" t="str">
        <f t="shared" si="7"/>
        <v>0.12744,-78.03696</v>
      </c>
    </row>
    <row r="465" spans="1:4" x14ac:dyDescent="0.3">
      <c r="A465" s="19">
        <v>459</v>
      </c>
      <c r="B465" s="17">
        <f>IF($B$4="표준",'2.치형좌표'!D464,'2.치형좌표'!G464)</f>
        <v>-8.5277123502526697E-2</v>
      </c>
      <c r="C465" s="17">
        <f>IF($B$4="표준",'2.치형좌표'!E464,'2.치형좌표'!H464)</f>
        <v>-77.810469294568264</v>
      </c>
      <c r="D465" s="6" t="str">
        <f t="shared" si="7"/>
        <v>-0.08528,-77.81047</v>
      </c>
    </row>
    <row r="466" spans="1:4" x14ac:dyDescent="0.3">
      <c r="A466" s="19">
        <v>460</v>
      </c>
      <c r="B466" s="17">
        <f>IF($B$4="표준",'2.치형좌표'!D465,'2.치형좌표'!G465)</f>
        <v>-0.44630059498593333</v>
      </c>
      <c r="C466" s="17">
        <f>IF($B$4="표준",'2.치형좌표'!E465,'2.치형좌표'!H465)</f>
        <v>-77.473352927215686</v>
      </c>
      <c r="D466" s="6" t="str">
        <f t="shared" si="7"/>
        <v>-0.44630,-77.47335</v>
      </c>
    </row>
    <row r="467" spans="1:4" x14ac:dyDescent="0.3">
      <c r="A467" s="19">
        <v>461</v>
      </c>
      <c r="B467" s="17">
        <f>IF($B$4="표준",'2.치형좌표'!D466,'2.치형좌표'!G466)</f>
        <v>-1.108620851411076</v>
      </c>
      <c r="C467" s="17">
        <f>IF($B$4="표준",'2.치형좌표'!E466,'2.치형좌표'!H466)</f>
        <v>-77.004095928768379</v>
      </c>
      <c r="D467" s="6" t="str">
        <f t="shared" si="7"/>
        <v>-1.10862,-77.00410</v>
      </c>
    </row>
    <row r="468" spans="1:4" x14ac:dyDescent="0.3">
      <c r="A468" s="19">
        <v>462</v>
      </c>
      <c r="B468" s="17">
        <f>IF($B$4="표준",'2.치형좌표'!D467,'2.치형좌표'!G467)</f>
        <v>-2.2699963899602706</v>
      </c>
      <c r="C468" s="17">
        <f>IF($B$4="표준",'2.치형좌표'!E467,'2.치형좌표'!H467)</f>
        <v>-76.538670020377083</v>
      </c>
      <c r="D468" s="6" t="str">
        <f t="shared" si="7"/>
        <v>-2.27000,-76.53867</v>
      </c>
    </row>
    <row r="469" spans="1:4" x14ac:dyDescent="0.3">
      <c r="A469" s="19">
        <v>463</v>
      </c>
      <c r="B469" s="17">
        <f>IF($B$4="표준",'2.치형좌표'!D468,'2.치형좌표'!G468)</f>
        <v>-3.7839317701436999</v>
      </c>
      <c r="C469" s="17">
        <f>IF($B$4="표준",'2.치형좌표'!E468,'2.치형좌표'!H468)</f>
        <v>-76.457293904312607</v>
      </c>
      <c r="D469" s="6" t="str">
        <f t="shared" si="7"/>
        <v>-3.78393,-76.45729</v>
      </c>
    </row>
    <row r="470" spans="1:4" x14ac:dyDescent="0.3">
      <c r="A470" s="19">
        <v>464</v>
      </c>
      <c r="B470" s="17">
        <f>IF($B$4="표준",'2.치형좌표'!D469,'2.치형좌표'!G469)</f>
        <v>-5.0185384844517227</v>
      </c>
      <c r="C470" s="17">
        <f>IF($B$4="표준",'2.치형좌표'!E469,'2.치형좌표'!H469)</f>
        <v>-76.809677878089772</v>
      </c>
      <c r="D470" s="6" t="str">
        <f t="shared" si="7"/>
        <v>-5.01854,-76.80968</v>
      </c>
    </row>
    <row r="471" spans="1:4" x14ac:dyDescent="0.3">
      <c r="A471" s="19">
        <v>465</v>
      </c>
      <c r="B471" s="17">
        <f>IF($B$4="표준",'2.치형좌표'!D470,'2.치형좌표'!G470)</f>
        <v>-5.7490855906407869</v>
      </c>
      <c r="C471" s="17">
        <f>IF($B$4="표준",'2.치형좌표'!E470,'2.치형좌표'!H470)</f>
        <v>-77.229558722215373</v>
      </c>
      <c r="D471" s="6" t="str">
        <f t="shared" si="7"/>
        <v>-5.74909,-77.22956</v>
      </c>
    </row>
    <row r="472" spans="1:4" x14ac:dyDescent="0.3">
      <c r="A472" s="19">
        <v>466</v>
      </c>
      <c r="B472" s="17">
        <f>IF($B$4="표준",'2.치형좌표'!D471,'2.치형좌표'!G471)</f>
        <v>-6.1533545683732749</v>
      </c>
      <c r="C472" s="17">
        <f>IF($B$4="표준",'2.치형좌표'!E471,'2.치형좌표'!H471)</f>
        <v>-77.545342157604608</v>
      </c>
      <c r="D472" s="6" t="str">
        <f t="shared" si="7"/>
        <v>-6.15335,-77.54534</v>
      </c>
    </row>
    <row r="473" spans="1:4" x14ac:dyDescent="0.3">
      <c r="A473" s="19">
        <v>467</v>
      </c>
      <c r="B473" s="17">
        <f>IF($B$4="표준",'2.치형좌표'!D472,'2.치형좌표'!G472)</f>
        <v>-6.3921131896905994</v>
      </c>
      <c r="C473" s="17">
        <f>IF($B$4="표준",'2.치형좌표'!E472,'2.치형좌표'!H472)</f>
        <v>-77.760267166686702</v>
      </c>
      <c r="D473" s="6" t="str">
        <f t="shared" si="7"/>
        <v>-6.39211,-77.76027</v>
      </c>
    </row>
    <row r="474" spans="1:4" x14ac:dyDescent="0.3">
      <c r="A474" s="19">
        <v>468</v>
      </c>
      <c r="B474" s="17">
        <f>IF($B$4="표준",'2.치형좌표'!D473,'2.치형좌표'!G473)</f>
        <v>-6.5495512636001063</v>
      </c>
      <c r="C474" s="17">
        <f>IF($B$4="표준",'2.치형좌표'!E473,'2.치형좌표'!H473)</f>
        <v>-77.909515097169319</v>
      </c>
      <c r="D474" s="6" t="str">
        <f t="shared" si="7"/>
        <v>-6.54955,-77.90952</v>
      </c>
    </row>
    <row r="475" spans="1:4" x14ac:dyDescent="0.3">
      <c r="A475" s="19">
        <v>469</v>
      </c>
      <c r="B475" s="17">
        <f>IF($B$4="표준",'2.치형좌표'!D474,'2.치형좌표'!G474)</f>
        <v>-6.6675099384161838</v>
      </c>
      <c r="C475" s="17">
        <f>IF($B$4="표준",'2.치형좌표'!E474,'2.치형좌표'!H474)</f>
        <v>-78.02104636168562</v>
      </c>
      <c r="D475" s="6" t="str">
        <f t="shared" si="7"/>
        <v>-6.66751,-78.02105</v>
      </c>
    </row>
    <row r="476" spans="1:4" x14ac:dyDescent="0.3">
      <c r="A476" s="19">
        <v>470</v>
      </c>
      <c r="B476" s="17">
        <f>IF($B$4="표준",'2.치형좌표'!D475,'2.치형좌표'!G475)</f>
        <v>-6.7681436539685285</v>
      </c>
      <c r="C476" s="17">
        <f>IF($B$4="표준",'2.치형좌표'!E475,'2.치형좌표'!H475)</f>
        <v>-78.112711544174289</v>
      </c>
      <c r="D476" s="6" t="str">
        <f t="shared" si="7"/>
        <v>-6.76814,-78.11271</v>
      </c>
    </row>
    <row r="477" spans="1:4" x14ac:dyDescent="0.3">
      <c r="A477" s="19">
        <v>471</v>
      </c>
      <c r="B477" s="17">
        <f>IF($B$4="표준",'2.치형좌표'!D476,'2.치형좌표'!G476)</f>
        <v>-6.8642328122616778</v>
      </c>
      <c r="C477" s="17">
        <f>IF($B$4="표준",'2.치형좌표'!E476,'2.치형좌표'!H476)</f>
        <v>-78.195089391749207</v>
      </c>
      <c r="D477" s="6" t="str">
        <f t="shared" si="7"/>
        <v>-6.86423,-78.19509</v>
      </c>
    </row>
    <row r="478" spans="1:4" x14ac:dyDescent="0.3">
      <c r="A478" s="19">
        <v>472</v>
      </c>
      <c r="B478" s="17">
        <f>IF($B$4="표준",'2.치형좌표'!D477,'2.치형좌표'!G477)</f>
        <v>-6.9637275704733224</v>
      </c>
      <c r="C478" s="17">
        <f>IF($B$4="표준",'2.치형좌표'!E477,'2.치형좌표'!H477)</f>
        <v>-78.274041569207895</v>
      </c>
      <c r="D478" s="6" t="str">
        <f t="shared" si="7"/>
        <v>-6.96373,-78.27404</v>
      </c>
    </row>
    <row r="479" spans="1:4" x14ac:dyDescent="0.3">
      <c r="A479" s="19">
        <v>473</v>
      </c>
      <c r="B479" s="17">
        <f>IF($B$4="표준",'2.치형좌표'!D478,'2.치형좌표'!G478)</f>
        <v>-7.0718276598355132</v>
      </c>
      <c r="C479" s="17">
        <f>IF($B$4="표준",'2.치형좌표'!E478,'2.치형좌표'!H478)</f>
        <v>-78.352406454611156</v>
      </c>
      <c r="D479" s="6" t="str">
        <f t="shared" si="7"/>
        <v>-7.07183,-78.35241</v>
      </c>
    </row>
    <row r="480" spans="1:4" x14ac:dyDescent="0.3">
      <c r="A480" s="19">
        <v>474</v>
      </c>
      <c r="B480" s="17">
        <f>IF($B$4="표준",'2.치형좌표'!D479,'2.치형좌표'!G479)</f>
        <v>-7.1919878834140025</v>
      </c>
      <c r="C480" s="17">
        <f>IF($B$4="표준",'2.치형좌표'!E479,'2.치형좌표'!H479)</f>
        <v>-78.431068977058288</v>
      </c>
      <c r="D480" s="6" t="str">
        <f t="shared" si="7"/>
        <v>-7.19199,-78.43107</v>
      </c>
    </row>
    <row r="481" spans="1:4" x14ac:dyDescent="0.3">
      <c r="A481" s="19">
        <v>475</v>
      </c>
      <c r="B481" s="17">
        <f>IF($B$4="표준",'2.치형좌표'!D480,'2.치형좌표'!G480)</f>
        <v>-7.3264341840518412</v>
      </c>
      <c r="C481" s="17">
        <f>IF($B$4="표준",'2.치형좌표'!E480,'2.치형좌표'!H480)</f>
        <v>-78.509646299234717</v>
      </c>
      <c r="D481" s="6" t="str">
        <f t="shared" si="7"/>
        <v>-7.32643,-78.50965</v>
      </c>
    </row>
    <row r="482" spans="1:4" x14ac:dyDescent="0.3">
      <c r="A482" s="19">
        <v>476</v>
      </c>
      <c r="B482" s="17">
        <f>IF($B$4="표준",'2.치형좌표'!D481,'2.치형좌표'!G481)</f>
        <v>-7.4764471101763794</v>
      </c>
      <c r="C482" s="17">
        <f>IF($B$4="표준",'2.치형좌표'!E481,'2.치형좌표'!H481)</f>
        <v>-78.586943888267413</v>
      </c>
      <c r="D482" s="6" t="str">
        <f t="shared" si="7"/>
        <v>-7.47645,-78.58694</v>
      </c>
    </row>
    <row r="483" spans="1:4" x14ac:dyDescent="0.3">
      <c r="A483" s="19">
        <v>477</v>
      </c>
      <c r="B483" s="17">
        <f>IF($B$4="표준",'2.치형좌표'!D482,'2.치형좌표'!G482)</f>
        <v>-7.6425313398053145</v>
      </c>
      <c r="C483" s="17">
        <f>IF($B$4="표준",'2.치형좌표'!E482,'2.치형좌표'!H482)</f>
        <v>-78.661272791503123</v>
      </c>
      <c r="D483" s="6" t="str">
        <f t="shared" si="7"/>
        <v>-7.64253,-78.66127</v>
      </c>
    </row>
    <row r="484" spans="1:4" x14ac:dyDescent="0.3">
      <c r="A484" s="19">
        <v>478</v>
      </c>
      <c r="B484" s="17">
        <f>IF($B$4="표준",'2.치형좌표'!D483,'2.치형좌표'!G483)</f>
        <v>-7.8245288072542358</v>
      </c>
      <c r="C484" s="17">
        <f>IF($B$4="표준",'2.치형좌표'!E483,'2.치형좌표'!H483)</f>
        <v>-78.730680450301861</v>
      </c>
      <c r="D484" s="6" t="str">
        <f t="shared" si="7"/>
        <v>-7.82453,-78.73068</v>
      </c>
    </row>
    <row r="485" spans="1:4" x14ac:dyDescent="0.3">
      <c r="A485" s="19">
        <v>479</v>
      </c>
      <c r="B485" s="17">
        <f>IF($B$4="표준",'2.치형좌표'!D484,'2.치형좌표'!G484)</f>
        <v>-8.0217044985308217</v>
      </c>
      <c r="C485" s="17">
        <f>IF($B$4="표준",'2.치형좌표'!E484,'2.치형좌표'!H484)</f>
        <v>-78.793125280090706</v>
      </c>
      <c r="D485" s="6" t="str">
        <f t="shared" si="7"/>
        <v>-8.02170,-78.79313</v>
      </c>
    </row>
    <row r="486" spans="1:4" x14ac:dyDescent="0.3">
      <c r="A486" s="19">
        <v>480</v>
      </c>
      <c r="B486" s="17">
        <f>IF($B$4="표준",'2.치형좌표'!D485,'2.치형좌표'!G485)</f>
        <v>-8.2328200168214138</v>
      </c>
      <c r="C486" s="17">
        <f>IF($B$4="표준",'2.치형좌표'!E485,'2.치형좌표'!H485)</f>
        <v>-78.846612620909866</v>
      </c>
      <c r="D486" s="6" t="str">
        <f t="shared" si="7"/>
        <v>-8.23282,-78.84661</v>
      </c>
    </row>
    <row r="487" spans="1:4" x14ac:dyDescent="0.3">
      <c r="A487" s="19">
        <v>481</v>
      </c>
      <c r="B487" s="17">
        <f>IF($B$4="표준",'2.치형좌표'!D486,'2.치형좌표'!G486)</f>
        <v>-8.4562028285955009</v>
      </c>
      <c r="C487" s="17">
        <f>IF($B$4="표준",'2.치형좌표'!E486,'2.치형좌표'!H486)</f>
        <v>-78.889302388741882</v>
      </c>
      <c r="D487" s="6" t="str">
        <f t="shared" si="7"/>
        <v>-8.45620,-78.88930</v>
      </c>
    </row>
    <row r="488" spans="1:4" x14ac:dyDescent="0.3">
      <c r="A488" s="19">
        <v>482</v>
      </c>
      <c r="B488" s="17">
        <f>IF($B$4="표준",'2.치형좌표'!D487,'2.치형좌표'!G487)</f>
        <v>-8.6898152209906598</v>
      </c>
      <c r="C488" s="17">
        <f>IF($B$4="표준",'2.치형좌표'!E487,'2.치형좌표'!H487)</f>
        <v>-78.919594514590344</v>
      </c>
      <c r="D488" s="6" t="str">
        <f t="shared" si="7"/>
        <v>-8.68982,-78.91959</v>
      </c>
    </row>
    <row r="489" spans="1:4" x14ac:dyDescent="0.3">
      <c r="A489" s="19">
        <v>483</v>
      </c>
      <c r="B489" s="17">
        <f>IF($B$4="표준",'2.치형좌표'!D488,'2.치형좌표'!G488)</f>
        <v>-8.9313248135513739</v>
      </c>
      <c r="C489" s="17">
        <f>IF($B$4="표준",'2.치형좌표'!E488,'2.치형좌표'!H488)</f>
        <v>-78.93619575766985</v>
      </c>
      <c r="D489" s="6" t="str">
        <f t="shared" si="7"/>
        <v>-8.93132,-78.93620</v>
      </c>
    </row>
    <row r="490" spans="1:4" x14ac:dyDescent="0.3">
      <c r="A490" s="19">
        <v>484</v>
      </c>
      <c r="B490" s="17">
        <f>IF($B$4="표준",'2.치형좌표'!D489,'2.치형좌표'!G489)</f>
        <v>-9.1781771841116431</v>
      </c>
      <c r="C490" s="17">
        <f>IF($B$4="표준",'2.치형좌표'!E489,'2.치형좌표'!H489)</f>
        <v>-78.938169999305259</v>
      </c>
      <c r="D490" s="6" t="str">
        <f t="shared" si="7"/>
        <v>-9.17818,-78.93817</v>
      </c>
    </row>
    <row r="491" spans="1:4" x14ac:dyDescent="0.3">
      <c r="A491" s="19">
        <v>485</v>
      </c>
      <c r="B491" s="17">
        <f>IF($B$4="표준",'2.치형좌표'!D490,'2.치형좌표'!G490)</f>
        <v>-9.4276703918548783</v>
      </c>
      <c r="C491" s="17">
        <f>IF($B$4="표준",'2.치형좌표'!E490,'2.치형좌표'!H490)</f>
        <v>-78.924973252540482</v>
      </c>
      <c r="D491" s="6" t="str">
        <f t="shared" si="7"/>
        <v>-9.42767,-78.92497</v>
      </c>
    </row>
    <row r="492" spans="1:4" x14ac:dyDescent="0.3">
      <c r="A492" s="19">
        <v>486</v>
      </c>
      <c r="B492" s="17">
        <f>IF($B$4="표준",'2.치형좌표'!D491,'2.치형좌표'!G491)</f>
        <v>-9.6770307030429041</v>
      </c>
      <c r="C492" s="17">
        <f>IF($B$4="표준",'2.치형좌표'!E491,'2.치형좌표'!H491)</f>
        <v>-78.896474116479226</v>
      </c>
      <c r="D492" s="6" t="str">
        <f t="shared" si="7"/>
        <v>-9.67703,-78.89647</v>
      </c>
    </row>
    <row r="493" spans="1:4" x14ac:dyDescent="0.3">
      <c r="A493" s="19">
        <v>487</v>
      </c>
      <c r="B493" s="17">
        <f>IF($B$4="표준",'2.치형좌표'!D492,'2.치형좌표'!G492)</f>
        <v>-9.9234885357506606</v>
      </c>
      <c r="C493" s="17">
        <f>IF($B$4="표준",'2.치형좌표'!E492,'2.치형좌표'!H492)</f>
        <v>-78.852960115851502</v>
      </c>
      <c r="D493" s="6" t="str">
        <f t="shared" si="7"/>
        <v>-9.92349,-78.85296</v>
      </c>
    </row>
    <row r="494" spans="1:4" x14ac:dyDescent="0.3">
      <c r="A494" s="19">
        <v>488</v>
      </c>
      <c r="B494" s="17">
        <f>IF($B$4="표준",'2.치형좌표'!D493,'2.치형좌표'!G493)</f>
        <v>-10.164353479101399</v>
      </c>
      <c r="C494" s="17">
        <f>IF($B$4="표준",'2.치형좌표'!E493,'2.치형좌표'!H493)</f>
        <v>-78.795130199225426</v>
      </c>
      <c r="D494" s="6" t="str">
        <f t="shared" si="7"/>
        <v>-10.16435,-78.79513</v>
      </c>
    </row>
    <row r="495" spans="1:4" x14ac:dyDescent="0.3">
      <c r="A495" s="19">
        <v>489</v>
      </c>
      <c r="B495" s="17">
        <f>IF($B$4="표준",'2.치형좌표'!D494,'2.치형좌표'!G494)</f>
        <v>-10.397087178049876</v>
      </c>
      <c r="C495" s="17">
        <f>IF($B$4="표준",'2.치형좌표'!E494,'2.치형좌표'!H494)</f>
        <v>-78.724073555255188</v>
      </c>
      <c r="D495" s="6" t="str">
        <f t="shared" si="7"/>
        <v>-10.39709,-78.72407</v>
      </c>
    </row>
    <row r="496" spans="1:4" x14ac:dyDescent="0.3">
      <c r="A496" s="19">
        <v>490</v>
      </c>
      <c r="B496" s="17">
        <f>IF($B$4="표준",'2.치형좌표'!D495,'2.치형좌표'!G495)</f>
        <v>-10.619372891936587</v>
      </c>
      <c r="C496" s="17">
        <f>IF($B$4="표준",'2.치형좌표'!E495,'2.치형좌표'!H495)</f>
        <v>-78.641234788838688</v>
      </c>
      <c r="D496" s="6" t="str">
        <f t="shared" si="7"/>
        <v>-10.61937,-78.64123</v>
      </c>
    </row>
    <row r="497" spans="1:4" x14ac:dyDescent="0.3">
      <c r="A497" s="19">
        <v>491</v>
      </c>
      <c r="B497" s="17">
        <f>IF($B$4="표준",'2.치형좌표'!D496,'2.치형좌표'!G496)</f>
        <v>-10.829180631819177</v>
      </c>
      <c r="C497" s="17">
        <f>IF($B$4="표준",'2.치형좌표'!E496,'2.치형좌표'!H496)</f>
        <v>-78.54836532132542</v>
      </c>
      <c r="D497" s="6" t="str">
        <f t="shared" si="7"/>
        <v>-10.82918,-78.54837</v>
      </c>
    </row>
    <row r="498" spans="1:4" x14ac:dyDescent="0.3">
      <c r="A498" s="19">
        <v>492</v>
      </c>
      <c r="B498" s="17">
        <f>IF($B$4="표준",'2.치형좌표'!D497,'2.치형좌표'!G497)</f>
        <v>-11.024826969041536</v>
      </c>
      <c r="C498" s="17">
        <f>IF($B$4="표준",'2.치형좌표'!E497,'2.치형좌표'!H497)</f>
        <v>-78.447460571835194</v>
      </c>
      <c r="D498" s="6" t="str">
        <f t="shared" si="7"/>
        <v>-11.02483,-78.44746</v>
      </c>
    </row>
    <row r="499" spans="1:4" x14ac:dyDescent="0.3">
      <c r="A499" s="19">
        <v>493</v>
      </c>
      <c r="B499" s="17">
        <f>IF($B$4="표준",'2.치형좌표'!D498,'2.치형좌표'!G498)</f>
        <v>-11.205028915187514</v>
      </c>
      <c r="C499" s="17">
        <f>IF($B$4="표준",'2.치형좌표'!E498,'2.치형좌표'!H498)</f>
        <v>-78.340681942531077</v>
      </c>
      <c r="D499" s="6" t="str">
        <f t="shared" si="7"/>
        <v>-11.20503,-78.34068</v>
      </c>
    </row>
    <row r="500" spans="1:4" x14ac:dyDescent="0.3">
      <c r="A500" s="19">
        <v>494</v>
      </c>
      <c r="B500" s="17">
        <f>IF($B$4="표준",'2.치형좌표'!D499,'2.치형좌표'!G499)</f>
        <v>-11.368951762988175</v>
      </c>
      <c r="C500" s="17">
        <f>IF($B$4="표준",'2.치형좌표'!E499,'2.치형좌표'!H499)</f>
        <v>-78.23026171697137</v>
      </c>
      <c r="D500" s="6" t="str">
        <f t="shared" si="7"/>
        <v>-11.36895,-78.23026</v>
      </c>
    </row>
    <row r="501" spans="1:4" x14ac:dyDescent="0.3">
      <c r="A501" s="19">
        <v>495</v>
      </c>
      <c r="B501" s="17">
        <f>IF($B$4="표준",'2.치형좌표'!D500,'2.치형좌표'!G500)</f>
        <v>-11.516251571161769</v>
      </c>
      <c r="C501" s="17">
        <f>IF($B$4="표준",'2.치형좌표'!E500,'2.치형좌표'!H500)</f>
        <v>-78.118387435246447</v>
      </c>
      <c r="D501" s="6" t="str">
        <f t="shared" si="7"/>
        <v>-11.51625,-78.11839</v>
      </c>
    </row>
    <row r="502" spans="1:4" x14ac:dyDescent="0.3">
      <c r="A502" s="19">
        <v>496</v>
      </c>
      <c r="B502" s="17">
        <f>IF($B$4="표준",'2.치형좌표'!D501,'2.치형좌표'!G501)</f>
        <v>-11.647114317868173</v>
      </c>
      <c r="C502" s="17">
        <f>IF($B$4="표준",'2.치형좌표'!E501,'2.치형좌표'!H501)</f>
        <v>-78.007059697344758</v>
      </c>
      <c r="D502" s="6" t="str">
        <f t="shared" si="7"/>
        <v>-11.64711,-78.00706</v>
      </c>
    </row>
    <row r="503" spans="1:4" x14ac:dyDescent="0.3">
      <c r="A503" s="19">
        <v>497</v>
      </c>
      <c r="B503" s="17">
        <f>IF($B$4="표준",'2.치형좌표'!D502,'2.치형좌표'!G502)</f>
        <v>-11.762296137334477</v>
      </c>
      <c r="C503" s="17">
        <f>IF($B$4="표준",'2.치형좌표'!E502,'2.치형좌표'!H502)</f>
        <v>-77.897912891736368</v>
      </c>
      <c r="D503" s="6" t="str">
        <f t="shared" si="7"/>
        <v>-11.76230,-77.89791</v>
      </c>
    </row>
    <row r="504" spans="1:4" x14ac:dyDescent="0.3">
      <c r="A504" s="19">
        <v>498</v>
      </c>
      <c r="B504" s="17">
        <f>IF($B$4="표준",'2.치형좌표'!D503,'2.치형좌표'!G503)</f>
        <v>-11.863173549475409</v>
      </c>
      <c r="C504" s="17">
        <f>IF($B$4="표준",'2.치형좌표'!E503,'2.치형좌표'!H503)</f>
        <v>-77.791980629876548</v>
      </c>
      <c r="D504" s="6" t="str">
        <f t="shared" si="7"/>
        <v>-11.86317,-77.79198</v>
      </c>
    </row>
    <row r="505" spans="1:4" x14ac:dyDescent="0.3">
      <c r="A505" s="19">
        <v>499</v>
      </c>
      <c r="B505" s="17">
        <f>IF($B$4="표준",'2.치형좌표'!D504,'2.치형좌표'!G504)</f>
        <v>-11.951821518695253</v>
      </c>
      <c r="C505" s="17">
        <f>IF($B$4="표준",'2.치형좌표'!E504,'2.치형좌표'!H504)</f>
        <v>-77.689374030457728</v>
      </c>
      <c r="D505" s="6" t="str">
        <f t="shared" si="7"/>
        <v>-11.95182,-77.68937</v>
      </c>
    </row>
    <row r="506" spans="1:4" x14ac:dyDescent="0.3">
      <c r="A506" s="19">
        <v>500</v>
      </c>
      <c r="B506" s="17">
        <f>IF($B$4="표준",'2.치형좌표'!D505,'2.치형좌표'!G505)</f>
        <v>-12.03115588455122</v>
      </c>
      <c r="C506" s="17">
        <f>IF($B$4="표준",'2.치형좌표'!E505,'2.치형좌표'!H505)</f>
        <v>-77.588816386785794</v>
      </c>
      <c r="D506" s="6" t="str">
        <f t="shared" si="7"/>
        <v>-12.03116,-77.58882</v>
      </c>
    </row>
    <row r="507" spans="1:4" x14ac:dyDescent="0.3">
      <c r="A507" s="19">
        <v>501</v>
      </c>
      <c r="B507" s="17">
        <f>IF($B$4="표준",'2.치형좌표'!D506,'2.치형좌표'!G506)</f>
        <v>-12.105218110337253</v>
      </c>
      <c r="C507" s="17">
        <f>IF($B$4="표준",'2.치형좌표'!E506,'2.치형좌표'!H506)</f>
        <v>-77.486932599757296</v>
      </c>
      <c r="D507" s="6" t="str">
        <f t="shared" si="7"/>
        <v>-12.10522,-77.48693</v>
      </c>
    </row>
    <row r="508" spans="1:4" x14ac:dyDescent="0.3">
      <c r="A508" s="19">
        <v>502</v>
      </c>
      <c r="B508" s="17">
        <f>IF($B$4="표준",'2.치형좌표'!D507,'2.치형좌표'!G507)</f>
        <v>-12.179777221945171</v>
      </c>
      <c r="C508" s="17">
        <f>IF($B$4="표준",'2.치형좌표'!E507,'2.치형좌표'!H507)</f>
        <v>-77.377108907449553</v>
      </c>
      <c r="D508" s="6" t="str">
        <f t="shared" si="7"/>
        <v>-12.17978,-77.37711</v>
      </c>
    </row>
    <row r="509" spans="1:4" x14ac:dyDescent="0.3">
      <c r="A509" s="19">
        <v>503</v>
      </c>
      <c r="B509" s="17">
        <f>IF($B$4="표준",'2.치형좌표'!D508,'2.치형좌표'!G508)</f>
        <v>-12.263663832019382</v>
      </c>
      <c r="C509" s="17">
        <f>IF($B$4="표준",'2.치형좌표'!E508,'2.치형좌표'!H508)</f>
        <v>-77.247593731411243</v>
      </c>
      <c r="D509" s="6" t="str">
        <f t="shared" si="7"/>
        <v>-12.26366,-77.24759</v>
      </c>
    </row>
    <row r="510" spans="1:4" x14ac:dyDescent="0.3">
      <c r="A510" s="19">
        <v>504</v>
      </c>
      <c r="B510" s="17">
        <f>IF($B$4="표준",'2.치형좌표'!D509,'2.치형좌표'!G509)</f>
        <v>-12.371875479981339</v>
      </c>
      <c r="C510" s="17">
        <f>IF($B$4="표준",'2.치형좌표'!E509,'2.치형좌표'!H509)</f>
        <v>-77.078312308162225</v>
      </c>
      <c r="D510" s="6" t="str">
        <f t="shared" si="7"/>
        <v>-12.37188,-77.07831</v>
      </c>
    </row>
    <row r="511" spans="1:4" x14ac:dyDescent="0.3">
      <c r="A511" s="19">
        <v>505</v>
      </c>
      <c r="B511" s="17">
        <f>IF($B$4="표준",'2.치형좌표'!D510,'2.치형좌표'!G510)</f>
        <v>-12.533144912967696</v>
      </c>
      <c r="C511" s="17">
        <f>IF($B$4="표준",'2.치형좌표'!E510,'2.치형좌표'!H510)</f>
        <v>-76.835952777926551</v>
      </c>
      <c r="D511" s="6" t="str">
        <f t="shared" si="7"/>
        <v>-12.53314,-76.83595</v>
      </c>
    </row>
    <row r="512" spans="1:4" x14ac:dyDescent="0.3">
      <c r="A512" s="19">
        <v>506</v>
      </c>
      <c r="B512" s="17">
        <f>IF($B$4="표준",'2.치형좌표'!D511,'2.치형좌표'!G511)</f>
        <v>-12.808569555862862</v>
      </c>
      <c r="C512" s="17">
        <f>IF($B$4="표준",'2.치형좌표'!E511,'2.치형좌표'!H511)</f>
        <v>-76.469665498193308</v>
      </c>
      <c r="D512" s="6" t="str">
        <f t="shared" si="7"/>
        <v>-12.80857,-76.46967</v>
      </c>
    </row>
    <row r="513" spans="1:4" x14ac:dyDescent="0.3">
      <c r="A513" s="19">
        <v>507</v>
      </c>
      <c r="B513" s="17">
        <f>IF($B$4="표준",'2.치형좌표'!D512,'2.치형좌표'!G512)</f>
        <v>-13.330656345150414</v>
      </c>
      <c r="C513" s="17">
        <f>IF($B$4="표준",'2.치형좌표'!E512,'2.치형좌표'!H512)</f>
        <v>-75.927652267300786</v>
      </c>
      <c r="D513" s="6" t="str">
        <f t="shared" si="7"/>
        <v>-13.33066,-75.92765</v>
      </c>
    </row>
    <row r="514" spans="1:4" x14ac:dyDescent="0.3">
      <c r="A514" s="19">
        <v>508</v>
      </c>
      <c r="B514" s="17">
        <f>IF($B$4="표준",'2.치형좌표'!D513,'2.치형좌표'!G513)</f>
        <v>-14.316663196308751</v>
      </c>
      <c r="C514" s="17">
        <f>IF($B$4="표준",'2.치형좌표'!E513,'2.치형좌표'!H513)</f>
        <v>-75.273733996409305</v>
      </c>
      <c r="D514" s="6" t="str">
        <f t="shared" si="7"/>
        <v>-14.31666,-75.27373</v>
      </c>
    </row>
    <row r="515" spans="1:4" x14ac:dyDescent="0.3">
      <c r="A515" s="19">
        <v>509</v>
      </c>
      <c r="B515" s="17">
        <f>IF($B$4="표준",'2.치형좌표'!D514,'2.치형좌표'!G514)</f>
        <v>-15.768641988866518</v>
      </c>
      <c r="C515" s="17">
        <f>IF($B$4="표준",'2.치형좌표'!E514,'2.치형좌표'!H514)</f>
        <v>-74.874453014214751</v>
      </c>
      <c r="D515" s="6" t="str">
        <f t="shared" si="7"/>
        <v>-15.76864,-74.87445</v>
      </c>
    </row>
    <row r="516" spans="1:4" x14ac:dyDescent="0.3">
      <c r="A516" s="19">
        <v>510</v>
      </c>
      <c r="B516" s="17">
        <f>IF($B$4="표준",'2.치형좌표'!D515,'2.치형좌표'!G515)</f>
        <v>-17.110973407854182</v>
      </c>
      <c r="C516" s="17">
        <f>IF($B$4="표준",'2.치형좌표'!E515,'2.치형좌표'!H515)</f>
        <v>-74.968686508494372</v>
      </c>
      <c r="D516" s="6" t="str">
        <f t="shared" si="7"/>
        <v>-17.11097,-74.96869</v>
      </c>
    </row>
    <row r="517" spans="1:4" x14ac:dyDescent="0.3">
      <c r="A517" s="19">
        <v>511</v>
      </c>
      <c r="B517" s="17">
        <f>IF($B$4="표준",'2.치형좌표'!D516,'2.치형좌표'!G516)</f>
        <v>-17.96884625423742</v>
      </c>
      <c r="C517" s="17">
        <f>IF($B$4="표준",'2.치형좌표'!E516,'2.치형좌표'!H516)</f>
        <v>-75.262748698802412</v>
      </c>
      <c r="D517" s="6" t="str">
        <f t="shared" si="7"/>
        <v>-17.96885,-75.26275</v>
      </c>
    </row>
    <row r="518" spans="1:4" x14ac:dyDescent="0.3">
      <c r="A518" s="19">
        <v>512</v>
      </c>
      <c r="B518" s="17">
        <f>IF($B$4="표준",'2.치형좌표'!D517,'2.치형좌표'!G517)</f>
        <v>-18.458394937338344</v>
      </c>
      <c r="C518" s="17">
        <f>IF($B$4="표준",'2.치형좌표'!E517,'2.치형좌표'!H517)</f>
        <v>-75.52120834177677</v>
      </c>
      <c r="D518" s="6" t="str">
        <f t="shared" si="7"/>
        <v>-18.45839,-75.52121</v>
      </c>
    </row>
    <row r="519" spans="1:4" x14ac:dyDescent="0.3">
      <c r="A519" s="19">
        <v>513</v>
      </c>
      <c r="B519" s="17">
        <f>IF($B$4="표준",'2.치형좌표'!D518,'2.치형좌표'!G518)</f>
        <v>-18.748888163116277</v>
      </c>
      <c r="C519" s="17">
        <f>IF($B$4="표준",'2.치형좌표'!E518,'2.치형좌표'!H518)</f>
        <v>-75.705154688167298</v>
      </c>
      <c r="D519" s="6" t="str">
        <f t="shared" ref="D519:D582" si="8">TEXT(B519,"0.00000")&amp;","&amp;TEXT(C519,"0.00000")</f>
        <v>-18.74889,-75.70515</v>
      </c>
    </row>
    <row r="520" spans="1:4" x14ac:dyDescent="0.3">
      <c r="A520" s="19">
        <v>514</v>
      </c>
      <c r="B520" s="17">
        <f>IF($B$4="표준",'2.치형좌표'!D519,'2.치형좌표'!G519)</f>
        <v>-18.93846811090738</v>
      </c>
      <c r="C520" s="17">
        <f>IF($B$4="표준",'2.치형좌표'!E519,'2.치형좌표'!H519)</f>
        <v>-75.83366242698915</v>
      </c>
      <c r="D520" s="6" t="str">
        <f t="shared" si="8"/>
        <v>-18.93847,-75.83366</v>
      </c>
    </row>
    <row r="521" spans="1:4" x14ac:dyDescent="0.3">
      <c r="A521" s="19">
        <v>515</v>
      </c>
      <c r="B521" s="17">
        <f>IF($B$4="표준",'2.치형좌표'!D520,'2.치형좌표'!G520)</f>
        <v>-19.077743097723683</v>
      </c>
      <c r="C521" s="17">
        <f>IF($B$4="표준",'2.치형좌표'!E520,'2.치형좌표'!H520)</f>
        <v>-75.928497407554872</v>
      </c>
      <c r="D521" s="6" t="str">
        <f t="shared" si="8"/>
        <v>-19.07774,-75.92850</v>
      </c>
    </row>
    <row r="522" spans="1:4" x14ac:dyDescent="0.3">
      <c r="A522" s="19">
        <v>516</v>
      </c>
      <c r="B522" s="17">
        <f>IF($B$4="표준",'2.치형좌표'!D521,'2.치형좌표'!G521)</f>
        <v>-19.193781551022887</v>
      </c>
      <c r="C522" s="17">
        <f>IF($B$4="표준",'2.치형좌표'!E521,'2.치형좌표'!H521)</f>
        <v>-76.004756068161271</v>
      </c>
      <c r="D522" s="6" t="str">
        <f t="shared" si="8"/>
        <v>-19.19378,-76.00476</v>
      </c>
    </row>
    <row r="523" spans="1:4" x14ac:dyDescent="0.3">
      <c r="A523" s="19">
        <v>517</v>
      </c>
      <c r="B523" s="17">
        <f>IF($B$4="표준",'2.치형좌표'!D522,'2.치형좌표'!G522)</f>
        <v>-19.302084854571831</v>
      </c>
      <c r="C523" s="17">
        <f>IF($B$4="표준",'2.치형좌표'!E522,'2.치형좌표'!H522)</f>
        <v>-76.071578816965541</v>
      </c>
      <c r="D523" s="6" t="str">
        <f t="shared" si="8"/>
        <v>-19.30208,-76.07158</v>
      </c>
    </row>
    <row r="524" spans="1:4" x14ac:dyDescent="0.3">
      <c r="A524" s="19">
        <v>518</v>
      </c>
      <c r="B524" s="17">
        <f>IF($B$4="표준",'2.치형좌표'!D523,'2.치형좌표'!G523)</f>
        <v>-19.41209684028977</v>
      </c>
      <c r="C524" s="17">
        <f>IF($B$4="표준",'2.치형좌표'!E523,'2.치형좌표'!H523)</f>
        <v>-76.133973222840453</v>
      </c>
      <c r="D524" s="6" t="str">
        <f t="shared" si="8"/>
        <v>-19.41210,-76.13397</v>
      </c>
    </row>
    <row r="525" spans="1:4" x14ac:dyDescent="0.3">
      <c r="A525" s="19">
        <v>519</v>
      </c>
      <c r="B525" s="17">
        <f>IF($B$4="표준",'2.치형좌표'!D524,'2.치형좌표'!G524)</f>
        <v>-19.529802243579308</v>
      </c>
      <c r="C525" s="17">
        <f>IF($B$4="표준",'2.치형좌표'!E524,'2.치형좌표'!H524)</f>
        <v>-76.194230384270668</v>
      </c>
      <c r="D525" s="6" t="str">
        <f t="shared" si="8"/>
        <v>-19.52980,-76.19423</v>
      </c>
    </row>
    <row r="526" spans="1:4" x14ac:dyDescent="0.3">
      <c r="A526" s="19">
        <v>520</v>
      </c>
      <c r="B526" s="17">
        <f>IF($B$4="표준",'2.치형좌표'!D525,'2.치형좌표'!G525)</f>
        <v>-19.659016583504446</v>
      </c>
      <c r="C526" s="17">
        <f>IF($B$4="표준",'2.치형좌표'!E525,'2.치형좌표'!H525)</f>
        <v>-76.252878482216943</v>
      </c>
      <c r="D526" s="6" t="str">
        <f t="shared" si="8"/>
        <v>-19.65902,-76.25288</v>
      </c>
    </row>
    <row r="527" spans="1:4" x14ac:dyDescent="0.3">
      <c r="A527" s="19">
        <v>521</v>
      </c>
      <c r="B527" s="17">
        <f>IF($B$4="표준",'2.치형좌표'!D526,'2.치형좌표'!G526)</f>
        <v>-19.802065808554762</v>
      </c>
      <c r="C527" s="17">
        <f>IF($B$4="표준",'2.치형좌표'!E526,'2.치형좌표'!H526)</f>
        <v>-76.309314669667188</v>
      </c>
      <c r="D527" s="6" t="str">
        <f t="shared" si="8"/>
        <v>-19.80207,-76.30931</v>
      </c>
    </row>
    <row r="528" spans="1:4" x14ac:dyDescent="0.3">
      <c r="A528" s="19">
        <v>522</v>
      </c>
      <c r="B528" s="17">
        <f>IF($B$4="표준",'2.치형좌표'!D527,'2.치형좌표'!G527)</f>
        <v>-19.960169257180343</v>
      </c>
      <c r="C528" s="17">
        <f>IF($B$4="표준",'2.치형좌표'!E527,'2.치형좌표'!H527)</f>
        <v>-76.362233410715817</v>
      </c>
      <c r="D528" s="6" t="str">
        <f t="shared" si="8"/>
        <v>-19.96017,-76.36223</v>
      </c>
    </row>
    <row r="529" spans="1:4" x14ac:dyDescent="0.3">
      <c r="A529" s="19">
        <v>523</v>
      </c>
      <c r="B529" s="17">
        <f>IF($B$4="표준",'2.치형좌표'!D528,'2.치형좌표'!G528)</f>
        <v>-20.133673241877602</v>
      </c>
      <c r="C529" s="17">
        <f>IF($B$4="표준",'2.치형좌표'!E528,'2.치형좌표'!H528)</f>
        <v>-76.409927398996075</v>
      </c>
      <c r="D529" s="6" t="str">
        <f t="shared" si="8"/>
        <v>-20.13367,-76.40993</v>
      </c>
    </row>
    <row r="530" spans="1:4" x14ac:dyDescent="0.3">
      <c r="A530" s="19">
        <v>524</v>
      </c>
      <c r="B530" s="17">
        <f>IF($B$4="표준",'2.치형좌표'!D529,'2.치형좌표'!G529)</f>
        <v>-20.322207701193079</v>
      </c>
      <c r="C530" s="17">
        <f>IF($B$4="표준",'2.치형좌표'!E529,'2.치형좌표'!H529)</f>
        <v>-76.450507001822089</v>
      </c>
      <c r="D530" s="6" t="str">
        <f t="shared" si="8"/>
        <v>-20.32221,-76.45051</v>
      </c>
    </row>
    <row r="531" spans="1:4" x14ac:dyDescent="0.3">
      <c r="A531" s="19">
        <v>525</v>
      </c>
      <c r="B531" s="17">
        <f>IF($B$4="표준",'2.치형좌표'!D530,'2.치형좌표'!G530)</f>
        <v>-20.524802990978301</v>
      </c>
      <c r="C531" s="17">
        <f>IF($B$4="표준",'2.치형좌표'!E530,'2.치형좌표'!H530)</f>
        <v>-76.482065512124322</v>
      </c>
      <c r="D531" s="6" t="str">
        <f t="shared" si="8"/>
        <v>-20.52480,-76.48207</v>
      </c>
    </row>
    <row r="532" spans="1:4" x14ac:dyDescent="0.3">
      <c r="A532" s="19">
        <v>526</v>
      </c>
      <c r="B532" s="17">
        <f>IF($B$4="표준",'2.치형좌표'!D531,'2.치형좌표'!G531)</f>
        <v>-20.739986348639579</v>
      </c>
      <c r="C532" s="17">
        <f>IF($B$4="표준",'2.치형좌표'!E531,'2.치형좌표'!H531)</f>
        <v>-76.502806404977051</v>
      </c>
      <c r="D532" s="6" t="str">
        <f t="shared" si="8"/>
        <v>-20.73999,-76.50281</v>
      </c>
    </row>
    <row r="533" spans="1:4" x14ac:dyDescent="0.3">
      <c r="A533" s="19">
        <v>527</v>
      </c>
      <c r="B533" s="17">
        <f>IF($B$4="표준",'2.치형좌표'!D532,'2.치형좌표'!G532)</f>
        <v>-20.965868458535301</v>
      </c>
      <c r="C533" s="17">
        <f>IF($B$4="표준",'2.치형좌표'!E532,'2.치형좌표'!H532)</f>
        <v>-76.51114226003304</v>
      </c>
      <c r="D533" s="6" t="str">
        <f t="shared" si="8"/>
        <v>-20.96587,-76.51114</v>
      </c>
    </row>
    <row r="534" spans="1:4" x14ac:dyDescent="0.3">
      <c r="A534" s="19">
        <v>528</v>
      </c>
      <c r="B534" s="17">
        <f>IF($B$4="표준",'2.치형좌표'!D533,'2.치형좌표'!G533)</f>
        <v>-21.200225609132183</v>
      </c>
      <c r="C534" s="17">
        <f>IF($B$4="표준",'2.치형좌표'!E533,'2.치형좌표'!H533)</f>
        <v>-76.505771146532183</v>
      </c>
      <c r="D534" s="6" t="str">
        <f t="shared" si="8"/>
        <v>-21.20023,-76.50577</v>
      </c>
    </row>
    <row r="535" spans="1:4" x14ac:dyDescent="0.3">
      <c r="A535" s="19">
        <v>529</v>
      </c>
      <c r="B535" s="17">
        <f>IF($B$4="표준",'2.치형좌표'!D534,'2.치형좌표'!G534)</f>
        <v>-21.440580145765875</v>
      </c>
      <c r="C535" s="17">
        <f>IF($B$4="표준",'2.치형좌표'!E534,'2.치형좌표'!H534)</f>
        <v>-76.485733973565758</v>
      </c>
      <c r="D535" s="6" t="str">
        <f t="shared" si="8"/>
        <v>-21.44058,-76.48573</v>
      </c>
    </row>
    <row r="536" spans="1:4" x14ac:dyDescent="0.3">
      <c r="A536" s="19">
        <v>530</v>
      </c>
      <c r="B536" s="17">
        <f>IF($B$4="표준",'2.치형좌표'!D535,'2.치형좌표'!G535)</f>
        <v>-21.684280293696453</v>
      </c>
      <c r="C536" s="17">
        <f>IF($B$4="표준",'2.치형좌표'!E535,'2.치형좌표'!H535)</f>
        <v>-76.450454947748582</v>
      </c>
      <c r="D536" s="6" t="str">
        <f t="shared" si="8"/>
        <v>-21.68428,-76.45045</v>
      </c>
    </row>
    <row r="537" spans="1:4" x14ac:dyDescent="0.3">
      <c r="A537" s="19">
        <v>531</v>
      </c>
      <c r="B537" s="17">
        <f>IF($B$4="표준",'2.치형좌표'!D536,'2.치형좌표'!G536)</f>
        <v>-21.928579447366335</v>
      </c>
      <c r="C537" s="17">
        <f>IF($B$4="표준",'2.치형좌표'!E536,'2.치형좌표'!H536)</f>
        <v>-76.399766480889383</v>
      </c>
      <c r="D537" s="6" t="str">
        <f t="shared" si="8"/>
        <v>-21.92858,-76.39977</v>
      </c>
    </row>
    <row r="538" spans="1:4" x14ac:dyDescent="0.3">
      <c r="A538" s="19">
        <v>532</v>
      </c>
      <c r="B538" s="17">
        <f>IF($B$4="표준",'2.치형좌표'!D537,'2.치형좌표'!G537)</f>
        <v>-22.17071442544087</v>
      </c>
      <c r="C538" s="17">
        <f>IF($B$4="표준",'2.치형좌표'!E537,'2.치형좌표'!H537)</f>
        <v>-76.333919429107581</v>
      </c>
      <c r="D538" s="6" t="str">
        <f t="shared" si="8"/>
        <v>-22.17071,-76.33392</v>
      </c>
    </row>
    <row r="539" spans="1:4" x14ac:dyDescent="0.3">
      <c r="A539" s="19">
        <v>533</v>
      </c>
      <c r="B539" s="17">
        <f>IF($B$4="표준",'2.치형좌표'!D538,'2.치형좌표'!G538)</f>
        <v>-22.407981831478011</v>
      </c>
      <c r="C539" s="17">
        <f>IF($B$4="표준",'2.치형좌표'!E538,'2.치형좌표'!H538)</f>
        <v>-76.253579284404964</v>
      </c>
      <c r="D539" s="6" t="str">
        <f t="shared" si="8"/>
        <v>-22.40798,-76.25358</v>
      </c>
    </row>
    <row r="540" spans="1:4" x14ac:dyDescent="0.3">
      <c r="A540" s="19">
        <v>534</v>
      </c>
      <c r="B540" s="17">
        <f>IF($B$4="표준",'2.치형좌표'!D539,'2.치형좌표'!G539)</f>
        <v>-22.637811455403366</v>
      </c>
      <c r="C540" s="17">
        <f>IF($B$4="표준",'2.치형좌표'!E539,'2.치형좌표'!H539)</f>
        <v>-76.159808789762394</v>
      </c>
      <c r="D540" s="6" t="str">
        <f t="shared" si="8"/>
        <v>-22.63781,-76.15981</v>
      </c>
    </row>
    <row r="541" spans="1:4" x14ac:dyDescent="0.3">
      <c r="A541" s="19">
        <v>535</v>
      </c>
      <c r="B541" s="17">
        <f>IF($B$4="표준",'2.치형좌표'!D540,'2.치형좌표'!G540)</f>
        <v>-22.857835555027371</v>
      </c>
      <c r="C541" s="17">
        <f>IF($B$4="표준",'2.치형좌표'!E540,'2.치형좌표'!H540)</f>
        <v>-76.054037344510377</v>
      </c>
      <c r="D541" s="6" t="str">
        <f t="shared" si="8"/>
        <v>-22.85784,-76.05404</v>
      </c>
    </row>
    <row r="542" spans="1:4" x14ac:dyDescent="0.3">
      <c r="A542" s="19">
        <v>536</v>
      </c>
      <c r="B542" s="17">
        <f>IF($B$4="표준",'2.치형좌표'!D541,'2.치형좌표'!G541)</f>
        <v>-23.06595284363069</v>
      </c>
      <c r="C542" s="17">
        <f>IF($B$4="표준",'2.치형좌표'!E541,'2.치형좌표'!H541)</f>
        <v>-75.938017453955851</v>
      </c>
      <c r="D542" s="6" t="str">
        <f t="shared" si="8"/>
        <v>-23.06595,-75.93802</v>
      </c>
    </row>
    <row r="543" spans="1:4" x14ac:dyDescent="0.3">
      <c r="A543" s="19">
        <v>537</v>
      </c>
      <c r="B543" s="17">
        <f>IF($B$4="표준",'2.치형좌표'!D542,'2.치형좌표'!G542)</f>
        <v>-23.260386066353632</v>
      </c>
      <c r="C543" s="17">
        <f>IF($B$4="표준",'2.치형좌표'!E542,'2.치형좌표'!H542)</f>
        <v>-75.813768301437207</v>
      </c>
      <c r="D543" s="6" t="str">
        <f t="shared" si="8"/>
        <v>-23.26039,-75.81377</v>
      </c>
    </row>
    <row r="544" spans="1:4" x14ac:dyDescent="0.3">
      <c r="A544" s="19">
        <v>538</v>
      </c>
      <c r="B544" s="17">
        <f>IF($B$4="표준",'2.치형좌표'!D543,'2.치형좌표'!G543)</f>
        <v>-23.439732172845559</v>
      </c>
      <c r="C544" s="17">
        <f>IF($B$4="표준",'2.치형좌표'!E543,'2.치형좌표'!H543)</f>
        <v>-75.683506215245828</v>
      </c>
      <c r="D544" s="6" t="str">
        <f t="shared" si="8"/>
        <v>-23.43973,-75.68351</v>
      </c>
    </row>
    <row r="545" spans="1:4" x14ac:dyDescent="0.3">
      <c r="A545" s="19">
        <v>539</v>
      </c>
      <c r="B545" s="17">
        <f>IF($B$4="표준",'2.치형좌표'!D544,'2.치형좌표'!G544)</f>
        <v>-23.603004297359075</v>
      </c>
      <c r="C545" s="17">
        <f>IF($B$4="표준",'2.치형좌표'!E544,'2.치형좌표'!H544)</f>
        <v>-75.549561272183851</v>
      </c>
      <c r="D545" s="6" t="str">
        <f t="shared" si="8"/>
        <v>-23.60300,-75.54956</v>
      </c>
    </row>
    <row r="546" spans="1:4" x14ac:dyDescent="0.3">
      <c r="A546" s="19">
        <v>540</v>
      </c>
      <c r="B546" s="17">
        <f>IF($B$4="표준",'2.치형좌표'!D545,'2.치형좌표'!G545)</f>
        <v>-23.749665072000852</v>
      </c>
      <c r="C546" s="17">
        <f>IF($B$4="표준",'2.치형좌표'!E545,'2.치형좌표'!H545)</f>
        <v>-75.414278375232328</v>
      </c>
      <c r="D546" s="6" t="str">
        <f t="shared" si="8"/>
        <v>-23.74967,-75.41428</v>
      </c>
    </row>
    <row r="547" spans="1:4" x14ac:dyDescent="0.3">
      <c r="A547" s="19">
        <v>541</v>
      </c>
      <c r="B547" s="17">
        <f>IF($B$4="표준",'2.치형좌표'!D546,'2.치형좌표'!G546)</f>
        <v>-23.879651295457275</v>
      </c>
      <c r="C547" s="17">
        <f>IF($B$4="표준",'2.치형좌표'!E546,'2.치형좌표'!H546)</f>
        <v>-75.279899617574259</v>
      </c>
      <c r="D547" s="6" t="str">
        <f t="shared" si="8"/>
        <v>-23.87965,-75.27990</v>
      </c>
    </row>
    <row r="548" spans="1:4" x14ac:dyDescent="0.3">
      <c r="A548" s="19">
        <v>542</v>
      </c>
      <c r="B548" s="17">
        <f>IF($B$4="표준",'2.치형좌표'!D547,'2.치형좌표'!G547)</f>
        <v>-23.993390810668732</v>
      </c>
      <c r="C548" s="17">
        <f>IF($B$4="표준",'2.치형좌표'!E547,'2.치형좌표'!H547)</f>
        <v>-75.148422169813387</v>
      </c>
      <c r="D548" s="6" t="str">
        <f t="shared" si="8"/>
        <v>-23.99339,-75.14842</v>
      </c>
    </row>
    <row r="549" spans="1:4" x14ac:dyDescent="0.3">
      <c r="A549" s="19">
        <v>543</v>
      </c>
      <c r="B549" s="17">
        <f>IF($B$4="표준",'2.치형좌표'!D548,'2.치형좌표'!G548)</f>
        <v>-24.091813938123281</v>
      </c>
      <c r="C549" s="17">
        <f>IF($B$4="표준",'2.치형좌표'!E548,'2.치형좌표'!H548)</f>
        <v>-75.021421531051999</v>
      </c>
      <c r="D549" s="6" t="str">
        <f t="shared" si="8"/>
        <v>-24.09181,-75.02142</v>
      </c>
    </row>
    <row r="550" spans="1:4" x14ac:dyDescent="0.3">
      <c r="A550" s="19">
        <v>544</v>
      </c>
      <c r="B550" s="17">
        <f>IF($B$4="표준",'2.치형좌표'!D549,'2.치형좌표'!G549)</f>
        <v>-24.176364687216939</v>
      </c>
      <c r="C550" s="17">
        <f>IF($B$4="표준",'2.치형좌표'!E549,'2.치형좌표'!H549)</f>
        <v>-74.899822342075524</v>
      </c>
      <c r="D550" s="6" t="str">
        <f t="shared" si="8"/>
        <v>-24.17636,-74.89982</v>
      </c>
    </row>
    <row r="551" spans="1:4" x14ac:dyDescent="0.3">
      <c r="A551" s="19">
        <v>545</v>
      </c>
      <c r="B551" s="17">
        <f>IF($B$4="표준",'2.치형좌표'!D550,'2.치형좌표'!G550)</f>
        <v>-24.249022867449028</v>
      </c>
      <c r="C551" s="17">
        <f>IF($B$4="표준",'2.치형좌표'!E550,'2.치형좌표'!H550)</f>
        <v>-74.783585360771326</v>
      </c>
      <c r="D551" s="6" t="str">
        <f t="shared" si="8"/>
        <v>-24.24902,-74.78359</v>
      </c>
    </row>
    <row r="552" spans="1:4" x14ac:dyDescent="0.3">
      <c r="A552" s="19">
        <v>546</v>
      </c>
      <c r="B552" s="17">
        <f>IF($B$4="표준",'2.치형좌표'!D551,'2.치형좌표'!G551)</f>
        <v>-24.312361040581457</v>
      </c>
      <c r="C552" s="17">
        <f>IF($B$4="표준",'2.치형좌표'!E551,'2.치형좌표'!H551)</f>
        <v>-74.671254377034487</v>
      </c>
      <c r="D552" s="6" t="str">
        <f t="shared" si="8"/>
        <v>-24.31236,-74.67125</v>
      </c>
    </row>
    <row r="553" spans="1:4" x14ac:dyDescent="0.3">
      <c r="A553" s="19">
        <v>547</v>
      </c>
      <c r="B553" s="17">
        <f>IF($B$4="표준",'2.치형좌표'!D552,'2.치형좌표'!G552)</f>
        <v>-24.369689696672726</v>
      </c>
      <c r="C553" s="17">
        <f>IF($B$4="표준",'2.치형좌표'!E552,'2.치형좌표'!H552)</f>
        <v>-74.559260420018347</v>
      </c>
      <c r="D553" s="6" t="str">
        <f t="shared" si="8"/>
        <v>-24.36969,-74.55926</v>
      </c>
    </row>
    <row r="554" spans="1:4" x14ac:dyDescent="0.3">
      <c r="A554" s="19">
        <v>548</v>
      </c>
      <c r="B554" s="17">
        <f>IF($B$4="표준",'2.치형좌표'!D553,'2.치형좌표'!G553)</f>
        <v>-24.425415542475974</v>
      </c>
      <c r="C554" s="17">
        <f>IF($B$4="표준",'2.치형좌표'!E553,'2.치형좌표'!H553)</f>
        <v>-74.44079243625616</v>
      </c>
      <c r="D554" s="6" t="str">
        <f t="shared" si="8"/>
        <v>-24.42542,-74.44079</v>
      </c>
    </row>
    <row r="555" spans="1:4" x14ac:dyDescent="0.3">
      <c r="A555" s="19">
        <v>549</v>
      </c>
      <c r="B555" s="17">
        <f>IF($B$4="표준",'2.치형좌표'!D554,'2.치형좌표'!G554)</f>
        <v>-24.485921666423419</v>
      </c>
      <c r="C555" s="17">
        <f>IF($B$4="표준",'2.치형좌표'!E554,'2.치형좌표'!H554)</f>
        <v>-74.30387816967189</v>
      </c>
      <c r="D555" s="6" t="str">
        <f t="shared" si="8"/>
        <v>-24.48592,-74.30388</v>
      </c>
    </row>
    <row r="556" spans="1:4" x14ac:dyDescent="0.3">
      <c r="A556" s="19">
        <v>550</v>
      </c>
      <c r="B556" s="17">
        <f>IF($B$4="표준",'2.치형좌표'!D555,'2.치형좌표'!G555)</f>
        <v>-24.561777554365104</v>
      </c>
      <c r="C556" s="17">
        <f>IF($B$4="표준",'2.치형좌표'!E555,'2.치형좌표'!H555)</f>
        <v>-74.128039132429365</v>
      </c>
      <c r="D556" s="6" t="str">
        <f t="shared" si="8"/>
        <v>-24.56178,-74.12804</v>
      </c>
    </row>
    <row r="557" spans="1:4" x14ac:dyDescent="0.3">
      <c r="A557" s="19">
        <v>551</v>
      </c>
      <c r="B557" s="17">
        <f>IF($B$4="표준",'2.치형좌표'!D556,'2.치형좌표'!G556)</f>
        <v>-24.67349027233676</v>
      </c>
      <c r="C557" s="17">
        <f>IF($B$4="표준",'2.치형좌표'!E556,'2.치형좌표'!H556)</f>
        <v>-73.87863377853914</v>
      </c>
      <c r="D557" s="6" t="str">
        <f t="shared" si="8"/>
        <v>-24.67349,-73.87863</v>
      </c>
    </row>
    <row r="558" spans="1:4" x14ac:dyDescent="0.3">
      <c r="A558" s="19">
        <v>552</v>
      </c>
      <c r="B558" s="17">
        <f>IF($B$4="표준",'2.치형좌표'!D557,'2.치형좌표'!G557)</f>
        <v>-24.866774911470852</v>
      </c>
      <c r="C558" s="17">
        <f>IF($B$4="표준",'2.치형좌표'!E557,'2.치형좌표'!H557)</f>
        <v>-73.499394975178689</v>
      </c>
      <c r="D558" s="6" t="str">
        <f t="shared" si="8"/>
        <v>-24.86677,-73.49939</v>
      </c>
    </row>
    <row r="559" spans="1:4" x14ac:dyDescent="0.3">
      <c r="A559" s="19">
        <v>553</v>
      </c>
      <c r="B559" s="17">
        <f>IF($B$4="표준",'2.치형좌표'!D558,'2.치형좌표'!G558)</f>
        <v>-25.249582268614489</v>
      </c>
      <c r="C559" s="17">
        <f>IF($B$4="표준",'2.치형좌표'!E558,'2.치형좌표'!H558)</f>
        <v>-72.916751171676779</v>
      </c>
      <c r="D559" s="6" t="str">
        <f t="shared" si="8"/>
        <v>-25.24958,-72.91675</v>
      </c>
    </row>
    <row r="560" spans="1:4" x14ac:dyDescent="0.3">
      <c r="A560" s="19">
        <v>554</v>
      </c>
      <c r="B560" s="17">
        <f>IF($B$4="표준",'2.치형좌표'!D559,'2.치형좌표'!G559)</f>
        <v>-26.035104340732076</v>
      </c>
      <c r="C560" s="17">
        <f>IF($B$4="표준",'2.치형좌표'!E559,'2.치형좌표'!H559)</f>
        <v>-72.127910560885041</v>
      </c>
      <c r="D560" s="6" t="str">
        <f t="shared" si="8"/>
        <v>-26.03510,-72.12791</v>
      </c>
    </row>
    <row r="561" spans="1:4" x14ac:dyDescent="0.3">
      <c r="A561" s="19">
        <v>555</v>
      </c>
      <c r="B561" s="17">
        <f>IF($B$4="표준",'2.치형좌표'!D560,'2.치형좌표'!G560)</f>
        <v>-27.348329557876639</v>
      </c>
      <c r="C561" s="17">
        <f>IF($B$4="표준",'2.치형좌표'!E560,'2.치형좌표'!H560)</f>
        <v>-71.440124232688291</v>
      </c>
      <c r="D561" s="6" t="str">
        <f t="shared" si="8"/>
        <v>-27.34833,-71.44012</v>
      </c>
    </row>
    <row r="562" spans="1:4" x14ac:dyDescent="0.3">
      <c r="A562" s="19">
        <v>556</v>
      </c>
      <c r="B562" s="17">
        <f>IF($B$4="표준",'2.치형좌표'!D561,'2.치형좌표'!G561)</f>
        <v>-28.735266266856989</v>
      </c>
      <c r="C562" s="17">
        <f>IF($B$4="표준",'2.치형좌표'!E561,'2.치형좌표'!H561)</f>
        <v>-71.24481556593382</v>
      </c>
      <c r="D562" s="6" t="str">
        <f t="shared" si="8"/>
        <v>-28.73527,-71.24482</v>
      </c>
    </row>
    <row r="563" spans="1:4" x14ac:dyDescent="0.3">
      <c r="A563" s="19">
        <v>557</v>
      </c>
      <c r="B563" s="17">
        <f>IF($B$4="표준",'2.치형좌표'!D562,'2.치형좌표'!G562)</f>
        <v>-29.700186631652752</v>
      </c>
      <c r="C563" s="17">
        <f>IF($B$4="표준",'2.치형좌표'!E562,'2.치형좌표'!H562)</f>
        <v>-71.377086771700661</v>
      </c>
      <c r="D563" s="6" t="str">
        <f t="shared" si="8"/>
        <v>-29.70019,-71.37709</v>
      </c>
    </row>
    <row r="564" spans="1:4" x14ac:dyDescent="0.3">
      <c r="A564" s="19">
        <v>558</v>
      </c>
      <c r="B564" s="17">
        <f>IF($B$4="표준",'2.치형좌표'!D563,'2.치형좌표'!G563)</f>
        <v>-30.270036015604305</v>
      </c>
      <c r="C564" s="17">
        <f>IF($B$4="표준",'2.치형좌표'!E563,'2.치형좌표'!H563)</f>
        <v>-71.557485764144502</v>
      </c>
      <c r="D564" s="6" t="str">
        <f t="shared" si="8"/>
        <v>-30.27004,-71.55749</v>
      </c>
    </row>
    <row r="565" spans="1:4" x14ac:dyDescent="0.3">
      <c r="A565" s="19">
        <v>559</v>
      </c>
      <c r="B565" s="17">
        <f>IF($B$4="표준",'2.치형좌표'!D564,'2.치형좌표'!G564)</f>
        <v>-30.610290751997599</v>
      </c>
      <c r="C565" s="17">
        <f>IF($B$4="표준",'2.치형좌표'!E564,'2.치형좌표'!H564)</f>
        <v>-71.699327717051119</v>
      </c>
      <c r="D565" s="6" t="str">
        <f t="shared" si="8"/>
        <v>-30.61029,-71.69933</v>
      </c>
    </row>
    <row r="566" spans="1:4" x14ac:dyDescent="0.3">
      <c r="A566" s="19">
        <v>560</v>
      </c>
      <c r="B566" s="17">
        <f>IF($B$4="표준",'2.치형좌표'!D565,'2.치형좌표'!G565)</f>
        <v>-30.830392615791673</v>
      </c>
      <c r="C566" s="17">
        <f>IF($B$4="표준",'2.치형좌표'!E565,'2.치형좌표'!H565)</f>
        <v>-71.800815844409939</v>
      </c>
      <c r="D566" s="6" t="str">
        <f t="shared" si="8"/>
        <v>-30.83039,-71.80082</v>
      </c>
    </row>
    <row r="567" spans="1:4" x14ac:dyDescent="0.3">
      <c r="A567" s="19">
        <v>561</v>
      </c>
      <c r="B567" s="17">
        <f>IF($B$4="표준",'2.치형좌표'!D566,'2.치형좌표'!G566)</f>
        <v>-30.989222299856944</v>
      </c>
      <c r="C567" s="17">
        <f>IF($B$4="표준",'2.치형좌표'!E566,'2.치형좌표'!H566)</f>
        <v>-71.875159793389912</v>
      </c>
      <c r="D567" s="6" t="str">
        <f t="shared" si="8"/>
        <v>-30.98922,-71.87516</v>
      </c>
    </row>
    <row r="568" spans="1:4" x14ac:dyDescent="0.3">
      <c r="A568" s="19">
        <v>562</v>
      </c>
      <c r="B568" s="17">
        <f>IF($B$4="표준",'2.치형좌표'!D567,'2.치형좌표'!G567)</f>
        <v>-31.118663805680971</v>
      </c>
      <c r="C568" s="17">
        <f>IF($B$4="표준",'2.치형좌표'!E567,'2.치형좌표'!H567)</f>
        <v>-71.933546583438925</v>
      </c>
      <c r="D568" s="6" t="str">
        <f t="shared" si="8"/>
        <v>-31.11866,-71.93355</v>
      </c>
    </row>
    <row r="569" spans="1:4" x14ac:dyDescent="0.3">
      <c r="A569" s="19">
        <v>563</v>
      </c>
      <c r="B569" s="17">
        <f>IF($B$4="표준",'2.치형좌표'!D568,'2.치형좌표'!G568)</f>
        <v>-31.236907791339007</v>
      </c>
      <c r="C569" s="17">
        <f>IF($B$4="표준",'2.치형좌표'!E568,'2.치형좌표'!H568)</f>
        <v>-71.983084436323637</v>
      </c>
      <c r="D569" s="6" t="str">
        <f t="shared" si="8"/>
        <v>-31.23691,-71.98308</v>
      </c>
    </row>
    <row r="570" spans="1:4" x14ac:dyDescent="0.3">
      <c r="A570" s="19">
        <v>564</v>
      </c>
      <c r="B570" s="17">
        <f>IF($B$4="표준",'2.치형좌표'!D569,'2.치형좌표'!G569)</f>
        <v>-31.35486994410973</v>
      </c>
      <c r="C570" s="17">
        <f>IF($B$4="표준",'2.치형좌표'!E569,'2.치형좌표'!H569)</f>
        <v>-72.027610130232517</v>
      </c>
      <c r="D570" s="6" t="str">
        <f t="shared" si="8"/>
        <v>-31.35487,-72.02761</v>
      </c>
    </row>
    <row r="571" spans="1:4" x14ac:dyDescent="0.3">
      <c r="A571" s="19">
        <v>565</v>
      </c>
      <c r="B571" s="17">
        <f>IF($B$4="표준",'2.치형좌표'!D570,'2.치형좌표'!G570)</f>
        <v>-31.479301307419721</v>
      </c>
      <c r="C571" s="17">
        <f>IF($B$4="표준",'2.치형좌표'!E570,'2.치형좌표'!H570)</f>
        <v>-72.068698044141499</v>
      </c>
      <c r="D571" s="6" t="str">
        <f t="shared" si="8"/>
        <v>-31.47930,-72.06870</v>
      </c>
    </row>
    <row r="572" spans="1:4" x14ac:dyDescent="0.3">
      <c r="A572" s="19">
        <v>566</v>
      </c>
      <c r="B572" s="17">
        <f>IF($B$4="표준",'2.치형좌표'!D571,'2.치형좌표'!G571)</f>
        <v>-31.614364009612302</v>
      </c>
      <c r="C572" s="17">
        <f>IF($B$4="표준",'2.치형좌표'!E571,'2.치형좌표'!H571)</f>
        <v>-72.106433439770868</v>
      </c>
      <c r="D572" s="6" t="str">
        <f t="shared" si="8"/>
        <v>-31.61436,-72.10643</v>
      </c>
    </row>
    <row r="573" spans="1:4" x14ac:dyDescent="0.3">
      <c r="A573" s="19">
        <v>567</v>
      </c>
      <c r="B573" s="17">
        <f>IF($B$4="표준",'2.치형좌표'!D572,'2.치형좌표'!G572)</f>
        <v>-31.762476434847141</v>
      </c>
      <c r="C573" s="17">
        <f>IF($B$4="표준",'2.치형좌표'!E572,'2.치형좌표'!H572)</f>
        <v>-72.139956493886402</v>
      </c>
      <c r="D573" s="6" t="str">
        <f t="shared" si="8"/>
        <v>-31.76248,-72.13996</v>
      </c>
    </row>
    <row r="574" spans="1:4" x14ac:dyDescent="0.3">
      <c r="A574" s="19">
        <v>568</v>
      </c>
      <c r="B574" s="17">
        <f>IF($B$4="표준",'2.치형좌표'!D573,'2.치형좌표'!G573)</f>
        <v>-31.924796914914701</v>
      </c>
      <c r="C574" s="17">
        <f>IF($B$4="표준",'2.치형좌표'!E573,'2.치형좌표'!H573)</f>
        <v>-72.167843402539503</v>
      </c>
      <c r="D574" s="6" t="str">
        <f t="shared" si="8"/>
        <v>-31.92480,-72.16784</v>
      </c>
    </row>
    <row r="575" spans="1:4" x14ac:dyDescent="0.3">
      <c r="A575" s="19">
        <v>569</v>
      </c>
      <c r="B575" s="17">
        <f>IF($B$4="표준",'2.치형좌표'!D574,'2.치형좌표'!G574)</f>
        <v>-32.101521913218122</v>
      </c>
      <c r="C575" s="17">
        <f>IF($B$4="표준",'2.치형좌표'!E574,'2.치형좌표'!H574)</f>
        <v>-72.188379007697066</v>
      </c>
      <c r="D575" s="6" t="str">
        <f t="shared" si="8"/>
        <v>-32.10152,-72.18838</v>
      </c>
    </row>
    <row r="576" spans="1:4" x14ac:dyDescent="0.3">
      <c r="A576" s="19">
        <v>570</v>
      </c>
      <c r="B576" s="17">
        <f>IF($B$4="표준",'2.치형좌표'!D575,'2.치형좌표'!G575)</f>
        <v>-32.292086214234367</v>
      </c>
      <c r="C576" s="17">
        <f>IF($B$4="표준",'2.치형좌표'!E575,'2.치형좌표'!H575)</f>
        <v>-72.199757120471929</v>
      </c>
      <c r="D576" s="6" t="str">
        <f t="shared" si="8"/>
        <v>-32.29209,-72.19976</v>
      </c>
    </row>
    <row r="577" spans="1:4" x14ac:dyDescent="0.3">
      <c r="A577" s="19">
        <v>571</v>
      </c>
      <c r="B577" s="17">
        <f>IF($B$4="표준",'2.치형좌표'!D576,'2.치형좌표'!G576)</f>
        <v>-32.495310335377972</v>
      </c>
      <c r="C577" s="17">
        <f>IF($B$4="표준",'2.치형좌표'!E576,'2.치형좌표'!H576)</f>
        <v>-72.200231147195595</v>
      </c>
      <c r="D577" s="6" t="str">
        <f t="shared" si="8"/>
        <v>-32.49531,-72.20023</v>
      </c>
    </row>
    <row r="578" spans="1:4" x14ac:dyDescent="0.3">
      <c r="A578" s="19">
        <v>572</v>
      </c>
      <c r="B578" s="17">
        <f>IF($B$4="표준",'2.치형좌표'!D577,'2.치형좌표'!G577)</f>
        <v>-32.709519225257779</v>
      </c>
      <c r="C578" s="17">
        <f>IF($B$4="표준",'2.치형좌표'!E577,'2.치형좌표'!H577)</f>
        <v>-72.188228882912227</v>
      </c>
      <c r="D578" s="6" t="str">
        <f t="shared" si="8"/>
        <v>-32.70952,-72.18823</v>
      </c>
    </row>
    <row r="579" spans="1:4" x14ac:dyDescent="0.3">
      <c r="A579" s="19">
        <v>573</v>
      </c>
      <c r="B579" s="17">
        <f>IF($B$4="표준",'2.치형좌표'!D578,'2.치형좌표'!G578)</f>
        <v>-32.932645262797166</v>
      </c>
      <c r="C579" s="17">
        <f>IF($B$4="표준",'2.치형좌표'!E578,'2.치형좌표'!H578)</f>
        <v>-72.162439951221359</v>
      </c>
      <c r="D579" s="6" t="str">
        <f t="shared" si="8"/>
        <v>-32.93265,-72.16244</v>
      </c>
    </row>
    <row r="580" spans="1:4" x14ac:dyDescent="0.3">
      <c r="A580" s="19">
        <v>574</v>
      </c>
      <c r="B580" s="17">
        <f>IF($B$4="표준",'2.치형좌표'!D579,'2.치형좌표'!G579)</f>
        <v>-33.162322559439566</v>
      </c>
      <c r="C580" s="17">
        <f>IF($B$4="표준",'2.치형좌표'!E579,'2.치형좌표'!H579)</f>
        <v>-72.121881102803783</v>
      </c>
      <c r="D580" s="6" t="str">
        <f t="shared" si="8"/>
        <v>-33.16232,-72.12188</v>
      </c>
    </row>
    <row r="581" spans="1:4" x14ac:dyDescent="0.3">
      <c r="A581" s="19">
        <v>575</v>
      </c>
      <c r="B581" s="17">
        <f>IF($B$4="표준",'2.치형좌표'!D580,'2.치형좌표'!G580)</f>
        <v>-33.395976171583442</v>
      </c>
      <c r="C581" s="17">
        <f>IF($B$4="표준",'2.치형좌표'!E580,'2.치형좌표'!H580)</f>
        <v>-72.065942618739655</v>
      </c>
      <c r="D581" s="6" t="str">
        <f t="shared" si="8"/>
        <v>-33.39598,-72.06594</v>
      </c>
    </row>
    <row r="582" spans="1:4" x14ac:dyDescent="0.3">
      <c r="A582" s="19">
        <v>576</v>
      </c>
      <c r="B582" s="17">
        <f>IF($B$4="표준",'2.치형좌표'!D581,'2.치형좌표'!G581)</f>
        <v>-33.630907850826098</v>
      </c>
      <c r="C582" s="17">
        <f>IF($B$4="표준",'2.치형좌표'!E581,'2.치형좌표'!H581)</f>
        <v>-71.994417892171867</v>
      </c>
      <c r="D582" s="6" t="str">
        <f t="shared" si="8"/>
        <v>-33.63091,-71.99442</v>
      </c>
    </row>
    <row r="583" spans="1:4" x14ac:dyDescent="0.3">
      <c r="A583" s="19">
        <v>577</v>
      </c>
      <c r="B583" s="17">
        <f>IF($B$4="표준",'2.치형좌표'!D582,'2.치형좌표'!G582)</f>
        <v>-33.864378776772625</v>
      </c>
      <c r="C583" s="17">
        <f>IF($B$4="표준",'2.치형좌표'!E582,'2.치형좌표'!H582)</f>
        <v>-71.907517574138993</v>
      </c>
      <c r="D583" s="6" t="str">
        <f t="shared" ref="D583:D646" si="9">TEXT(B583,"0.00000")&amp;","&amp;TEXT(C583,"0.00000")</f>
        <v>-33.86438,-71.90752</v>
      </c>
    </row>
    <row r="584" spans="1:4" x14ac:dyDescent="0.3">
      <c r="A584" s="19">
        <v>578</v>
      </c>
      <c r="B584" s="17">
        <f>IF($B$4="표준",'2.치형좌표'!D583,'2.치형좌표'!G583)</f>
        <v>-34.093689001386508</v>
      </c>
      <c r="C584" s="17">
        <f>IF($B$4="표준",'2.치형좌표'!E583,'2.치형좌표'!H583)</f>
        <v>-71.805869276482426</v>
      </c>
      <c r="D584" s="6" t="str">
        <f t="shared" si="9"/>
        <v>-34.09369,-71.80587</v>
      </c>
    </row>
    <row r="585" spans="1:4" x14ac:dyDescent="0.3">
      <c r="A585" s="19">
        <v>579</v>
      </c>
      <c r="B585" s="17">
        <f>IF($B$4="표준",'2.치형좌표'!D584,'2.치형좌표'!G584)</f>
        <v>-34.316252903608479</v>
      </c>
      <c r="C585" s="17">
        <f>IF($B$4="표준",'2.치형좌표'!E584,'2.치형좌표'!H584)</f>
        <v>-71.6905036063539</v>
      </c>
      <c r="D585" s="6" t="str">
        <f t="shared" si="9"/>
        <v>-34.31625,-71.69050</v>
      </c>
    </row>
    <row r="586" spans="1:4" x14ac:dyDescent="0.3">
      <c r="A586" s="19">
        <v>580</v>
      </c>
      <c r="B586" s="17">
        <f>IF($B$4="표준",'2.치형좌표'!D585,'2.치형좌표'!G585)</f>
        <v>-34.529669704998632</v>
      </c>
      <c r="C586" s="17">
        <f>IF($B$4="표준",'2.치형좌표'!E585,'2.치형좌표'!H585)</f>
        <v>-71.562827182745806</v>
      </c>
      <c r="D586" s="6" t="str">
        <f t="shared" si="9"/>
        <v>-34.52967,-71.56283</v>
      </c>
    </row>
    <row r="587" spans="1:4" x14ac:dyDescent="0.3">
      <c r="A587" s="19">
        <v>581</v>
      </c>
      <c r="B587" s="17">
        <f>IF($B$4="표준",'2.치형좌표'!D586,'2.치형좌표'!G586)</f>
        <v>-34.731787970737983</v>
      </c>
      <c r="C587" s="17">
        <f>IF($B$4="표준",'2.치형좌표'!E586,'2.치형좌표'!H586)</f>
        <v>-71.424583196911144</v>
      </c>
      <c r="D587" s="6" t="str">
        <f t="shared" si="9"/>
        <v>-34.73179,-71.42458</v>
      </c>
    </row>
    <row r="588" spans="1:4" x14ac:dyDescent="0.3">
      <c r="A588" s="19">
        <v>582</v>
      </c>
      <c r="B588" s="17">
        <f>IF($B$4="표준",'2.치형좌표'!D587,'2.치형좌표'!G587)</f>
        <v>-34.920762978493116</v>
      </c>
      <c r="C588" s="17">
        <f>IF($B$4="표준",'2.치형좌표'!E587,'2.치형좌표'!H587)</f>
        <v>-71.277799975868064</v>
      </c>
      <c r="D588" s="6" t="str">
        <f t="shared" si="9"/>
        <v>-34.92076,-71.27780</v>
      </c>
    </row>
    <row r="589" spans="1:4" x14ac:dyDescent="0.3">
      <c r="A589" s="19">
        <v>583</v>
      </c>
      <c r="B589" s="17">
        <f>IF($B$4="표준",'2.치형좌표'!D588,'2.치형좌표'!G588)</f>
        <v>-35.095105857374833</v>
      </c>
      <c r="C589" s="17">
        <f>IF($B$4="표준",'2.치형좌표'!E588,'2.치형좌표'!H588)</f>
        <v>-71.124727840631536</v>
      </c>
      <c r="D589" s="6" t="str">
        <f t="shared" si="9"/>
        <v>-35.09511,-71.12473</v>
      </c>
    </row>
    <row r="590" spans="1:4" x14ac:dyDescent="0.3">
      <c r="A590" s="19">
        <v>584</v>
      </c>
      <c r="B590" s="17">
        <f>IF($B$4="표준",'2.치형좌표'!D589,'2.치형좌표'!G589)</f>
        <v>-35.253723466673058</v>
      </c>
      <c r="C590" s="17">
        <f>IF($B$4="표준",'2.치형좌표'!E589,'2.치형좌표'!H589)</f>
        <v>-70.967764255677707</v>
      </c>
      <c r="D590" s="6" t="str">
        <f t="shared" si="9"/>
        <v>-35.25372,-70.96776</v>
      </c>
    </row>
    <row r="591" spans="1:4" x14ac:dyDescent="0.3">
      <c r="A591" s="19">
        <v>585</v>
      </c>
      <c r="B591" s="17">
        <f>IF($B$4="표준",'2.치형좌표'!D590,'2.치형좌표'!G590)</f>
        <v>-35.395948093454621</v>
      </c>
      <c r="C591" s="17">
        <f>IF($B$4="표준",'2.치형좌표'!E590,'2.치형좌표'!H590)</f>
        <v>-70.809366753841005</v>
      </c>
      <c r="D591" s="6" t="str">
        <f t="shared" si="9"/>
        <v>-35.39595,-70.80937</v>
      </c>
    </row>
    <row r="592" spans="1:4" x14ac:dyDescent="0.3">
      <c r="A592" s="19">
        <v>586</v>
      </c>
      <c r="B592" s="17">
        <f>IF($B$4="표준",'2.치형좌표'!D591,'2.치형좌표'!G591)</f>
        <v>-35.521556204691208</v>
      </c>
      <c r="C592" s="17">
        <f>IF($B$4="표준",'2.치형좌표'!E591,'2.치형좌표'!H591)</f>
        <v>-70.651952250563212</v>
      </c>
      <c r="D592" s="6" t="str">
        <f t="shared" si="9"/>
        <v>-35.52156,-70.65195</v>
      </c>
    </row>
    <row r="593" spans="1:4" x14ac:dyDescent="0.3">
      <c r="A593" s="19">
        <v>587</v>
      </c>
      <c r="B593" s="17">
        <f>IF($B$4="표준",'2.치형좌표'!D592,'2.치형좌표'!G592)</f>
        <v>-35.630775719227977</v>
      </c>
      <c r="C593" s="17">
        <f>IF($B$4="표준",'2.치형좌표'!E592,'2.치형좌표'!H592)</f>
        <v>-70.497779897968272</v>
      </c>
      <c r="D593" s="6" t="str">
        <f t="shared" si="9"/>
        <v>-35.63078,-70.49778</v>
      </c>
    </row>
    <row r="594" spans="1:4" x14ac:dyDescent="0.3">
      <c r="A594" s="19">
        <v>588</v>
      </c>
      <c r="B594" s="17">
        <f>IF($B$4="표준",'2.치형좌표'!D593,'2.치형좌표'!G593)</f>
        <v>-35.724281638448922</v>
      </c>
      <c r="C594" s="17">
        <f>IF($B$4="표준",'2.치형좌표'!E593,'2.치형좌표'!H593)</f>
        <v>-70.348812162553884</v>
      </c>
      <c r="D594" s="6" t="str">
        <f t="shared" si="9"/>
        <v>-35.72428,-70.34881</v>
      </c>
    </row>
    <row r="595" spans="1:4" x14ac:dyDescent="0.3">
      <c r="A595" s="19">
        <v>589</v>
      </c>
      <c r="B595" s="17">
        <f>IF($B$4="표준",'2.치형좌표'!D594,'2.치형좌표'!G594)</f>
        <v>-35.8031805662295</v>
      </c>
      <c r="C595" s="17">
        <f>IF($B$4="표준",'2.치형좌표'!E594,'2.치형좌표'!H594)</f>
        <v>-70.206544599978585</v>
      </c>
      <c r="D595" s="6" t="str">
        <f t="shared" si="9"/>
        <v>-35.80318,-70.20654</v>
      </c>
    </row>
    <row r="596" spans="1:4" x14ac:dyDescent="0.3">
      <c r="A596" s="19">
        <v>590</v>
      </c>
      <c r="B596" s="17">
        <f>IF($B$4="표준",'2.치형좌표'!D595,'2.치형좌표'!G595)</f>
        <v>-35.868986079731854</v>
      </c>
      <c r="C596" s="17">
        <f>IF($B$4="표준",'2.치형좌표'!E595,'2.치형좌표'!H595)</f>
        <v>-70.071787466703583</v>
      </c>
      <c r="D596" s="6" t="str">
        <f t="shared" si="9"/>
        <v>-35.86899,-70.07179</v>
      </c>
    </row>
    <row r="597" spans="1:4" x14ac:dyDescent="0.3">
      <c r="A597" s="19">
        <v>591</v>
      </c>
      <c r="B597" s="17">
        <f>IF($B$4="표준",'2.치형좌표'!D596,'2.치형좌표'!G596)</f>
        <v>-35.923590113133962</v>
      </c>
      <c r="C597" s="17">
        <f>IF($B$4="표준",'2.치형좌표'!E596,'2.치형좌표'!H596)</f>
        <v>-69.94436920098191</v>
      </c>
      <c r="D597" s="6" t="str">
        <f t="shared" si="9"/>
        <v>-35.92359,-69.94437</v>
      </c>
    </row>
    <row r="598" spans="1:4" x14ac:dyDescent="0.3">
      <c r="A598" s="19">
        <v>592</v>
      </c>
      <c r="B598" s="17">
        <f>IF($B$4="표준",'2.치형좌표'!D597,'2.치형좌표'!G597)</f>
        <v>-35.969243081348004</v>
      </c>
      <c r="C598" s="17">
        <f>IF($B$4="표준",'2.치형좌표'!E597,'2.치형좌표'!H597)</f>
        <v>-69.822707689918502</v>
      </c>
      <c r="D598" s="6" t="str">
        <f t="shared" si="9"/>
        <v>-35.96924,-69.82271</v>
      </c>
    </row>
    <row r="599" spans="1:4" x14ac:dyDescent="0.3">
      <c r="A599" s="19">
        <v>593</v>
      </c>
      <c r="B599" s="17">
        <f>IF($B$4="표준",'2.치형좌표'!D598,'2.치형좌표'!G598)</f>
        <v>-36.008574195927572</v>
      </c>
      <c r="C599" s="17">
        <f>IF($B$4="표준",'2.치형좌표'!E598,'2.치형좌표'!H598)</f>
        <v>-69.703149539299901</v>
      </c>
      <c r="D599" s="6" t="str">
        <f t="shared" si="9"/>
        <v>-36.00857,-69.70315</v>
      </c>
    </row>
    <row r="600" spans="1:4" x14ac:dyDescent="0.3">
      <c r="A600" s="19">
        <v>594</v>
      </c>
      <c r="B600" s="17">
        <f>IF($B$4="표준",'2.치형좌표'!D599,'2.치형좌표'!G599)</f>
        <v>-36.04473195930435</v>
      </c>
      <c r="C600" s="17">
        <f>IF($B$4="표준",'2.치형좌표'!E599,'2.치형좌표'!H599)</f>
        <v>-69.578888760393355</v>
      </c>
      <c r="D600" s="6" t="str">
        <f t="shared" si="9"/>
        <v>-36.04473,-69.57889</v>
      </c>
    </row>
    <row r="601" spans="1:4" x14ac:dyDescent="0.3">
      <c r="A601" s="19">
        <v>595</v>
      </c>
      <c r="B601" s="17">
        <f>IF($B$4="표준",'2.치형좌표'!D600,'2.치형좌표'!G600)</f>
        <v>-36.081857028138081</v>
      </c>
      <c r="C601" s="17">
        <f>IF($B$4="표준",'2.치형좌표'!E600,'2.치형좌표'!H600)</f>
        <v>-69.438102186217478</v>
      </c>
      <c r="D601" s="6" t="str">
        <f t="shared" si="9"/>
        <v>-36.08186,-69.43810</v>
      </c>
    </row>
    <row r="602" spans="1:4" x14ac:dyDescent="0.3">
      <c r="A602" s="19">
        <v>596</v>
      </c>
      <c r="B602" s="17">
        <f>IF($B$4="표준",'2.치형좌표'!D601,'2.치형좌표'!G601)</f>
        <v>-36.126478840889426</v>
      </c>
      <c r="C602" s="17">
        <f>IF($B$4="표준",'2.치형좌표'!E601,'2.치형좌표'!H601)</f>
        <v>-69.260611722251681</v>
      </c>
      <c r="D602" s="6" t="str">
        <f t="shared" si="9"/>
        <v>-36.12648,-69.26061</v>
      </c>
    </row>
    <row r="603" spans="1:4" x14ac:dyDescent="0.3">
      <c r="A603" s="19">
        <v>597</v>
      </c>
      <c r="B603" s="17">
        <f>IF($B$4="표준",'2.치형좌표'!D602,'2.치형좌표'!G602)</f>
        <v>-36.191561953419821</v>
      </c>
      <c r="C603" s="17">
        <f>IF($B$4="표준",'2.치형좌표'!E602,'2.치형좌표'!H602)</f>
        <v>-69.011905111699122</v>
      </c>
      <c r="D603" s="6" t="str">
        <f t="shared" si="9"/>
        <v>-36.19156,-69.01191</v>
      </c>
    </row>
    <row r="604" spans="1:4" x14ac:dyDescent="0.3">
      <c r="A604" s="19">
        <v>598</v>
      </c>
      <c r="B604" s="17">
        <f>IF($B$4="표준",'2.치형좌표'!D603,'2.치형좌표'!G603)</f>
        <v>-36.308294764715072</v>
      </c>
      <c r="C604" s="17">
        <f>IF($B$4="표준",'2.치형좌표'!E603,'2.치형좌표'!H603)</f>
        <v>-68.633667780631583</v>
      </c>
      <c r="D604" s="6" t="str">
        <f t="shared" si="9"/>
        <v>-36.30829,-68.63367</v>
      </c>
    </row>
    <row r="605" spans="1:4" x14ac:dyDescent="0.3">
      <c r="A605" s="19">
        <v>599</v>
      </c>
      <c r="B605" s="17">
        <f>IF($B$4="표준",'2.치형좌표'!D604,'2.치형좌표'!G604)</f>
        <v>-36.558559238926527</v>
      </c>
      <c r="C605" s="17">
        <f>IF($B$4="표준",'2.치형좌표'!E604,'2.치형좌표'!H604)</f>
        <v>-68.038611219829818</v>
      </c>
      <c r="D605" s="6" t="str">
        <f t="shared" si="9"/>
        <v>-36.55856,-68.03861</v>
      </c>
    </row>
    <row r="606" spans="1:4" x14ac:dyDescent="0.3">
      <c r="A606" s="19">
        <v>600</v>
      </c>
      <c r="B606" s="17">
        <f>IF($B$4="표준",'2.치형좌표'!D605,'2.치형좌표'!G605)</f>
        <v>-37.133677599958553</v>
      </c>
      <c r="C606" s="17">
        <f>IF($B$4="표준",'2.치형좌표'!E605,'2.치형좌표'!H605)</f>
        <v>-67.168412242008884</v>
      </c>
      <c r="D606" s="6" t="str">
        <f t="shared" si="9"/>
        <v>-37.13368,-67.16841</v>
      </c>
    </row>
    <row r="607" spans="1:4" x14ac:dyDescent="0.3">
      <c r="A607" s="19">
        <v>601</v>
      </c>
      <c r="B607" s="17">
        <f>IF($B$4="표준",'2.치형좌표'!D606,'2.치형좌표'!G606)</f>
        <v>-38.244400000007751</v>
      </c>
      <c r="C607" s="17">
        <f>IF($B$4="표준",'2.치형좌표'!E606,'2.치형좌표'!H606)</f>
        <v>-66.241243904982696</v>
      </c>
      <c r="D607" s="6" t="str">
        <f t="shared" si="9"/>
        <v>-38.24440,-66.24124</v>
      </c>
    </row>
    <row r="608" spans="1:4" x14ac:dyDescent="0.3">
      <c r="A608" s="19">
        <v>602</v>
      </c>
      <c r="B608" s="17">
        <f>IF($B$4="표준",'2.치형좌표'!D607,'2.치형좌표'!G607)</f>
        <v>-39.60271253348089</v>
      </c>
      <c r="C608" s="17">
        <f>IF($B$4="표준",'2.치형좌표'!E607,'2.치형좌표'!H607)</f>
        <v>-65.742914258507014</v>
      </c>
      <c r="D608" s="6" t="str">
        <f t="shared" si="9"/>
        <v>-39.60271,-65.74291</v>
      </c>
    </row>
    <row r="609" spans="1:4" x14ac:dyDescent="0.3">
      <c r="A609" s="19">
        <v>603</v>
      </c>
      <c r="B609" s="17">
        <f>IF($B$4="표준",'2.치형좌표'!D608,'2.치형좌표'!G608)</f>
        <v>-40.643886135131773</v>
      </c>
      <c r="C609" s="17">
        <f>IF($B$4="표준",'2.치형좌표'!E608,'2.치형좌표'!H608)</f>
        <v>-65.67994663658412</v>
      </c>
      <c r="D609" s="6" t="str">
        <f t="shared" si="9"/>
        <v>-40.64389,-65.67995</v>
      </c>
    </row>
    <row r="610" spans="1:4" x14ac:dyDescent="0.3">
      <c r="A610" s="19">
        <v>604</v>
      </c>
      <c r="B610" s="17">
        <f>IF($B$4="표준",'2.치형좌표'!D609,'2.치형좌표'!G609)</f>
        <v>-41.284352470576607</v>
      </c>
      <c r="C610" s="17">
        <f>IF($B$4="표준",'2.치형좌표'!E609,'2.치형좌표'!H609)</f>
        <v>-65.760739524653658</v>
      </c>
      <c r="D610" s="6" t="str">
        <f t="shared" si="9"/>
        <v>-41.28435,-65.76074</v>
      </c>
    </row>
    <row r="611" spans="1:4" x14ac:dyDescent="0.3">
      <c r="A611" s="19">
        <v>605</v>
      </c>
      <c r="B611" s="17">
        <f>IF($B$4="표준",'2.치형좌표'!D610,'2.치형좌표'!G610)</f>
        <v>-41.670282013586224</v>
      </c>
      <c r="C611" s="17">
        <f>IF($B$4="표준",'2.치형좌표'!E610,'2.치형좌표'!H610)</f>
        <v>-65.848764610150411</v>
      </c>
      <c r="D611" s="6" t="str">
        <f t="shared" si="9"/>
        <v>-41.67028,-65.84876</v>
      </c>
    </row>
    <row r="612" spans="1:4" x14ac:dyDescent="0.3">
      <c r="A612" s="19">
        <v>606</v>
      </c>
      <c r="B612" s="17">
        <f>IF($B$4="표준",'2.치형좌표'!D611,'2.치형좌표'!G611)</f>
        <v>-41.91820981267788</v>
      </c>
      <c r="C612" s="17">
        <f>IF($B$4="표준",'2.치형좌표'!E611,'2.치형좌표'!H611)</f>
        <v>-65.916754286617774</v>
      </c>
      <c r="D612" s="6" t="str">
        <f t="shared" si="9"/>
        <v>-41.91821,-65.91675</v>
      </c>
    </row>
    <row r="613" spans="1:4" x14ac:dyDescent="0.3">
      <c r="A613" s="19">
        <v>607</v>
      </c>
      <c r="B613" s="17">
        <f>IF($B$4="표준",'2.치형좌표'!D612,'2.치형좌표'!G612)</f>
        <v>-42.094231969776864</v>
      </c>
      <c r="C613" s="17">
        <f>IF($B$4="표준",'2.치형좌표'!E612,'2.치형좌표'!H612)</f>
        <v>-65.966855895194911</v>
      </c>
      <c r="D613" s="6" t="str">
        <f t="shared" si="9"/>
        <v>-42.09423,-65.96686</v>
      </c>
    </row>
    <row r="614" spans="1:4" x14ac:dyDescent="0.3">
      <c r="A614" s="19">
        <v>608</v>
      </c>
      <c r="B614" s="17">
        <f>IF($B$4="표준",'2.치형좌표'!D613,'2.치형좌표'!G613)</f>
        <v>-42.23471925394152</v>
      </c>
      <c r="C614" s="17">
        <f>IF($B$4="표준",'2.치형좌표'!E613,'2.치형좌표'!H613)</f>
        <v>-66.005097929555504</v>
      </c>
      <c r="D614" s="6" t="str">
        <f t="shared" si="9"/>
        <v>-42.23472,-66.00510</v>
      </c>
    </row>
    <row r="615" spans="1:4" x14ac:dyDescent="0.3">
      <c r="A615" s="19">
        <v>609</v>
      </c>
      <c r="B615" s="17">
        <f>IF($B$4="표준",'2.치형좌표'!D614,'2.치형좌표'!G614)</f>
        <v>-42.360411126856945</v>
      </c>
      <c r="C615" s="17">
        <f>IF($B$4="표준",'2.치형좌표'!E614,'2.치형좌표'!H614)</f>
        <v>-66.035914777380384</v>
      </c>
      <c r="D615" s="6" t="str">
        <f t="shared" si="9"/>
        <v>-42.36041,-66.03591</v>
      </c>
    </row>
    <row r="616" spans="1:4" x14ac:dyDescent="0.3">
      <c r="A616" s="19">
        <v>610</v>
      </c>
      <c r="B616" s="17">
        <f>IF($B$4="표준",'2.치형좌표'!D615,'2.치형좌표'!G615)</f>
        <v>-42.483617079811964</v>
      </c>
      <c r="C616" s="17">
        <f>IF($B$4="표준",'2.치형좌표'!E615,'2.치형좌표'!H615)</f>
        <v>-66.061632108304565</v>
      </c>
      <c r="D616" s="6" t="str">
        <f t="shared" si="9"/>
        <v>-42.48362,-66.06163</v>
      </c>
    </row>
    <row r="617" spans="1:4" x14ac:dyDescent="0.3">
      <c r="A617" s="19">
        <v>611</v>
      </c>
      <c r="B617" s="17">
        <f>IF($B$4="표준",'2.치형좌표'!D616,'2.치형좌표'!G616)</f>
        <v>-42.611805523162772</v>
      </c>
      <c r="C617" s="17">
        <f>IF($B$4="표준",'2.치형좌표'!E616,'2.치형좌표'!H616)</f>
        <v>-66.082926233604667</v>
      </c>
      <c r="D617" s="6" t="str">
        <f t="shared" si="9"/>
        <v>-42.61181,-66.08293</v>
      </c>
    </row>
    <row r="618" spans="1:4" x14ac:dyDescent="0.3">
      <c r="A618" s="19">
        <v>612</v>
      </c>
      <c r="B618" s="17">
        <f>IF($B$4="표준",'2.치형좌표'!D617,'2.치형좌표'!G617)</f>
        <v>-42.749454994885106</v>
      </c>
      <c r="C618" s="17">
        <f>IF($B$4="표준",'2.치형좌표'!E617,'2.치형좌표'!H617)</f>
        <v>-66.099346886390123</v>
      </c>
      <c r="D618" s="6" t="str">
        <f t="shared" si="9"/>
        <v>-42.74945,-66.09935</v>
      </c>
    </row>
    <row r="619" spans="1:4" x14ac:dyDescent="0.3">
      <c r="A619" s="19">
        <v>613</v>
      </c>
      <c r="B619" s="17">
        <f>IF($B$4="표준",'2.치형좌표'!D618,'2.치형좌표'!G618)</f>
        <v>-42.899060852393688</v>
      </c>
      <c r="C619" s="17">
        <f>IF($B$4="표준",'2.치형좌표'!E618,'2.치형좌표'!H618)</f>
        <v>-66.109736206625414</v>
      </c>
      <c r="D619" s="6" t="str">
        <f t="shared" si="9"/>
        <v>-42.89906,-66.10974</v>
      </c>
    </row>
    <row r="620" spans="1:4" x14ac:dyDescent="0.3">
      <c r="A620" s="19">
        <v>614</v>
      </c>
      <c r="B620" s="17">
        <f>IF($B$4="표준",'2.치형좌표'!D619,'2.치형좌표'!G619)</f>
        <v>-43.061717639608879</v>
      </c>
      <c r="C620" s="17">
        <f>IF($B$4="표준",'2.치형좌표'!E619,'2.치형좌표'!H619)</f>
        <v>-66.112541512123684</v>
      </c>
      <c r="D620" s="6" t="str">
        <f t="shared" si="9"/>
        <v>-43.06172,-66.11254</v>
      </c>
    </row>
    <row r="621" spans="1:4" x14ac:dyDescent="0.3">
      <c r="A621" s="19">
        <v>615</v>
      </c>
      <c r="B621" s="17">
        <f>IF($B$4="표준",'2.치형좌표'!D620,'2.치형좌표'!G620)</f>
        <v>-43.237480442432584</v>
      </c>
      <c r="C621" s="17">
        <f>IF($B$4="표준",'2.치형좌표'!E620,'2.치형좌표'!H620)</f>
        <v>-66.106046878381179</v>
      </c>
      <c r="D621" s="6" t="str">
        <f t="shared" si="9"/>
        <v>-43.23748,-66.10605</v>
      </c>
    </row>
    <row r="622" spans="1:4" x14ac:dyDescent="0.3">
      <c r="A622" s="19">
        <v>616</v>
      </c>
      <c r="B622" s="17">
        <f>IF($B$4="표준",'2.치형좌표'!D621,'2.치형좌표'!G621)</f>
        <v>-43.425607373609523</v>
      </c>
      <c r="C622" s="17">
        <f>IF($B$4="표준",'2.치형좌표'!E621,'2.치형좌표'!H621)</f>
        <v>-66.088546180500657</v>
      </c>
      <c r="D622" s="6" t="str">
        <f t="shared" si="9"/>
        <v>-43.42561,-66.08855</v>
      </c>
    </row>
    <row r="623" spans="1:4" x14ac:dyDescent="0.3">
      <c r="A623" s="19">
        <v>617</v>
      </c>
      <c r="B623" s="17">
        <f>IF($B$4="표준",'2.치형좌표'!D622,'2.치형좌표'!G622)</f>
        <v>-43.62473638799063</v>
      </c>
      <c r="C623" s="17">
        <f>IF($B$4="표준",'2.치형좌표'!E622,'2.치형좌표'!H622)</f>
        <v>-66.058473616887127</v>
      </c>
      <c r="D623" s="6" t="str">
        <f t="shared" si="9"/>
        <v>-43.62474,-66.05847</v>
      </c>
    </row>
    <row r="624" spans="1:4" x14ac:dyDescent="0.3">
      <c r="A624" s="19">
        <v>618</v>
      </c>
      <c r="B624" s="17">
        <f>IF($B$4="표준",'2.치형좌표'!D623,'2.치형좌표'!G623)</f>
        <v>-43.833024961868027</v>
      </c>
      <c r="C624" s="17">
        <f>IF($B$4="표준",'2.치형좌표'!E623,'2.치형좌표'!H623)</f>
        <v>-66.014502227968734</v>
      </c>
      <c r="D624" s="6" t="str">
        <f t="shared" si="9"/>
        <v>-43.83302,-66.01450</v>
      </c>
    </row>
    <row r="625" spans="1:4" x14ac:dyDescent="0.3">
      <c r="A625" s="19">
        <v>619</v>
      </c>
      <c r="B625" s="17">
        <f>IF($B$4="표준",'2.치형좌표'!D624,'2.치형좌표'!G624)</f>
        <v>-44.048268218556359</v>
      </c>
      <c r="C625" s="17">
        <f>IF($B$4="표준",'2.치형좌표'!E624,'2.치형좌표'!H624)</f>
        <v>-65.955617141305652</v>
      </c>
      <c r="D625" s="6" t="str">
        <f t="shared" si="9"/>
        <v>-44.04827,-65.95562</v>
      </c>
    </row>
    <row r="626" spans="1:4" x14ac:dyDescent="0.3">
      <c r="A626" s="19">
        <v>620</v>
      </c>
      <c r="B626" s="17">
        <f>IF($B$4="표준",'2.치형좌표'!D625,'2.치형좌표'!G625)</f>
        <v>-44.268004015723612</v>
      </c>
      <c r="C626" s="17">
        <f>IF($B$4="표준",'2.치형좌표'!E625,'2.치형좌표'!H625)</f>
        <v>-65.88116784684324</v>
      </c>
      <c r="D626" s="6" t="str">
        <f t="shared" si="9"/>
        <v>-44.26800,-65.88117</v>
      </c>
    </row>
    <row r="627" spans="1:4" x14ac:dyDescent="0.3">
      <c r="A627" s="19">
        <v>621</v>
      </c>
      <c r="B627" s="17">
        <f>IF($B$4="표준",'2.치형좌표'!D626,'2.치형좌표'!G626)</f>
        <v>-44.489609517873774</v>
      </c>
      <c r="C627" s="17">
        <f>IF($B$4="표준",'2.치형좌표'!E626,'2.치형좌표'!H626)</f>
        <v>-65.790902299968323</v>
      </c>
      <c r="D627" s="6" t="str">
        <f t="shared" si="9"/>
        <v>-44.48961,-65.79090</v>
      </c>
    </row>
    <row r="628" spans="1:4" x14ac:dyDescent="0.3">
      <c r="A628" s="19">
        <v>622</v>
      </c>
      <c r="B628" s="17">
        <f>IF($B$4="표준",'2.치형좌표'!D627,'2.치형좌표'!G627)</f>
        <v>-44.710391454396699</v>
      </c>
      <c r="C628" s="17">
        <f>IF($B$4="표준",'2.치형좌표'!E627,'2.치형좌표'!H627)</f>
        <v>-65.684984740186309</v>
      </c>
      <c r="D628" s="6" t="str">
        <f t="shared" si="9"/>
        <v>-44.71039,-65.68498</v>
      </c>
    </row>
    <row r="629" spans="1:4" x14ac:dyDescent="0.3">
      <c r="A629" s="19">
        <v>623</v>
      </c>
      <c r="B629" s="17">
        <f>IF($B$4="표준",'2.치형좌표'!D628,'2.치형좌표'!G628)</f>
        <v>-44.927670881400637</v>
      </c>
      <c r="C629" s="17">
        <f>IF($B$4="표준",'2.치형좌표'!E628,'2.치형좌표'!H628)</f>
        <v>-65.563998580391896</v>
      </c>
      <c r="D629" s="6" t="str">
        <f t="shared" si="9"/>
        <v>-44.92767,-65.56400</v>
      </c>
    </row>
    <row r="630" spans="1:4" x14ac:dyDescent="0.3">
      <c r="A630" s="19">
        <v>624</v>
      </c>
      <c r="B630" s="17">
        <f>IF($B$4="표준",'2.치형좌표'!D629,'2.치형좌표'!G629)</f>
        <v>-45.138862433567461</v>
      </c>
      <c r="C630" s="17">
        <f>IF($B$4="표준",'2.치형좌표'!E629,'2.치형좌표'!H629)</f>
        <v>-65.428935422166404</v>
      </c>
      <c r="D630" s="6" t="str">
        <f t="shared" si="9"/>
        <v>-45.13886,-65.42894</v>
      </c>
    </row>
    <row r="631" spans="1:4" x14ac:dyDescent="0.3">
      <c r="A631" s="19">
        <v>625</v>
      </c>
      <c r="B631" s="17">
        <f>IF($B$4="표준",'2.치형좌표'!D630,'2.치형좌표'!G630)</f>
        <v>-45.341547553896348</v>
      </c>
      <c r="C631" s="17">
        <f>IF($B$4="표준",'2.치형좌표'!E630,'2.치형좌표'!H630)</f>
        <v>-65.281171091131398</v>
      </c>
      <c r="D631" s="6" t="str">
        <f t="shared" si="9"/>
        <v>-45.34155,-65.28117</v>
      </c>
    </row>
    <row r="632" spans="1:4" x14ac:dyDescent="0.3">
      <c r="A632" s="19">
        <v>626</v>
      </c>
      <c r="B632" s="17">
        <f>IF($B$4="표준",'2.치형좌표'!D631,'2.치형좌표'!G631)</f>
        <v>-45.533540899882851</v>
      </c>
      <c r="C632" s="17">
        <f>IF($B$4="표준",'2.치형좌표'!E631,'2.치형좌표'!H631)</f>
        <v>-65.122429497232986</v>
      </c>
      <c r="D632" s="6" t="str">
        <f t="shared" si="9"/>
        <v>-45.53354,-65.12243</v>
      </c>
    </row>
    <row r="633" spans="1:4" x14ac:dyDescent="0.3">
      <c r="A633" s="19">
        <v>627</v>
      </c>
      <c r="B633" s="17">
        <f>IF($B$4="표준",'2.치형좌표'!D632,'2.치형좌표'!G632)</f>
        <v>-45.712948969710517</v>
      </c>
      <c r="C633" s="17">
        <f>IF($B$4="표준",'2.치형좌표'!E632,'2.치형좌표'!H632)</f>
        <v>-64.954735058138851</v>
      </c>
      <c r="D633" s="6" t="str">
        <f t="shared" si="9"/>
        <v>-45.71295,-64.95474</v>
      </c>
    </row>
    <row r="634" spans="1:4" x14ac:dyDescent="0.3">
      <c r="A634" s="19">
        <v>628</v>
      </c>
      <c r="B634" s="17">
        <f>IF($B$4="표준",'2.치형좌표'!D633,'2.치형좌표'!G633)</f>
        <v>-45.878219924030972</v>
      </c>
      <c r="C634" s="17">
        <f>IF($B$4="표준",'2.치형좌표'!E633,'2.치형좌표'!H633)</f>
        <v>-64.780354336368291</v>
      </c>
      <c r="D634" s="6" t="str">
        <f t="shared" si="9"/>
        <v>-45.87822,-64.78035</v>
      </c>
    </row>
    <row r="635" spans="1:4" x14ac:dyDescent="0.3">
      <c r="A635" s="19">
        <v>629</v>
      </c>
      <c r="B635" s="17">
        <f>IF($B$4="표준",'2.치형좌표'!D634,'2.치형좌표'!G634)</f>
        <v>-46.028183565429842</v>
      </c>
      <c r="C635" s="17">
        <f>IF($B$4="표준",'2.치형좌표'!E634,'2.치형좌표'!H634)</f>
        <v>-64.601727387012176</v>
      </c>
      <c r="D635" s="6" t="str">
        <f t="shared" si="9"/>
        <v>-46.02818,-64.60173</v>
      </c>
    </row>
    <row r="636" spans="1:4" x14ac:dyDescent="0.3">
      <c r="A636" s="19">
        <v>630</v>
      </c>
      <c r="B636" s="17">
        <f>IF($B$4="표준",'2.치형좌표'!D635,'2.치형좌표'!G635)</f>
        <v>-46.162080454180121</v>
      </c>
      <c r="C636" s="17">
        <f>IF($B$4="표준",'2.치형좌표'!E635,'2.치형좌표'!H635)</f>
        <v>-64.421389036102738</v>
      </c>
      <c r="D636" s="6" t="str">
        <f t="shared" si="9"/>
        <v>-46.16208,-64.42139</v>
      </c>
    </row>
    <row r="637" spans="1:4" x14ac:dyDescent="0.3">
      <c r="A637" s="19">
        <v>631</v>
      </c>
      <c r="B637" s="17">
        <f>IF($B$4="표준",'2.치형좌표'!D636,'2.치형좌표'!G636)</f>
        <v>-46.279579164892134</v>
      </c>
      <c r="C637" s="17">
        <f>IF($B$4="표준",'2.치형좌표'!E636,'2.치형좌표'!H636)</f>
        <v>-64.241879827892106</v>
      </c>
      <c r="D637" s="6" t="str">
        <f t="shared" si="9"/>
        <v>-46.27958,-64.24188</v>
      </c>
    </row>
    <row r="638" spans="1:4" x14ac:dyDescent="0.3">
      <c r="A638" s="19">
        <v>632</v>
      </c>
      <c r="B638" s="17">
        <f>IF($B$4="표준",'2.치형좌표'!D637,'2.치형좌표'!G637)</f>
        <v>-46.380780706279005</v>
      </c>
      <c r="C638" s="17">
        <f>IF($B$4="표준",'2.치형좌표'!E637,'2.치형좌표'!H637)</f>
        <v>-64.065645562958167</v>
      </c>
      <c r="D638" s="6" t="str">
        <f t="shared" si="9"/>
        <v>-46.38078,-64.06565</v>
      </c>
    </row>
    <row r="639" spans="1:4" x14ac:dyDescent="0.3">
      <c r="A639" s="19">
        <v>633</v>
      </c>
      <c r="B639" s="17">
        <f>IF($B$4="표준",'2.치형좌표'!D638,'2.치형좌표'!G638)</f>
        <v>-46.466209122076791</v>
      </c>
      <c r="C639" s="17">
        <f>IF($B$4="표준",'2.치형좌표'!E638,'2.치형좌표'!H638)</f>
        <v>-63.894922980836313</v>
      </c>
      <c r="D639" s="6" t="str">
        <f t="shared" si="9"/>
        <v>-46.46621,-63.89492</v>
      </c>
    </row>
    <row r="640" spans="1:4" x14ac:dyDescent="0.3">
      <c r="A640" s="19">
        <v>634</v>
      </c>
      <c r="B640" s="17">
        <f>IF($B$4="표준",'2.치형좌표'!D639,'2.치형좌표'!G639)</f>
        <v>-46.536787265479781</v>
      </c>
      <c r="C640" s="17">
        <f>IF($B$4="표준",'2.치형좌표'!E639,'2.치형좌표'!H639)</f>
        <v>-63.731606840243089</v>
      </c>
      <c r="D640" s="6" t="str">
        <f t="shared" si="9"/>
        <v>-46.53679,-63.73161</v>
      </c>
    </row>
    <row r="641" spans="1:4" x14ac:dyDescent="0.3">
      <c r="A641" s="19">
        <v>635</v>
      </c>
      <c r="B641" s="17">
        <f>IF($B$4="표준",'2.치형좌표'!D640,'2.치형좌표'!G640)</f>
        <v>-46.593796734186839</v>
      </c>
      <c r="C641" s="17">
        <f>IF($B$4="표준",'2.치형좌표'!E640,'2.치형좌표'!H640)</f>
        <v>-63.57708972662364</v>
      </c>
      <c r="D641" s="6" t="str">
        <f t="shared" si="9"/>
        <v>-46.59380,-63.57709</v>
      </c>
    </row>
    <row r="642" spans="1:4" x14ac:dyDescent="0.3">
      <c r="A642" s="19">
        <v>636</v>
      </c>
      <c r="B642" s="17">
        <f>IF($B$4="표준",'2.치형좌표'!D641,'2.치형좌표'!G641)</f>
        <v>-46.638821130327599</v>
      </c>
      <c r="C642" s="17">
        <f>IF($B$4="표준",'2.치형좌표'!E641,'2.치형좌표'!H641)</f>
        <v>-63.432059076696504</v>
      </c>
      <c r="D642" s="6" t="str">
        <f t="shared" si="9"/>
        <v>-46.63882,-63.43206</v>
      </c>
    </row>
    <row r="643" spans="1:4" x14ac:dyDescent="0.3">
      <c r="A643" s="19">
        <v>637</v>
      </c>
      <c r="B643" s="17">
        <f>IF($B$4="표준",'2.치형좌표'!D642,'2.치형좌표'!G642)</f>
        <v>-46.673672670186917</v>
      </c>
      <c r="C643" s="17">
        <f>IF($B$4="표준",'2.치형좌표'!E642,'2.치형좌표'!H642)</f>
        <v>-63.29622364767939</v>
      </c>
      <c r="D643" s="6" t="str">
        <f t="shared" si="9"/>
        <v>-46.67367,-63.29622</v>
      </c>
    </row>
    <row r="644" spans="1:4" x14ac:dyDescent="0.3">
      <c r="A644" s="19">
        <v>638</v>
      </c>
      <c r="B644" s="17">
        <f>IF($B$4="표준",'2.치형좌표'!D643,'2.치형좌표'!G643)</f>
        <v>-46.700305174608161</v>
      </c>
      <c r="C644" s="17">
        <f>IF($B$4="표준",'2.치형좌표'!E643,'2.치형좌표'!H643)</f>
        <v>-63.167918969070989</v>
      </c>
      <c r="D644" s="6" t="str">
        <f t="shared" si="9"/>
        <v>-46.70031,-63.16792</v>
      </c>
    </row>
    <row r="645" spans="1:4" x14ac:dyDescent="0.3">
      <c r="A645" s="19">
        <v>639</v>
      </c>
      <c r="B645" s="17">
        <f>IF($B$4="표준",'2.치형좌표'!D644,'2.치형좌표'!G644)</f>
        <v>-46.72072586894722</v>
      </c>
      <c r="C645" s="17">
        <f>IF($B$4="표준",'2.치형좌표'!E644,'2.치형좌표'!H644)</f>
        <v>-63.043497901132014</v>
      </c>
      <c r="D645" s="6" t="str">
        <f t="shared" si="9"/>
        <v>-46.72073,-63.04350</v>
      </c>
    </row>
    <row r="646" spans="1:4" x14ac:dyDescent="0.3">
      <c r="A646" s="19">
        <v>640</v>
      </c>
      <c r="B646" s="17">
        <f>IF($B$4="표준",'2.치형좌표'!D645,'2.치형좌표'!G645)</f>
        <v>-46.736946822729102</v>
      </c>
      <c r="C646" s="17">
        <f>IF($B$4="표준",'2.치형좌표'!E645,'2.치형좌표'!H645)</f>
        <v>-62.916326679264976</v>
      </c>
      <c r="D646" s="6" t="str">
        <f t="shared" si="9"/>
        <v>-46.73695,-62.91633</v>
      </c>
    </row>
    <row r="647" spans="1:4" x14ac:dyDescent="0.3">
      <c r="A647" s="19">
        <v>641</v>
      </c>
      <c r="B647" s="17">
        <f>IF($B$4="표준",'2.치형좌표'!D646,'2.치형좌표'!G646)</f>
        <v>-46.75110313221321</v>
      </c>
      <c r="C647" s="17">
        <f>IF($B$4="표준",'2.치형좌표'!E646,'2.치형좌표'!H646)</f>
        <v>-62.775033651892507</v>
      </c>
      <c r="D647" s="6" t="str">
        <f t="shared" ref="D647:D710" si="10">TEXT(B647,"0.00000")&amp;","&amp;TEXT(C647,"0.00000")</f>
        <v>-46.75110,-62.77503</v>
      </c>
    </row>
    <row r="648" spans="1:4" x14ac:dyDescent="0.3">
      <c r="A648" s="19">
        <v>642</v>
      </c>
      <c r="B648" s="17">
        <f>IF($B$4="표준",'2.치형좌표'!D647,'2.치형좌표'!G647)</f>
        <v>-46.766134225811605</v>
      </c>
      <c r="C648" s="17">
        <f>IF($B$4="표준",'2.치형좌표'!E647,'2.치형좌표'!H647)</f>
        <v>-62.600311136126415</v>
      </c>
      <c r="D648" s="6" t="str">
        <f t="shared" si="10"/>
        <v>-46.76613,-62.60031</v>
      </c>
    </row>
    <row r="649" spans="1:4" x14ac:dyDescent="0.3">
      <c r="A649" s="19">
        <v>643</v>
      </c>
      <c r="B649" s="17">
        <f>IF($B$4="표준",'2.치형좌표'!D648,'2.치형좌표'!G648)</f>
        <v>-46.788293861233527</v>
      </c>
      <c r="C649" s="17">
        <f>IF($B$4="표준",'2.치형좌표'!E648,'2.치형좌표'!H648)</f>
        <v>-62.358953266980016</v>
      </c>
      <c r="D649" s="6" t="str">
        <f t="shared" si="10"/>
        <v>-46.78829,-62.35895</v>
      </c>
    </row>
    <row r="650" spans="1:4" x14ac:dyDescent="0.3">
      <c r="A650" s="19">
        <v>644</v>
      </c>
      <c r="B650" s="17">
        <f>IF($B$4="표준",'2.치형좌표'!D649,'2.치형좌표'!G649)</f>
        <v>-46.835582494891128</v>
      </c>
      <c r="C650" s="17">
        <f>IF($B$4="표준",'2.치형좌표'!E649,'2.치형좌표'!H649)</f>
        <v>-61.993363045050302</v>
      </c>
      <c r="D650" s="6" t="str">
        <f t="shared" si="10"/>
        <v>-46.83558,-61.99336</v>
      </c>
    </row>
    <row r="651" spans="1:4" x14ac:dyDescent="0.3">
      <c r="A651" s="19">
        <v>645</v>
      </c>
      <c r="B651" s="17">
        <f>IF($B$4="표준",'2.치형좌표'!D650,'2.치형좌표'!G650)</f>
        <v>-46.964277076594946</v>
      </c>
      <c r="C651" s="17">
        <f>IF($B$4="표준",'2.치형좌표'!E650,'2.치형좌표'!H650)</f>
        <v>-61.409659505992373</v>
      </c>
      <c r="D651" s="6" t="str">
        <f t="shared" si="10"/>
        <v>-46.96428,-61.40966</v>
      </c>
    </row>
    <row r="652" spans="1:4" x14ac:dyDescent="0.3">
      <c r="A652" s="19">
        <v>646</v>
      </c>
      <c r="B652" s="17">
        <f>IF($B$4="표준",'2.치형좌표'!D651,'2.치형좌표'!G651)</f>
        <v>-47.332187034613682</v>
      </c>
      <c r="C652" s="17">
        <f>IF($B$4="표준",'2.치형좌표'!E651,'2.치형좌표'!H651)</f>
        <v>-60.507878354563182</v>
      </c>
      <c r="D652" s="6" t="str">
        <f t="shared" si="10"/>
        <v>-47.33219,-60.50788</v>
      </c>
    </row>
    <row r="653" spans="1:4" x14ac:dyDescent="0.3">
      <c r="A653" s="19">
        <v>647</v>
      </c>
      <c r="B653" s="17">
        <f>IF($B$4="표준",'2.치형좌표'!D652,'2.치형좌표'!G652)</f>
        <v>-48.194797656098807</v>
      </c>
      <c r="C653" s="17">
        <f>IF($B$4="표준",'2.치형좌표'!E652,'2.치형좌표'!H652)</f>
        <v>-59.404410264522447</v>
      </c>
      <c r="D653" s="6" t="str">
        <f t="shared" si="10"/>
        <v>-48.19480,-59.40441</v>
      </c>
    </row>
    <row r="654" spans="1:4" x14ac:dyDescent="0.3">
      <c r="A654" s="19">
        <v>648</v>
      </c>
      <c r="B654" s="17">
        <f>IF($B$4="표준",'2.치형좌표'!D653,'2.치형좌표'!G653)</f>
        <v>-49.447050697266178</v>
      </c>
      <c r="C654" s="17">
        <f>IF($B$4="표준",'2.치형좌표'!E653,'2.치형좌표'!H653)</f>
        <v>-58.611017029689336</v>
      </c>
      <c r="D654" s="6" t="str">
        <f t="shared" si="10"/>
        <v>-49.44705,-58.61102</v>
      </c>
    </row>
    <row r="655" spans="1:4" x14ac:dyDescent="0.3">
      <c r="A655" s="19">
        <v>649</v>
      </c>
      <c r="B655" s="17">
        <f>IF($B$4="표준",'2.치형좌표'!D654,'2.치형좌표'!G654)</f>
        <v>-50.522967741803342</v>
      </c>
      <c r="C655" s="17">
        <f>IF($B$4="표준",'2.치형좌표'!E654,'2.치형좌표'!H654)</f>
        <v>-58.325155265402344</v>
      </c>
      <c r="D655" s="6" t="str">
        <f t="shared" si="10"/>
        <v>-50.52297,-58.32516</v>
      </c>
    </row>
    <row r="656" spans="1:4" x14ac:dyDescent="0.3">
      <c r="A656" s="19">
        <v>650</v>
      </c>
      <c r="B656" s="17">
        <f>IF($B$4="표준",'2.치형좌표'!D655,'2.치형좌표'!G655)</f>
        <v>-51.218955755561616</v>
      </c>
      <c r="C656" s="17">
        <f>IF($B$4="표준",'2.치형좌표'!E655,'2.치형좌표'!H655)</f>
        <v>-58.28495627111274</v>
      </c>
      <c r="D656" s="6" t="str">
        <f t="shared" si="10"/>
        <v>-51.21896,-58.28496</v>
      </c>
    </row>
    <row r="657" spans="1:4" x14ac:dyDescent="0.3">
      <c r="A657" s="19">
        <v>651</v>
      </c>
      <c r="B657" s="17">
        <f>IF($B$4="표준",'2.치형좌표'!D656,'2.치형좌표'!G656)</f>
        <v>-51.644028512937282</v>
      </c>
      <c r="C657" s="17">
        <f>IF($B$4="표준",'2.치형좌표'!E656,'2.치형좌표'!H656)</f>
        <v>-58.307186265141738</v>
      </c>
      <c r="D657" s="6" t="str">
        <f t="shared" si="10"/>
        <v>-51.64403,-58.30719</v>
      </c>
    </row>
    <row r="658" spans="1:4" x14ac:dyDescent="0.3">
      <c r="A658" s="19">
        <v>652</v>
      </c>
      <c r="B658" s="17">
        <f>IF($B$4="표준",'2.치형좌표'!D657,'2.치형좌표'!G657)</f>
        <v>-51.91587624423066</v>
      </c>
      <c r="C658" s="17">
        <f>IF($B$4="표준",'2.치형좌표'!E657,'2.치형좌표'!H657)</f>
        <v>-58.335142890397577</v>
      </c>
      <c r="D658" s="6" t="str">
        <f t="shared" si="10"/>
        <v>-51.91588,-58.33514</v>
      </c>
    </row>
    <row r="659" spans="1:4" x14ac:dyDescent="0.3">
      <c r="A659" s="19">
        <v>653</v>
      </c>
      <c r="B659" s="17">
        <f>IF($B$4="표준",'2.치형좌표'!D658,'2.치형좌표'!G658)</f>
        <v>-52.106085261429897</v>
      </c>
      <c r="C659" s="17">
        <f>IF($B$4="표준",'2.치형좌표'!E658,'2.치형좌표'!H658)</f>
        <v>-58.357369283034622</v>
      </c>
      <c r="D659" s="6" t="str">
        <f t="shared" si="10"/>
        <v>-52.10609,-58.35737</v>
      </c>
    </row>
    <row r="660" spans="1:4" x14ac:dyDescent="0.3">
      <c r="A660" s="19">
        <v>654</v>
      </c>
      <c r="B660" s="17">
        <f>IF($B$4="표준",'2.치형좌표'!D659,'2.치형좌표'!G659)</f>
        <v>-52.254909556405806</v>
      </c>
      <c r="C660" s="17">
        <f>IF($B$4="표준",'2.치형좌표'!E659,'2.치형좌표'!H659)</f>
        <v>-58.373426575903672</v>
      </c>
      <c r="D660" s="6" t="str">
        <f t="shared" si="10"/>
        <v>-52.25491,-58.37343</v>
      </c>
    </row>
    <row r="661" spans="1:4" x14ac:dyDescent="0.3">
      <c r="A661" s="19">
        <v>655</v>
      </c>
      <c r="B661" s="17">
        <f>IF($B$4="표준",'2.치형좌표'!D660,'2.치형좌표'!G660)</f>
        <v>-52.385368762780487</v>
      </c>
      <c r="C661" s="17">
        <f>IF($B$4="표준",'2.치형좌표'!E660,'2.치형좌표'!H660)</f>
        <v>-58.38440056967174</v>
      </c>
      <c r="D661" s="6" t="str">
        <f t="shared" si="10"/>
        <v>-52.38537,-58.38440</v>
      </c>
    </row>
    <row r="662" spans="1:4" x14ac:dyDescent="0.3">
      <c r="A662" s="19">
        <v>656</v>
      </c>
      <c r="B662" s="17">
        <f>IF($B$4="표준",'2.치형좌표'!D661,'2.치형좌표'!G661)</f>
        <v>-52.51102270267242</v>
      </c>
      <c r="C662" s="17">
        <f>IF($B$4="표준",'2.치형좌표'!E661,'2.치형좌표'!H661)</f>
        <v>-58.390749475639872</v>
      </c>
      <c r="D662" s="6" t="str">
        <f t="shared" si="10"/>
        <v>-52.51102,-58.39075</v>
      </c>
    </row>
    <row r="663" spans="1:4" x14ac:dyDescent="0.3">
      <c r="A663" s="19">
        <v>657</v>
      </c>
      <c r="B663" s="17">
        <f>IF($B$4="표준",'2.치형좌표'!D662,'2.치형좌표'!G662)</f>
        <v>-52.63997327478689</v>
      </c>
      <c r="C663" s="17">
        <f>IF($B$4="표준",'2.치형좌표'!E662,'2.치형좌표'!H662)</f>
        <v>-58.392062500546281</v>
      </c>
      <c r="D663" s="6" t="str">
        <f t="shared" si="10"/>
        <v>-52.63997,-58.39206</v>
      </c>
    </row>
    <row r="664" spans="1:4" x14ac:dyDescent="0.3">
      <c r="A664" s="19">
        <v>658</v>
      </c>
      <c r="B664" s="17">
        <f>IF($B$4="표준",'2.치형좌표'!D663,'2.치형좌표'!G663)</f>
        <v>-52.776966543571682</v>
      </c>
      <c r="C664" s="17">
        <f>IF($B$4="표준",'2.치형좌표'!E663,'2.치형좌표'!H663)</f>
        <v>-58.387257161324563</v>
      </c>
      <c r="D664" s="6" t="str">
        <f t="shared" si="10"/>
        <v>-52.77697,-58.38726</v>
      </c>
    </row>
    <row r="665" spans="1:4" x14ac:dyDescent="0.3">
      <c r="A665" s="19">
        <v>659</v>
      </c>
      <c r="B665" s="17">
        <f>IF($B$4="표준",'2.치형좌표'!D664,'2.치형좌표'!G664)</f>
        <v>-52.924549904851844</v>
      </c>
      <c r="C665" s="17">
        <f>IF($B$4="표준",'2.치형좌표'!E664,'2.치형좌표'!H664)</f>
        <v>-58.37483365918861</v>
      </c>
      <c r="D665" s="6" t="str">
        <f t="shared" si="10"/>
        <v>-52.92455,-58.37483</v>
      </c>
    </row>
    <row r="666" spans="1:4" x14ac:dyDescent="0.3">
      <c r="A666" s="19">
        <v>660</v>
      </c>
      <c r="B666" s="17">
        <f>IF($B$4="표준",'2.치형좌표'!D665,'2.치형좌표'!G665)</f>
        <v>-53.083747248043451</v>
      </c>
      <c r="C666" s="17">
        <f>IF($B$4="표준",'2.치형좌표'!E665,'2.치형좌표'!H665)</f>
        <v>-58.353097049873647</v>
      </c>
      <c r="D666" s="6" t="str">
        <f t="shared" si="10"/>
        <v>-53.08375,-58.35310</v>
      </c>
    </row>
    <row r="667" spans="1:4" x14ac:dyDescent="0.3">
      <c r="A667" s="19">
        <v>661</v>
      </c>
      <c r="B667" s="17">
        <f>IF($B$4="표준",'2.치형좌표'!D666,'2.치형좌표'!G666)</f>
        <v>-53.254479815434912</v>
      </c>
      <c r="C667" s="17">
        <f>IF($B$4="표준",'2.치형좌표'!E666,'2.치형좌표'!H666)</f>
        <v>-58.320334464166713</v>
      </c>
      <c r="D667" s="6" t="str">
        <f t="shared" si="10"/>
        <v>-53.25448,-58.32033</v>
      </c>
    </row>
    <row r="668" spans="1:4" x14ac:dyDescent="0.3">
      <c r="A668" s="19">
        <v>662</v>
      </c>
      <c r="B668" s="17">
        <f>IF($B$4="표준",'2.치형좌표'!D667,'2.치형좌표'!G667)</f>
        <v>-53.435848345024084</v>
      </c>
      <c r="C668" s="17">
        <f>IF($B$4="표준",'2.치형좌표'!E667,'2.치형좌표'!H667)</f>
        <v>-58.274952471340342</v>
      </c>
      <c r="D668" s="6" t="str">
        <f t="shared" si="10"/>
        <v>-53.43585,-58.27495</v>
      </c>
    </row>
    <row r="669" spans="1:4" x14ac:dyDescent="0.3">
      <c r="A669" s="19">
        <v>663</v>
      </c>
      <c r="B669" s="17">
        <f>IF($B$4="표준",'2.치형좌표'!D668,'2.치형좌표'!G668)</f>
        <v>-53.626337157802617</v>
      </c>
      <c r="C669" s="17">
        <f>IF($B$4="표준",'2.치형좌표'!E668,'2.치형좌표'!H668)</f>
        <v>-58.21558196323749</v>
      </c>
      <c r="D669" s="6" t="str">
        <f t="shared" si="10"/>
        <v>-53.62634,-58.21558</v>
      </c>
    </row>
    <row r="670" spans="1:4" x14ac:dyDescent="0.3">
      <c r="A670" s="19">
        <v>664</v>
      </c>
      <c r="B670" s="17">
        <f>IF($B$4="표준",'2.치형좌표'!D669,'2.치형좌표'!G669)</f>
        <v>-53.823972943459559</v>
      </c>
      <c r="C670" s="17">
        <f>IF($B$4="표준",'2.치형좌표'!E669,'2.치형좌표'!H669)</f>
        <v>-58.141156627209767</v>
      </c>
      <c r="D670" s="6" t="str">
        <f t="shared" si="10"/>
        <v>-53.82397,-58.14116</v>
      </c>
    </row>
    <row r="671" spans="1:4" x14ac:dyDescent="0.3">
      <c r="A671" s="19">
        <v>665</v>
      </c>
      <c r="B671" s="17">
        <f>IF($B$4="표준",'2.치형좌표'!D670,'2.치형좌표'!G670)</f>
        <v>-54.0264562724972</v>
      </c>
      <c r="C671" s="17">
        <f>IF($B$4="표준",'2.치형좌표'!E670,'2.치형좌표'!H670)</f>
        <v>-58.050969386013463</v>
      </c>
      <c r="D671" s="6" t="str">
        <f t="shared" si="10"/>
        <v>-54.02646,-58.05097</v>
      </c>
    </row>
    <row r="672" spans="1:4" x14ac:dyDescent="0.3">
      <c r="A672" s="19">
        <v>666</v>
      </c>
      <c r="B672" s="17">
        <f>IF($B$4="표준",'2.치형좌표'!D671,'2.치형좌표'!G671)</f>
        <v>-54.23127580633853</v>
      </c>
      <c r="C672" s="17">
        <f>IF($B$4="표준",'2.치형좌표'!E671,'2.치형좌표'!H671)</f>
        <v>-57.944709852054892</v>
      </c>
      <c r="D672" s="6" t="str">
        <f t="shared" si="10"/>
        <v>-54.23128,-57.94471</v>
      </c>
    </row>
    <row r="673" spans="1:4" x14ac:dyDescent="0.3">
      <c r="A673" s="19">
        <v>667</v>
      </c>
      <c r="B673" s="17">
        <f>IF($B$4="표준",'2.치형좌표'!D672,'2.치형좌표'!G672)</f>
        <v>-54.435810623204645</v>
      </c>
      <c r="C673" s="17">
        <f>IF($B$4="표준",'2.치형좌표'!E672,'2.치형좌표'!H672)</f>
        <v>-57.822484938434798</v>
      </c>
      <c r="D673" s="6" t="str">
        <f t="shared" si="10"/>
        <v>-54.43581,-57.82248</v>
      </c>
    </row>
    <row r="674" spans="1:4" x14ac:dyDescent="0.3">
      <c r="A674" s="19">
        <v>668</v>
      </c>
      <c r="B674" s="17">
        <f>IF($B$4="표준",'2.치형좌표'!D673,'2.치형좌표'!G673)</f>
        <v>-54.637423431599856</v>
      </c>
      <c r="C674" s="17">
        <f>IF($B$4="표준",'2.치형좌표'!E673,'2.치형좌표'!H673)</f>
        <v>-57.684824201341485</v>
      </c>
      <c r="D674" s="6" t="str">
        <f t="shared" si="10"/>
        <v>-54.63742,-57.68482</v>
      </c>
    </row>
    <row r="675" spans="1:4" x14ac:dyDescent="0.3">
      <c r="A675" s="19">
        <v>669</v>
      </c>
      <c r="B675" s="17">
        <f>IF($B$4="표준",'2.치형좌표'!D674,'2.치형좌표'!G674)</f>
        <v>-54.833545874048347</v>
      </c>
      <c r="C675" s="17">
        <f>IF($B$4="표준",'2.치형좌표'!E674,'2.치형좌표'!H674)</f>
        <v>-57.532671155801083</v>
      </c>
      <c r="D675" s="6" t="str">
        <f t="shared" si="10"/>
        <v>-54.83355,-57.53267</v>
      </c>
    </row>
    <row r="676" spans="1:4" x14ac:dyDescent="0.3">
      <c r="A676" s="19">
        <v>670</v>
      </c>
      <c r="B676" s="17">
        <f>IF($B$4="표준",'2.치형좌표'!D675,'2.치형좌표'!G675)</f>
        <v>-55.021756183323006</v>
      </c>
      <c r="C676" s="17">
        <f>IF($B$4="표준",'2.치형좌표'!E675,'2.치형좌표'!H675)</f>
        <v>-57.367361627034086</v>
      </c>
      <c r="D676" s="6" t="str">
        <f t="shared" si="10"/>
        <v>-55.02176,-57.36736</v>
      </c>
    </row>
    <row r="677" spans="1:4" x14ac:dyDescent="0.3">
      <c r="A677" s="19">
        <v>671</v>
      </c>
      <c r="B677" s="17">
        <f>IF($B$4="표준",'2.치형좌표'!D676,'2.치형좌표'!G676)</f>
        <v>-55.199848891967541</v>
      </c>
      <c r="C677" s="17">
        <f>IF($B$4="표준",'2.치형좌표'!E676,'2.치형좌표'!H676)</f>
        <v>-57.190590110767523</v>
      </c>
      <c r="D677" s="6" t="str">
        <f t="shared" si="10"/>
        <v>-55.19985,-57.19059</v>
      </c>
    </row>
    <row r="678" spans="1:4" x14ac:dyDescent="0.3">
      <c r="A678" s="19">
        <v>672</v>
      </c>
      <c r="B678" s="17">
        <f>IF($B$4="표준",'2.치형좌표'!D677,'2.치형좌표'!G677)</f>
        <v>-55.36589596878126</v>
      </c>
      <c r="C678" s="17">
        <f>IF($B$4="표준",'2.치형좌표'!E677,'2.치형좌표'!H677)</f>
        <v>-57.004365070995917</v>
      </c>
      <c r="D678" s="6" t="str">
        <f t="shared" si="10"/>
        <v>-55.36590,-57.00437</v>
      </c>
    </row>
    <row r="679" spans="1:4" x14ac:dyDescent="0.3">
      <c r="A679" s="19">
        <v>673</v>
      </c>
      <c r="B679" s="17">
        <f>IF($B$4="표준",'2.치형좌표'!D678,'2.치형좌표'!G678)</f>
        <v>-55.518298575324849</v>
      </c>
      <c r="C679" s="17">
        <f>IF($B$4="표준",'2.치형좌표'!E678,'2.치형좌표'!H678)</f>
        <v>-56.810954064890552</v>
      </c>
      <c r="D679" s="6" t="str">
        <f t="shared" si="10"/>
        <v>-55.51830,-56.81095</v>
      </c>
    </row>
    <row r="680" spans="1:4" x14ac:dyDescent="0.3">
      <c r="A680" s="19">
        <v>674</v>
      </c>
      <c r="B680" s="17">
        <f>IF($B$4="표준",'2.치형좌표'!D679,'2.치형좌표'!G679)</f>
        <v>-55.655828544450515</v>
      </c>
      <c r="C680" s="17">
        <f>IF($B$4="표준",'2.치형좌표'!E679,'2.치형좌표'!H679)</f>
        <v>-56.612819516734135</v>
      </c>
      <c r="D680" s="6" t="str">
        <f t="shared" si="10"/>
        <v>-55.65583,-56.61282</v>
      </c>
    </row>
    <row r="681" spans="1:4" x14ac:dyDescent="0.3">
      <c r="A681" s="19">
        <v>675</v>
      </c>
      <c r="B681" s="17">
        <f>IF($B$4="표준",'2.치형좌표'!D680,'2.치형좌표'!G680)</f>
        <v>-55.777658640487147</v>
      </c>
      <c r="C681" s="17">
        <f>IF($B$4="표준",'2.치형좌표'!E680,'2.치형좌표'!H680)</f>
        <v>-56.412545827509113</v>
      </c>
      <c r="D681" s="6" t="str">
        <f t="shared" si="10"/>
        <v>-55.77766,-56.41255</v>
      </c>
    </row>
    <row r="682" spans="1:4" x14ac:dyDescent="0.3">
      <c r="A682" s="19">
        <v>676</v>
      </c>
      <c r="B682" s="17">
        <f>IF($B$4="표준",'2.치형좌표'!D681,'2.치형좌표'!G681)</f>
        <v>-55.883380633194079</v>
      </c>
      <c r="C682" s="17">
        <f>IF($B$4="표준",'2.치형좌표'!E681,'2.치형좌표'!H681)</f>
        <v>-56.212758254551048</v>
      </c>
      <c r="D682" s="6" t="str">
        <f t="shared" si="10"/>
        <v>-55.88338,-56.21276</v>
      </c>
    </row>
    <row r="683" spans="1:4" x14ac:dyDescent="0.3">
      <c r="A683" s="19">
        <v>677</v>
      </c>
      <c r="B683" s="17">
        <f>IF($B$4="표준",'2.치형좌표'!D682,'2.치형좌표'!G682)</f>
        <v>-55.973010171916954</v>
      </c>
      <c r="C683" s="17">
        <f>IF($B$4="표준",'2.치형좌표'!E682,'2.치형좌표'!H682)</f>
        <v>-56.01603355391844</v>
      </c>
      <c r="D683" s="6" t="str">
        <f t="shared" si="10"/>
        <v>-55.97301,-56.01603</v>
      </c>
    </row>
    <row r="684" spans="1:4" x14ac:dyDescent="0.3">
      <c r="A684" s="19">
        <v>678</v>
      </c>
      <c r="B684" s="17">
        <f>IF($B$4="표준",'2.치형좌표'!D683,'2.치형좌표'!G683)</f>
        <v>-56.0469773451821</v>
      </c>
      <c r="C684" s="17">
        <f>IF($B$4="표준",'2.치형좌표'!E683,'2.치형좌표'!H683)</f>
        <v>-55.824801631126334</v>
      </c>
      <c r="D684" s="6" t="str">
        <f t="shared" si="10"/>
        <v>-56.04698,-55.82480</v>
      </c>
    </row>
    <row r="685" spans="1:4" x14ac:dyDescent="0.3">
      <c r="A685" s="19">
        <v>679</v>
      </c>
      <c r="B685" s="17">
        <f>IF($B$4="표준",'2.치형좌표'!D684,'2.치형좌표'!G684)</f>
        <v>-56.106101607916884</v>
      </c>
      <c r="C685" s="17">
        <f>IF($B$4="표준",'2.치형좌표'!E684,'2.치형좌표'!H684)</f>
        <v>-55.64123619845742</v>
      </c>
      <c r="D685" s="6" t="str">
        <f t="shared" si="10"/>
        <v>-56.10610,-55.64124</v>
      </c>
    </row>
    <row r="686" spans="1:4" x14ac:dyDescent="0.3">
      <c r="A686" s="19">
        <v>680</v>
      </c>
      <c r="B686" s="17">
        <f>IF($B$4="표준",'2.치형좌표'!D685,'2.치형좌표'!G685)</f>
        <v>-56.151549394806906</v>
      </c>
      <c r="C686" s="17">
        <f>IF($B$4="표준",'2.치형좌표'!E685,'2.치형좌표'!H685)</f>
        <v>-55.467130345911762</v>
      </c>
      <c r="D686" s="6" t="str">
        <f t="shared" si="10"/>
        <v>-56.15155,-55.46713</v>
      </c>
    </row>
    <row r="687" spans="1:4" x14ac:dyDescent="0.3">
      <c r="A687" s="19">
        <v>681</v>
      </c>
      <c r="B687" s="17">
        <f>IF($B$4="표준",'2.치형좌표'!D686,'2.치형좌표'!G686)</f>
        <v>-56.184772145035168</v>
      </c>
      <c r="C687" s="17">
        <f>IF($B$4="표준",'2.치형좌표'!E686,'2.치형좌표'!H686)</f>
        <v>-55.303749372451882</v>
      </c>
      <c r="D687" s="6" t="str">
        <f t="shared" si="10"/>
        <v>-56.18477,-55.30375</v>
      </c>
    </row>
    <row r="688" spans="1:4" x14ac:dyDescent="0.3">
      <c r="A688" s="19">
        <v>682</v>
      </c>
      <c r="B688" s="17">
        <f>IF($B$4="표준",'2.치형좌표'!D687,'2.치형좌표'!G687)</f>
        <v>-56.207421585535592</v>
      </c>
      <c r="C688" s="17">
        <f>IF($B$4="표준",'2.치형좌표'!E687,'2.치형좌표'!H687)</f>
        <v>-55.151647015841618</v>
      </c>
      <c r="D688" s="6" t="str">
        <f t="shared" si="10"/>
        <v>-56.20742,-55.15165</v>
      </c>
    </row>
    <row r="689" spans="1:4" x14ac:dyDescent="0.3">
      <c r="A689" s="19">
        <v>683</v>
      </c>
      <c r="B689" s="17">
        <f>IF($B$4="표준",'2.치형좌표'!D688,'2.치형좌표'!G688)</f>
        <v>-56.221238012793002</v>
      </c>
      <c r="C689" s="17">
        <f>IF($B$4="표준",'2.치형좌표'!E688,'2.치형좌표'!H688)</f>
        <v>-55.010420065960162</v>
      </c>
      <c r="D689" s="6" t="str">
        <f t="shared" si="10"/>
        <v>-56.22124,-55.01042</v>
      </c>
    </row>
    <row r="690" spans="1:4" x14ac:dyDescent="0.3">
      <c r="A690" s="19">
        <v>684</v>
      </c>
      <c r="B690" s="17">
        <f>IF($B$4="표준",'2.치형좌표'!D689,'2.치형좌표'!G689)</f>
        <v>-56.227906481879195</v>
      </c>
      <c r="C690" s="17">
        <f>IF($B$4="표준",'2.치형좌표'!E689,'2.치형좌표'!H689)</f>
        <v>-54.878355615833705</v>
      </c>
      <c r="D690" s="6" t="str">
        <f t="shared" si="10"/>
        <v>-56.22791,-54.87836</v>
      </c>
    </row>
    <row r="691" spans="1:4" x14ac:dyDescent="0.3">
      <c r="A691" s="19">
        <v>685</v>
      </c>
      <c r="B691" s="17">
        <f>IF($B$4="표준",'2.치형좌표'!D690,'2.치형좌표'!G690)</f>
        <v>-56.228877334196426</v>
      </c>
      <c r="C691" s="17">
        <f>IF($B$4="표준",'2.치형좌표'!E690,'2.치형좌표'!H690)</f>
        <v>-54.751885238543778</v>
      </c>
      <c r="D691" s="6" t="str">
        <f t="shared" si="10"/>
        <v>-56.22888,-54.75189</v>
      </c>
    </row>
    <row r="692" spans="1:4" x14ac:dyDescent="0.3">
      <c r="A692" s="19">
        <v>686</v>
      </c>
      <c r="B692" s="17">
        <f>IF($B$4="표준",'2.치형좌표'!D691,'2.치형좌표'!G691)</f>
        <v>-56.225158787955642</v>
      </c>
      <c r="C692" s="17">
        <f>IF($B$4="표준",'2.치형좌표'!E691,'2.치형좌표'!H691)</f>
        <v>-54.624680451954454</v>
      </c>
      <c r="D692" s="6" t="str">
        <f t="shared" si="10"/>
        <v>-56.22516,-54.62468</v>
      </c>
    </row>
    <row r="693" spans="1:4" x14ac:dyDescent="0.3">
      <c r="A693" s="19">
        <v>687</v>
      </c>
      <c r="B693" s="17">
        <f>IF($B$4="표준",'2.치형좌표'!D692,'2.치형좌표'!G692)</f>
        <v>-56.2171360772615</v>
      </c>
      <c r="C693" s="17">
        <f>IF($B$4="표준",'2.치형좌표'!E692,'2.치형좌표'!H692)</f>
        <v>-54.486058873278132</v>
      </c>
      <c r="D693" s="6" t="str">
        <f t="shared" si="10"/>
        <v>-56.21714,-54.48606</v>
      </c>
    </row>
    <row r="694" spans="1:4" x14ac:dyDescent="0.3">
      <c r="A694" s="19">
        <v>688</v>
      </c>
      <c r="B694" s="17">
        <f>IF($B$4="표준",'2.치형좌표'!D693,'2.치형좌표'!G693)</f>
        <v>-56.204644068332293</v>
      </c>
      <c r="C694" s="17">
        <f>IF($B$4="표준",'2.치형좌표'!E693,'2.치형좌표'!H693)</f>
        <v>-54.318025706300283</v>
      </c>
      <c r="D694" s="6" t="str">
        <f t="shared" si="10"/>
        <v>-56.20464,-54.31803</v>
      </c>
    </row>
    <row r="695" spans="1:4" x14ac:dyDescent="0.3">
      <c r="A695" s="19">
        <v>689</v>
      </c>
      <c r="B695" s="17">
        <f>IF($B$4="표준",'2.치형좌표'!D694,'2.치형좌표'!G694)</f>
        <v>-56.188143075825202</v>
      </c>
      <c r="C695" s="17">
        <f>IF($B$4="표준",'2.치형좌표'!E694,'2.치형좌표'!H694)</f>
        <v>-54.089590786053456</v>
      </c>
      <c r="D695" s="6" t="str">
        <f t="shared" si="10"/>
        <v>-56.18814,-54.08959</v>
      </c>
    </row>
    <row r="696" spans="1:4" x14ac:dyDescent="0.3">
      <c r="A696" s="19">
        <v>690</v>
      </c>
      <c r="B696" s="17">
        <f>IF($B$4="표준",'2.치형좌표'!D695,'2.치형좌표'!G695)</f>
        <v>-56.174087479806708</v>
      </c>
      <c r="C696" s="17">
        <f>IF($B$4="표준",'2.치형좌표'!E695,'2.치형좌표'!H695)</f>
        <v>-53.746043099705986</v>
      </c>
      <c r="D696" s="6" t="str">
        <f t="shared" si="10"/>
        <v>-56.17409,-53.74604</v>
      </c>
    </row>
    <row r="697" spans="1:4" x14ac:dyDescent="0.3">
      <c r="A697" s="19">
        <v>691</v>
      </c>
      <c r="B697" s="17">
        <f>IF($B$4="표준",'2.치형좌표'!D696,'2.치형좌표'!G696)</f>
        <v>-56.195029204688922</v>
      </c>
      <c r="C697" s="17">
        <f>IF($B$4="표준",'2.치형좌표'!E696,'2.치형좌표'!H696)</f>
        <v>-53.192851682262052</v>
      </c>
      <c r="D697" s="6" t="str">
        <f t="shared" si="10"/>
        <v>-56.19503,-53.19285</v>
      </c>
    </row>
    <row r="698" spans="1:4" x14ac:dyDescent="0.3">
      <c r="A698" s="19">
        <v>692</v>
      </c>
      <c r="B698" s="17">
        <f>IF($B$4="표준",'2.치형좌표'!D697,'2.치형좌표'!G697)</f>
        <v>-56.369300300783379</v>
      </c>
      <c r="C698" s="17">
        <f>IF($B$4="표준",'2.치형좌표'!E697,'2.치형좌표'!H697)</f>
        <v>-52.302880908920223</v>
      </c>
      <c r="D698" s="6" t="str">
        <f t="shared" si="10"/>
        <v>-56.36930,-52.30288</v>
      </c>
    </row>
    <row r="699" spans="1:4" x14ac:dyDescent="0.3">
      <c r="A699" s="19">
        <v>693</v>
      </c>
      <c r="B699" s="17">
        <f>IF($B$4="표준",'2.치형좌표'!D698,'2.치형좌표'!G698)</f>
        <v>-56.958857410347953</v>
      </c>
      <c r="C699" s="17">
        <f>IF($B$4="표준",'2.치형좌표'!E698,'2.치형좌표'!H698)</f>
        <v>-51.093271052637931</v>
      </c>
      <c r="D699" s="6" t="str">
        <f t="shared" si="10"/>
        <v>-56.95886,-51.09327</v>
      </c>
    </row>
    <row r="700" spans="1:4" x14ac:dyDescent="0.3">
      <c r="A700" s="19">
        <v>694</v>
      </c>
      <c r="B700" s="17">
        <f>IF($B$4="표준",'2.치형좌표'!D699,'2.치형좌표'!G699)</f>
        <v>-58.030634280457591</v>
      </c>
      <c r="C700" s="17">
        <f>IF($B$4="표준",'2.치형좌표'!E699,'2.치형좌표'!H699)</f>
        <v>-50.035461023627477</v>
      </c>
      <c r="D700" s="6" t="str">
        <f t="shared" si="10"/>
        <v>-58.03063,-50.03546</v>
      </c>
    </row>
    <row r="701" spans="1:4" x14ac:dyDescent="0.3">
      <c r="A701" s="19">
        <v>695</v>
      </c>
      <c r="B701" s="17">
        <f>IF($B$4="표준",'2.치형좌표'!D700,'2.치형좌표'!G700)</f>
        <v>-59.089947540625523</v>
      </c>
      <c r="C701" s="17">
        <f>IF($B$4="표준",'2.치형좌표'!E700,'2.치형좌표'!H700)</f>
        <v>-49.508513177668483</v>
      </c>
      <c r="D701" s="6" t="str">
        <f t="shared" si="10"/>
        <v>-59.08995,-49.50851</v>
      </c>
    </row>
    <row r="702" spans="1:4" x14ac:dyDescent="0.3">
      <c r="A702" s="19">
        <v>696</v>
      </c>
      <c r="B702" s="17">
        <f>IF($B$4="표준",'2.치형좌표'!D701,'2.치형좌표'!G701)</f>
        <v>-59.820388162406843</v>
      </c>
      <c r="C702" s="17">
        <f>IF($B$4="표준",'2.치형좌표'!E701,'2.치형좌표'!H701)</f>
        <v>-49.32737937061313</v>
      </c>
      <c r="D702" s="6" t="str">
        <f t="shared" si="10"/>
        <v>-59.82039,-49.32738</v>
      </c>
    </row>
    <row r="703" spans="1:4" x14ac:dyDescent="0.3">
      <c r="A703" s="19">
        <v>697</v>
      </c>
      <c r="B703" s="17">
        <f>IF($B$4="표준",'2.치형좌표'!D702,'2.치형좌표'!G702)</f>
        <v>-60.275314573184787</v>
      </c>
      <c r="C703" s="17">
        <f>IF($B$4="표준",'2.치형좌표'!E702,'2.치형좌표'!H702)</f>
        <v>-49.271998272904796</v>
      </c>
      <c r="D703" s="6" t="str">
        <f t="shared" si="10"/>
        <v>-60.27531,-49.27200</v>
      </c>
    </row>
    <row r="704" spans="1:4" x14ac:dyDescent="0.3">
      <c r="A704" s="19">
        <v>698</v>
      </c>
      <c r="B704" s="17">
        <f>IF($B$4="표준",'2.치형좌표'!D703,'2.치형좌표'!G703)</f>
        <v>-60.565838799710392</v>
      </c>
      <c r="C704" s="17">
        <f>IF($B$4="표준",'2.치형좌표'!E703,'2.치형좌표'!H703)</f>
        <v>-49.253514612202665</v>
      </c>
      <c r="D704" s="6" t="str">
        <f t="shared" si="10"/>
        <v>-60.56584,-49.25351</v>
      </c>
    </row>
    <row r="705" spans="1:4" x14ac:dyDescent="0.3">
      <c r="A705" s="19">
        <v>699</v>
      </c>
      <c r="B705" s="17">
        <f>IF($B$4="표준",'2.치형좌표'!D704,'2.치형좌표'!G704)</f>
        <v>-60.766546636613313</v>
      </c>
      <c r="C705" s="17">
        <f>IF($B$4="표준",'2.치형좌표'!E704,'2.치형좌표'!H704)</f>
        <v>-49.244441287706778</v>
      </c>
      <c r="D705" s="6" t="str">
        <f t="shared" si="10"/>
        <v>-60.76655,-49.24444</v>
      </c>
    </row>
    <row r="706" spans="1:4" x14ac:dyDescent="0.3">
      <c r="A706" s="19">
        <v>700</v>
      </c>
      <c r="B706" s="17">
        <f>IF($B$4="표준",'2.치형좌표'!D705,'2.치형좌표'!G705)</f>
        <v>-60.920653374274949</v>
      </c>
      <c r="C706" s="17">
        <f>IF($B$4="표준",'2.치형좌표'!E705,'2.치형좌표'!H705)</f>
        <v>-49.236550940364303</v>
      </c>
      <c r="D706" s="6" t="str">
        <f t="shared" si="10"/>
        <v>-60.92065,-49.23655</v>
      </c>
    </row>
    <row r="707" spans="1:4" x14ac:dyDescent="0.3">
      <c r="A707" s="19">
        <v>701</v>
      </c>
      <c r="B707" s="17">
        <f>IF($B$4="표준",'2.치형좌표'!D706,'2.치형좌표'!G706)</f>
        <v>-61.053043037554723</v>
      </c>
      <c r="C707" s="17">
        <f>IF($B$4="표준",'2.치형좌표'!E706,'2.치형좌표'!H706)</f>
        <v>-49.226892701782091</v>
      </c>
      <c r="D707" s="6" t="str">
        <f t="shared" si="10"/>
        <v>-61.05304,-49.22689</v>
      </c>
    </row>
    <row r="708" spans="1:4" x14ac:dyDescent="0.3">
      <c r="A708" s="19">
        <v>702</v>
      </c>
      <c r="B708" s="17">
        <f>IF($B$4="표준",'2.치형좌표'!D707,'2.치형좌표'!G707)</f>
        <v>-61.178308098248152</v>
      </c>
      <c r="C708" s="17">
        <f>IF($B$4="표준",'2.치형좌표'!E707,'2.치형좌표'!H707)</f>
        <v>-49.213694826304781</v>
      </c>
      <c r="D708" s="6" t="str">
        <f t="shared" si="10"/>
        <v>-61.17831,-49.21369</v>
      </c>
    </row>
    <row r="709" spans="1:4" x14ac:dyDescent="0.3">
      <c r="A709" s="19">
        <v>703</v>
      </c>
      <c r="B709" s="17">
        <f>IF($B$4="표준",'2.치형좌표'!D708,'2.치형좌표'!G708)</f>
        <v>-61.305060755140751</v>
      </c>
      <c r="C709" s="17">
        <f>IF($B$4="표준",'2.치형좌표'!E708,'2.치형좌표'!H708)</f>
        <v>-49.195268071916317</v>
      </c>
      <c r="D709" s="6" t="str">
        <f t="shared" si="10"/>
        <v>-61.30506,-49.19527</v>
      </c>
    </row>
    <row r="710" spans="1:4" x14ac:dyDescent="0.3">
      <c r="A710" s="19">
        <v>704</v>
      </c>
      <c r="B710" s="17">
        <f>IF($B$4="표준",'2.치형좌표'!D709,'2.치형좌표'!G709)</f>
        <v>-61.43824466144337</v>
      </c>
      <c r="C710" s="17">
        <f>IF($B$4="표준",'2.치형좌표'!E709,'2.치형좌표'!H709)</f>
        <v>-49.169799978287386</v>
      </c>
      <c r="D710" s="6" t="str">
        <f t="shared" si="10"/>
        <v>-61.43824,-49.16980</v>
      </c>
    </row>
    <row r="711" spans="1:4" x14ac:dyDescent="0.3">
      <c r="A711" s="19">
        <v>705</v>
      </c>
      <c r="B711" s="17">
        <f>IF($B$4="표준",'2.치형좌표'!D710,'2.치형좌표'!G710)</f>
        <v>-61.580423397364818</v>
      </c>
      <c r="C711" s="17">
        <f>IF($B$4="표준",'2.치형좌표'!E710,'2.치형좌표'!H710)</f>
        <v>-49.135403707635149</v>
      </c>
      <c r="D711" s="6" t="str">
        <f t="shared" ref="D711:D774" si="11">TEXT(B711,"0.00000")&amp;","&amp;TEXT(C711,"0.00000")</f>
        <v>-61.58042,-49.13540</v>
      </c>
    </row>
    <row r="712" spans="1:4" x14ac:dyDescent="0.3">
      <c r="A712" s="19">
        <v>706</v>
      </c>
      <c r="B712" s="17">
        <f>IF($B$4="표준",'2.치형좌표'!D711,'2.치형좌표'!G711)</f>
        <v>-61.732538213496838</v>
      </c>
      <c r="C712" s="17">
        <f>IF($B$4="표준",'2.치형좌표'!E711,'2.치형좌표'!H711)</f>
        <v>-49.090226728727316</v>
      </c>
      <c r="D712" s="6" t="str">
        <f t="shared" si="11"/>
        <v>-61.73254,-49.09023</v>
      </c>
    </row>
    <row r="713" spans="1:4" x14ac:dyDescent="0.3">
      <c r="A713" s="19">
        <v>707</v>
      </c>
      <c r="B713" s="17">
        <f>IF($B$4="표준",'2.치형좌표'!D712,'2.치형좌표'!G712)</f>
        <v>-61.894382236018785</v>
      </c>
      <c r="C713" s="17">
        <f>IF($B$4="표준",'2.치형좌표'!E712,'2.치형좌표'!H712)</f>
        <v>-49.03256013462132</v>
      </c>
      <c r="D713" s="6" t="str">
        <f t="shared" si="11"/>
        <v>-61.89438,-49.03256</v>
      </c>
    </row>
    <row r="714" spans="1:4" x14ac:dyDescent="0.3">
      <c r="A714" s="19">
        <v>708</v>
      </c>
      <c r="B714" s="17">
        <f>IF($B$4="표준",'2.치형좌표'!D713,'2.치형좌표'!G713)</f>
        <v>-62.064918110109573</v>
      </c>
      <c r="C714" s="17">
        <f>IF($B$4="표준",'2.치형좌표'!E713,'2.치형좌표'!H713)</f>
        <v>-48.960931899632783</v>
      </c>
      <c r="D714" s="6" t="str">
        <f t="shared" si="11"/>
        <v>-62.06492,-48.96093</v>
      </c>
    </row>
    <row r="715" spans="1:4" x14ac:dyDescent="0.3">
      <c r="A715" s="19">
        <v>709</v>
      </c>
      <c r="B715" s="17">
        <f>IF($B$4="표준",'2.치형좌표'!D714,'2.치형좌표'!G714)</f>
        <v>-62.242506254436243</v>
      </c>
      <c r="C715" s="17">
        <f>IF($B$4="표준",'2.치형좌표'!E714,'2.치형좌표'!H714)</f>
        <v>-48.874180661956487</v>
      </c>
      <c r="D715" s="6" t="str">
        <f t="shared" si="11"/>
        <v>-62.24251,-48.87418</v>
      </c>
    </row>
    <row r="716" spans="1:4" x14ac:dyDescent="0.3">
      <c r="A716" s="19">
        <v>710</v>
      </c>
      <c r="B716" s="17">
        <f>IF($B$4="표준",'2.치형좌표'!D715,'2.치형좌표'!G715)</f>
        <v>-62.425080233067881</v>
      </c>
      <c r="C716" s="17">
        <f>IF($B$4="표준",'2.치형좌표'!E715,'2.치형좌표'!H715)</f>
        <v>-48.77151051343462</v>
      </c>
      <c r="D716" s="6" t="str">
        <f t="shared" si="11"/>
        <v>-62.42508,-48.77151</v>
      </c>
    </row>
    <row r="717" spans="1:4" x14ac:dyDescent="0.3">
      <c r="A717" s="19">
        <v>711</v>
      </c>
      <c r="B717" s="17">
        <f>IF($B$4="표준",'2.치형좌표'!D716,'2.치형좌표'!G716)</f>
        <v>-62.610289478100093</v>
      </c>
      <c r="C717" s="17">
        <f>IF($B$4="표준",'2.치형좌표'!E716,'2.치형좌표'!H716)</f>
        <v>-48.652528189987699</v>
      </c>
      <c r="D717" s="6" t="str">
        <f t="shared" si="11"/>
        <v>-62.61029,-48.65253</v>
      </c>
    </row>
    <row r="718" spans="1:4" x14ac:dyDescent="0.3">
      <c r="A718" s="19">
        <v>712</v>
      </c>
      <c r="B718" s="17">
        <f>IF($B$4="표준",'2.치형좌표'!D717,'2.치형좌표'!G717)</f>
        <v>-62.795620666143812</v>
      </c>
      <c r="C718" s="17">
        <f>IF($B$4="표준",'2.치형좌표'!E717,'2.치형좌표'!H717)</f>
        <v>-48.517264091095306</v>
      </c>
      <c r="D718" s="6" t="str">
        <f t="shared" si="11"/>
        <v>-62.79562,-48.51726</v>
      </c>
    </row>
    <row r="719" spans="1:4" x14ac:dyDescent="0.3">
      <c r="A719" s="19">
        <v>713</v>
      </c>
      <c r="B719" s="17">
        <f>IF($B$4="표준",'2.치형좌표'!D718,'2.치형좌표'!G718)</f>
        <v>-62.978503999221957</v>
      </c>
      <c r="C719" s="17">
        <f>IF($B$4="표준",'2.치형좌표'!E718,'2.치형좌표'!H718)</f>
        <v>-48.366178399179219</v>
      </c>
      <c r="D719" s="6" t="str">
        <f t="shared" si="11"/>
        <v>-62.97850,-48.36618</v>
      </c>
    </row>
    <row r="720" spans="1:4" x14ac:dyDescent="0.3">
      <c r="A720" s="19">
        <v>714</v>
      </c>
      <c r="B720" s="17">
        <f>IF($B$4="표준",'2.치형좌표'!D719,'2.치형좌표'!G719)</f>
        <v>-63.156407707482039</v>
      </c>
      <c r="C720" s="17">
        <f>IF($B$4="표준",'2.치형좌표'!E719,'2.치형좌표'!H719)</f>
        <v>-48.200153425558149</v>
      </c>
      <c r="D720" s="6" t="str">
        <f t="shared" si="11"/>
        <v>-63.15641,-48.20015</v>
      </c>
    </row>
    <row r="721" spans="1:4" x14ac:dyDescent="0.3">
      <c r="A721" s="19">
        <v>715</v>
      </c>
      <c r="B721" s="17">
        <f>IF($B$4="표준",'2.치형좌표'!D720,'2.치형좌표'!G720)</f>
        <v>-63.326922356054247</v>
      </c>
      <c r="C721" s="17">
        <f>IF($B$4="표준",'2.치형좌표'!E720,'2.치형좌표'!H720)</f>
        <v>-48.020473224048295</v>
      </c>
      <c r="D721" s="6" t="str">
        <f t="shared" si="11"/>
        <v>-63.32692,-48.02047</v>
      </c>
    </row>
    <row r="722" spans="1:4" x14ac:dyDescent="0.3">
      <c r="A722" s="19">
        <v>716</v>
      </c>
      <c r="B722" s="17">
        <f>IF($B$4="표준",'2.치형좌표'!D721,'2.치형좌표'!G721)</f>
        <v>-63.487835502371965</v>
      </c>
      <c r="C722" s="17">
        <f>IF($B$4="표준",'2.치형좌표'!E721,'2.치형좌표'!H721)</f>
        <v>-47.828791480275505</v>
      </c>
      <c r="D722" s="6" t="str">
        <f t="shared" si="11"/>
        <v>-63.48784,-47.82879</v>
      </c>
    </row>
    <row r="723" spans="1:4" x14ac:dyDescent="0.3">
      <c r="A723" s="19">
        <v>717</v>
      </c>
      <c r="B723" s="17">
        <f>IF($B$4="표준",'2.치형좌표'!D722,'2.치형좌표'!G722)</f>
        <v>-63.637196633780853</v>
      </c>
      <c r="C723" s="17">
        <f>IF($B$4="표준",'2.치형좌표'!E722,'2.치형좌표'!H722)</f>
        <v>-47.627088684121667</v>
      </c>
      <c r="D723" s="6" t="str">
        <f t="shared" si="11"/>
        <v>-63.63720,-47.62709</v>
      </c>
    </row>
    <row r="724" spans="1:4" x14ac:dyDescent="0.3">
      <c r="A724" s="19">
        <v>718</v>
      </c>
      <c r="B724" s="17">
        <f>IF($B$4="표준",'2.치형좌표'!D723,'2.치형좌표'!G723)</f>
        <v>-63.773371955597959</v>
      </c>
      <c r="C724" s="17">
        <f>IF($B$4="표준",'2.치형좌표'!E723,'2.치형좌표'!H723)</f>
        <v>-47.417619601526731</v>
      </c>
      <c r="D724" s="6" t="str">
        <f t="shared" si="11"/>
        <v>-63.77337,-47.41762</v>
      </c>
    </row>
    <row r="725" spans="1:4" x14ac:dyDescent="0.3">
      <c r="A725" s="19">
        <v>719</v>
      </c>
      <c r="B725" s="17">
        <f>IF($B$4="표준",'2.치형좌표'!D724,'2.치형좌표'!G724)</f>
        <v>-63.895088397468548</v>
      </c>
      <c r="C725" s="17">
        <f>IF($B$4="표준",'2.치형좌표'!E724,'2.치형좌표'!H724)</f>
        <v>-47.202852056819395</v>
      </c>
      <c r="D725" s="6" t="str">
        <f t="shared" si="11"/>
        <v>-63.89509,-47.20285</v>
      </c>
    </row>
    <row r="726" spans="1:4" x14ac:dyDescent="0.3">
      <c r="A726" s="19">
        <v>720</v>
      </c>
      <c r="B726" s="17">
        <f>IF($B$4="표준",'2.치형좌표'!D725,'2.치형좌표'!G725)</f>
        <v>-64.001466095507553</v>
      </c>
      <c r="C726" s="17">
        <f>IF($B$4="표준",'2.치형좌표'!E725,'2.치형좌표'!H725)</f>
        <v>-46.985397992864449</v>
      </c>
      <c r="D726" s="6" t="str">
        <f t="shared" si="11"/>
        <v>-64.00147,-46.98540</v>
      </c>
    </row>
    <row r="727" spans="1:4" x14ac:dyDescent="0.3">
      <c r="A727" s="19">
        <v>721</v>
      </c>
      <c r="B727" s="17">
        <f>IF($B$4="표준",'2.치형좌표'!D726,'2.치형좌표'!G726)</f>
        <v>-64.09203854118563</v>
      </c>
      <c r="C727" s="17">
        <f>IF($B$4="표준",'2.치형좌표'!E726,'2.치형좌표'!H726)</f>
        <v>-46.76793766348716</v>
      </c>
      <c r="D727" s="6" t="str">
        <f t="shared" si="11"/>
        <v>-64.09204,-46.76794</v>
      </c>
    </row>
    <row r="728" spans="1:4" x14ac:dyDescent="0.3">
      <c r="A728" s="19">
        <v>722</v>
      </c>
      <c r="B728" s="17">
        <f>IF($B$4="표준",'2.치형좌표'!D727,'2.치형좌표'!G727)</f>
        <v>-64.166759523648366</v>
      </c>
      <c r="C728" s="17">
        <f>IF($B$4="표준",'2.치형좌표'!E727,'2.치형좌표'!H727)</f>
        <v>-46.55313758980607</v>
      </c>
      <c r="D728" s="6" t="str">
        <f t="shared" si="11"/>
        <v>-64.16676,-46.55314</v>
      </c>
    </row>
    <row r="729" spans="1:4" x14ac:dyDescent="0.3">
      <c r="A729" s="19">
        <v>723</v>
      </c>
      <c r="B729" s="17">
        <f>IF($B$4="표준",'2.치형좌표'!D728,'2.치형좌표'!G728)</f>
        <v>-64.225995886863302</v>
      </c>
      <c r="C729" s="17">
        <f>IF($B$4="표준",'2.치형좌표'!E728,'2.치형좌표'!H728)</f>
        <v>-46.34356251742377</v>
      </c>
      <c r="D729" s="6" t="str">
        <f t="shared" si="11"/>
        <v>-64.22600,-46.34356</v>
      </c>
    </row>
    <row r="730" spans="1:4" x14ac:dyDescent="0.3">
      <c r="A730" s="19">
        <v>724</v>
      </c>
      <c r="B730" s="17">
        <f>IF($B$4="표준",'2.치형좌표'!D729,'2.치형좌표'!G729)</f>
        <v>-64.270504923569376</v>
      </c>
      <c r="C730" s="17">
        <f>IF($B$4="표준",'2.치형좌표'!E729,'2.치형좌표'!H729)</f>
        <v>-46.141580944875109</v>
      </c>
      <c r="D730" s="6" t="str">
        <f t="shared" si="11"/>
        <v>-64.27050,-46.14158</v>
      </c>
    </row>
    <row r="731" spans="1:4" x14ac:dyDescent="0.3">
      <c r="A731" s="19">
        <v>725</v>
      </c>
      <c r="B731" s="17">
        <f>IF($B$4="표준",'2.치형좌표'!D730,'2.치형좌표'!G730)</f>
        <v>-64.301394861556844</v>
      </c>
      <c r="C731" s="17">
        <f>IF($B$4="표준",'2.치형좌표'!E730,'2.치형좌표'!H730)</f>
        <v>-45.949262685240605</v>
      </c>
      <c r="D731" s="6" t="str">
        <f t="shared" si="11"/>
        <v>-64.30139,-45.94926</v>
      </c>
    </row>
    <row r="732" spans="1:4" x14ac:dyDescent="0.3">
      <c r="A732" s="19">
        <v>726</v>
      </c>
      <c r="B732" s="17">
        <f>IF($B$4="표준",'2.치형좌표'!D731,'2.치형좌표'!G731)</f>
        <v>-64.320066257933675</v>
      </c>
      <c r="C732" s="17">
        <f>IF($B$4="표준",'2.치형좌표'!E731,'2.치형좌표'!H731)</f>
        <v>-45.76826507159624</v>
      </c>
      <c r="D732" s="6" t="str">
        <f t="shared" si="11"/>
        <v>-64.32007,-45.76827</v>
      </c>
    </row>
    <row r="733" spans="1:4" x14ac:dyDescent="0.3">
      <c r="A733" s="19">
        <v>727</v>
      </c>
      <c r="B733" s="17">
        <f>IF($B$4="표준",'2.치형좌표'!D732,'2.치형좌표'!G732)</f>
        <v>-64.328131045242316</v>
      </c>
      <c r="C733" s="17">
        <f>IF($B$4="표준",'2.치형좌표'!E732,'2.치형좌표'!H732)</f>
        <v>-45.59970127216009</v>
      </c>
      <c r="D733" s="6" t="str">
        <f t="shared" si="11"/>
        <v>-64.32813,-45.59970</v>
      </c>
    </row>
    <row r="734" spans="1:4" x14ac:dyDescent="0.3">
      <c r="A734" s="19">
        <v>728</v>
      </c>
      <c r="B734" s="17">
        <f>IF($B$4="표준",'2.치형좌표'!D733,'2.치형좌표'!G733)</f>
        <v>-64.32730423839503</v>
      </c>
      <c r="C734" s="17">
        <f>IF($B$4="표준",'2.치형좌표'!E733,'2.치형좌표'!H733)</f>
        <v>-45.44397869927473</v>
      </c>
      <c r="D734" s="6" t="str">
        <f t="shared" si="11"/>
        <v>-64.32730,-45.44398</v>
      </c>
    </row>
    <row r="735" spans="1:4" x14ac:dyDescent="0.3">
      <c r="A735" s="19">
        <v>729</v>
      </c>
      <c r="B735" s="17">
        <f>IF($B$4="표준",'2.치형좌표'!D734,'2.치형좌표'!G734)</f>
        <v>-64.319260607419267</v>
      </c>
      <c r="C735" s="17">
        <f>IF($B$4="표준",'2.치형좌표'!E734,'2.치형좌표'!H734)</f>
        <v>-45.300585631907843</v>
      </c>
      <c r="D735" s="6" t="str">
        <f t="shared" si="11"/>
        <v>-64.31926,-45.30059</v>
      </c>
    </row>
    <row r="736" spans="1:4" x14ac:dyDescent="0.3">
      <c r="A736" s="19">
        <v>730</v>
      </c>
      <c r="B736" s="17">
        <f>IF($B$4="표준",'2.치형좌표'!D735,'2.치형좌표'!G735)</f>
        <v>-64.305444670576449</v>
      </c>
      <c r="C736" s="17">
        <f>IF($B$4="표준",'2.치형좌표'!E735,'2.치형좌표'!H735)</f>
        <v>-45.167785765667261</v>
      </c>
      <c r="D736" s="6" t="str">
        <f t="shared" si="11"/>
        <v>-64.30544,-45.16779</v>
      </c>
    </row>
    <row r="737" spans="1:4" x14ac:dyDescent="0.3">
      <c r="A737" s="19">
        <v>731</v>
      </c>
      <c r="B737" s="17">
        <f>IF($B$4="표준",'2.치형좌표'!D736,'2.치형좌표'!G736)</f>
        <v>-64.28681745831895</v>
      </c>
      <c r="C737" s="17">
        <f>IF($B$4="표준",'2.치형좌표'!E736,'2.치형좌표'!H736)</f>
        <v>-45.042144688783281</v>
      </c>
      <c r="D737" s="6" t="str">
        <f t="shared" si="11"/>
        <v>-64.28682,-45.04214</v>
      </c>
    </row>
    <row r="738" spans="1:4" x14ac:dyDescent="0.3">
      <c r="A738" s="19">
        <v>732</v>
      </c>
      <c r="B738" s="17">
        <f>IF($B$4="표준",'2.치형좌표'!D737,'2.치형좌표'!G737)</f>
        <v>-64.263520728756518</v>
      </c>
      <c r="C738" s="17">
        <f>IF($B$4="표준",'2.치형좌표'!E737,'2.치형좌표'!H737)</f>
        <v>-44.917740112885674</v>
      </c>
      <c r="D738" s="6" t="str">
        <f t="shared" si="11"/>
        <v>-64.26352,-44.91774</v>
      </c>
    </row>
    <row r="739" spans="1:4" x14ac:dyDescent="0.3">
      <c r="A739" s="19">
        <v>733</v>
      </c>
      <c r="B739" s="17">
        <f>IF($B$4="표준",'2.치형좌표'!D738,'2.치형좌표'!G738)</f>
        <v>-64.234453209854934</v>
      </c>
      <c r="C739" s="17">
        <f>IF($B$4="표준",'2.치형좌표'!E738,'2.치형좌표'!H738)</f>
        <v>-44.784756167495722</v>
      </c>
      <c r="D739" s="6" t="str">
        <f t="shared" si="11"/>
        <v>-64.23445,-44.78476</v>
      </c>
    </row>
    <row r="740" spans="1:4" x14ac:dyDescent="0.3">
      <c r="A740" s="19">
        <v>734</v>
      </c>
      <c r="B740" s="17">
        <f>IF($B$4="표준",'2.치형좌표'!D739,'2.치형좌표'!G739)</f>
        <v>-64.196843638875606</v>
      </c>
      <c r="C740" s="17">
        <f>IF($B$4="표준",'2.치형좌표'!E739,'2.치형좌표'!H739)</f>
        <v>-44.626835326249932</v>
      </c>
      <c r="D740" s="6" t="str">
        <f t="shared" si="11"/>
        <v>-64.19684,-44.62684</v>
      </c>
    </row>
    <row r="741" spans="1:4" x14ac:dyDescent="0.3">
      <c r="A741" s="19">
        <v>735</v>
      </c>
      <c r="B741" s="17">
        <f>IF($B$4="표준",'2.치형좌표'!D740,'2.치형좌표'!G740)</f>
        <v>-64.146310176570083</v>
      </c>
      <c r="C741" s="17">
        <f>IF($B$4="표준",'2.치형좌표'!E740,'2.치형좌표'!H740)</f>
        <v>-44.415865989479748</v>
      </c>
      <c r="D741" s="6" t="str">
        <f t="shared" si="11"/>
        <v>-64.14631,-44.41587</v>
      </c>
    </row>
    <row r="742" spans="1:4" x14ac:dyDescent="0.3">
      <c r="A742" s="19">
        <v>736</v>
      </c>
      <c r="B742" s="17">
        <f>IF($B$4="표준",'2.치형좌표'!D741,'2.치형좌표'!G741)</f>
        <v>-64.079558969455007</v>
      </c>
      <c r="C742" s="17">
        <f>IF($B$4="표준",'2.치형좌표'!E741,'2.치형좌표'!H741)</f>
        <v>-44.101632453504699</v>
      </c>
      <c r="D742" s="6" t="str">
        <f t="shared" si="11"/>
        <v>-64.07956,-44.10163</v>
      </c>
    </row>
    <row r="743" spans="1:4" x14ac:dyDescent="0.3">
      <c r="A743" s="19">
        <v>737</v>
      </c>
      <c r="B743" s="17">
        <f>IF($B$4="표준",'2.치형좌표'!D742,'2.치형좌표'!G742)</f>
        <v>-64.008216981179913</v>
      </c>
      <c r="C743" s="17">
        <f>IF($B$4="표준",'2.치형좌표'!E742,'2.치형좌표'!H742)</f>
        <v>-43.5936335311306</v>
      </c>
      <c r="D743" s="6" t="str">
        <f t="shared" si="11"/>
        <v>-64.00822,-43.59363</v>
      </c>
    </row>
    <row r="744" spans="1:4" x14ac:dyDescent="0.3">
      <c r="A744" s="19">
        <v>738</v>
      </c>
      <c r="B744" s="17">
        <f>IF($B$4="표준",'2.치형좌표'!D743,'2.치형좌표'!G743)</f>
        <v>-64.009863056699999</v>
      </c>
      <c r="C744" s="17">
        <f>IF($B$4="표준",'2.치형좌표'!E743,'2.치형좌표'!H743)</f>
        <v>-42.751020756444923</v>
      </c>
      <c r="D744" s="6" t="str">
        <f t="shared" si="11"/>
        <v>-64.00986,-42.75102</v>
      </c>
    </row>
    <row r="745" spans="1:4" x14ac:dyDescent="0.3">
      <c r="A745" s="19">
        <v>739</v>
      </c>
      <c r="B745" s="17">
        <f>IF($B$4="표준",'2.치형좌표'!D744,'2.치형좌표'!G744)</f>
        <v>-64.321992940678626</v>
      </c>
      <c r="C745" s="17">
        <f>IF($B$4="표준",'2.치형좌표'!E744,'2.치형좌표'!H744)</f>
        <v>-41.505627991281401</v>
      </c>
      <c r="D745" s="6" t="str">
        <f t="shared" si="11"/>
        <v>-64.32199,-41.50563</v>
      </c>
    </row>
    <row r="746" spans="1:4" x14ac:dyDescent="0.3">
      <c r="A746" s="19">
        <v>740</v>
      </c>
      <c r="B746" s="17">
        <f>IF($B$4="표준",'2.치형좌표'!D745,'2.치형좌표'!G745)</f>
        <v>-65.149434414545354</v>
      </c>
      <c r="C746" s="17">
        <f>IF($B$4="표준",'2.치형좌표'!E745,'2.치형좌표'!H745)</f>
        <v>-40.235209550388326</v>
      </c>
      <c r="D746" s="6" t="str">
        <f t="shared" si="11"/>
        <v>-65.14943,-40.23521</v>
      </c>
    </row>
    <row r="747" spans="1:4" x14ac:dyDescent="0.3">
      <c r="A747" s="19">
        <v>741</v>
      </c>
      <c r="B747" s="17">
        <f>IF($B$4="표준",'2.치형좌표'!D746,'2.치형좌표'!G746)</f>
        <v>-66.13319284406569</v>
      </c>
      <c r="C747" s="17">
        <f>IF($B$4="표준",'2.치형좌표'!E746,'2.치형좌표'!H746)</f>
        <v>-39.462141784869054</v>
      </c>
      <c r="D747" s="6" t="str">
        <f t="shared" si="11"/>
        <v>-66.13319,-39.46214</v>
      </c>
    </row>
    <row r="748" spans="1:4" x14ac:dyDescent="0.3">
      <c r="A748" s="19">
        <v>742</v>
      </c>
      <c r="B748" s="17">
        <f>IF($B$4="표준",'2.치형좌표'!D747,'2.치형좌표'!G747)</f>
        <v>-66.87074145383599</v>
      </c>
      <c r="C748" s="17">
        <f>IF($B$4="표준",'2.치형좌표'!E747,'2.치형좌표'!H747)</f>
        <v>-39.12318411658881</v>
      </c>
      <c r="D748" s="6" t="str">
        <f t="shared" si="11"/>
        <v>-66.87074,-39.12318</v>
      </c>
    </row>
    <row r="749" spans="1:4" x14ac:dyDescent="0.3">
      <c r="A749" s="19">
        <v>743</v>
      </c>
      <c r="B749" s="17">
        <f>IF($B$4="표준",'2.치형좌표'!D748,'2.치형좌표'!G748)</f>
        <v>-67.343204527735537</v>
      </c>
      <c r="C749" s="17">
        <f>IF($B$4="표준",'2.치형좌표'!E748,'2.치형좌표'!H748)</f>
        <v>-38.979086802598559</v>
      </c>
      <c r="D749" s="6" t="str">
        <f t="shared" si="11"/>
        <v>-67.34320,-38.97909</v>
      </c>
    </row>
    <row r="750" spans="1:4" x14ac:dyDescent="0.3">
      <c r="A750" s="19">
        <v>744</v>
      </c>
      <c r="B750" s="17">
        <f>IF($B$4="표준",'2.치형좌표'!D749,'2.치형좌표'!G749)</f>
        <v>-67.645711475184072</v>
      </c>
      <c r="C750" s="17">
        <f>IF($B$4="표준",'2.치형좌표'!E749,'2.치형좌표'!H749)</f>
        <v>-38.908110066855393</v>
      </c>
      <c r="D750" s="6" t="str">
        <f t="shared" si="11"/>
        <v>-67.64571,-38.90811</v>
      </c>
    </row>
    <row r="751" spans="1:4" x14ac:dyDescent="0.3">
      <c r="A751" s="19">
        <v>745</v>
      </c>
      <c r="B751" s="17">
        <f>IF($B$4="표준",'2.치형좌표'!D750,'2.치형좌표'!G750)</f>
        <v>-67.852515485543506</v>
      </c>
      <c r="C751" s="17">
        <f>IF($B$4="표준",'2.치형좌표'!E750,'2.치형좌표'!H750)</f>
        <v>-38.864627453138318</v>
      </c>
      <c r="D751" s="6" t="str">
        <f t="shared" si="11"/>
        <v>-67.85252,-38.86463</v>
      </c>
    </row>
    <row r="752" spans="1:4" x14ac:dyDescent="0.3">
      <c r="A752" s="19">
        <v>746</v>
      </c>
      <c r="B752" s="17">
        <f>IF($B$4="표준",'2.치형좌표'!D751,'2.치형좌표'!G751)</f>
        <v>-68.008512674006184</v>
      </c>
      <c r="C752" s="17">
        <f>IF($B$4="표준",'2.치형좌표'!E751,'2.치형좌표'!H751)</f>
        <v>-38.8313525046119</v>
      </c>
      <c r="D752" s="6" t="str">
        <f t="shared" si="11"/>
        <v>-68.00851,-38.83135</v>
      </c>
    </row>
    <row r="753" spans="1:4" x14ac:dyDescent="0.3">
      <c r="A753" s="19">
        <v>747</v>
      </c>
      <c r="B753" s="17">
        <f>IF($B$4="표준",'2.치형좌표'!D752,'2.치형좌표'!G752)</f>
        <v>-68.139870873647666</v>
      </c>
      <c r="C753" s="17">
        <f>IF($B$4="표준",'2.치형좌표'!E752,'2.치형좌표'!H752)</f>
        <v>-38.800621728761094</v>
      </c>
      <c r="D753" s="6" t="str">
        <f t="shared" si="11"/>
        <v>-68.13987,-38.80062</v>
      </c>
    </row>
    <row r="754" spans="1:4" x14ac:dyDescent="0.3">
      <c r="A754" s="19">
        <v>748</v>
      </c>
      <c r="B754" s="17">
        <f>IF($B$4="표준",'2.치형좌표'!D753,'2.치형좌표'!G753)</f>
        <v>-68.261915348275366</v>
      </c>
      <c r="C754" s="17">
        <f>IF($B$4="표준",'2.치형좌표'!E753,'2.치형좌표'!H753)</f>
        <v>-38.768077127698213</v>
      </c>
      <c r="D754" s="6" t="str">
        <f t="shared" si="11"/>
        <v>-68.26192,-38.76808</v>
      </c>
    </row>
    <row r="755" spans="1:4" x14ac:dyDescent="0.3">
      <c r="A755" s="19">
        <v>749</v>
      </c>
      <c r="B755" s="17">
        <f>IF($B$4="표준",'2.치형좌표'!D754,'2.치형좌표'!G754)</f>
        <v>-68.383602263461924</v>
      </c>
      <c r="C755" s="17">
        <f>IF($B$4="표준",'2.치형좌표'!E754,'2.치형좌표'!H754)</f>
        <v>-38.730563951548042</v>
      </c>
      <c r="D755" s="6" t="str">
        <f t="shared" si="11"/>
        <v>-68.38360,-38.73056</v>
      </c>
    </row>
    <row r="756" spans="1:4" x14ac:dyDescent="0.3">
      <c r="A756" s="19">
        <v>750</v>
      </c>
      <c r="B756" s="17">
        <f>IF($B$4="표준",'2.치형좌표'!D755,'2.치형좌표'!G755)</f>
        <v>-68.509979841949274</v>
      </c>
      <c r="C756" s="17">
        <f>IF($B$4="표준",'2.치형좌표'!E755,'2.치형좌표'!H755)</f>
        <v>-38.685444587900825</v>
      </c>
      <c r="D756" s="6" t="str">
        <f t="shared" si="11"/>
        <v>-68.50998,-38.68544</v>
      </c>
    </row>
    <row r="757" spans="1:4" x14ac:dyDescent="0.3">
      <c r="A757" s="19">
        <v>751</v>
      </c>
      <c r="B757" s="17">
        <f>IF($B$4="표준",'2.치형좌표'!D756,'2.치형좌표'!G756)</f>
        <v>-68.643579838861527</v>
      </c>
      <c r="C757" s="17">
        <f>IF($B$4="표준",'2.치형좌표'!E756,'2.치형좌표'!H756)</f>
        <v>-38.630400894949382</v>
      </c>
      <c r="D757" s="6" t="str">
        <f t="shared" si="11"/>
        <v>-68.64358,-38.63040</v>
      </c>
    </row>
    <row r="758" spans="1:4" x14ac:dyDescent="0.3">
      <c r="A758" s="19">
        <v>752</v>
      </c>
      <c r="B758" s="17">
        <f>IF($B$4="표준",'2.치형좌표'!D757,'2.치형좌표'!G757)</f>
        <v>-68.785242852111537</v>
      </c>
      <c r="C758" s="17">
        <f>IF($B$4="표준",'2.치형좌표'!E757,'2.치형좌표'!H757)</f>
        <v>-38.563406580971055</v>
      </c>
      <c r="D758" s="6" t="str">
        <f t="shared" si="11"/>
        <v>-68.78524,-38.56341</v>
      </c>
    </row>
    <row r="759" spans="1:4" x14ac:dyDescent="0.3">
      <c r="A759" s="19">
        <v>753</v>
      </c>
      <c r="B759" s="17">
        <f>IF($B$4="표준",'2.치형좌표'!D758,'2.치형좌표'!G758)</f>
        <v>-68.934637006189163</v>
      </c>
      <c r="C759" s="17">
        <f>IF($B$4="표준",'2.치형좌표'!E758,'2.치형좌표'!H758)</f>
        <v>-38.482755237371663</v>
      </c>
      <c r="D759" s="6" t="str">
        <f t="shared" si="11"/>
        <v>-68.93464,-38.48276</v>
      </c>
    </row>
    <row r="760" spans="1:4" x14ac:dyDescent="0.3">
      <c r="A760" s="19">
        <v>754</v>
      </c>
      <c r="B760" s="17">
        <f>IF($B$4="표준",'2.치형좌표'!D759,'2.치형좌표'!G759)</f>
        <v>-69.090605316990576</v>
      </c>
      <c r="C760" s="17">
        <f>IF($B$4="표준",'2.치형좌표'!E759,'2.치형좌표'!H759)</f>
        <v>-38.387101270231696</v>
      </c>
      <c r="D760" s="6" t="str">
        <f t="shared" si="11"/>
        <v>-69.09061,-38.38710</v>
      </c>
    </row>
    <row r="761" spans="1:4" x14ac:dyDescent="0.3">
      <c r="A761" s="19">
        <v>755</v>
      </c>
      <c r="B761" s="17">
        <f>IF($B$4="표준",'2.치형좌표'!D760,'2.치형좌표'!G760)</f>
        <v>-69.251413992468542</v>
      </c>
      <c r="C761" s="17">
        <f>IF($B$4="표준",'2.치형좌표'!E760,'2.치형좌표'!H760)</f>
        <v>-38.275497348550061</v>
      </c>
      <c r="D761" s="6" t="str">
        <f t="shared" si="11"/>
        <v>-69.25141,-38.27550</v>
      </c>
    </row>
    <row r="762" spans="1:4" x14ac:dyDescent="0.3">
      <c r="A762" s="19">
        <v>756</v>
      </c>
      <c r="B762" s="17">
        <f>IF($B$4="표준",'2.치형좌표'!D761,'2.치형좌표'!G761)</f>
        <v>-69.414941213390733</v>
      </c>
      <c r="C762" s="17">
        <f>IF($B$4="표준",'2.치형좌표'!E761,'2.치형좌표'!H761)</f>
        <v>-38.147422108637343</v>
      </c>
      <c r="D762" s="6" t="str">
        <f t="shared" si="11"/>
        <v>-69.41494,-38.14742</v>
      </c>
    </row>
    <row r="763" spans="1:4" x14ac:dyDescent="0.3">
      <c r="A763" s="19">
        <v>757</v>
      </c>
      <c r="B763" s="17">
        <f>IF($B$4="표준",'2.치형좌표'!D762,'2.치형좌표'!G762)</f>
        <v>-69.578828459489685</v>
      </c>
      <c r="C763" s="17">
        <f>IF($B$4="표준",'2.치형좌표'!E762,'2.치형좌표'!H762)</f>
        <v>-38.002795885361181</v>
      </c>
      <c r="D763" s="6" t="str">
        <f t="shared" si="11"/>
        <v>-69.57883,-38.00280</v>
      </c>
    </row>
    <row r="764" spans="1:4" x14ac:dyDescent="0.3">
      <c r="A764" s="19">
        <v>758</v>
      </c>
      <c r="B764" s="17">
        <f>IF($B$4="표준",'2.치형좌표'!D763,'2.치형좌표'!G763)</f>
        <v>-69.740606816374253</v>
      </c>
      <c r="C764" s="17">
        <f>IF($B$4="표준",'2.치형좌표'!E763,'2.치형좌표'!H763)</f>
        <v>-37.841983912889617</v>
      </c>
      <c r="D764" s="6" t="str">
        <f t="shared" si="11"/>
        <v>-69.74061,-37.84198</v>
      </c>
    </row>
    <row r="765" spans="1:4" x14ac:dyDescent="0.3">
      <c r="A765" s="19">
        <v>759</v>
      </c>
      <c r="B765" s="17">
        <f>IF($B$4="표준",'2.치형좌표'!D764,'2.치형좌표'!G764)</f>
        <v>-69.897805240839006</v>
      </c>
      <c r="C765" s="17">
        <f>IF($B$4="표준",'2.치형좌표'!E764,'2.치형좌표'!H764)</f>
        <v>-37.665787174620966</v>
      </c>
      <c r="D765" s="6" t="str">
        <f t="shared" si="11"/>
        <v>-69.89781,-37.66579</v>
      </c>
    </row>
    <row r="766" spans="1:4" x14ac:dyDescent="0.3">
      <c r="A766" s="19">
        <v>760</v>
      </c>
      <c r="B766" s="17">
        <f>IF($B$4="표준",'2.치형좌표'!D765,'2.치형좌표'!G765)</f>
        <v>-70.048044594601436</v>
      </c>
      <c r="C766" s="17">
        <f>IF($B$4="표준",'2.치형좌표'!E765,'2.치형좌표'!H765)</f>
        <v>-37.475421443418334</v>
      </c>
      <c r="D766" s="6" t="str">
        <f t="shared" si="11"/>
        <v>-70.04804,-37.47542</v>
      </c>
    </row>
    <row r="767" spans="1:4" x14ac:dyDescent="0.3">
      <c r="A767" s="19">
        <v>761</v>
      </c>
      <c r="B767" s="17">
        <f>IF($B$4="표준",'2.치형좌표'!D766,'2.치형좌표'!G766)</f>
        <v>-70.189119386229663</v>
      </c>
      <c r="C767" s="17">
        <f>IF($B$4="표준",'2.치형좌표'!E766,'2.치형좌표'!H766)</f>
        <v>-37.272485261095625</v>
      </c>
      <c r="D767" s="6" t="str">
        <f t="shared" si="11"/>
        <v>-70.18912,-37.27249</v>
      </c>
    </row>
    <row r="768" spans="1:4" x14ac:dyDescent="0.3">
      <c r="A768" s="19">
        <v>762</v>
      </c>
      <c r="B768" s="17">
        <f>IF($B$4="표준",'2.치형좌표'!D767,'2.치형좌표'!G767)</f>
        <v>-70.319068047743798</v>
      </c>
      <c r="C768" s="17">
        <f>IF($B$4="표준",'2.치형좌표'!E767,'2.치형좌표'!H767)</f>
        <v>-37.058917746569563</v>
      </c>
      <c r="D768" s="6" t="str">
        <f t="shared" si="11"/>
        <v>-70.31907,-37.05892</v>
      </c>
    </row>
    <row r="769" spans="1:4" x14ac:dyDescent="0.3">
      <c r="A769" s="19">
        <v>763</v>
      </c>
      <c r="B769" s="17">
        <f>IF($B$4="표준",'2.치형좌표'!D768,'2.치형좌표'!G768)</f>
        <v>-70.436231912058787</v>
      </c>
      <c r="C769" s="17">
        <f>IF($B$4="표준",'2.치형좌표'!E768,'2.치형좌표'!H768)</f>
        <v>-36.836947225203808</v>
      </c>
      <c r="D769" s="6" t="str">
        <f t="shared" si="11"/>
        <v>-70.43623,-36.83695</v>
      </c>
    </row>
    <row r="770" spans="1:4" x14ac:dyDescent="0.3">
      <c r="A770" s="19">
        <v>764</v>
      </c>
      <c r="B770" s="17">
        <f>IF($B$4="표준",'2.치형좌표'!D769,'2.치형좌표'!G769)</f>
        <v>-70.539302672385929</v>
      </c>
      <c r="C770" s="17">
        <f>IF($B$4="표준",'2.치형좌표'!E769,'2.치형좌표'!H769)</f>
        <v>-36.609031743415088</v>
      </c>
      <c r="D770" s="6" t="str">
        <f t="shared" si="11"/>
        <v>-70.53930,-36.60903</v>
      </c>
    </row>
    <row r="771" spans="1:4" x14ac:dyDescent="0.3">
      <c r="A771" s="19">
        <v>765</v>
      </c>
      <c r="B771" s="17">
        <f>IF($B$4="표준",'2.치형좌표'!D770,'2.치형좌표'!G770)</f>
        <v>-70.627357885713721</v>
      </c>
      <c r="C771" s="17">
        <f>IF($B$4="표준",'2.치형좌표'!E770,'2.치형좌표'!H770)</f>
        <v>-36.3777925668184</v>
      </c>
      <c r="D771" s="6" t="str">
        <f t="shared" si="11"/>
        <v>-70.62736,-36.37779</v>
      </c>
    </row>
    <row r="772" spans="1:4" x14ac:dyDescent="0.3">
      <c r="A772" s="19">
        <v>766</v>
      </c>
      <c r="B772" s="17">
        <f>IF($B$4="표준",'2.치형좌표'!D771,'2.치형좌표'!G771)</f>
        <v>-70.699883957173611</v>
      </c>
      <c r="C772" s="17">
        <f>IF($B$4="표준",'2.치형좌표'!E771,'2.치형좌표'!H771)</f>
        <v>-36.145941743949123</v>
      </c>
      <c r="D772" s="6" t="str">
        <f t="shared" si="11"/>
        <v>-70.69988,-36.14594</v>
      </c>
    </row>
    <row r="773" spans="1:4" x14ac:dyDescent="0.3">
      <c r="A773" s="19">
        <v>767</v>
      </c>
      <c r="B773" s="17">
        <f>IF($B$4="표준",'2.치형좌표'!D772,'2.치형좌표'!G772)</f>
        <v>-70.756785956481025</v>
      </c>
      <c r="C773" s="17">
        <f>IF($B$4="표준",'2.치형좌표'!E772,'2.치형좌표'!H772)</f>
        <v>-35.916204730292073</v>
      </c>
      <c r="D773" s="6" t="str">
        <f t="shared" si="11"/>
        <v>-70.75679,-35.91620</v>
      </c>
    </row>
    <row r="774" spans="1:4" x14ac:dyDescent="0.3">
      <c r="A774" s="19">
        <v>768</v>
      </c>
      <c r="B774" s="17">
        <f>IF($B$4="표준",'2.치형좌표'!D773,'2.치형좌표'!G773)</f>
        <v>-70.798383524018078</v>
      </c>
      <c r="C774" s="17">
        <f>IF($B$4="표준",'2.치형좌표'!E773,'2.치형좌표'!H773)</f>
        <v>-35.691238877352902</v>
      </c>
      <c r="D774" s="6" t="str">
        <f t="shared" si="11"/>
        <v>-70.79838,-35.69124</v>
      </c>
    </row>
    <row r="775" spans="1:4" x14ac:dyDescent="0.3">
      <c r="A775" s="19">
        <v>769</v>
      </c>
      <c r="B775" s="17">
        <f>IF($B$4="표준",'2.치형좌표'!D774,'2.치형좌표'!G774)</f>
        <v>-70.825391971269681</v>
      </c>
      <c r="C775" s="17">
        <f>IF($B$4="표준",'2.치형좌표'!E774,'2.치형좌표'!H774)</f>
        <v>-35.473548248625903</v>
      </c>
      <c r="D775" s="6" t="str">
        <f t="shared" ref="D775:D838" si="12">TEXT(B775,"0.00000")&amp;","&amp;TEXT(C775,"0.00000")</f>
        <v>-70.82539,-35.47355</v>
      </c>
    </row>
    <row r="776" spans="1:4" x14ac:dyDescent="0.3">
      <c r="A776" s="19">
        <v>770</v>
      </c>
      <c r="B776" s="17">
        <f>IF($B$4="표준",'2.치형좌표'!D775,'2.치형좌표'!G775)</f>
        <v>-70.838887403040488</v>
      </c>
      <c r="C776" s="17">
        <f>IF($B$4="표준",'2.치형좌표'!E775,'2.치형좌표'!H775)</f>
        <v>-35.265394645375508</v>
      </c>
      <c r="D776" s="6" t="str">
        <f t="shared" si="12"/>
        <v>-70.83889,-35.26539</v>
      </c>
    </row>
    <row r="777" spans="1:4" x14ac:dyDescent="0.3">
      <c r="A777" s="19">
        <v>771</v>
      </c>
      <c r="B777" s="17">
        <f>IF($B$4="표준",'2.치형좌표'!D776,'2.치형좌표'!G776)</f>
        <v>-70.84025419391287</v>
      </c>
      <c r="C777" s="17">
        <f>IF($B$4="표준",'2.치형좌표'!E776,'2.치형좌표'!H776)</f>
        <v>-35.068703766960077</v>
      </c>
      <c r="D777" s="6" t="str">
        <f t="shared" si="12"/>
        <v>-70.84025,-35.06870</v>
      </c>
    </row>
    <row r="778" spans="1:4" x14ac:dyDescent="0.3">
      <c r="A778" s="19">
        <v>772</v>
      </c>
      <c r="B778" s="17">
        <f>IF($B$4="표준",'2.치형좌표'!D777,'2.치형좌표'!G777)</f>
        <v>-70.831112295795705</v>
      </c>
      <c r="C778" s="17">
        <f>IF($B$4="표준",'2.치형좌표'!E777,'2.치형좌표'!H777)</f>
        <v>-34.884963837708334</v>
      </c>
      <c r="D778" s="6" t="str">
        <f t="shared" si="12"/>
        <v>-70.83111,-34.88496</v>
      </c>
    </row>
    <row r="779" spans="1:4" x14ac:dyDescent="0.3">
      <c r="A779" s="19">
        <v>773</v>
      </c>
      <c r="B779" s="17">
        <f>IF($B$4="표준",'2.치형좌표'!D778,'2.치형좌표'!G778)</f>
        <v>-70.8132204096663</v>
      </c>
      <c r="C779" s="17">
        <f>IF($B$4="표준",'2.치형좌표'!E778,'2.치형좌표'!H778)</f>
        <v>-34.715111334741422</v>
      </c>
      <c r="D779" s="6" t="str">
        <f t="shared" si="12"/>
        <v>-70.81322,-34.71511</v>
      </c>
    </row>
    <row r="780" spans="1:4" x14ac:dyDescent="0.3">
      <c r="A780" s="19">
        <v>774</v>
      </c>
      <c r="B780" s="17">
        <f>IF($B$4="표준",'2.치형좌표'!D779,'2.치형좌표'!G779)</f>
        <v>-70.788348655265935</v>
      </c>
      <c r="C780" s="17">
        <f>IF($B$4="표준",'2.치형좌표'!E779,'2.치형좌표'!H779)</f>
        <v>-34.559393752364812</v>
      </c>
      <c r="D780" s="6" t="str">
        <f t="shared" si="12"/>
        <v>-70.78835,-34.55939</v>
      </c>
    </row>
    <row r="781" spans="1:4" x14ac:dyDescent="0.3">
      <c r="A781" s="19">
        <v>775</v>
      </c>
      <c r="B781" s="17">
        <f>IF($B$4="표준",'2.치형좌표'!D780,'2.치형좌표'!G780)</f>
        <v>-70.758110429545852</v>
      </c>
      <c r="C781" s="17">
        <f>IF($B$4="표준",'2.치형좌표'!E780,'2.치형좌표'!H780)</f>
        <v>-34.417190869918983</v>
      </c>
      <c r="D781" s="6" t="str">
        <f t="shared" si="12"/>
        <v>-70.75811,-34.41719</v>
      </c>
    </row>
    <row r="782" spans="1:4" x14ac:dyDescent="0.3">
      <c r="A782" s="19">
        <v>776</v>
      </c>
      <c r="B782" s="17">
        <f>IF($B$4="표준",'2.치형좌표'!D781,'2.치형좌표'!G781)</f>
        <v>-70.723736766281405</v>
      </c>
      <c r="C782" s="17">
        <f>IF($B$4="표준",'2.치형좌표'!E781,'2.치형좌표'!H781)</f>
        <v>-34.286760127730282</v>
      </c>
      <c r="D782" s="6" t="str">
        <f t="shared" si="12"/>
        <v>-70.72374,-34.28676</v>
      </c>
    </row>
    <row r="783" spans="1:4" x14ac:dyDescent="0.3">
      <c r="A783" s="19">
        <v>777</v>
      </c>
      <c r="B783" s="17">
        <f>IF($B$4="표준",'2.치형좌표'!D782,'2.치형좌표'!G782)</f>
        <v>-70.685766571572017</v>
      </c>
      <c r="C783" s="17">
        <f>IF($B$4="표준",'2.치형좌표'!E782,'2.치형좌표'!H782)</f>
        <v>-34.164840740980551</v>
      </c>
      <c r="D783" s="6" t="str">
        <f t="shared" si="12"/>
        <v>-70.68577,-34.16484</v>
      </c>
    </row>
    <row r="784" spans="1:4" x14ac:dyDescent="0.3">
      <c r="A784" s="19">
        <v>778</v>
      </c>
      <c r="B784" s="17">
        <f>IF($B$4="표준",'2.치형좌표'!D783,'2.치형좌표'!G783)</f>
        <v>-70.643612222198882</v>
      </c>
      <c r="C784" s="17">
        <f>IF($B$4="표준",'2.치형좌표'!E783,'2.치형좌표'!H783)</f>
        <v>-34.045987992478722</v>
      </c>
      <c r="D784" s="6" t="str">
        <f t="shared" si="12"/>
        <v>-70.64361,-34.04599</v>
      </c>
    </row>
    <row r="785" spans="1:4" x14ac:dyDescent="0.3">
      <c r="A785" s="19">
        <v>779</v>
      </c>
      <c r="B785" s="17">
        <f>IF($B$4="표준",'2.치형좌표'!D784,'2.치형좌표'!G784)</f>
        <v>-70.594947562259719</v>
      </c>
      <c r="C785" s="17">
        <f>IF($B$4="표준",'2.치형좌표'!E784,'2.치형좌표'!H784)</f>
        <v>-33.921374516803667</v>
      </c>
      <c r="D785" s="6" t="str">
        <f t="shared" si="12"/>
        <v>-70.59495,-33.92137</v>
      </c>
    </row>
    <row r="786" spans="1:4" x14ac:dyDescent="0.3">
      <c r="A786" s="19">
        <v>780</v>
      </c>
      <c r="B786" s="17">
        <f>IF($B$4="표준",'2.치형좌표'!D785,'2.치형좌표'!G785)</f>
        <v>-70.534888210574294</v>
      </c>
      <c r="C786" s="17">
        <f>IF($B$4="표준",'2.치형좌표'!E785,'2.치형좌표'!H785)</f>
        <v>-33.776497766336625</v>
      </c>
      <c r="D786" s="6" t="str">
        <f t="shared" si="12"/>
        <v>-70.53489,-33.77650</v>
      </c>
    </row>
    <row r="787" spans="1:4" x14ac:dyDescent="0.3">
      <c r="A787" s="19">
        <v>781</v>
      </c>
      <c r="B787" s="17">
        <f>IF($B$4="표준",'2.치형좌표'!D786,'2.치형좌표'!G786)</f>
        <v>-70.455154091853061</v>
      </c>
      <c r="C787" s="17">
        <f>IF($B$4="표준",'2.치형좌표'!E786,'2.치형좌표'!H786)</f>
        <v>-33.586567019571795</v>
      </c>
      <c r="D787" s="6" t="str">
        <f t="shared" si="12"/>
        <v>-70.45515,-33.58657</v>
      </c>
    </row>
    <row r="788" spans="1:4" x14ac:dyDescent="0.3">
      <c r="A788" s="19">
        <v>782</v>
      </c>
      <c r="B788" s="17">
        <f>IF($B$4="표준",'2.치형좌표'!D787,'2.치형좌표'!G787)</f>
        <v>-70.344540938106917</v>
      </c>
      <c r="C788" s="17">
        <f>IF($B$4="표준",'2.치형좌표'!E787,'2.치형좌표'!H787)</f>
        <v>-33.306967604267726</v>
      </c>
      <c r="D788" s="6" t="str">
        <f t="shared" si="12"/>
        <v>-70.34454,-33.30697</v>
      </c>
    </row>
    <row r="789" spans="1:4" x14ac:dyDescent="0.3">
      <c r="A789" s="19">
        <v>783</v>
      </c>
      <c r="B789" s="17">
        <f>IF($B$4="표준",'2.치형좌표'!D788,'2.치형좌표'!G788)</f>
        <v>-70.197059430548961</v>
      </c>
      <c r="C789" s="17">
        <f>IF($B$4="표준",'2.치형좌표'!E788,'2.치형좌표'!H788)</f>
        <v>-32.854681207618022</v>
      </c>
      <c r="D789" s="6" t="str">
        <f t="shared" si="12"/>
        <v>-70.19706,-32.85468</v>
      </c>
    </row>
    <row r="790" spans="1:4" x14ac:dyDescent="0.3">
      <c r="A790" s="19">
        <v>784</v>
      </c>
      <c r="B790" s="17">
        <f>IF($B$4="표준",'2.치형좌표'!D789,'2.치형좌표'!G789)</f>
        <v>-70.051761318037606</v>
      </c>
      <c r="C790" s="17">
        <f>IF($B$4="표준",'2.치형좌표'!E789,'2.치형좌표'!H789)</f>
        <v>-32.086623285176138</v>
      </c>
      <c r="D790" s="6" t="str">
        <f t="shared" si="12"/>
        <v>-70.05176,-32.08662</v>
      </c>
    </row>
    <row r="791" spans="1:4" x14ac:dyDescent="0.3">
      <c r="A791" s="19">
        <v>785</v>
      </c>
      <c r="B791" s="17">
        <f>IF($B$4="표준",'2.치형좌표'!D790,'2.치형좌표'!G790)</f>
        <v>-70.100342271429298</v>
      </c>
      <c r="C791" s="17">
        <f>IF($B$4="표준",'2.치형좌표'!E790,'2.치형좌표'!H790)</f>
        <v>-30.870097312932568</v>
      </c>
      <c r="D791" s="6" t="str">
        <f t="shared" si="12"/>
        <v>-70.10034,-30.87010</v>
      </c>
    </row>
    <row r="792" spans="1:4" x14ac:dyDescent="0.3">
      <c r="A792" s="19">
        <v>786</v>
      </c>
      <c r="B792" s="17">
        <f>IF($B$4="표준",'2.치형좌표'!D791,'2.치형좌표'!G791)</f>
        <v>-70.636802157797192</v>
      </c>
      <c r="C792" s="17">
        <f>IF($B$4="표준",'2.치형좌표'!E791,'2.치형좌표'!H791)</f>
        <v>-29.455724117992812</v>
      </c>
      <c r="D792" s="6" t="str">
        <f t="shared" si="12"/>
        <v>-70.63680,-29.45572</v>
      </c>
    </row>
    <row r="793" spans="1:4" x14ac:dyDescent="0.3">
      <c r="A793" s="19">
        <v>787</v>
      </c>
      <c r="B793" s="17">
        <f>IF($B$4="표준",'2.치형좌표'!D792,'2.치형좌표'!G792)</f>
        <v>-71.482175908486028</v>
      </c>
      <c r="C793" s="17">
        <f>IF($B$4="표준",'2.치형좌표'!E792,'2.치형좌표'!H792)</f>
        <v>-28.447831653789201</v>
      </c>
      <c r="D793" s="6" t="str">
        <f t="shared" si="12"/>
        <v>-71.48218,-28.44783</v>
      </c>
    </row>
    <row r="794" spans="1:4" x14ac:dyDescent="0.3">
      <c r="A794" s="19">
        <v>788</v>
      </c>
      <c r="B794" s="17">
        <f>IF($B$4="표준",'2.치형좌표'!D793,'2.치형좌표'!G793)</f>
        <v>-72.193315343805082</v>
      </c>
      <c r="C794" s="17">
        <f>IF($B$4="표준",'2.치형좌표'!E793,'2.치형좌표'!H793)</f>
        <v>-27.939130262725261</v>
      </c>
      <c r="D794" s="6" t="str">
        <f t="shared" si="12"/>
        <v>-72.19332,-27.93913</v>
      </c>
    </row>
    <row r="795" spans="1:4" x14ac:dyDescent="0.3">
      <c r="A795" s="19">
        <v>789</v>
      </c>
      <c r="B795" s="17">
        <f>IF($B$4="표준",'2.치형좌표'!D794,'2.치형좌표'!G794)</f>
        <v>-72.667778512429464</v>
      </c>
      <c r="C795" s="17">
        <f>IF($B$4="표준",'2.치형좌표'!E794,'2.치형좌표'!H794)</f>
        <v>-27.696602468880531</v>
      </c>
      <c r="D795" s="6" t="str">
        <f t="shared" si="12"/>
        <v>-72.66778,-27.69660</v>
      </c>
    </row>
    <row r="796" spans="1:4" x14ac:dyDescent="0.3">
      <c r="A796" s="19">
        <v>790</v>
      </c>
      <c r="B796" s="17">
        <f>IF($B$4="표준",'2.치형좌표'!D795,'2.치형좌표'!G795)</f>
        <v>-72.974035670641769</v>
      </c>
      <c r="C796" s="17">
        <f>IF($B$4="표준",'2.치형좌표'!E795,'2.치형좌표'!H795)</f>
        <v>-27.567709122863924</v>
      </c>
      <c r="D796" s="6" t="str">
        <f t="shared" si="12"/>
        <v>-72.97404,-27.56771</v>
      </c>
    </row>
    <row r="797" spans="1:4" x14ac:dyDescent="0.3">
      <c r="A797" s="19">
        <v>791</v>
      </c>
      <c r="B797" s="17">
        <f>IF($B$4="표준",'2.치형좌표'!D796,'2.치형좌표'!G796)</f>
        <v>-73.181797134252548</v>
      </c>
      <c r="C797" s="17">
        <f>IF($B$4="표준",'2.치형좌표'!E796,'2.치형좌표'!H796)</f>
        <v>-27.487147046976219</v>
      </c>
      <c r="D797" s="6" t="str">
        <f t="shared" si="12"/>
        <v>-73.18180,-27.48715</v>
      </c>
    </row>
    <row r="798" spans="1:4" x14ac:dyDescent="0.3">
      <c r="A798" s="19">
        <v>792</v>
      </c>
      <c r="B798" s="17">
        <f>IF($B$4="표준",'2.치형좌표'!D797,'2.치형좌표'!G797)</f>
        <v>-73.335967875766528</v>
      </c>
      <c r="C798" s="17">
        <f>IF($B$4="표준",'2.치형좌표'!E797,'2.치형좌표'!H797)</f>
        <v>-27.427430733607373</v>
      </c>
      <c r="D798" s="6" t="str">
        <f t="shared" si="12"/>
        <v>-73.33597,-27.42743</v>
      </c>
    </row>
    <row r="799" spans="1:4" x14ac:dyDescent="0.3">
      <c r="A799" s="19">
        <v>793</v>
      </c>
      <c r="B799" s="17">
        <f>IF($B$4="표준",'2.치형좌표'!D798,'2.치형좌표'!G798)</f>
        <v>-73.463239004421339</v>
      </c>
      <c r="C799" s="17">
        <f>IF($B$4="표준",'2.치형좌표'!E798,'2.치형좌표'!H798)</f>
        <v>-27.375551916294139</v>
      </c>
      <c r="D799" s="6" t="str">
        <f t="shared" si="12"/>
        <v>-73.46324,-27.37555</v>
      </c>
    </row>
    <row r="800" spans="1:4" x14ac:dyDescent="0.3">
      <c r="A800" s="19">
        <v>794</v>
      </c>
      <c r="B800" s="17">
        <f>IF($B$4="표준",'2.치형좌표'!D799,'2.치형좌표'!G799)</f>
        <v>-73.579279881760684</v>
      </c>
      <c r="C800" s="17">
        <f>IF($B$4="표준",'2.치형좌표'!E799,'2.치형좌표'!H799)</f>
        <v>-27.324231211254521</v>
      </c>
      <c r="D800" s="6" t="str">
        <f t="shared" si="12"/>
        <v>-73.57928,-27.32423</v>
      </c>
    </row>
    <row r="801" spans="1:4" x14ac:dyDescent="0.3">
      <c r="A801" s="19">
        <v>795</v>
      </c>
      <c r="B801" s="17">
        <f>IF($B$4="표준",'2.치형좌표'!D800,'2.치형좌표'!G800)</f>
        <v>-73.693178107591393</v>
      </c>
      <c r="C801" s="17">
        <f>IF($B$4="표준",'2.치형좌표'!E800,'2.치형좌표'!H800)</f>
        <v>-27.268673412436787</v>
      </c>
      <c r="D801" s="6" t="str">
        <f t="shared" si="12"/>
        <v>-73.69318,-27.26867</v>
      </c>
    </row>
    <row r="802" spans="1:4" x14ac:dyDescent="0.3">
      <c r="A802" s="19">
        <v>796</v>
      </c>
      <c r="B802" s="17">
        <f>IF($B$4="표준",'2.치형좌표'!D801,'2.치형좌표'!G801)</f>
        <v>-73.809968825881839</v>
      </c>
      <c r="C802" s="17">
        <f>IF($B$4="표준",'2.치형좌표'!E801,'2.치형좌표'!H801)</f>
        <v>-27.205327473766097</v>
      </c>
      <c r="D802" s="6" t="str">
        <f t="shared" si="12"/>
        <v>-73.80997,-27.20533</v>
      </c>
    </row>
    <row r="803" spans="1:4" x14ac:dyDescent="0.3">
      <c r="A803" s="19">
        <v>797</v>
      </c>
      <c r="B803" s="17">
        <f>IF($B$4="표준",'2.치형좌표'!D802,'2.치형좌표'!G802)</f>
        <v>-73.932090857780736</v>
      </c>
      <c r="C803" s="17">
        <f>IF($B$4="표준",'2.치형좌표'!E802,'2.치형좌표'!H802)</f>
        <v>-27.131402931072778</v>
      </c>
      <c r="D803" s="6" t="str">
        <f t="shared" si="12"/>
        <v>-73.93209,-27.13140</v>
      </c>
    </row>
    <row r="804" spans="1:4" x14ac:dyDescent="0.3">
      <c r="A804" s="19">
        <v>798</v>
      </c>
      <c r="B804" s="17">
        <f>IF($B$4="표준",'2.치형좌표'!D803,'2.치형좌표'!G803)</f>
        <v>-74.060259367561343</v>
      </c>
      <c r="C804" s="17">
        <f>IF($B$4="표준",'2.치형좌표'!E803,'2.치형좌표'!H803)</f>
        <v>-27.04468405216328</v>
      </c>
      <c r="D804" s="6" t="str">
        <f t="shared" si="12"/>
        <v>-74.06026,-27.04468</v>
      </c>
    </row>
    <row r="805" spans="1:4" x14ac:dyDescent="0.3">
      <c r="A805" s="19">
        <v>799</v>
      </c>
      <c r="B805" s="17">
        <f>IF($B$4="표준",'2.치형좌표'!D804,'2.치형좌표'!G804)</f>
        <v>-74.194017273517844</v>
      </c>
      <c r="C805" s="17">
        <f>IF($B$4="표준",'2.치형좌표'!E804,'2.치형좌표'!H804)</f>
        <v>-26.943463824513348</v>
      </c>
      <c r="D805" s="6" t="str">
        <f t="shared" si="12"/>
        <v>-74.19402,-26.94346</v>
      </c>
    </row>
    <row r="806" spans="1:4" x14ac:dyDescent="0.3">
      <c r="A806" s="19">
        <v>800</v>
      </c>
      <c r="B806" s="17">
        <f>IF($B$4="표준",'2.치형좌표'!D805,'2.치형좌표'!G805)</f>
        <v>-74.332104861228444</v>
      </c>
      <c r="C806" s="17">
        <f>IF($B$4="표준",'2.치형좌표'!E805,'2.치형좌표'!H805)</f>
        <v>-26.826524824359378</v>
      </c>
      <c r="D806" s="6" t="str">
        <f t="shared" si="12"/>
        <v>-74.33210,-26.82652</v>
      </c>
    </row>
    <row r="807" spans="1:4" x14ac:dyDescent="0.3">
      <c r="A807" s="19">
        <v>801</v>
      </c>
      <c r="B807" s="17">
        <f>IF($B$4="표준",'2.치형좌표'!D806,'2.치형좌표'!G806)</f>
        <v>-74.472722970513161</v>
      </c>
      <c r="C807" s="17">
        <f>IF($B$4="표준",'2.치형좌표'!E806,'2.치형좌표'!H806)</f>
        <v>-26.693135496468035</v>
      </c>
      <c r="D807" s="6" t="str">
        <f t="shared" si="12"/>
        <v>-74.47272,-26.69314</v>
      </c>
    </row>
    <row r="808" spans="1:4" x14ac:dyDescent="0.3">
      <c r="A808" s="19">
        <v>802</v>
      </c>
      <c r="B808" s="17">
        <f>IF($B$4="표준",'2.치형좌표'!D807,'2.치형좌표'!G807)</f>
        <v>-74.613731352617833</v>
      </c>
      <c r="C808" s="17">
        <f>IF($B$4="표준",'2.치형좌표'!E807,'2.치형좌표'!H807)</f>
        <v>-26.543047715267072</v>
      </c>
      <c r="D808" s="6" t="str">
        <f t="shared" si="12"/>
        <v>-74.61373,-26.54305</v>
      </c>
    </row>
    <row r="809" spans="1:4" x14ac:dyDescent="0.3">
      <c r="A809" s="19">
        <v>803</v>
      </c>
      <c r="B809" s="17">
        <f>IF($B$4="표준",'2.치형좌표'!D808,'2.치형좌표'!G808)</f>
        <v>-74.752805576699231</v>
      </c>
      <c r="C809" s="17">
        <f>IF($B$4="표준",'2.치형좌표'!E808,'2.치형좌표'!H808)</f>
        <v>-26.376489152846208</v>
      </c>
      <c r="D809" s="6" t="str">
        <f t="shared" si="12"/>
        <v>-74.75281,-26.37649</v>
      </c>
    </row>
    <row r="810" spans="1:4" x14ac:dyDescent="0.3">
      <c r="A810" s="19">
        <v>804</v>
      </c>
      <c r="B810" s="17">
        <f>IF($B$4="표준",'2.치형좌표'!D809,'2.치형좌표'!G809)</f>
        <v>-74.887565772669092</v>
      </c>
      <c r="C810" s="17">
        <f>IF($B$4="표준",'2.치형좌표'!E809,'2.치형좌표'!H809)</f>
        <v>-26.194147552764665</v>
      </c>
      <c r="D810" s="6" t="str">
        <f t="shared" si="12"/>
        <v>-74.88757,-26.19415</v>
      </c>
    </row>
    <row r="811" spans="1:4" x14ac:dyDescent="0.3">
      <c r="A811" s="19">
        <v>805</v>
      </c>
      <c r="B811" s="17">
        <f>IF($B$4="표준",'2.치형좌표'!D810,'2.치형좌표'!G810)</f>
        <v>-75.015684761880564</v>
      </c>
      <c r="C811" s="17">
        <f>IF($B$4="표준",'2.치형좌표'!E810,'2.치형좌표'!H810)</f>
        <v>-25.99714578306088</v>
      </c>
      <c r="D811" s="6" t="str">
        <f t="shared" si="12"/>
        <v>-75.01568,-25.99715</v>
      </c>
    </row>
    <row r="812" spans="1:4" x14ac:dyDescent="0.3">
      <c r="A812" s="19">
        <v>806</v>
      </c>
      <c r="B812" s="17">
        <f>IF($B$4="표준",'2.치형좌표'!D811,'2.치형좌표'!G811)</f>
        <v>-75.134979796132825</v>
      </c>
      <c r="C812" s="17">
        <f>IF($B$4="표준",'2.치형좌표'!E811,'2.치형좌표'!H811)</f>
        <v>-25.78700748802196</v>
      </c>
      <c r="D812" s="6" t="str">
        <f t="shared" si="12"/>
        <v>-75.13498,-25.78701</v>
      </c>
    </row>
    <row r="813" spans="1:4" x14ac:dyDescent="0.3">
      <c r="A813" s="19">
        <v>807</v>
      </c>
      <c r="B813" s="17">
        <f>IF($B$4="표준",'2.치형좌표'!D812,'2.치형좌표'!G812)</f>
        <v>-75.243490161008197</v>
      </c>
      <c r="C813" s="17">
        <f>IF($B$4="표준",'2.치형좌표'!E812,'2.치형좌표'!H812)</f>
        <v>-25.565613704183285</v>
      </c>
      <c r="D813" s="6" t="str">
        <f t="shared" si="12"/>
        <v>-75.24349,-25.56561</v>
      </c>
    </row>
    <row r="814" spans="1:4" x14ac:dyDescent="0.3">
      <c r="A814" s="19">
        <v>808</v>
      </c>
      <c r="B814" s="17">
        <f>IF($B$4="표준",'2.치형좌표'!D813,'2.치형좌표'!G813)</f>
        <v>-75.339541733241731</v>
      </c>
      <c r="C814" s="17">
        <f>IF($B$4="표준",'2.치형좌표'!E813,'2.치형좌표'!H813)</f>
        <v>-25.335151145497747</v>
      </c>
      <c r="D814" s="6" t="str">
        <f t="shared" si="12"/>
        <v>-75.33954,-25.33515</v>
      </c>
    </row>
    <row r="815" spans="1:4" x14ac:dyDescent="0.3">
      <c r="A815" s="19">
        <v>809</v>
      </c>
      <c r="B815" s="17">
        <f>IF($B$4="표준",'2.치형좌표'!D814,'2.치형좌표'!G814)</f>
        <v>-75.421798892314285</v>
      </c>
      <c r="C815" s="17">
        <f>IF($B$4="표준",'2.치형좌표'!E814,'2.치형좌표'!H814)</f>
        <v>-25.098053084169784</v>
      </c>
      <c r="D815" s="6" t="str">
        <f t="shared" si="12"/>
        <v>-75.42180,-25.09805</v>
      </c>
    </row>
    <row r="816" spans="1:4" x14ac:dyDescent="0.3">
      <c r="A816" s="19">
        <v>810</v>
      </c>
      <c r="B816" s="17">
        <f>IF($B$4="표준",'2.치형좌표'!D815,'2.치형좌표'!G815)</f>
        <v>-75.489303785135704</v>
      </c>
      <c r="C816" s="17">
        <f>IF($B$4="표준",'2.치형좌표'!E815,'2.치형좌표'!H815)</f>
        <v>-24.856933896438814</v>
      </c>
      <c r="D816" s="6" t="str">
        <f t="shared" si="12"/>
        <v>-75.48930,-24.85693</v>
      </c>
    </row>
    <row r="817" spans="1:4" x14ac:dyDescent="0.3">
      <c r="A817" s="19">
        <v>811</v>
      </c>
      <c r="B817" s="17">
        <f>IF($B$4="표준",'2.치형좌표'!D816,'2.치형좌표'!G816)</f>
        <v>-75.541502713131166</v>
      </c>
      <c r="C817" s="17">
        <f>IF($B$4="표준",'2.치형좌표'!E816,'2.치형좌표'!H816)</f>
        <v>-24.614518421071594</v>
      </c>
      <c r="D817" s="6" t="str">
        <f t="shared" si="12"/>
        <v>-75.54150,-24.61452</v>
      </c>
    </row>
    <row r="818" spans="1:4" x14ac:dyDescent="0.3">
      <c r="A818" s="19">
        <v>812</v>
      </c>
      <c r="B818" s="17">
        <f>IF($B$4="표준",'2.치형좌표'!D817,'2.치형좌표'!G817)</f>
        <v>-75.578259275712185</v>
      </c>
      <c r="C818" s="17">
        <f>IF($B$4="표준",'2.치형좌표'!E817,'2.치형좌표'!H817)</f>
        <v>-24.373567292872902</v>
      </c>
      <c r="D818" s="6" t="str">
        <f t="shared" si="12"/>
        <v>-75.57826,-24.37357</v>
      </c>
    </row>
    <row r="819" spans="1:4" x14ac:dyDescent="0.3">
      <c r="A819" s="19">
        <v>813</v>
      </c>
      <c r="B819" s="17">
        <f>IF($B$4="표준",'2.치형좌표'!D818,'2.치형좌표'!G818)</f>
        <v>-75.599853804706271</v>
      </c>
      <c r="C819" s="17">
        <f>IF($B$4="표준",'2.치형좌표'!E818,'2.치형좌표'!H818)</f>
        <v>-24.136799354044161</v>
      </c>
      <c r="D819" s="6" t="str">
        <f t="shared" si="12"/>
        <v>-75.59985,-24.13680</v>
      </c>
    </row>
    <row r="820" spans="1:4" x14ac:dyDescent="0.3">
      <c r="A820" s="19">
        <v>814</v>
      </c>
      <c r="B820" s="17">
        <f>IF($B$4="표준",'2.치형좌표'!D819,'2.치형좌표'!G819)</f>
        <v>-75.606968508706871</v>
      </c>
      <c r="C820" s="17">
        <f>IF($B$4="표준",'2.치형좌표'!E819,'2.치형좌표'!H819)</f>
        <v>-23.906812091242632</v>
      </c>
      <c r="D820" s="6" t="str">
        <f t="shared" si="12"/>
        <v>-75.60697,-23.90681</v>
      </c>
    </row>
    <row r="821" spans="1:4" x14ac:dyDescent="0.3">
      <c r="A821" s="19">
        <v>815</v>
      </c>
      <c r="B821" s="17">
        <f>IF($B$4="표준",'2.치형좌표'!D820,'2.치형좌표'!G820)</f>
        <v>-75.600657557600769</v>
      </c>
      <c r="C821" s="17">
        <f>IF($B$4="표준",'2.치형좌표'!E820,'2.치형좌표'!H820)</f>
        <v>-23.6860007577238</v>
      </c>
      <c r="D821" s="6" t="str">
        <f t="shared" si="12"/>
        <v>-75.60066,-23.68600</v>
      </c>
    </row>
    <row r="822" spans="1:4" x14ac:dyDescent="0.3">
      <c r="A822" s="19">
        <v>816</v>
      </c>
      <c r="B822" s="17">
        <f>IF($B$4="표준",'2.치형좌표'!D821,'2.치형좌표'!G821)</f>
        <v>-75.582301001974258</v>
      </c>
      <c r="C822" s="17">
        <f>IF($B$4="표준",'2.치형좌표'!E821,'2.치형좌표'!H821)</f>
        <v>-23.47647635222518</v>
      </c>
      <c r="D822" s="6" t="str">
        <f t="shared" si="12"/>
        <v>-75.58230,-23.47648</v>
      </c>
    </row>
    <row r="823" spans="1:4" x14ac:dyDescent="0.3">
      <c r="A823" s="19">
        <v>817</v>
      </c>
      <c r="B823" s="17">
        <f>IF($B$4="표준",'2.치형좌표'!D822,'2.치형좌표'!G822)</f>
        <v>-75.553540831970835</v>
      </c>
      <c r="C823" s="17">
        <f>IF($B$4="표준",'2.치형좌표'!E822,'2.치형좌표'!H822)</f>
        <v>-23.279981823636597</v>
      </c>
      <c r="D823" s="6" t="str">
        <f t="shared" si="12"/>
        <v>-75.55354,-23.27998</v>
      </c>
    </row>
    <row r="824" spans="1:4" x14ac:dyDescent="0.3">
      <c r="A824" s="19">
        <v>818</v>
      </c>
      <c r="B824" s="17">
        <f>IF($B$4="표준",'2.치형좌표'!D823,'2.치형좌표'!G823)</f>
        <v>-75.516196466366267</v>
      </c>
      <c r="C824" s="17">
        <f>IF($B$4="표준",'2.치형좌표'!E823,'2.치형좌표'!H823)</f>
        <v>-23.097804544385532</v>
      </c>
      <c r="D824" s="6" t="str">
        <f t="shared" si="12"/>
        <v>-75.51620,-23.09780</v>
      </c>
    </row>
    <row r="825" spans="1:4" x14ac:dyDescent="0.3">
      <c r="A825" s="19">
        <v>819</v>
      </c>
      <c r="B825" s="17">
        <f>IF($B$4="표준",'2.치형좌표'!D824,'2.치형좌표'!G824)</f>
        <v>-75.472155247856506</v>
      </c>
      <c r="C825" s="17">
        <f>IF($B$4="표준",'2.치형좌표'!E824,'2.치형좌표'!H824)</f>
        <v>-22.930680858063461</v>
      </c>
      <c r="D825" s="6" t="str">
        <f t="shared" si="12"/>
        <v>-75.47216,-22.93068</v>
      </c>
    </row>
    <row r="826" spans="1:4" x14ac:dyDescent="0.3">
      <c r="A826" s="19">
        <v>820</v>
      </c>
      <c r="B826" s="17">
        <f>IF($B$4="표준",'2.치형좌표'!D825,'2.치형좌표'!G825)</f>
        <v>-75.423230638049418</v>
      </c>
      <c r="C826" s="17">
        <f>IF($B$4="표준",'2.치형좌표'!E825,'2.치형좌표'!H825)</f>
        <v>-22.778684613553079</v>
      </c>
      <c r="D826" s="6" t="str">
        <f t="shared" si="12"/>
        <v>-75.42323,-22.77868</v>
      </c>
    </row>
    <row r="827" spans="1:4" x14ac:dyDescent="0.3">
      <c r="A827" s="19">
        <v>821</v>
      </c>
      <c r="B827" s="17">
        <f>IF($B$4="표준",'2.치형좌표'!D826,'2.치형좌표'!G826)</f>
        <v>-75.370975959493109</v>
      </c>
      <c r="C827" s="17">
        <f>IF($B$4="표준",'2.치형좌표'!E826,'2.치형좌표'!H826)</f>
        <v>-22.641084567904016</v>
      </c>
      <c r="D827" s="6" t="str">
        <f t="shared" si="12"/>
        <v>-75.37098,-22.64108</v>
      </c>
    </row>
    <row r="828" spans="1:4" x14ac:dyDescent="0.3">
      <c r="A828" s="19">
        <v>822</v>
      </c>
      <c r="B828" s="17">
        <f>IF($B$4="표준",'2.치형좌표'!D827,'2.치형좌표'!G827)</f>
        <v>-75.316433371818576</v>
      </c>
      <c r="C828" s="17">
        <f>IF($B$4="표준",'2.치형좌표'!E827,'2.치형좌표'!H827)</f>
        <v>-22.516142313555459</v>
      </c>
      <c r="D828" s="6" t="str">
        <f t="shared" si="12"/>
        <v>-75.31643,-22.51614</v>
      </c>
    </row>
    <row r="829" spans="1:4" x14ac:dyDescent="0.3">
      <c r="A829" s="19">
        <v>823</v>
      </c>
      <c r="B829" s="17">
        <f>IF($B$4="표준",'2.치형좌표'!D828,'2.치형좌표'!G828)</f>
        <v>-75.259784097683919</v>
      </c>
      <c r="C829" s="17">
        <f>IF($B$4="표준",'2.치형좌표'!E828,'2.치형좌표'!H828)</f>
        <v>-22.400796375815464</v>
      </c>
      <c r="D829" s="6" t="str">
        <f t="shared" si="12"/>
        <v>-75.25978,-22.40080</v>
      </c>
    </row>
    <row r="830" spans="1:4" x14ac:dyDescent="0.3">
      <c r="A830" s="19">
        <v>824</v>
      </c>
      <c r="B830" s="17">
        <f>IF($B$4="표준",'2.치형좌표'!D829,'2.치형좌표'!G829)</f>
        <v>-75.19984365992805</v>
      </c>
      <c r="C830" s="17">
        <f>IF($B$4="표준",'2.치형좌표'!E829,'2.치형좌표'!H829)</f>
        <v>-22.290124540549606</v>
      </c>
      <c r="D830" s="6" t="str">
        <f t="shared" si="12"/>
        <v>-75.19984,-22.29012</v>
      </c>
    </row>
    <row r="831" spans="1:4" x14ac:dyDescent="0.3">
      <c r="A831" s="19">
        <v>825</v>
      </c>
      <c r="B831" s="17">
        <f>IF($B$4="표준",'2.치형좌표'!D830,'2.치형좌표'!G830)</f>
        <v>-75.133313241598145</v>
      </c>
      <c r="C831" s="17">
        <f>IF($B$4="표준",'2.치형좌표'!E830,'2.치형좌표'!H830)</f>
        <v>-22.176360692190876</v>
      </c>
      <c r="D831" s="6" t="str">
        <f t="shared" si="12"/>
        <v>-75.13331,-22.17636</v>
      </c>
    </row>
    <row r="832" spans="1:4" x14ac:dyDescent="0.3">
      <c r="A832" s="19">
        <v>826</v>
      </c>
      <c r="B832" s="17">
        <f>IF($B$4="표준",'2.치형좌표'!D831,'2.치형좌표'!G831)</f>
        <v>-75.053668277647404</v>
      </c>
      <c r="C832" s="17">
        <f>IF($B$4="표준",'2.치형좌표'!E831,'2.치형좌표'!H831)</f>
        <v>-22.046980906452863</v>
      </c>
      <c r="D832" s="6" t="str">
        <f t="shared" si="12"/>
        <v>-75.05367,-22.04698</v>
      </c>
    </row>
    <row r="833" spans="1:4" x14ac:dyDescent="0.3">
      <c r="A833" s="19">
        <v>827</v>
      </c>
      <c r="B833" s="17">
        <f>IF($B$4="표준",'2.치형좌표'!D832,'2.치형좌표'!G832)</f>
        <v>-74.949635102084997</v>
      </c>
      <c r="C833" s="17">
        <f>IF($B$4="표준",'2.치형좌표'!E832,'2.치형좌표'!H832)</f>
        <v>-21.880765392155681</v>
      </c>
      <c r="D833" s="6" t="str">
        <f t="shared" si="12"/>
        <v>-74.94964,-21.88077</v>
      </c>
    </row>
    <row r="834" spans="1:4" x14ac:dyDescent="0.3">
      <c r="A834" s="19">
        <v>828</v>
      </c>
      <c r="B834" s="17">
        <f>IF($B$4="표준",'2.치형좌표'!D833,'2.치형좌표'!G833)</f>
        <v>-74.803888869272711</v>
      </c>
      <c r="C834" s="17">
        <f>IF($B$4="표준",'2.치형좌표'!E833,'2.치형좌표'!H833)</f>
        <v>-21.639367710265859</v>
      </c>
      <c r="D834" s="6" t="str">
        <f t="shared" si="12"/>
        <v>-74.80389,-21.63937</v>
      </c>
    </row>
    <row r="835" spans="1:4" x14ac:dyDescent="0.3">
      <c r="A835" s="19">
        <v>829</v>
      </c>
      <c r="B835" s="17">
        <f>IF($B$4="표준",'2.치형좌표'!D834,'2.치형좌표'!G834)</f>
        <v>-74.596318443844979</v>
      </c>
      <c r="C835" s="17">
        <f>IF($B$4="표준",'2.치형좌표'!E834,'2.치형좌표'!H834)</f>
        <v>-21.249587937936511</v>
      </c>
      <c r="D835" s="6" t="str">
        <f t="shared" si="12"/>
        <v>-74.59632,-21.24959</v>
      </c>
    </row>
    <row r="836" spans="1:4" x14ac:dyDescent="0.3">
      <c r="A836" s="19">
        <v>830</v>
      </c>
      <c r="B836" s="17">
        <f>IF($B$4="표준",'2.치형좌표'!D835,'2.치형좌표'!G835)</f>
        <v>-74.33201024313361</v>
      </c>
      <c r="C836" s="17">
        <f>IF($B$4="표준",'2.치형좌표'!E835,'2.치형좌표'!H835)</f>
        <v>-20.575147010125796</v>
      </c>
      <c r="D836" s="6" t="str">
        <f t="shared" si="12"/>
        <v>-74.33201,-20.57515</v>
      </c>
    </row>
    <row r="837" spans="1:4" x14ac:dyDescent="0.3">
      <c r="A837" s="19">
        <v>831</v>
      </c>
      <c r="B837" s="17">
        <f>IF($B$4="표준",'2.치형좌표'!D836,'2.치형좌표'!G836)</f>
        <v>-74.14534846010406</v>
      </c>
      <c r="C837" s="17">
        <f>IF($B$4="표준",'2.치형좌표'!E836,'2.치형좌표'!H836)</f>
        <v>-19.442099926224525</v>
      </c>
      <c r="D837" s="6" t="str">
        <f t="shared" si="12"/>
        <v>-74.14535,-19.44210</v>
      </c>
    </row>
    <row r="838" spans="1:4" x14ac:dyDescent="0.3">
      <c r="A838" s="19">
        <v>832</v>
      </c>
      <c r="B838" s="17">
        <f>IF($B$4="표준",'2.치형좌표'!D837,'2.치형좌표'!G837)</f>
        <v>-74.366051736976829</v>
      </c>
      <c r="C838" s="17">
        <f>IF($B$4="표준",'2.치형좌표'!E837,'2.치형좌표'!H837)</f>
        <v>-17.962719374667419</v>
      </c>
      <c r="D838" s="6" t="str">
        <f t="shared" si="12"/>
        <v>-74.36605,-17.96272</v>
      </c>
    </row>
    <row r="839" spans="1:4" x14ac:dyDescent="0.3">
      <c r="A839" s="19">
        <v>833</v>
      </c>
      <c r="B839" s="17">
        <f>IF($B$4="표준",'2.치형좌표'!D838,'2.치형좌표'!G838)</f>
        <v>-75.011440332118596</v>
      </c>
      <c r="C839" s="17">
        <f>IF($B$4="표준",'2.치형좌표'!E838,'2.치형좌표'!H838)</f>
        <v>-16.749615093793018</v>
      </c>
      <c r="D839" s="6" t="str">
        <f t="shared" ref="D839:D902" si="13">TEXT(B839,"0.00000")&amp;","&amp;TEXT(C839,"0.00000")</f>
        <v>-75.01144,-16.74962</v>
      </c>
    </row>
    <row r="840" spans="1:4" x14ac:dyDescent="0.3">
      <c r="A840" s="19">
        <v>834</v>
      </c>
      <c r="B840" s="17">
        <f>IF($B$4="표준",'2.치형좌표'!D839,'2.치형좌표'!G839)</f>
        <v>-75.65715304575869</v>
      </c>
      <c r="C840" s="17">
        <f>IF($B$4="표준",'2.치형좌표'!E839,'2.치형좌표'!H839)</f>
        <v>-16.066358924229622</v>
      </c>
      <c r="D840" s="6" t="str">
        <f t="shared" si="13"/>
        <v>-75.65715,-16.06636</v>
      </c>
    </row>
    <row r="841" spans="1:4" x14ac:dyDescent="0.3">
      <c r="A841" s="19">
        <v>835</v>
      </c>
      <c r="B841" s="17">
        <f>IF($B$4="표준",'2.치형좌표'!D840,'2.치형좌표'!G840)</f>
        <v>-76.114788564843451</v>
      </c>
      <c r="C841" s="17">
        <f>IF($B$4="표준",'2.치형좌표'!E840,'2.치형좌표'!H840)</f>
        <v>-15.717893280095035</v>
      </c>
      <c r="D841" s="6" t="str">
        <f t="shared" si="13"/>
        <v>-76.11479,-15.71789</v>
      </c>
    </row>
    <row r="842" spans="1:4" x14ac:dyDescent="0.3">
      <c r="A842" s="19">
        <v>836</v>
      </c>
      <c r="B842" s="17">
        <f>IF($B$4="표준",'2.치형좌표'!D841,'2.치형좌표'!G841)</f>
        <v>-76.414973148629016</v>
      </c>
      <c r="C842" s="17">
        <f>IF($B$4="표준",'2.치형좌표'!E841,'2.치형좌표'!H841)</f>
        <v>-15.526614144428157</v>
      </c>
      <c r="D842" s="6" t="str">
        <f t="shared" si="13"/>
        <v>-76.41497,-15.52661</v>
      </c>
    </row>
    <row r="843" spans="1:4" x14ac:dyDescent="0.3">
      <c r="A843" s="19">
        <v>837</v>
      </c>
      <c r="B843" s="17">
        <f>IF($B$4="표준",'2.치형좌표'!D842,'2.치형좌표'!G842)</f>
        <v>-76.617811124691713</v>
      </c>
      <c r="C843" s="17">
        <f>IF($B$4="표준",'2.치형좌표'!E842,'2.치형좌표'!H842)</f>
        <v>-15.406884986945462</v>
      </c>
      <c r="D843" s="6" t="str">
        <f t="shared" si="13"/>
        <v>-76.61781,-15.40688</v>
      </c>
    </row>
    <row r="844" spans="1:4" x14ac:dyDescent="0.3">
      <c r="A844" s="19">
        <v>838</v>
      </c>
      <c r="B844" s="17">
        <f>IF($B$4="표준",'2.치형좌표'!D843,'2.치형좌표'!G843)</f>
        <v>-76.766132097315577</v>
      </c>
      <c r="C844" s="17">
        <f>IF($B$4="표준",'2.치형좌표'!E843,'2.치형좌표'!H843)</f>
        <v>-15.320110903294493</v>
      </c>
      <c r="D844" s="6" t="str">
        <f t="shared" si="13"/>
        <v>-76.76613,-15.32011</v>
      </c>
    </row>
    <row r="845" spans="1:4" x14ac:dyDescent="0.3">
      <c r="A845" s="19">
        <v>839</v>
      </c>
      <c r="B845" s="17">
        <f>IF($B$4="표준",'2.치형좌표'!D844,'2.치형좌표'!G844)</f>
        <v>-76.886198789405753</v>
      </c>
      <c r="C845" s="17">
        <f>IF($B$4="표준",'2.치형좌표'!E844,'2.치형좌표'!H844)</f>
        <v>-15.247388843064755</v>
      </c>
      <c r="D845" s="6" t="str">
        <f t="shared" si="13"/>
        <v>-76.88620,-15.24739</v>
      </c>
    </row>
    <row r="846" spans="1:4" x14ac:dyDescent="0.3">
      <c r="A846" s="19">
        <v>840</v>
      </c>
      <c r="B846" s="17">
        <f>IF($B$4="표준",'2.치형좌표'!D845,'2.치형좌표'!G845)</f>
        <v>-76.993542351593234</v>
      </c>
      <c r="C846" s="17">
        <f>IF($B$4="표준",'2.치형좌표'!E845,'2.치형좌표'!H845)</f>
        <v>-15.178221709265804</v>
      </c>
      <c r="D846" s="6" t="str">
        <f t="shared" si="13"/>
        <v>-76.99354,-15.17822</v>
      </c>
    </row>
    <row r="847" spans="1:4" x14ac:dyDescent="0.3">
      <c r="A847" s="19">
        <v>841</v>
      </c>
      <c r="B847" s="17">
        <f>IF($B$4="표준",'2.치형좌표'!D846,'2.치형좌표'!G846)</f>
        <v>-77.097121084291814</v>
      </c>
      <c r="C847" s="17">
        <f>IF($B$4="표준",'2.치형좌표'!E846,'2.치형좌표'!H846)</f>
        <v>-15.106020048886734</v>
      </c>
      <c r="D847" s="6" t="str">
        <f t="shared" si="13"/>
        <v>-77.09712,-15.10602</v>
      </c>
    </row>
    <row r="848" spans="1:4" x14ac:dyDescent="0.3">
      <c r="A848" s="19">
        <v>842</v>
      </c>
      <c r="B848" s="17">
        <f>IF($B$4="표준",'2.치형좌표'!D847,'2.치형좌표'!G847)</f>
        <v>-77.201813851727962</v>
      </c>
      <c r="C848" s="17">
        <f>IF($B$4="표준",'2.치형좌표'!E847,'2.치형좌표'!H847)</f>
        <v>-15.026242918631409</v>
      </c>
      <c r="D848" s="6" t="str">
        <f t="shared" si="13"/>
        <v>-77.20181,-15.02624</v>
      </c>
    </row>
    <row r="849" spans="1:4" x14ac:dyDescent="0.3">
      <c r="A849" s="19">
        <v>843</v>
      </c>
      <c r="B849" s="17">
        <f>IF($B$4="표준",'2.치형좌표'!D848,'2.치형좌표'!G848)</f>
        <v>-77.309891765818747</v>
      </c>
      <c r="C849" s="17">
        <f>IF($B$4="표준",'2.치형좌표'!E848,'2.치형좌표'!H848)</f>
        <v>-14.935592523319487</v>
      </c>
      <c r="D849" s="6" t="str">
        <f t="shared" si="13"/>
        <v>-77.30989,-14.93559</v>
      </c>
    </row>
    <row r="850" spans="1:4" x14ac:dyDescent="0.3">
      <c r="A850" s="19">
        <v>844</v>
      </c>
      <c r="B850" s="17">
        <f>IF($B$4="표준",'2.치형좌표'!D849,'2.치형좌표'!G849)</f>
        <v>-77.421912500498593</v>
      </c>
      <c r="C850" s="17">
        <f>IF($B$4="표준",'2.치형좌표'!E849,'2.치형좌표'!H849)</f>
        <v>-14.831650076176112</v>
      </c>
      <c r="D850" s="6" t="str">
        <f t="shared" si="13"/>
        <v>-77.42191,-14.83165</v>
      </c>
    </row>
    <row r="851" spans="1:4" x14ac:dyDescent="0.3">
      <c r="A851" s="19">
        <v>845</v>
      </c>
      <c r="B851" s="17">
        <f>IF($B$4="표준",'2.치형좌표'!D850,'2.치형좌표'!G850)</f>
        <v>-77.537289678429147</v>
      </c>
      <c r="C851" s="17">
        <f>IF($B$4="표준",'2.치형좌표'!E850,'2.치형좌표'!H850)</f>
        <v>-14.712704127818627</v>
      </c>
      <c r="D851" s="6" t="str">
        <f t="shared" si="13"/>
        <v>-77.53729,-14.71270</v>
      </c>
    </row>
    <row r="852" spans="1:4" x14ac:dyDescent="0.3">
      <c r="A852" s="19">
        <v>846</v>
      </c>
      <c r="B852" s="17">
        <f>IF($B$4="표준",'2.치형좌표'!D851,'2.치형좌표'!G851)</f>
        <v>-77.65467553089178</v>
      </c>
      <c r="C852" s="17">
        <f>IF($B$4="표준",'2.치형좌표'!E851,'2.치형좌표'!H851)</f>
        <v>-14.577664422009542</v>
      </c>
      <c r="D852" s="6" t="str">
        <f t="shared" si="13"/>
        <v>-77.65468,-14.57766</v>
      </c>
    </row>
    <row r="853" spans="1:4" x14ac:dyDescent="0.3">
      <c r="A853" s="19">
        <v>847</v>
      </c>
      <c r="B853" s="17">
        <f>IF($B$4="표준",'2.치형좌표'!D852,'2.치형좌표'!G852)</f>
        <v>-77.772232773866051</v>
      </c>
      <c r="C853" s="17">
        <f>IF($B$4="표준",'2.치형좌표'!E852,'2.치형좌표'!H852)</f>
        <v>-14.426012756104333</v>
      </c>
      <c r="D853" s="6" t="str">
        <f t="shared" si="13"/>
        <v>-77.77223,-14.42601</v>
      </c>
    </row>
    <row r="854" spans="1:4" x14ac:dyDescent="0.3">
      <c r="A854" s="19">
        <v>848</v>
      </c>
      <c r="B854" s="17">
        <f>IF($B$4="표준",'2.치형좌표'!D853,'2.치형좌표'!G853)</f>
        <v>-77.88783807223794</v>
      </c>
      <c r="C854" s="17">
        <f>IF($B$4="표준",'2.치형좌표'!E853,'2.치형좌표'!H853)</f>
        <v>-14.257767800602291</v>
      </c>
      <c r="D854" s="6" t="str">
        <f t="shared" si="13"/>
        <v>-77.88784,-14.25777</v>
      </c>
    </row>
    <row r="855" spans="1:4" x14ac:dyDescent="0.3">
      <c r="A855" s="19">
        <v>849</v>
      </c>
      <c r="B855" s="17">
        <f>IF($B$4="표준",'2.치형좌표'!D854,'2.치형좌표'!G854)</f>
        <v>-77.999241112557783</v>
      </c>
      <c r="C855" s="17">
        <f>IF($B$4="표준",'2.치형좌표'!E854,'2.치형좌표'!H854)</f>
        <v>-14.073452578346815</v>
      </c>
      <c r="D855" s="6" t="str">
        <f t="shared" si="13"/>
        <v>-77.99924,-14.07345</v>
      </c>
    </row>
    <row r="856" spans="1:4" x14ac:dyDescent="0.3">
      <c r="A856" s="19">
        <v>850</v>
      </c>
      <c r="B856" s="17">
        <f>IF($B$4="표준",'2.치형좌표'!D855,'2.치형좌표'!G855)</f>
        <v>-78.104193056778044</v>
      </c>
      <c r="C856" s="17">
        <f>IF($B$4="표준",'2.치형좌표'!E855,'2.치형좌표'!H855)</f>
        <v>-13.874059024336846</v>
      </c>
      <c r="D856" s="6" t="str">
        <f t="shared" si="13"/>
        <v>-78.10419,-13.87406</v>
      </c>
    </row>
    <row r="857" spans="1:4" x14ac:dyDescent="0.3">
      <c r="A857" s="19">
        <v>851</v>
      </c>
      <c r="B857" s="17">
        <f>IF($B$4="표준",'2.치형좌표'!D856,'2.치형좌표'!G856)</f>
        <v>-78.200552299025802</v>
      </c>
      <c r="C857" s="17">
        <f>IF($B$4="표준",'2.치형좌표'!E856,'2.치형좌표'!H856)</f>
        <v>-13.66100699130261</v>
      </c>
      <c r="D857" s="6" t="str">
        <f t="shared" si="13"/>
        <v>-78.20055,-13.66101</v>
      </c>
    </row>
    <row r="858" spans="1:4" x14ac:dyDescent="0.3">
      <c r="A858" s="19">
        <v>852</v>
      </c>
      <c r="B858" s="17">
        <f>IF($B$4="표준",'2.치형좌표'!D857,'2.치형좌표'!G857)</f>
        <v>-78.286372043487106</v>
      </c>
      <c r="C858" s="17">
        <f>IF($B$4="표준",'2.치형좌표'!E857,'2.치형좌표'!H857)</f>
        <v>-13.436096670057534</v>
      </c>
      <c r="D858" s="6" t="str">
        <f t="shared" si="13"/>
        <v>-78.28637,-13.43610</v>
      </c>
    </row>
    <row r="859" spans="1:4" x14ac:dyDescent="0.3">
      <c r="A859" s="19">
        <v>853</v>
      </c>
      <c r="B859" s="17">
        <f>IF($B$4="표준",'2.치형좌표'!D858,'2.치형좌표'!G858)</f>
        <v>-78.359972214597789</v>
      </c>
      <c r="C859" s="17">
        <f>IF($B$4="표준",'2.치형좌표'!E858,'2.치형좌표'!H858)</f>
        <v>-13.201454318582206</v>
      </c>
      <c r="D859" s="6" t="str">
        <f t="shared" si="13"/>
        <v>-78.35997,-13.20145</v>
      </c>
    </row>
    <row r="860" spans="1:4" x14ac:dyDescent="0.3">
      <c r="A860" s="19">
        <v>854</v>
      </c>
      <c r="B860" s="17">
        <f>IF($B$4="표준",'2.치형좌표'!D859,'2.치형좌표'!G859)</f>
        <v>-78.419997021746511</v>
      </c>
      <c r="C860" s="17">
        <f>IF($B$4="표준",'2.치형좌표'!E859,'2.치형좌표'!H859)</f>
        <v>-12.959471755500564</v>
      </c>
      <c r="D860" s="6" t="str">
        <f t="shared" si="13"/>
        <v>-78.42000,-12.95947</v>
      </c>
    </row>
    <row r="861" spans="1:4" x14ac:dyDescent="0.3">
      <c r="A861" s="19">
        <v>855</v>
      </c>
      <c r="B861" s="17">
        <f>IF($B$4="표준",'2.치형좌표'!D860,'2.치형좌표'!G860)</f>
        <v>-78.465458800139814</v>
      </c>
      <c r="C861" s="17">
        <f>IF($B$4="표준",'2.치형좌표'!E860,'2.치형좌표'!H860)</f>
        <v>-12.712740426856239</v>
      </c>
      <c r="D861" s="6" t="str">
        <f t="shared" si="13"/>
        <v>-78.46546,-12.71274</v>
      </c>
    </row>
    <row r="862" spans="1:4" x14ac:dyDescent="0.3">
      <c r="A862" s="19">
        <v>856</v>
      </c>
      <c r="B862" s="17">
        <f>IF($B$4="표준",'2.치형좌표'!D861,'2.치형좌표'!G861)</f>
        <v>-78.495768343006006</v>
      </c>
      <c r="C862" s="17">
        <f>IF($B$4="표준",'2.치형좌표'!E861,'2.치형좌표'!H861)</f>
        <v>-12.463981076687739</v>
      </c>
      <c r="D862" s="6" t="str">
        <f t="shared" si="13"/>
        <v>-78.49577,-12.46398</v>
      </c>
    </row>
    <row r="863" spans="1:4" x14ac:dyDescent="0.3">
      <c r="A863" s="19">
        <v>857</v>
      </c>
      <c r="B863" s="17">
        <f>IF($B$4="표준",'2.치형좌표'!D862,'2.치형좌표'!G862)</f>
        <v>-78.51075170744798</v>
      </c>
      <c r="C863" s="17">
        <f>IF($B$4="표준",'2.치형좌표'!E862,'2.치형좌표'!H862)</f>
        <v>-12.215970178959768</v>
      </c>
      <c r="D863" s="6" t="str">
        <f t="shared" si="13"/>
        <v>-78.51075,-12.21597</v>
      </c>
    </row>
    <row r="864" spans="1:4" x14ac:dyDescent="0.3">
      <c r="A864" s="19">
        <v>858</v>
      </c>
      <c r="B864" s="17">
        <f>IF($B$4="표준",'2.치형좌표'!D863,'2.치형좌표'!G863)</f>
        <v>-78.510653336396246</v>
      </c>
      <c r="C864" s="17">
        <f>IF($B$4="표준",'2.치형좌표'!E863,'2.치형좌표'!H863)</f>
        <v>-11.971464336252014</v>
      </c>
      <c r="D864" s="6" t="str">
        <f t="shared" si="13"/>
        <v>-78.51065,-11.97146</v>
      </c>
    </row>
    <row r="865" spans="1:4" x14ac:dyDescent="0.3">
      <c r="A865" s="19">
        <v>859</v>
      </c>
      <c r="B865" s="17">
        <f>IF($B$4="표준",'2.치형좌표'!D864,'2.치형좌표'!G864)</f>
        <v>-78.496125231370854</v>
      </c>
      <c r="C865" s="17">
        <f>IF($B$4="표준",'2.치형좌표'!E864,'2.치형좌표'!H864)</f>
        <v>-11.733123820485309</v>
      </c>
      <c r="D865" s="6" t="str">
        <f t="shared" si="13"/>
        <v>-78.49613,-11.73312</v>
      </c>
    </row>
    <row r="866" spans="1:4" x14ac:dyDescent="0.3">
      <c r="A866" s="19">
        <v>860</v>
      </c>
      <c r="B866" s="17">
        <f>IF($B$4="표준",'2.치형좌표'!D865,'2.치형좌표'!G865)</f>
        <v>-78.468201780331</v>
      </c>
      <c r="C866" s="17">
        <f>IF($B$4="표준",'2.치형좌표'!E865,'2.치형좌표'!H865)</f>
        <v>-11.503436312029226</v>
      </c>
      <c r="D866" s="6" t="str">
        <f t="shared" si="13"/>
        <v>-78.46820,-11.50344</v>
      </c>
    </row>
    <row r="867" spans="1:4" x14ac:dyDescent="0.3">
      <c r="A867" s="19">
        <v>861</v>
      </c>
      <c r="B867" s="17">
        <f>IF($B$4="표준",'2.치형좌표'!D866,'2.치형좌표'!G866)</f>
        <v>-78.428259631457948</v>
      </c>
      <c r="C867" s="17">
        <f>IF($B$4="표준",'2.치형좌표'!E866,'2.치형좌표'!H866)</f>
        <v>-11.284641660219213</v>
      </c>
      <c r="D867" s="6" t="str">
        <f t="shared" si="13"/>
        <v>-78.42826,-11.28464</v>
      </c>
    </row>
    <row r="868" spans="1:4" x14ac:dyDescent="0.3">
      <c r="A868" s="19">
        <v>862</v>
      </c>
      <c r="B868" s="17">
        <f>IF($B$4="표준",'2.치형좌표'!D867,'2.치형좌표'!G867)</f>
        <v>-78.377961628271223</v>
      </c>
      <c r="C868" s="17">
        <f>IF($B$4="표준",'2.치형좌표'!E867,'2.치형좌표'!H867)</f>
        <v>-11.078658092255896</v>
      </c>
      <c r="D868" s="6" t="str">
        <f t="shared" si="13"/>
        <v>-78.37796,-11.07866</v>
      </c>
    </row>
    <row r="869" spans="1:4" x14ac:dyDescent="0.3">
      <c r="A869" s="19">
        <v>863</v>
      </c>
      <c r="B869" s="17">
        <f>IF($B$4="표준",'2.치형좌표'!D868,'2.치형좌표'!G868)</f>
        <v>-78.319183167300451</v>
      </c>
      <c r="C869" s="17">
        <f>IF($B$4="표준",'2.치형좌표'!E868,'2.치형좌표'!H868)</f>
        <v>-10.887009650394935</v>
      </c>
      <c r="D869" s="6" t="str">
        <f t="shared" si="13"/>
        <v>-78.31918,-10.88701</v>
      </c>
    </row>
    <row r="870" spans="1:4" x14ac:dyDescent="0.3">
      <c r="A870" s="19">
        <v>864</v>
      </c>
      <c r="B870" s="17">
        <f>IF($B$4="표준",'2.치형좌표'!D869,'2.치형좌표'!G869)</f>
        <v>-78.25391822091872</v>
      </c>
      <c r="C870" s="17">
        <f>IF($B$4="표준",'2.치형좌표'!E869,'2.치형좌표'!H869)</f>
        <v>-10.710753576787123</v>
      </c>
      <c r="D870" s="6" t="str">
        <f t="shared" si="13"/>
        <v>-78.25392,-10.71075</v>
      </c>
    </row>
    <row r="871" spans="1:4" x14ac:dyDescent="0.3">
      <c r="A871" s="19">
        <v>865</v>
      </c>
      <c r="B871" s="17">
        <f>IF($B$4="표준",'2.치형좌표'!D870,'2.치형좌표'!G870)</f>
        <v>-78.184160375335722</v>
      </c>
      <c r="C871" s="17">
        <f>IF($B$4="표준",'2.치형좌표'!E870,'2.치형좌표'!H870)</f>
        <v>-10.550404585206808</v>
      </c>
      <c r="D871" s="6" t="str">
        <f t="shared" si="13"/>
        <v>-78.18416,-10.55040</v>
      </c>
    </row>
    <row r="872" spans="1:4" x14ac:dyDescent="0.3">
      <c r="A872" s="19">
        <v>866</v>
      </c>
      <c r="B872" s="17">
        <f>IF($B$4="표준",'2.치형좌표'!D871,'2.치형좌표'!G871)</f>
        <v>-78.111751034605774</v>
      </c>
      <c r="C872" s="17">
        <f>IF($B$4="표준",'2.치형좌표'!E871,'2.치형좌표'!H871)</f>
        <v>-10.405849864956647</v>
      </c>
      <c r="D872" s="6" t="str">
        <f t="shared" si="13"/>
        <v>-78.11175,-10.40585</v>
      </c>
    </row>
    <row r="873" spans="1:4" x14ac:dyDescent="0.3">
      <c r="A873" s="19">
        <v>867</v>
      </c>
      <c r="B873" s="17">
        <f>IF($B$4="표준",'2.치형좌표'!D872,'2.치형좌표'!G872)</f>
        <v>-78.038181499121109</v>
      </c>
      <c r="C873" s="17">
        <f>IF($B$4="표준",'2.치형좌표'!E872,'2.치형좌표'!H872)</f>
        <v>-10.27624306022591</v>
      </c>
      <c r="D873" s="6" t="str">
        <f t="shared" si="13"/>
        <v>-78.03818,-10.27624</v>
      </c>
    </row>
    <row r="874" spans="1:4" x14ac:dyDescent="0.3">
      <c r="A874" s="19">
        <v>868</v>
      </c>
      <c r="B874" s="17">
        <f>IF($B$4="표준",'2.치형좌표'!D873,'2.치형좌표'!G873)</f>
        <v>-77.964326273015601</v>
      </c>
      <c r="C874" s="17">
        <f>IF($B$4="표준",'2.치형좌표'!E873,'2.치형좌표'!H873)</f>
        <v>-10.159854863916381</v>
      </c>
      <c r="D874" s="6" t="str">
        <f t="shared" si="13"/>
        <v>-77.96433,-10.15985</v>
      </c>
    </row>
    <row r="875" spans="1:4" x14ac:dyDescent="0.3">
      <c r="A875" s="19">
        <v>869</v>
      </c>
      <c r="B875" s="17">
        <f>IF($B$4="표준",'2.치형좌표'!D874,'2.치형좌표'!G874)</f>
        <v>-77.890068729547053</v>
      </c>
      <c r="C875" s="17">
        <f>IF($B$4="표준",'2.치형좌표'!E874,'2.치형좌표'!H874)</f>
        <v>-10.053836825265414</v>
      </c>
      <c r="D875" s="6" t="str">
        <f t="shared" si="13"/>
        <v>-77.89007,-10.05384</v>
      </c>
    </row>
    <row r="876" spans="1:4" x14ac:dyDescent="0.3">
      <c r="A876" s="19">
        <v>870</v>
      </c>
      <c r="B876" s="17">
        <f>IF($B$4="표준",'2.치형좌표'!D875,'2.치형좌표'!G875)</f>
        <v>-77.813752138775371</v>
      </c>
      <c r="C876" s="17">
        <f>IF($B$4="표준",'2.치형좌표'!E875,'2.치형좌표'!H875)</f>
        <v>-9.9538111161466176</v>
      </c>
      <c r="D876" s="6" t="str">
        <f t="shared" si="13"/>
        <v>-77.81375,-9.95381</v>
      </c>
    </row>
    <row r="877" spans="1:4" x14ac:dyDescent="0.3">
      <c r="A877" s="19">
        <v>871</v>
      </c>
      <c r="B877" s="17">
        <f>IF($B$4="표준",'2.치형좌표'!D876,'2.치형좌표'!G876)</f>
        <v>-77.731341818486655</v>
      </c>
      <c r="C877" s="17">
        <f>IF($B$4="표준",'2.치형좌표'!E876,'2.치형좌표'!H876)</f>
        <v>-9.8531028078924177</v>
      </c>
      <c r="D877" s="6" t="str">
        <f t="shared" si="13"/>
        <v>-77.73134,-9.85310</v>
      </c>
    </row>
    <row r="878" spans="1:4" x14ac:dyDescent="0.3">
      <c r="A878" s="19">
        <v>872</v>
      </c>
      <c r="B878" s="17">
        <f>IF($B$4="표준",'2.치형좌표'!D877,'2.치형좌표'!G877)</f>
        <v>-77.635114663930196</v>
      </c>
      <c r="C878" s="17">
        <f>IF($B$4="표준",'2.치형좌표'!E877,'2.치형좌표'!H877)</f>
        <v>-9.7412093472423358</v>
      </c>
      <c r="D878" s="6" t="str">
        <f t="shared" si="13"/>
        <v>-77.63511,-9.74121</v>
      </c>
    </row>
    <row r="879" spans="1:4" x14ac:dyDescent="0.3">
      <c r="A879" s="19">
        <v>873</v>
      </c>
      <c r="B879" s="17">
        <f>IF($B$4="표준",'2.치형좌표'!D878,'2.치형좌표'!G878)</f>
        <v>-77.511645196751061</v>
      </c>
      <c r="C879" s="17">
        <f>IF($B$4="표준",'2.치형좌표'!E878,'2.치형좌표'!H878)</f>
        <v>-9.6005687207562787</v>
      </c>
      <c r="D879" s="6" t="str">
        <f t="shared" si="13"/>
        <v>-77.51165,-9.60057</v>
      </c>
    </row>
    <row r="880" spans="1:4" x14ac:dyDescent="0.3">
      <c r="A880" s="19">
        <v>874</v>
      </c>
      <c r="B880" s="17">
        <f>IF($B$4="표준",'2.치형좌표'!D879,'2.치형좌표'!G879)</f>
        <v>-77.339166214030826</v>
      </c>
      <c r="C880" s="17">
        <f>IF($B$4="표준",'2.치형좌표'!E879,'2.치형좌표'!H879)</f>
        <v>-9.3993999635342469</v>
      </c>
      <c r="D880" s="6" t="str">
        <f t="shared" si="13"/>
        <v>-77.33917,-9.39940</v>
      </c>
    </row>
    <row r="881" spans="1:4" x14ac:dyDescent="0.3">
      <c r="A881" s="19">
        <v>875</v>
      </c>
      <c r="B881" s="17">
        <f>IF($B$4="표준",'2.치형좌표'!D880,'2.치형좌표'!G880)</f>
        <v>-77.086885104724445</v>
      </c>
      <c r="C881" s="17">
        <f>IF($B$4="표준",'2.치형좌표'!E880,'2.치형좌표'!H880)</f>
        <v>-9.075688387734326</v>
      </c>
      <c r="D881" s="6" t="str">
        <f t="shared" si="13"/>
        <v>-77.08689,-9.07569</v>
      </c>
    </row>
    <row r="882" spans="1:4" x14ac:dyDescent="0.3">
      <c r="A882" s="19">
        <v>876</v>
      </c>
      <c r="B882" s="17">
        <f>IF($B$4="표준",'2.치형좌표'!D881,'2.치형좌표'!G881)</f>
        <v>-76.731802732158457</v>
      </c>
      <c r="C882" s="17">
        <f>IF($B$4="표준",'2.치형좌표'!E881,'2.치형좌표'!H881)</f>
        <v>-8.5064955059166714</v>
      </c>
      <c r="D882" s="6" t="str">
        <f t="shared" si="13"/>
        <v>-76.73180,-8.50650</v>
      </c>
    </row>
    <row r="883" spans="1:4" x14ac:dyDescent="0.3">
      <c r="A883" s="19">
        <v>877</v>
      </c>
      <c r="B883" s="17">
        <f>IF($B$4="표준",'2.치형좌표'!D882,'2.치형좌표'!G882)</f>
        <v>-76.348099881797665</v>
      </c>
      <c r="C883" s="17">
        <f>IF($B$4="표준",'2.치형좌표'!E882,'2.치형좌표'!H882)</f>
        <v>-7.4989814057471085</v>
      </c>
      <c r="D883" s="6" t="str">
        <f t="shared" si="13"/>
        <v>-76.34810,-7.49898</v>
      </c>
    </row>
    <row r="884" spans="1:4" x14ac:dyDescent="0.3">
      <c r="A884" s="19">
        <v>878</v>
      </c>
      <c r="B884" s="17">
        <f>IF($B$4="표준",'2.치형좌표'!D883,'2.치형좌표'!G883)</f>
        <v>-76.252047282756777</v>
      </c>
      <c r="C884" s="17">
        <f>IF($B$4="표준",'2.치형좌표'!E883,'2.치형좌표'!H883)</f>
        <v>-6.0360613981449891</v>
      </c>
      <c r="D884" s="6" t="str">
        <f t="shared" si="13"/>
        <v>-76.25205,-6.03606</v>
      </c>
    </row>
    <row r="885" spans="1:4" x14ac:dyDescent="0.3">
      <c r="A885" s="19">
        <v>879</v>
      </c>
      <c r="B885" s="17">
        <f>IF($B$4="표준",'2.치형좌표'!D884,'2.치형좌표'!G884)</f>
        <v>-76.64314303416424</v>
      </c>
      <c r="C885" s="17">
        <f>IF($B$4="표준",'2.치형좌표'!E884,'2.치형좌표'!H884)</f>
        <v>-4.6658345446156995</v>
      </c>
      <c r="D885" s="6" t="str">
        <f t="shared" si="13"/>
        <v>-76.64314,-4.66583</v>
      </c>
    </row>
    <row r="886" spans="1:4" x14ac:dyDescent="0.3">
      <c r="A886" s="19">
        <v>880</v>
      </c>
      <c r="B886" s="17">
        <f>IF($B$4="표준",'2.치형좌표'!D885,'2.치형좌표'!G885)</f>
        <v>-77.180317502531338</v>
      </c>
      <c r="C886" s="17">
        <f>IF($B$4="표준",'2.치형좌표'!E885,'2.치형좌표'!H885)</f>
        <v>-3.8125280026097133</v>
      </c>
      <c r="D886" s="6" t="str">
        <f t="shared" si="13"/>
        <v>-77.18032,-3.81253</v>
      </c>
    </row>
    <row r="887" spans="1:4" x14ac:dyDescent="0.3">
      <c r="A887" s="19">
        <v>881</v>
      </c>
      <c r="B887" s="17">
        <f>IF($B$4="표준",'2.치형좌표'!D886,'2.치형좌표'!G886)</f>
        <v>-77.599108955344676</v>
      </c>
      <c r="C887" s="17">
        <f>IF($B$4="표준",'2.치형좌표'!E886,'2.치형좌표'!H886)</f>
        <v>-3.3537707247902504</v>
      </c>
      <c r="D887" s="6" t="str">
        <f t="shared" si="13"/>
        <v>-77.59911,-3.35377</v>
      </c>
    </row>
    <row r="888" spans="1:4" x14ac:dyDescent="0.3">
      <c r="A888" s="19">
        <v>882</v>
      </c>
      <c r="B888" s="17">
        <f>IF($B$4="표준",'2.치형좌표'!D887,'2.치형좌표'!G887)</f>
        <v>-77.881808201877348</v>
      </c>
      <c r="C888" s="17">
        <f>IF($B$4="표준",'2.치형좌표'!E887,'2.치형좌표'!H887)</f>
        <v>-3.0969670536507863</v>
      </c>
      <c r="D888" s="6" t="str">
        <f t="shared" si="13"/>
        <v>-77.88181,-3.09697</v>
      </c>
    </row>
    <row r="889" spans="1:4" x14ac:dyDescent="0.3">
      <c r="A889" s="19">
        <v>883</v>
      </c>
      <c r="B889" s="17">
        <f>IF($B$4="표준",'2.치형좌표'!D888,'2.치형좌표'!G888)</f>
        <v>-78.07311409219858</v>
      </c>
      <c r="C889" s="17">
        <f>IF($B$4="표준",'2.치형좌표'!E888,'2.치형좌표'!H888)</f>
        <v>-2.9367276284898645</v>
      </c>
      <c r="D889" s="6" t="str">
        <f t="shared" si="13"/>
        <v>-78.07311,-2.93673</v>
      </c>
    </row>
    <row r="890" spans="1:4" x14ac:dyDescent="0.3">
      <c r="A890" s="19">
        <v>884</v>
      </c>
      <c r="B890" s="17">
        <f>IF($B$4="표준",'2.치형좌표'!D889,'2.치형좌표'!G889)</f>
        <v>-78.211282165309768</v>
      </c>
      <c r="C890" s="17">
        <f>IF($B$4="표준",'2.치형좌표'!E889,'2.치형좌표'!H889)</f>
        <v>-2.8227859345068693</v>
      </c>
      <c r="D890" s="6" t="str">
        <f t="shared" si="13"/>
        <v>-78.21128,-2.82279</v>
      </c>
    </row>
    <row r="891" spans="1:4" x14ac:dyDescent="0.3">
      <c r="A891" s="19">
        <v>885</v>
      </c>
      <c r="B891" s="17">
        <f>IF($B$4="표준",'2.치형좌표'!D890,'2.치형좌표'!G890)</f>
        <v>-78.320998535807192</v>
      </c>
      <c r="C891" s="17">
        <f>IF($B$4="표준",'2.치형좌표'!E890,'2.치형좌표'!H890)</f>
        <v>-2.7299215135561856</v>
      </c>
      <c r="D891" s="6" t="str">
        <f t="shared" si="13"/>
        <v>-78.32100,-2.72992</v>
      </c>
    </row>
    <row r="892" spans="1:4" x14ac:dyDescent="0.3">
      <c r="A892" s="19">
        <v>886</v>
      </c>
      <c r="B892" s="17">
        <f>IF($B$4="표준",'2.치형좌표'!D891,'2.치형좌표'!G891)</f>
        <v>-78.417077987192357</v>
      </c>
      <c r="C892" s="17">
        <f>IF($B$4="표준",'2.치형좌표'!E891,'2.치형좌표'!H891)</f>
        <v>-2.644182369340677</v>
      </c>
      <c r="D892" s="6" t="str">
        <f t="shared" si="13"/>
        <v>-78.41708,-2.64418</v>
      </c>
    </row>
    <row r="893" spans="1:4" x14ac:dyDescent="0.3">
      <c r="A893" s="19">
        <v>887</v>
      </c>
      <c r="B893" s="17">
        <f>IF($B$4="표준",'2.치형좌표'!D892,'2.치형좌표'!G892)</f>
        <v>-78.508039933448757</v>
      </c>
      <c r="C893" s="17">
        <f>IF($B$4="표준",'2.치형좌표'!E892,'2.치형좌표'!H892)</f>
        <v>-2.5570623829346792</v>
      </c>
      <c r="D893" s="6" t="str">
        <f t="shared" si="13"/>
        <v>-78.50804,-2.55706</v>
      </c>
    </row>
    <row r="894" spans="1:4" x14ac:dyDescent="0.3">
      <c r="A894" s="19">
        <v>888</v>
      </c>
      <c r="B894" s="17">
        <f>IF($B$4="표준",'2.치형좌표'!D893,'2.치형좌표'!G893)</f>
        <v>-78.598438057349838</v>
      </c>
      <c r="C894" s="17">
        <f>IF($B$4="표준",'2.치형좌표'!E893,'2.치형좌표'!H893)</f>
        <v>-2.4629715572128847</v>
      </c>
      <c r="D894" s="6" t="str">
        <f t="shared" si="13"/>
        <v>-78.59844,-2.46297</v>
      </c>
    </row>
    <row r="895" spans="1:4" x14ac:dyDescent="0.3">
      <c r="A895" s="19">
        <v>889</v>
      </c>
      <c r="B895" s="17">
        <f>IF($B$4="표준",'2.치형좌표'!D894,'2.치형좌표'!G894)</f>
        <v>-78.690287215938866</v>
      </c>
      <c r="C895" s="17">
        <f>IF($B$4="표준",'2.치형좌표'!E894,'2.치형좌표'!H894)</f>
        <v>-2.3580788399043424</v>
      </c>
      <c r="D895" s="6" t="str">
        <f t="shared" si="13"/>
        <v>-78.69029,-2.35808</v>
      </c>
    </row>
    <row r="896" spans="1:4" x14ac:dyDescent="0.3">
      <c r="A896" s="19">
        <v>890</v>
      </c>
      <c r="B896" s="17">
        <f>IF($B$4="표준",'2.치형좌표'!D895,'2.치형좌표'!G895)</f>
        <v>-78.783948034717739</v>
      </c>
      <c r="C896" s="17">
        <f>IF($B$4="표준",'2.치형좌표'!E895,'2.치형좌표'!H895)</f>
        <v>-2.2397526141751669</v>
      </c>
      <c r="D896" s="6" t="str">
        <f t="shared" si="13"/>
        <v>-78.78395,-2.23975</v>
      </c>
    </row>
    <row r="897" spans="1:4" x14ac:dyDescent="0.3">
      <c r="A897" s="19">
        <v>891</v>
      </c>
      <c r="B897" s="17">
        <f>IF($B$4="표준",'2.치형좌표'!D896,'2.치형좌표'!G896)</f>
        <v>-78.87869647813649</v>
      </c>
      <c r="C897" s="17">
        <f>IF($B$4="표준",'2.치형좌표'!E896,'2.치형좌표'!H896)</f>
        <v>-2.1062734923837581</v>
      </c>
      <c r="D897" s="6" t="str">
        <f t="shared" si="13"/>
        <v>-78.87870,-2.10627</v>
      </c>
    </row>
    <row r="898" spans="1:4" x14ac:dyDescent="0.3">
      <c r="A898" s="19">
        <v>892</v>
      </c>
      <c r="B898" s="17">
        <f>IF($B$4="표준",'2.치형좌표'!D897,'2.치형좌표'!G897)</f>
        <v>-78.973108635344403</v>
      </c>
      <c r="C898" s="17">
        <f>IF($B$4="표준",'2.치형좌표'!E897,'2.치형좌표'!H897)</f>
        <v>-1.95667532629922</v>
      </c>
      <c r="D898" s="6" t="str">
        <f t="shared" si="13"/>
        <v>-78.97311,-1.95668</v>
      </c>
    </row>
    <row r="899" spans="1:4" x14ac:dyDescent="0.3">
      <c r="A899" s="19">
        <v>893</v>
      </c>
      <c r="B899" s="17">
        <f>IF($B$4="표준",'2.치형좌표'!D898,'2.치형좌표'!G898)</f>
        <v>-79.065334080328924</v>
      </c>
      <c r="C899" s="17">
        <f>IF($B$4="표준",'2.치형좌표'!E898,'2.치형좌표'!H898)</f>
        <v>-1.7906471771644792</v>
      </c>
      <c r="D899" s="6" t="str">
        <f t="shared" si="13"/>
        <v>-79.06533,-1.79065</v>
      </c>
    </row>
    <row r="900" spans="1:4" x14ac:dyDescent="0.3">
      <c r="A900" s="19">
        <v>894</v>
      </c>
      <c r="B900" s="17">
        <f>IF($B$4="표준",'2.치형좌표'!D899,'2.치형좌표'!G899)</f>
        <v>-79.153299372700545</v>
      </c>
      <c r="C900" s="17">
        <f>IF($B$4="표준",'2.치형좌표'!E899,'2.치형좌표'!H899)</f>
        <v>-1.6084633744450045</v>
      </c>
      <c r="D900" s="6" t="str">
        <f t="shared" si="13"/>
        <v>-79.15330,-1.60846</v>
      </c>
    </row>
    <row r="901" spans="1:4" x14ac:dyDescent="0.3">
      <c r="A901" s="19">
        <v>895</v>
      </c>
      <c r="B901" s="17">
        <f>IF($B$4="표준",'2.치형좌표'!D900,'2.치형좌표'!G900)</f>
        <v>-79.234865528607997</v>
      </c>
      <c r="C901" s="17">
        <f>IF($B$4="표준",'2.치형좌표'!E900,'2.치형좌표'!H900)</f>
        <v>-1.4109250324001081</v>
      </c>
      <c r="D901" s="6" t="str">
        <f t="shared" si="13"/>
        <v>-79.23487,-1.41093</v>
      </c>
    </row>
    <row r="902" spans="1:4" x14ac:dyDescent="0.3">
      <c r="A902" s="19">
        <v>896</v>
      </c>
      <c r="B902" s="17">
        <f>IF($B$4="표준",'2.치형좌표'!D901,'2.치형좌표'!G901)</f>
        <v>-79.307953265039686</v>
      </c>
      <c r="C902" s="17">
        <f>IF($B$4="표준",'2.치형좌표'!E901,'2.치형좌표'!H901)</f>
        <v>-1.1993044737971077</v>
      </c>
      <c r="D902" s="6" t="str">
        <f t="shared" si="13"/>
        <v>-79.30795,-1.19930</v>
      </c>
    </row>
    <row r="903" spans="1:4" x14ac:dyDescent="0.3">
      <c r="A903" s="19">
        <v>897</v>
      </c>
      <c r="B903" s="17">
        <f>IF($B$4="표준",'2.치형좌표'!D902,'2.치형좌표'!G902)</f>
        <v>-79.370644055693901</v>
      </c>
      <c r="C903" s="17">
        <f>IF($B$4="표준",'2.치형좌표'!E902,'2.치형좌표'!H902)</f>
        <v>-0.9752882386806444</v>
      </c>
      <c r="D903" s="6" t="str">
        <f t="shared" ref="D903:D966" si="14">TEXT(B903,"0.00000")&amp;","&amp;TEXT(C903,"0.00000")</f>
        <v>-79.37064,-0.97529</v>
      </c>
    </row>
    <row r="904" spans="1:4" x14ac:dyDescent="0.3">
      <c r="A904" s="19">
        <v>898</v>
      </c>
      <c r="B904" s="17">
        <f>IF($B$4="표준",'2.치형좌표'!D903,'2.치형좌표'!G903)</f>
        <v>-79.421261669972722</v>
      </c>
      <c r="C904" s="17">
        <f>IF($B$4="표준",'2.치형좌표'!E903,'2.치형좌표'!H903)</f>
        <v>-0.74091668064301031</v>
      </c>
      <c r="D904" s="6" t="str">
        <f t="shared" si="14"/>
        <v>-79.42126,-0.74092</v>
      </c>
    </row>
    <row r="905" spans="1:4" x14ac:dyDescent="0.3">
      <c r="A905" s="19">
        <v>899</v>
      </c>
      <c r="B905" s="17">
        <f>IF($B$4="표준",'2.치형좌표'!D904,'2.치형좌표'!G904)</f>
        <v>-79.458436880109161</v>
      </c>
      <c r="C905" s="17">
        <f>IF($B$4="표준",'2.치형좌표'!E904,'2.치형좌표'!H904)</f>
        <v>-0.49851949211608743</v>
      </c>
      <c r="D905" s="6" t="str">
        <f t="shared" si="14"/>
        <v>-79.45844,-0.49852</v>
      </c>
    </row>
    <row r="906" spans="1:4" x14ac:dyDescent="0.3">
      <c r="A906" s="19">
        <v>900</v>
      </c>
      <c r="B906" s="17">
        <f>IF($B$4="표준",'2.치형좌표'!D905,'2.치형좌표'!G905)</f>
        <v>-79.481156846325547</v>
      </c>
      <c r="C906" s="17">
        <f>IF($B$4="표준",'2.치형좌표'!E905,'2.치형좌표'!H905)</f>
        <v>-0.25064730387627243</v>
      </c>
      <c r="D906" s="6" t="str">
        <f t="shared" si="14"/>
        <v>-79.48116,-0.25065</v>
      </c>
    </row>
    <row r="907" spans="1:4" x14ac:dyDescent="0.3">
      <c r="A907" s="19">
        <v>901</v>
      </c>
      <c r="B907" s="17">
        <f>IF($B$4="표준",'2.치형좌표'!D906,'2.치형좌표'!G906)</f>
        <v>-79.488799999999998</v>
      </c>
      <c r="C907" s="17">
        <f>IF($B$4="표준",'2.치형좌표'!E906,'2.치형좌표'!H906)</f>
        <v>-2.1105339694654777E-12</v>
      </c>
      <c r="D907" s="6" t="str">
        <f t="shared" si="14"/>
        <v>-79.48880,0.00000</v>
      </c>
    </row>
    <row r="908" spans="1:4" x14ac:dyDescent="0.3">
      <c r="A908" s="19">
        <v>902</v>
      </c>
      <c r="B908" s="17">
        <f>IF($B$4="표준",'2.치형좌표'!D907,'2.치형좌표'!G907)</f>
        <v>-79.481156846325803</v>
      </c>
      <c r="C908" s="17">
        <f>IF($B$4="표준",'2.치형좌표'!E907,'2.치형좌표'!H907)</f>
        <v>0.25064730387207435</v>
      </c>
      <c r="D908" s="6" t="str">
        <f t="shared" si="14"/>
        <v>-79.48116,0.25065</v>
      </c>
    </row>
    <row r="909" spans="1:4" x14ac:dyDescent="0.3">
      <c r="A909" s="19">
        <v>903</v>
      </c>
      <c r="B909" s="17">
        <f>IF($B$4="표준",'2.치형좌표'!D908,'2.치형좌표'!G908)</f>
        <v>-79.458436880109659</v>
      </c>
      <c r="C909" s="17">
        <f>IF($B$4="표준",'2.치형좌표'!E908,'2.치형좌표'!H908)</f>
        <v>0.4985194921119826</v>
      </c>
      <c r="D909" s="6" t="str">
        <f t="shared" si="14"/>
        <v>-79.45844,0.49852</v>
      </c>
    </row>
    <row r="910" spans="1:4" x14ac:dyDescent="0.3">
      <c r="A910" s="19">
        <v>904</v>
      </c>
      <c r="B910" s="17">
        <f>IF($B$4="표준",'2.치형좌표'!D909,'2.치형좌표'!G909)</f>
        <v>-79.421261669973461</v>
      </c>
      <c r="C910" s="17">
        <f>IF($B$4="표준",'2.치형좌표'!E909,'2.치형좌표'!H909)</f>
        <v>0.74091668063899485</v>
      </c>
      <c r="D910" s="6" t="str">
        <f t="shared" si="14"/>
        <v>-79.42126,0.74092</v>
      </c>
    </row>
    <row r="911" spans="1:4" x14ac:dyDescent="0.3">
      <c r="A911" s="19">
        <v>905</v>
      </c>
      <c r="B911" s="17">
        <f>IF($B$4="표준",'2.치형좌표'!D910,'2.치형좌표'!G910)</f>
        <v>-79.370644055694854</v>
      </c>
      <c r="C911" s="17">
        <f>IF($B$4="표준",'2.치형좌표'!E910,'2.치형좌표'!H910)</f>
        <v>0.97528823867678249</v>
      </c>
      <c r="D911" s="6" t="str">
        <f t="shared" si="14"/>
        <v>-79.37064,0.97529</v>
      </c>
    </row>
    <row r="912" spans="1:4" x14ac:dyDescent="0.3">
      <c r="A912" s="19">
        <v>906</v>
      </c>
      <c r="B912" s="17">
        <f>IF($B$4="표준",'2.치형좌표'!D911,'2.치형좌표'!G911)</f>
        <v>-79.307953265040823</v>
      </c>
      <c r="C912" s="17">
        <f>IF($B$4="표준",'2.치형좌표'!E911,'2.치형좌표'!H911)</f>
        <v>1.1993044737934377</v>
      </c>
      <c r="D912" s="6" t="str">
        <f t="shared" si="14"/>
        <v>-79.30795,1.19930</v>
      </c>
    </row>
    <row r="913" spans="1:4" x14ac:dyDescent="0.3">
      <c r="A913" s="19">
        <v>907</v>
      </c>
      <c r="B913" s="17">
        <f>IF($B$4="표준",'2.치형좌표'!D912,'2.치형좌표'!G912)</f>
        <v>-79.234865528609276</v>
      </c>
      <c r="C913" s="17">
        <f>IF($B$4="표준",'2.치형좌표'!E912,'2.치형좌표'!H912)</f>
        <v>1.4109250323966867</v>
      </c>
      <c r="D913" s="6" t="str">
        <f t="shared" si="14"/>
        <v>-79.23487,1.41093</v>
      </c>
    </row>
    <row r="914" spans="1:4" x14ac:dyDescent="0.3">
      <c r="A914" s="19">
        <v>908</v>
      </c>
      <c r="B914" s="17">
        <f>IF($B$4="표준",'2.치형좌표'!D913,'2.치형좌표'!G913)</f>
        <v>-79.153299372701952</v>
      </c>
      <c r="C914" s="17">
        <f>IF($B$4="표준",'2.치형좌표'!E913,'2.치형좌표'!H913)</f>
        <v>1.6084633744418295</v>
      </c>
      <c r="D914" s="6" t="str">
        <f t="shared" si="14"/>
        <v>-79.15330,1.60846</v>
      </c>
    </row>
    <row r="915" spans="1:4" x14ac:dyDescent="0.3">
      <c r="A915" s="19">
        <v>909</v>
      </c>
      <c r="B915" s="17">
        <f>IF($B$4="표준",'2.치형좌표'!D914,'2.치형좌표'!G914)</f>
        <v>-79.06533408033043</v>
      </c>
      <c r="C915" s="17">
        <f>IF($B$4="표준",'2.치형좌표'!E914,'2.치형좌표'!H914)</f>
        <v>1.790647177161568</v>
      </c>
      <c r="D915" s="6" t="str">
        <f t="shared" si="14"/>
        <v>-79.06533,1.79065</v>
      </c>
    </row>
    <row r="916" spans="1:4" x14ac:dyDescent="0.3">
      <c r="A916" s="19">
        <v>910</v>
      </c>
      <c r="B916" s="17">
        <f>IF($B$4="표준",'2.치형좌표'!D915,'2.치형좌표'!G915)</f>
        <v>-78.973108635345952</v>
      </c>
      <c r="C916" s="17">
        <f>IF($B$4="표준",'2.치형좌표'!E915,'2.치형좌표'!H915)</f>
        <v>1.9566753262965817</v>
      </c>
      <c r="D916" s="6" t="str">
        <f t="shared" si="14"/>
        <v>-78.97311,1.95668</v>
      </c>
    </row>
    <row r="917" spans="1:4" x14ac:dyDescent="0.3">
      <c r="A917" s="19">
        <v>911</v>
      </c>
      <c r="B917" s="17">
        <f>IF($B$4="표준",'2.치형좌표'!D916,'2.치형좌표'!G916)</f>
        <v>-78.878696478138068</v>
      </c>
      <c r="C917" s="17">
        <f>IF($B$4="표준",'2.치형좌표'!E916,'2.치형좌표'!H916)</f>
        <v>2.1062734923813906</v>
      </c>
      <c r="D917" s="6" t="str">
        <f t="shared" si="14"/>
        <v>-78.87870,2.10627</v>
      </c>
    </row>
    <row r="918" spans="1:4" x14ac:dyDescent="0.3">
      <c r="A918" s="19">
        <v>912</v>
      </c>
      <c r="B918" s="17">
        <f>IF($B$4="표준",'2.치형좌표'!D917,'2.치형좌표'!G917)</f>
        <v>-78.783948034719302</v>
      </c>
      <c r="C918" s="17">
        <f>IF($B$4="표준",'2.치형좌표'!E917,'2.치형좌표'!H917)</f>
        <v>2.2397526141730628</v>
      </c>
      <c r="D918" s="6" t="str">
        <f t="shared" si="14"/>
        <v>-78.78395,2.23975</v>
      </c>
    </row>
    <row r="919" spans="1:4" x14ac:dyDescent="0.3">
      <c r="A919" s="19">
        <v>913</v>
      </c>
      <c r="B919" s="17">
        <f>IF($B$4="표준",'2.치형좌표'!D918,'2.치형좌표'!G918)</f>
        <v>-78.690287215940415</v>
      </c>
      <c r="C919" s="17">
        <f>IF($B$4="표준",'2.치형좌표'!E918,'2.치형좌표'!H918)</f>
        <v>2.358078839902479</v>
      </c>
      <c r="D919" s="6" t="str">
        <f t="shared" si="14"/>
        <v>-78.69029,2.35808</v>
      </c>
    </row>
    <row r="920" spans="1:4" x14ac:dyDescent="0.3">
      <c r="A920" s="19">
        <v>914</v>
      </c>
      <c r="B920" s="17">
        <f>IF($B$4="표준",'2.치형좌표'!D919,'2.치형좌표'!G919)</f>
        <v>-78.598438057351345</v>
      </c>
      <c r="C920" s="17">
        <f>IF($B$4="표준",'2.치형좌표'!E919,'2.치형좌표'!H919)</f>
        <v>2.4629715572112238</v>
      </c>
      <c r="D920" s="6" t="str">
        <f t="shared" si="14"/>
        <v>-78.59844,2.46297</v>
      </c>
    </row>
    <row r="921" spans="1:4" x14ac:dyDescent="0.3">
      <c r="A921" s="19">
        <v>915</v>
      </c>
      <c r="B921" s="17">
        <f>IF($B$4="표준",'2.치형좌표'!D920,'2.치형좌표'!G920)</f>
        <v>-78.508039933450263</v>
      </c>
      <c r="C921" s="17">
        <f>IF($B$4="표준",'2.치형좌표'!E920,'2.치형좌표'!H920)</f>
        <v>2.5570623829331671</v>
      </c>
      <c r="D921" s="6" t="str">
        <f t="shared" si="14"/>
        <v>-78.50804,2.55706</v>
      </c>
    </row>
    <row r="922" spans="1:4" x14ac:dyDescent="0.3">
      <c r="A922" s="19">
        <v>916</v>
      </c>
      <c r="B922" s="17">
        <f>IF($B$4="표준",'2.치형좌표'!D921,'2.치형좌표'!G921)</f>
        <v>-78.417077987193906</v>
      </c>
      <c r="C922" s="17">
        <f>IF($B$4="표준",'2.치형좌표'!E921,'2.치형좌표'!H921)</f>
        <v>2.6441823693392399</v>
      </c>
      <c r="D922" s="6" t="str">
        <f t="shared" si="14"/>
        <v>-78.41708,2.64418</v>
      </c>
    </row>
    <row r="923" spans="1:4" x14ac:dyDescent="0.3">
      <c r="A923" s="19">
        <v>917</v>
      </c>
      <c r="B923" s="17">
        <f>IF($B$4="표준",'2.치형좌표'!D922,'2.치형좌표'!G922)</f>
        <v>-78.320998535808855</v>
      </c>
      <c r="C923" s="17">
        <f>IF($B$4="표준",'2.치형좌표'!E922,'2.치형좌표'!H922)</f>
        <v>2.7299215135547099</v>
      </c>
      <c r="D923" s="6" t="str">
        <f t="shared" si="14"/>
        <v>-78.32100,2.72992</v>
      </c>
    </row>
    <row r="924" spans="1:4" x14ac:dyDescent="0.3">
      <c r="A924" s="19">
        <v>918</v>
      </c>
      <c r="B924" s="17">
        <f>IF($B$4="표준",'2.치형좌표'!D923,'2.치형좌표'!G923)</f>
        <v>-78.2112821653118</v>
      </c>
      <c r="C924" s="17">
        <f>IF($B$4="표준",'2.치형좌표'!E923,'2.치형좌표'!H923)</f>
        <v>2.8227859345051907</v>
      </c>
      <c r="D924" s="6" t="str">
        <f t="shared" si="14"/>
        <v>-78.21128,2.82279</v>
      </c>
    </row>
    <row r="925" spans="1:4" x14ac:dyDescent="0.3">
      <c r="A925" s="19">
        <v>919</v>
      </c>
      <c r="B925" s="17">
        <f>IF($B$4="표준",'2.치형좌표'!D924,'2.치형좌표'!G924)</f>
        <v>-78.07311409220128</v>
      </c>
      <c r="C925" s="17">
        <f>IF($B$4="표준",'2.치형좌표'!E924,'2.치형좌표'!H924)</f>
        <v>2.9367276284876649</v>
      </c>
      <c r="D925" s="6" t="str">
        <f t="shared" si="14"/>
        <v>-78.07311,2.93673</v>
      </c>
    </row>
    <row r="926" spans="1:4" x14ac:dyDescent="0.3">
      <c r="A926" s="19">
        <v>920</v>
      </c>
      <c r="B926" s="17">
        <f>IF($B$4="표준",'2.치형좌표'!D925,'2.치형좌표'!G925)</f>
        <v>-77.881808201881199</v>
      </c>
      <c r="C926" s="17">
        <f>IF($B$4="표준",'2.치형좌표'!E925,'2.치형좌표'!H925)</f>
        <v>3.0969670536474889</v>
      </c>
      <c r="D926" s="6" t="str">
        <f t="shared" si="14"/>
        <v>-77.88181,3.09697</v>
      </c>
    </row>
    <row r="927" spans="1:4" x14ac:dyDescent="0.3">
      <c r="A927" s="19">
        <v>921</v>
      </c>
      <c r="B927" s="17">
        <f>IF($B$4="표준",'2.치형좌표'!D926,'2.치형좌표'!G926)</f>
        <v>-77.599108955350474</v>
      </c>
      <c r="C927" s="17">
        <f>IF($B$4="표준",'2.치형좌표'!E926,'2.치형좌표'!H926)</f>
        <v>3.3537707247846589</v>
      </c>
      <c r="D927" s="6" t="str">
        <f t="shared" si="14"/>
        <v>-77.59911,3.35377</v>
      </c>
    </row>
    <row r="928" spans="1:4" x14ac:dyDescent="0.3">
      <c r="A928" s="19">
        <v>922</v>
      </c>
      <c r="B928" s="17">
        <f>IF($B$4="표준",'2.치형좌표'!D927,'2.치형좌표'!G927)</f>
        <v>-77.180317502539708</v>
      </c>
      <c r="C928" s="17">
        <f>IF($B$4="표준",'2.치형좌표'!E927,'2.치형좌표'!H927)</f>
        <v>3.8125280025992869</v>
      </c>
      <c r="D928" s="6" t="str">
        <f t="shared" si="14"/>
        <v>-77.18032,3.81253</v>
      </c>
    </row>
    <row r="929" spans="1:4" x14ac:dyDescent="0.3">
      <c r="A929" s="19">
        <v>923</v>
      </c>
      <c r="B929" s="17">
        <f>IF($B$4="표준",'2.치형좌표'!D928,'2.치형좌표'!G928)</f>
        <v>-76.643143034173264</v>
      </c>
      <c r="C929" s="17">
        <f>IF($B$4="표준",'2.치형좌표'!E928,'2.치형좌표'!H928)</f>
        <v>4.6658345445968417</v>
      </c>
      <c r="D929" s="6" t="str">
        <f t="shared" si="14"/>
        <v>-76.64314,4.66583</v>
      </c>
    </row>
    <row r="930" spans="1:4" x14ac:dyDescent="0.3">
      <c r="A930" s="19">
        <v>924</v>
      </c>
      <c r="B930" s="17">
        <f>IF($B$4="표준",'2.치형좌표'!D929,'2.치형좌표'!G929)</f>
        <v>-76.252047282759619</v>
      </c>
      <c r="C930" s="17">
        <f>IF($B$4="표준",'2.치형좌표'!E929,'2.치형좌표'!H929)</f>
        <v>6.0360613981190987</v>
      </c>
      <c r="D930" s="6" t="str">
        <f t="shared" si="14"/>
        <v>-76.25205,6.03606</v>
      </c>
    </row>
    <row r="931" spans="1:4" x14ac:dyDescent="0.3">
      <c r="A931" s="19">
        <v>925</v>
      </c>
      <c r="B931" s="17">
        <f>IF($B$4="표준",'2.치형좌표'!D930,'2.치형좌표'!G930)</f>
        <v>-76.348099881792422</v>
      </c>
      <c r="C931" s="17">
        <f>IF($B$4="표준",'2.치형좌표'!E930,'2.치형좌표'!H930)</f>
        <v>7.4989814057256545</v>
      </c>
      <c r="D931" s="6" t="str">
        <f t="shared" si="14"/>
        <v>-76.34810,7.49898</v>
      </c>
    </row>
    <row r="932" spans="1:4" x14ac:dyDescent="0.3">
      <c r="A932" s="19">
        <v>926</v>
      </c>
      <c r="B932" s="17">
        <f>IF($B$4="표준",'2.치형좌표'!D931,'2.치형좌표'!G931)</f>
        <v>-76.731802732151706</v>
      </c>
      <c r="C932" s="17">
        <f>IF($B$4="표준",'2.치형좌표'!E931,'2.치형좌표'!H931)</f>
        <v>8.5064955059039224</v>
      </c>
      <c r="D932" s="6" t="str">
        <f t="shared" si="14"/>
        <v>-76.73180,8.50650</v>
      </c>
    </row>
    <row r="933" spans="1:4" x14ac:dyDescent="0.3">
      <c r="A933" s="19">
        <v>927</v>
      </c>
      <c r="B933" s="17">
        <f>IF($B$4="표준",'2.치형좌표'!D932,'2.치형좌표'!G932)</f>
        <v>-77.086885104719357</v>
      </c>
      <c r="C933" s="17">
        <f>IF($B$4="표준",'2.치형좌표'!E932,'2.치형좌표'!H932)</f>
        <v>9.0756883877272934</v>
      </c>
      <c r="D933" s="6" t="str">
        <f t="shared" si="14"/>
        <v>-77.08689,9.07569</v>
      </c>
    </row>
    <row r="934" spans="1:4" x14ac:dyDescent="0.3">
      <c r="A934" s="19">
        <v>928</v>
      </c>
      <c r="B934" s="17">
        <f>IF($B$4="표준",'2.치형좌표'!D933,'2.치형좌표'!G933)</f>
        <v>-77.33916621402733</v>
      </c>
      <c r="C934" s="17">
        <f>IF($B$4="표준",'2.치형좌표'!E933,'2.치형좌표'!H933)</f>
        <v>9.3993999635300813</v>
      </c>
      <c r="D934" s="6" t="str">
        <f t="shared" si="14"/>
        <v>-77.33917,9.39940</v>
      </c>
    </row>
    <row r="935" spans="1:4" x14ac:dyDescent="0.3">
      <c r="A935" s="19">
        <v>929</v>
      </c>
      <c r="B935" s="17">
        <f>IF($B$4="표준",'2.치형좌표'!D934,'2.치형좌표'!G934)</f>
        <v>-77.511645196748646</v>
      </c>
      <c r="C935" s="17">
        <f>IF($B$4="표준",'2.치형좌표'!E934,'2.치형좌표'!H934)</f>
        <v>9.6005687207535324</v>
      </c>
      <c r="D935" s="6" t="str">
        <f t="shared" si="14"/>
        <v>-77.51165,9.60057</v>
      </c>
    </row>
    <row r="936" spans="1:4" x14ac:dyDescent="0.3">
      <c r="A936" s="19">
        <v>930</v>
      </c>
      <c r="B936" s="17">
        <f>IF($B$4="표준",'2.치형좌표'!D935,'2.치형좌표'!G935)</f>
        <v>-77.635114663928377</v>
      </c>
      <c r="C936" s="17">
        <f>IF($B$4="표준",'2.치형좌표'!E935,'2.치형좌표'!H935)</f>
        <v>9.7412093472402859</v>
      </c>
      <c r="D936" s="6" t="str">
        <f t="shared" si="14"/>
        <v>-77.63511,9.74121</v>
      </c>
    </row>
    <row r="937" spans="1:4" x14ac:dyDescent="0.3">
      <c r="A937" s="19">
        <v>931</v>
      </c>
      <c r="B937" s="17">
        <f>IF($B$4="표준",'2.치형좌표'!D936,'2.치형좌표'!G936)</f>
        <v>-77.731341818485191</v>
      </c>
      <c r="C937" s="17">
        <f>IF($B$4="표준",'2.치형좌표'!E936,'2.치형좌표'!H936)</f>
        <v>9.8531028078906768</v>
      </c>
      <c r="D937" s="6" t="str">
        <f t="shared" si="14"/>
        <v>-77.73134,9.85310</v>
      </c>
    </row>
    <row r="938" spans="1:4" x14ac:dyDescent="0.3">
      <c r="A938" s="19">
        <v>932</v>
      </c>
      <c r="B938" s="17">
        <f>IF($B$4="표준",'2.치형좌표'!D937,'2.치형좌표'!G937)</f>
        <v>-77.813752138774049</v>
      </c>
      <c r="C938" s="17">
        <f>IF($B$4="표준",'2.치형좌표'!E937,'2.치형좌표'!H937)</f>
        <v>9.9538111161449603</v>
      </c>
      <c r="D938" s="6" t="str">
        <f t="shared" si="14"/>
        <v>-77.81375,9.95381</v>
      </c>
    </row>
    <row r="939" spans="1:4" x14ac:dyDescent="0.3">
      <c r="A939" s="19">
        <v>933</v>
      </c>
      <c r="B939" s="17">
        <f>IF($B$4="표준",'2.치형좌표'!D938,'2.치형좌표'!G938)</f>
        <v>-77.890068729545803</v>
      </c>
      <c r="C939" s="17">
        <f>IF($B$4="표준",'2.치형좌표'!E938,'2.치형좌표'!H938)</f>
        <v>10.053836825263703</v>
      </c>
      <c r="D939" s="6" t="str">
        <f t="shared" si="14"/>
        <v>-77.89007,10.05384</v>
      </c>
    </row>
    <row r="940" spans="1:4" x14ac:dyDescent="0.3">
      <c r="A940" s="19">
        <v>934</v>
      </c>
      <c r="B940" s="17">
        <f>IF($B$4="표준",'2.치형좌표'!D939,'2.치형좌표'!G939)</f>
        <v>-77.964326273014379</v>
      </c>
      <c r="C940" s="17">
        <f>IF($B$4="표준",'2.치형좌표'!E939,'2.치형좌표'!H939)</f>
        <v>10.159854863914546</v>
      </c>
      <c r="D940" s="6" t="str">
        <f t="shared" si="14"/>
        <v>-77.96433,10.15985</v>
      </c>
    </row>
    <row r="941" spans="1:4" x14ac:dyDescent="0.3">
      <c r="A941" s="19">
        <v>935</v>
      </c>
      <c r="B941" s="17">
        <f>IF($B$4="표준",'2.치형좌표'!D940,'2.치형좌표'!G940)</f>
        <v>-78.038181499119872</v>
      </c>
      <c r="C941" s="17">
        <f>IF($B$4="표준",'2.치형좌표'!E940,'2.치형좌표'!H940)</f>
        <v>10.276243060223855</v>
      </c>
      <c r="D941" s="6" t="str">
        <f t="shared" si="14"/>
        <v>-78.03818,10.27624</v>
      </c>
    </row>
    <row r="942" spans="1:4" x14ac:dyDescent="0.3">
      <c r="A942" s="19">
        <v>936</v>
      </c>
      <c r="B942" s="17">
        <f>IF($B$4="표준",'2.치형좌표'!D941,'2.치형좌표'!G941)</f>
        <v>-78.111751034604538</v>
      </c>
      <c r="C942" s="17">
        <f>IF($B$4="표준",'2.치형좌표'!E941,'2.치형좌표'!H941)</f>
        <v>10.40584986495435</v>
      </c>
      <c r="D942" s="6" t="str">
        <f t="shared" si="14"/>
        <v>-78.11175,10.40585</v>
      </c>
    </row>
    <row r="943" spans="1:4" x14ac:dyDescent="0.3">
      <c r="A943" s="19">
        <v>937</v>
      </c>
      <c r="B943" s="17">
        <f>IF($B$4="표준",'2.치형좌표'!D942,'2.치형좌표'!G942)</f>
        <v>-78.184160375334528</v>
      </c>
      <c r="C943" s="17">
        <f>IF($B$4="표준",'2.치형좌표'!E942,'2.치형좌표'!H942)</f>
        <v>10.550404585204255</v>
      </c>
      <c r="D943" s="6" t="str">
        <f t="shared" si="14"/>
        <v>-78.18416,10.55040</v>
      </c>
    </row>
    <row r="944" spans="1:4" x14ac:dyDescent="0.3">
      <c r="A944" s="19">
        <v>938</v>
      </c>
      <c r="B944" s="17">
        <f>IF($B$4="표준",'2.치형좌표'!D943,'2.치형좌표'!G943)</f>
        <v>-78.253918220917583</v>
      </c>
      <c r="C944" s="17">
        <f>IF($B$4="표준",'2.치형좌표'!E943,'2.치형좌표'!H943)</f>
        <v>10.710753576784303</v>
      </c>
      <c r="D944" s="6" t="str">
        <f t="shared" si="14"/>
        <v>-78.25392,10.71075</v>
      </c>
    </row>
    <row r="945" spans="1:4" x14ac:dyDescent="0.3">
      <c r="A945" s="19">
        <v>939</v>
      </c>
      <c r="B945" s="17">
        <f>IF($B$4="표준",'2.치형좌표'!D944,'2.치형좌표'!G944)</f>
        <v>-78.319183167299386</v>
      </c>
      <c r="C945" s="17">
        <f>IF($B$4="표준",'2.치형좌표'!E944,'2.치형좌표'!H944)</f>
        <v>10.88700965039185</v>
      </c>
      <c r="D945" s="6" t="str">
        <f t="shared" si="14"/>
        <v>-78.31918,10.88701</v>
      </c>
    </row>
    <row r="946" spans="1:4" x14ac:dyDescent="0.3">
      <c r="A946" s="19">
        <v>940</v>
      </c>
      <c r="B946" s="17">
        <f>IF($B$4="표준",'2.치형좌표'!D945,'2.치형좌표'!G945)</f>
        <v>-78.377961628270299</v>
      </c>
      <c r="C946" s="17">
        <f>IF($B$4="표준",'2.치형좌표'!E945,'2.치형좌표'!H945)</f>
        <v>11.078658092252558</v>
      </c>
      <c r="D946" s="6" t="str">
        <f t="shared" si="14"/>
        <v>-78.37796,11.07866</v>
      </c>
    </row>
    <row r="947" spans="1:4" x14ac:dyDescent="0.3">
      <c r="A947" s="19">
        <v>941</v>
      </c>
      <c r="B947" s="17">
        <f>IF($B$4="표준",'2.치형좌표'!D946,'2.치형좌표'!G946)</f>
        <v>-78.428259631457195</v>
      </c>
      <c r="C947" s="17">
        <f>IF($B$4="표준",'2.치형좌표'!E946,'2.치형좌표'!H946)</f>
        <v>11.284641660215646</v>
      </c>
      <c r="D947" s="6" t="str">
        <f t="shared" si="14"/>
        <v>-78.42826,11.28464</v>
      </c>
    </row>
    <row r="948" spans="1:4" x14ac:dyDescent="0.3">
      <c r="A948" s="19">
        <v>942</v>
      </c>
      <c r="B948" s="17">
        <f>IF($B$4="표준",'2.치형좌표'!D947,'2.치형좌표'!G947)</f>
        <v>-78.468201780330432</v>
      </c>
      <c r="C948" s="17">
        <f>IF($B$4="표준",'2.치형좌표'!E947,'2.치형좌표'!H947)</f>
        <v>11.503436312025482</v>
      </c>
      <c r="D948" s="6" t="str">
        <f t="shared" si="14"/>
        <v>-78.46820,11.50344</v>
      </c>
    </row>
    <row r="949" spans="1:4" x14ac:dyDescent="0.3">
      <c r="A949" s="19">
        <v>943</v>
      </c>
      <c r="B949" s="17">
        <f>IF($B$4="표준",'2.치형좌표'!D948,'2.치형좌표'!G948)</f>
        <v>-78.496125231370485</v>
      </c>
      <c r="C949" s="17">
        <f>IF($B$4="표준",'2.치형좌표'!E948,'2.치형좌표'!H948)</f>
        <v>11.733123820481348</v>
      </c>
      <c r="D949" s="6" t="str">
        <f t="shared" si="14"/>
        <v>-78.49613,11.73312</v>
      </c>
    </row>
    <row r="950" spans="1:4" x14ac:dyDescent="0.3">
      <c r="A950" s="19">
        <v>944</v>
      </c>
      <c r="B950" s="17">
        <f>IF($B$4="표준",'2.치형좌표'!D949,'2.치형좌표'!G949)</f>
        <v>-78.510653336396103</v>
      </c>
      <c r="C950" s="17">
        <f>IF($B$4="표준",'2.치형좌표'!E949,'2.치형좌표'!H949)</f>
        <v>11.971464336247902</v>
      </c>
      <c r="D950" s="6" t="str">
        <f t="shared" si="14"/>
        <v>-78.51065,11.97146</v>
      </c>
    </row>
    <row r="951" spans="1:4" x14ac:dyDescent="0.3">
      <c r="A951" s="19">
        <v>945</v>
      </c>
      <c r="B951" s="17">
        <f>IF($B$4="표준",'2.치형좌표'!D950,'2.치형좌표'!G950)</f>
        <v>-78.510751707448094</v>
      </c>
      <c r="C951" s="17">
        <f>IF($B$4="표준",'2.치형좌표'!E950,'2.치형좌표'!H950)</f>
        <v>12.215970178955622</v>
      </c>
      <c r="D951" s="6" t="str">
        <f t="shared" si="14"/>
        <v>-78.51075,12.21597</v>
      </c>
    </row>
    <row r="952" spans="1:4" x14ac:dyDescent="0.3">
      <c r="A952" s="19">
        <v>946</v>
      </c>
      <c r="B952" s="17">
        <f>IF($B$4="표준",'2.치형좌표'!D951,'2.치형좌표'!G951)</f>
        <v>-78.495768343006375</v>
      </c>
      <c r="C952" s="17">
        <f>IF($B$4="표준",'2.치형좌표'!E951,'2.치형좌표'!H951)</f>
        <v>12.463981076683535</v>
      </c>
      <c r="D952" s="6" t="str">
        <f t="shared" si="14"/>
        <v>-78.49577,12.46398</v>
      </c>
    </row>
    <row r="953" spans="1:4" x14ac:dyDescent="0.3">
      <c r="A953" s="19">
        <v>947</v>
      </c>
      <c r="B953" s="17">
        <f>IF($B$4="표준",'2.치형좌표'!D952,'2.치형좌표'!G952)</f>
        <v>-78.465458800140468</v>
      </c>
      <c r="C953" s="17">
        <f>IF($B$4="표준",'2.치형좌표'!E952,'2.치형좌표'!H952)</f>
        <v>12.712740426852072</v>
      </c>
      <c r="D953" s="6" t="str">
        <f t="shared" si="14"/>
        <v>-78.46546,12.71274</v>
      </c>
    </row>
    <row r="954" spans="1:4" x14ac:dyDescent="0.3">
      <c r="A954" s="19">
        <v>948</v>
      </c>
      <c r="B954" s="17">
        <f>IF($B$4="표준",'2.치형좌표'!D953,'2.치형좌표'!G953)</f>
        <v>-78.419997021747406</v>
      </c>
      <c r="C954" s="17">
        <f>IF($B$4="표준",'2.치형좌표'!E953,'2.치형좌표'!H953)</f>
        <v>12.959471755496427</v>
      </c>
      <c r="D954" s="6" t="str">
        <f t="shared" si="14"/>
        <v>-78.42000,12.95947</v>
      </c>
    </row>
    <row r="955" spans="1:4" x14ac:dyDescent="0.3">
      <c r="A955" s="19">
        <v>949</v>
      </c>
      <c r="B955" s="17">
        <f>IF($B$4="표준",'2.치형좌표'!D954,'2.치형좌표'!G954)</f>
        <v>-78.359972214598912</v>
      </c>
      <c r="C955" s="17">
        <f>IF($B$4="표준",'2.치형좌표'!E954,'2.치형좌표'!H954)</f>
        <v>13.201454318578172</v>
      </c>
      <c r="D955" s="6" t="str">
        <f t="shared" si="14"/>
        <v>-78.35997,13.20145</v>
      </c>
    </row>
    <row r="956" spans="1:4" x14ac:dyDescent="0.3">
      <c r="A956" s="19">
        <v>950</v>
      </c>
      <c r="B956" s="17">
        <f>IF($B$4="표준",'2.치형좌표'!D955,'2.치형좌표'!G955)</f>
        <v>-78.286372043488427</v>
      </c>
      <c r="C956" s="17">
        <f>IF($B$4="표준",'2.치형좌표'!E955,'2.치형좌표'!H955)</f>
        <v>13.436096670053665</v>
      </c>
      <c r="D956" s="6" t="str">
        <f t="shared" si="14"/>
        <v>-78.28637,13.43610</v>
      </c>
    </row>
    <row r="957" spans="1:4" x14ac:dyDescent="0.3">
      <c r="A957" s="19">
        <v>951</v>
      </c>
      <c r="B957" s="17">
        <f>IF($B$4="표준",'2.치형좌표'!D956,'2.치형좌표'!G956)</f>
        <v>-78.200552299027351</v>
      </c>
      <c r="C957" s="17">
        <f>IF($B$4="표준",'2.치형좌표'!E956,'2.치형좌표'!H956)</f>
        <v>13.661006991298903</v>
      </c>
      <c r="D957" s="6" t="str">
        <f t="shared" si="14"/>
        <v>-78.20055,13.66101</v>
      </c>
    </row>
    <row r="958" spans="1:4" x14ac:dyDescent="0.3">
      <c r="A958" s="19">
        <v>952</v>
      </c>
      <c r="B958" s="17">
        <f>IF($B$4="표준",'2.치형좌표'!D957,'2.치형좌표'!G957)</f>
        <v>-78.104193056779749</v>
      </c>
      <c r="C958" s="17">
        <f>IF($B$4="표준",'2.치형좌표'!E957,'2.치형좌표'!H957)</f>
        <v>13.874059024333379</v>
      </c>
      <c r="D958" s="6" t="str">
        <f t="shared" si="14"/>
        <v>-78.10419,13.87406</v>
      </c>
    </row>
    <row r="959" spans="1:4" x14ac:dyDescent="0.3">
      <c r="A959" s="19">
        <v>953</v>
      </c>
      <c r="B959" s="17">
        <f>IF($B$4="표준",'2.치형좌표'!D958,'2.치형좌표'!G958)</f>
        <v>-77.999241112559602</v>
      </c>
      <c r="C959" s="17">
        <f>IF($B$4="표준",'2.치형좌표'!E958,'2.치형좌표'!H958)</f>
        <v>14.07345257834359</v>
      </c>
      <c r="D959" s="6" t="str">
        <f t="shared" si="14"/>
        <v>-77.99924,14.07345</v>
      </c>
    </row>
    <row r="960" spans="1:4" x14ac:dyDescent="0.3">
      <c r="A960" s="19">
        <v>954</v>
      </c>
      <c r="B960" s="17">
        <f>IF($B$4="표준",'2.치형좌표'!D959,'2.치형좌표'!G959)</f>
        <v>-77.887838072239873</v>
      </c>
      <c r="C960" s="17">
        <f>IF($B$4="표준",'2.치형좌표'!E959,'2.치형좌표'!H959)</f>
        <v>14.257767800599311</v>
      </c>
      <c r="D960" s="6" t="str">
        <f t="shared" si="14"/>
        <v>-77.88784,14.25777</v>
      </c>
    </row>
    <row r="961" spans="1:4" x14ac:dyDescent="0.3">
      <c r="A961" s="19">
        <v>955</v>
      </c>
      <c r="B961" s="17">
        <f>IF($B$4="표준",'2.치형좌표'!D960,'2.치형좌표'!G960)</f>
        <v>-77.772232773867998</v>
      </c>
      <c r="C961" s="17">
        <f>IF($B$4="표준",'2.치형좌표'!E960,'2.치형좌표'!H960)</f>
        <v>14.426012756101656</v>
      </c>
      <c r="D961" s="6" t="str">
        <f t="shared" si="14"/>
        <v>-77.77223,14.42601</v>
      </c>
    </row>
    <row r="962" spans="1:4" x14ac:dyDescent="0.3">
      <c r="A962" s="19">
        <v>956</v>
      </c>
      <c r="B962" s="17">
        <f>IF($B$4="표준",'2.치형좌표'!D961,'2.치형좌표'!G961)</f>
        <v>-77.654675530893769</v>
      </c>
      <c r="C962" s="17">
        <f>IF($B$4="표준",'2.치형좌표'!E961,'2.치형좌표'!H961)</f>
        <v>14.577664422007127</v>
      </c>
      <c r="D962" s="6" t="str">
        <f t="shared" si="14"/>
        <v>-77.65468,14.57766</v>
      </c>
    </row>
    <row r="963" spans="1:4" x14ac:dyDescent="0.3">
      <c r="A963" s="19">
        <v>957</v>
      </c>
      <c r="B963" s="17">
        <f>IF($B$4="표준",'2.치형좌표'!D962,'2.치형좌표'!G962)</f>
        <v>-77.537289678431051</v>
      </c>
      <c r="C963" s="17">
        <f>IF($B$4="표준",'2.치형좌표'!E962,'2.치형좌표'!H962)</f>
        <v>14.712704127816522</v>
      </c>
      <c r="D963" s="6" t="str">
        <f t="shared" si="14"/>
        <v>-77.53729,14.71270</v>
      </c>
    </row>
    <row r="964" spans="1:4" x14ac:dyDescent="0.3">
      <c r="A964" s="19">
        <v>958</v>
      </c>
      <c r="B964" s="17">
        <f>IF($B$4="표준",'2.치형좌표'!D963,'2.치형좌표'!G963)</f>
        <v>-77.421912500500468</v>
      </c>
      <c r="C964" s="17">
        <f>IF($B$4="표준",'2.치형좌표'!E963,'2.치형좌표'!H963)</f>
        <v>14.831650076174252</v>
      </c>
      <c r="D964" s="6" t="str">
        <f t="shared" si="14"/>
        <v>-77.42191,14.83165</v>
      </c>
    </row>
    <row r="965" spans="1:4" x14ac:dyDescent="0.3">
      <c r="A965" s="19">
        <v>959</v>
      </c>
      <c r="B965" s="17">
        <f>IF($B$4="표준",'2.치형좌표'!D964,'2.치형좌표'!G964)</f>
        <v>-77.309891765820552</v>
      </c>
      <c r="C965" s="17">
        <f>IF($B$4="표준",'2.치형좌표'!E964,'2.치형좌표'!H964)</f>
        <v>14.935592523317869</v>
      </c>
      <c r="D965" s="6" t="str">
        <f t="shared" si="14"/>
        <v>-77.30989,14.93559</v>
      </c>
    </row>
    <row r="966" spans="1:4" x14ac:dyDescent="0.3">
      <c r="A966" s="19">
        <v>960</v>
      </c>
      <c r="B966" s="17">
        <f>IF($B$4="표준",'2.치형좌표'!D965,'2.치형좌표'!G965)</f>
        <v>-77.20181385172971</v>
      </c>
      <c r="C966" s="17">
        <f>IF($B$4="표준",'2.치형좌표'!E965,'2.치형좌표'!H965)</f>
        <v>15.026242918629983</v>
      </c>
      <c r="D966" s="6" t="str">
        <f t="shared" si="14"/>
        <v>-77.20181,15.02624</v>
      </c>
    </row>
    <row r="967" spans="1:4" x14ac:dyDescent="0.3">
      <c r="A967" s="19">
        <v>961</v>
      </c>
      <c r="B967" s="17">
        <f>IF($B$4="표준",'2.치형좌표'!D966,'2.치형좌표'!G966)</f>
        <v>-77.097121084293548</v>
      </c>
      <c r="C967" s="17">
        <f>IF($B$4="표준",'2.치형좌표'!E966,'2.치형좌표'!H966)</f>
        <v>15.106020048885462</v>
      </c>
      <c r="D967" s="6" t="str">
        <f t="shared" ref="D967:D1030" si="15">TEXT(B967,"0.00000")&amp;","&amp;TEXT(C967,"0.00000")</f>
        <v>-77.09712,15.10602</v>
      </c>
    </row>
    <row r="968" spans="1:4" x14ac:dyDescent="0.3">
      <c r="A968" s="19">
        <v>962</v>
      </c>
      <c r="B968" s="17">
        <f>IF($B$4="표준",'2.치형좌표'!D967,'2.치형좌표'!G967)</f>
        <v>-76.993542351594968</v>
      </c>
      <c r="C968" s="17">
        <f>IF($B$4="표준",'2.치형좌표'!E967,'2.치형좌표'!H967)</f>
        <v>15.178221709264633</v>
      </c>
      <c r="D968" s="6" t="str">
        <f t="shared" si="15"/>
        <v>-76.99354,15.17822</v>
      </c>
    </row>
    <row r="969" spans="1:4" x14ac:dyDescent="0.3">
      <c r="A969" s="19">
        <v>963</v>
      </c>
      <c r="B969" s="17">
        <f>IF($B$4="표준",'2.치형좌표'!D968,'2.치형좌표'!G968)</f>
        <v>-76.886198789407601</v>
      </c>
      <c r="C969" s="17">
        <f>IF($B$4="표준",'2.치형좌표'!E968,'2.치형좌표'!H968)</f>
        <v>15.247388843063575</v>
      </c>
      <c r="D969" s="6" t="str">
        <f t="shared" si="15"/>
        <v>-76.88620,15.24739</v>
      </c>
    </row>
    <row r="970" spans="1:4" x14ac:dyDescent="0.3">
      <c r="A970" s="19">
        <v>964</v>
      </c>
      <c r="B970" s="17">
        <f>IF($B$4="표준",'2.치형좌표'!D969,'2.치형좌표'!G969)</f>
        <v>-76.766132097317779</v>
      </c>
      <c r="C970" s="17">
        <f>IF($B$4="표준",'2.치형좌표'!E969,'2.치형좌표'!H969)</f>
        <v>15.320110903293179</v>
      </c>
      <c r="D970" s="6" t="str">
        <f t="shared" si="15"/>
        <v>-76.76613,15.32011</v>
      </c>
    </row>
    <row r="971" spans="1:4" x14ac:dyDescent="0.3">
      <c r="A971" s="19">
        <v>965</v>
      </c>
      <c r="B971" s="17">
        <f>IF($B$4="표준",'2.치형좌표'!D970,'2.치형좌표'!G970)</f>
        <v>-76.617811124694569</v>
      </c>
      <c r="C971" s="17">
        <f>IF($B$4="표준",'2.치형좌표'!E970,'2.치형좌표'!H970)</f>
        <v>15.406884986943789</v>
      </c>
      <c r="D971" s="6" t="str">
        <f t="shared" si="15"/>
        <v>-76.61781,15.40688</v>
      </c>
    </row>
    <row r="972" spans="1:4" x14ac:dyDescent="0.3">
      <c r="A972" s="19">
        <v>966</v>
      </c>
      <c r="B972" s="17">
        <f>IF($B$4="표준",'2.치형좌표'!D971,'2.치형좌표'!G971)</f>
        <v>-76.414973148633067</v>
      </c>
      <c r="C972" s="17">
        <f>IF($B$4="표준",'2.치형좌표'!E971,'2.치형좌표'!H971)</f>
        <v>15.526614144425695</v>
      </c>
      <c r="D972" s="6" t="str">
        <f t="shared" si="15"/>
        <v>-76.41497,15.52661</v>
      </c>
    </row>
    <row r="973" spans="1:4" x14ac:dyDescent="0.3">
      <c r="A973" s="19">
        <v>967</v>
      </c>
      <c r="B973" s="17">
        <f>IF($B$4="표준",'2.치형좌표'!D972,'2.치형좌표'!G972)</f>
        <v>-76.114788564849675</v>
      </c>
      <c r="C973" s="17">
        <f>IF($B$4="표준",'2.치형좌표'!E972,'2.치형좌표'!H972)</f>
        <v>15.717893280090795</v>
      </c>
      <c r="D973" s="6" t="str">
        <f t="shared" si="15"/>
        <v>-76.11479,15.71789</v>
      </c>
    </row>
    <row r="974" spans="1:4" x14ac:dyDescent="0.3">
      <c r="A974" s="19">
        <v>968</v>
      </c>
      <c r="B974" s="17">
        <f>IF($B$4="표준",'2.치형좌표'!D973,'2.치형좌표'!G973)</f>
        <v>-75.657153045768098</v>
      </c>
      <c r="C974" s="17">
        <f>IF($B$4="표준",'2.치형좌표'!E973,'2.치형좌표'!H973)</f>
        <v>16.066358924221532</v>
      </c>
      <c r="D974" s="6" t="str">
        <f t="shared" si="15"/>
        <v>-75.65715,16.06636</v>
      </c>
    </row>
    <row r="975" spans="1:4" x14ac:dyDescent="0.3">
      <c r="A975" s="19">
        <v>969</v>
      </c>
      <c r="B975" s="17">
        <f>IF($B$4="표준",'2.치형좌표'!D974,'2.치형좌표'!G974)</f>
        <v>-75.011440332130533</v>
      </c>
      <c r="C975" s="17">
        <f>IF($B$4="표준",'2.치형좌표'!E974,'2.치형좌표'!H974)</f>
        <v>16.749615093777315</v>
      </c>
      <c r="D975" s="6" t="str">
        <f t="shared" si="15"/>
        <v>-75.01144,16.74962</v>
      </c>
    </row>
    <row r="976" spans="1:4" x14ac:dyDescent="0.3">
      <c r="A976" s="19">
        <v>970</v>
      </c>
      <c r="B976" s="17">
        <f>IF($B$4="표준",'2.치형좌표'!D975,'2.치형좌표'!G975)</f>
        <v>-74.366051736985156</v>
      </c>
      <c r="C976" s="17">
        <f>IF($B$4="표준",'2.치형좌표'!E975,'2.치형좌표'!H975)</f>
        <v>17.962719374642802</v>
      </c>
      <c r="D976" s="6" t="str">
        <f t="shared" si="15"/>
        <v>-74.36605,17.96272</v>
      </c>
    </row>
    <row r="977" spans="1:4" x14ac:dyDescent="0.3">
      <c r="A977" s="19">
        <v>971</v>
      </c>
      <c r="B977" s="17">
        <f>IF($B$4="표준",'2.치형좌표'!D976,'2.치형좌표'!G976)</f>
        <v>-74.145348460103392</v>
      </c>
      <c r="C977" s="17">
        <f>IF($B$4="표준",'2.치형좌표'!E976,'2.치형좌표'!H976)</f>
        <v>19.442099926201312</v>
      </c>
      <c r="D977" s="6" t="str">
        <f t="shared" si="15"/>
        <v>-74.14535,19.44210</v>
      </c>
    </row>
    <row r="978" spans="1:4" x14ac:dyDescent="0.3">
      <c r="A978" s="19">
        <v>972</v>
      </c>
      <c r="B978" s="17">
        <f>IF($B$4="표준",'2.치형좌표'!D977,'2.치형좌표'!G977)</f>
        <v>-74.332010243129133</v>
      </c>
      <c r="C978" s="17">
        <f>IF($B$4="표준",'2.치형좌표'!E977,'2.치형좌표'!H977)</f>
        <v>20.575147010110967</v>
      </c>
      <c r="D978" s="6" t="str">
        <f t="shared" si="15"/>
        <v>-74.33201,20.57515</v>
      </c>
    </row>
    <row r="979" spans="1:4" x14ac:dyDescent="0.3">
      <c r="A979" s="19">
        <v>973</v>
      </c>
      <c r="B979" s="17">
        <f>IF($B$4="표준",'2.치형좌표'!D978,'2.치형좌표'!G978)</f>
        <v>-74.5963184438409</v>
      </c>
      <c r="C979" s="17">
        <f>IF($B$4="표준",'2.치형좌표'!E978,'2.치형좌표'!H978)</f>
        <v>21.249587937927988</v>
      </c>
      <c r="D979" s="6" t="str">
        <f t="shared" si="15"/>
        <v>-74.59632,21.24959</v>
      </c>
    </row>
    <row r="980" spans="1:4" x14ac:dyDescent="0.3">
      <c r="A980" s="19">
        <v>974</v>
      </c>
      <c r="B980" s="17">
        <f>IF($B$4="표준",'2.치형좌표'!D979,'2.치형좌표'!G979)</f>
        <v>-74.803888869269798</v>
      </c>
      <c r="C980" s="17">
        <f>IF($B$4="표준",'2.치형좌표'!E979,'2.치형좌표'!H979)</f>
        <v>21.639367710260807</v>
      </c>
      <c r="D980" s="6" t="str">
        <f t="shared" si="15"/>
        <v>-74.80389,21.63937</v>
      </c>
    </row>
    <row r="981" spans="1:4" x14ac:dyDescent="0.3">
      <c r="A981" s="19">
        <v>975</v>
      </c>
      <c r="B981" s="17">
        <f>IF($B$4="표준",'2.치형좌표'!D980,'2.치형좌표'!G980)</f>
        <v>-74.949635102082979</v>
      </c>
      <c r="C981" s="17">
        <f>IF($B$4="표준",'2.치형좌표'!E980,'2.치형좌표'!H980)</f>
        <v>21.880765392152369</v>
      </c>
      <c r="D981" s="6" t="str">
        <f t="shared" si="15"/>
        <v>-74.94964,21.88077</v>
      </c>
    </row>
    <row r="982" spans="1:4" x14ac:dyDescent="0.3">
      <c r="A982" s="19">
        <v>976</v>
      </c>
      <c r="B982" s="17">
        <f>IF($B$4="표준",'2.치형좌표'!D981,'2.치형좌표'!G981)</f>
        <v>-75.053668277645912</v>
      </c>
      <c r="C982" s="17">
        <f>IF($B$4="표준",'2.치형좌표'!E981,'2.치형좌표'!H981)</f>
        <v>22.04698090645044</v>
      </c>
      <c r="D982" s="6" t="str">
        <f t="shared" si="15"/>
        <v>-75.05367,22.04698</v>
      </c>
    </row>
    <row r="983" spans="1:4" x14ac:dyDescent="0.3">
      <c r="A983" s="19">
        <v>977</v>
      </c>
      <c r="B983" s="17">
        <f>IF($B$4="표준",'2.치형좌표'!D982,'2.치형좌표'!G982)</f>
        <v>-75.133313241596952</v>
      </c>
      <c r="C983" s="17">
        <f>IF($B$4="표준",'2.치형좌표'!E982,'2.치형좌표'!H982)</f>
        <v>22.176360692188862</v>
      </c>
      <c r="D983" s="6" t="str">
        <f t="shared" si="15"/>
        <v>-75.13331,22.17636</v>
      </c>
    </row>
    <row r="984" spans="1:4" x14ac:dyDescent="0.3">
      <c r="A984" s="19">
        <v>978</v>
      </c>
      <c r="B984" s="17">
        <f>IF($B$4="표준",'2.치형좌표'!D983,'2.치형좌표'!G983)</f>
        <v>-75.199843659926998</v>
      </c>
      <c r="C984" s="17">
        <f>IF($B$4="표준",'2.치형좌표'!E983,'2.치형좌표'!H983)</f>
        <v>22.290124540547755</v>
      </c>
      <c r="D984" s="6" t="str">
        <f t="shared" si="15"/>
        <v>-75.19984,22.29012</v>
      </c>
    </row>
    <row r="985" spans="1:4" x14ac:dyDescent="0.3">
      <c r="A985" s="19">
        <v>979</v>
      </c>
      <c r="B985" s="17">
        <f>IF($B$4="표준",'2.치형좌표'!D984,'2.치형좌표'!G984)</f>
        <v>-75.259784097682939</v>
      </c>
      <c r="C985" s="17">
        <f>IF($B$4="표준",'2.치형좌표'!E984,'2.치형좌표'!H984)</f>
        <v>22.400796375813574</v>
      </c>
      <c r="D985" s="6" t="str">
        <f t="shared" si="15"/>
        <v>-75.25978,22.40080</v>
      </c>
    </row>
    <row r="986" spans="1:4" x14ac:dyDescent="0.3">
      <c r="A986" s="19">
        <v>980</v>
      </c>
      <c r="B986" s="17">
        <f>IF($B$4="표준",'2.치형좌표'!D985,'2.치형좌표'!G985)</f>
        <v>-75.316433371817666</v>
      </c>
      <c r="C986" s="17">
        <f>IF($B$4="표준",'2.치형좌표'!E985,'2.치형좌표'!H985)</f>
        <v>22.516142313553473</v>
      </c>
      <c r="D986" s="6" t="str">
        <f t="shared" si="15"/>
        <v>-75.31643,22.51614</v>
      </c>
    </row>
    <row r="987" spans="1:4" x14ac:dyDescent="0.3">
      <c r="A987" s="19">
        <v>981</v>
      </c>
      <c r="B987" s="17">
        <f>IF($B$4="표준",'2.치형좌표'!D986,'2.치형좌표'!G986)</f>
        <v>-75.370975959492228</v>
      </c>
      <c r="C987" s="17">
        <f>IF($B$4="표준",'2.치형좌표'!E986,'2.치형좌표'!H986)</f>
        <v>22.641084567901821</v>
      </c>
      <c r="D987" s="6" t="str">
        <f t="shared" si="15"/>
        <v>-75.37098,22.64108</v>
      </c>
    </row>
    <row r="988" spans="1:4" x14ac:dyDescent="0.3">
      <c r="A988" s="19">
        <v>982</v>
      </c>
      <c r="B988" s="17">
        <f>IF($B$4="표준",'2.치형좌표'!D987,'2.치형좌표'!G987)</f>
        <v>-75.42323063804858</v>
      </c>
      <c r="C988" s="17">
        <f>IF($B$4="표준",'2.치형좌표'!E987,'2.치형좌표'!H987)</f>
        <v>22.778684613550677</v>
      </c>
      <c r="D988" s="6" t="str">
        <f t="shared" si="15"/>
        <v>-75.42323,22.77868</v>
      </c>
    </row>
    <row r="989" spans="1:4" x14ac:dyDescent="0.3">
      <c r="A989" s="19">
        <v>983</v>
      </c>
      <c r="B989" s="17">
        <f>IF($B$4="표준",'2.치형좌표'!D988,'2.치형좌표'!G988)</f>
        <v>-75.472155247855724</v>
      </c>
      <c r="C989" s="17">
        <f>IF($B$4="표준",'2.치형좌표'!E988,'2.치형좌표'!H988)</f>
        <v>22.930680858060789</v>
      </c>
      <c r="D989" s="6" t="str">
        <f t="shared" si="15"/>
        <v>-75.47216,22.93068</v>
      </c>
    </row>
    <row r="990" spans="1:4" x14ac:dyDescent="0.3">
      <c r="A990" s="19">
        <v>984</v>
      </c>
      <c r="B990" s="17">
        <f>IF($B$4="표준",'2.치형좌표'!D989,'2.치형좌표'!G989)</f>
        <v>-75.516196466365585</v>
      </c>
      <c r="C990" s="17">
        <f>IF($B$4="표준",'2.치형좌표'!E989,'2.치형좌표'!H989)</f>
        <v>23.097804544382598</v>
      </c>
      <c r="D990" s="6" t="str">
        <f t="shared" si="15"/>
        <v>-75.51620,23.09780</v>
      </c>
    </row>
    <row r="991" spans="1:4" x14ac:dyDescent="0.3">
      <c r="A991" s="19">
        <v>985</v>
      </c>
      <c r="B991" s="17">
        <f>IF($B$4="표준",'2.치형좌표'!D990,'2.치형좌표'!G990)</f>
        <v>-75.553540831970281</v>
      </c>
      <c r="C991" s="17">
        <f>IF($B$4="표준",'2.치형좌표'!E990,'2.치형좌표'!H990)</f>
        <v>23.279981823633442</v>
      </c>
      <c r="D991" s="6" t="str">
        <f t="shared" si="15"/>
        <v>-75.55354,23.27998</v>
      </c>
    </row>
    <row r="992" spans="1:4" x14ac:dyDescent="0.3">
      <c r="A992" s="19">
        <v>986</v>
      </c>
      <c r="B992" s="17">
        <f>IF($B$4="표준",'2.치형좌표'!D991,'2.치형좌표'!G991)</f>
        <v>-75.582301001973846</v>
      </c>
      <c r="C992" s="17">
        <f>IF($B$4="표준",'2.치형좌표'!E991,'2.치형좌표'!H991)</f>
        <v>23.476476352221777</v>
      </c>
      <c r="D992" s="6" t="str">
        <f t="shared" si="15"/>
        <v>-75.58230,23.47648</v>
      </c>
    </row>
    <row r="993" spans="1:4" x14ac:dyDescent="0.3">
      <c r="A993" s="19">
        <v>987</v>
      </c>
      <c r="B993" s="17">
        <f>IF($B$4="표준",'2.치형좌표'!D992,'2.치형좌표'!G992)</f>
        <v>-75.600657557600556</v>
      </c>
      <c r="C993" s="17">
        <f>IF($B$4="표준",'2.치형좌표'!E992,'2.치형좌표'!H992)</f>
        <v>23.686000757720159</v>
      </c>
      <c r="D993" s="6" t="str">
        <f t="shared" si="15"/>
        <v>-75.60066,23.68600</v>
      </c>
    </row>
    <row r="994" spans="1:4" x14ac:dyDescent="0.3">
      <c r="A994" s="19">
        <v>988</v>
      </c>
      <c r="B994" s="17">
        <f>IF($B$4="표준",'2.치형좌표'!D993,'2.치형좌표'!G993)</f>
        <v>-75.606968508706871</v>
      </c>
      <c r="C994" s="17">
        <f>IF($B$4="표준",'2.치형좌표'!E993,'2.치형좌표'!H993)</f>
        <v>23.906812091238869</v>
      </c>
      <c r="D994" s="6" t="str">
        <f t="shared" si="15"/>
        <v>-75.60697,23.90681</v>
      </c>
    </row>
    <row r="995" spans="1:4" x14ac:dyDescent="0.3">
      <c r="A995" s="19">
        <v>989</v>
      </c>
      <c r="B995" s="17">
        <f>IF($B$4="표준",'2.치형좌표'!D994,'2.치형좌표'!G994)</f>
        <v>-75.599853804706513</v>
      </c>
      <c r="C995" s="17">
        <f>IF($B$4="표준",'2.치형좌표'!E994,'2.치형좌표'!H994)</f>
        <v>24.136799354040239</v>
      </c>
      <c r="D995" s="6" t="str">
        <f t="shared" si="15"/>
        <v>-75.59985,24.13680</v>
      </c>
    </row>
    <row r="996" spans="1:4" x14ac:dyDescent="0.3">
      <c r="A996" s="19">
        <v>990</v>
      </c>
      <c r="B996" s="17">
        <f>IF($B$4="표준",'2.치형좌표'!D995,'2.치형좌표'!G995)</f>
        <v>-75.578259275712654</v>
      </c>
      <c r="C996" s="17">
        <f>IF($B$4="표준",'2.치형좌표'!E995,'2.치형좌표'!H995)</f>
        <v>24.373567292868859</v>
      </c>
      <c r="D996" s="6" t="str">
        <f t="shared" si="15"/>
        <v>-75.57826,24.37357</v>
      </c>
    </row>
    <row r="997" spans="1:4" x14ac:dyDescent="0.3">
      <c r="A997" s="19">
        <v>991</v>
      </c>
      <c r="B997" s="17">
        <f>IF($B$4="표준",'2.치형좌표'!D996,'2.치형좌표'!G996)</f>
        <v>-75.541502713131919</v>
      </c>
      <c r="C997" s="17">
        <f>IF($B$4="표준",'2.치형좌표'!E996,'2.치형좌표'!H996)</f>
        <v>24.614518421067508</v>
      </c>
      <c r="D997" s="6" t="str">
        <f t="shared" si="15"/>
        <v>-75.54150,24.61452</v>
      </c>
    </row>
    <row r="998" spans="1:4" x14ac:dyDescent="0.3">
      <c r="A998" s="19">
        <v>992</v>
      </c>
      <c r="B998" s="17">
        <f>IF($B$4="표준",'2.치형좌표'!D997,'2.치형좌표'!G997)</f>
        <v>-75.489303785136713</v>
      </c>
      <c r="C998" s="17">
        <f>IF($B$4="표준",'2.치형좌표'!E997,'2.치형좌표'!H997)</f>
        <v>24.8569338964347</v>
      </c>
      <c r="D998" s="6" t="str">
        <f t="shared" si="15"/>
        <v>-75.48930,24.85693</v>
      </c>
    </row>
    <row r="999" spans="1:4" x14ac:dyDescent="0.3">
      <c r="A999" s="19">
        <v>993</v>
      </c>
      <c r="B999" s="17">
        <f>IF($B$4="표준",'2.치형좌표'!D998,'2.치형좌표'!G998)</f>
        <v>-75.42179889231555</v>
      </c>
      <c r="C999" s="17">
        <f>IF($B$4="표준",'2.치형좌표'!E998,'2.치형좌표'!H998)</f>
        <v>25.098053084165741</v>
      </c>
      <c r="D999" s="6" t="str">
        <f t="shared" si="15"/>
        <v>-75.42180,25.09805</v>
      </c>
    </row>
    <row r="1000" spans="1:4" x14ac:dyDescent="0.3">
      <c r="A1000" s="19">
        <v>994</v>
      </c>
      <c r="B1000" s="17">
        <f>IF($B$4="표준",'2.치형좌표'!D999,'2.치형좌표'!G999)</f>
        <v>-75.339541733243252</v>
      </c>
      <c r="C1000" s="17">
        <f>IF($B$4="표준",'2.치형좌표'!E999,'2.치형좌표'!H999)</f>
        <v>25.335151145493771</v>
      </c>
      <c r="D1000" s="6" t="str">
        <f t="shared" si="15"/>
        <v>-75.33954,25.33515</v>
      </c>
    </row>
    <row r="1001" spans="1:4" x14ac:dyDescent="0.3">
      <c r="A1001" s="19">
        <v>995</v>
      </c>
      <c r="B1001" s="17">
        <f>IF($B$4="표준",'2.치형좌표'!D1000,'2.치형좌표'!G1000)</f>
        <v>-75.243490161009959</v>
      </c>
      <c r="C1001" s="17">
        <f>IF($B$4="표준",'2.치형좌표'!E1000,'2.치형좌표'!H1000)</f>
        <v>25.565613704179444</v>
      </c>
      <c r="D1001" s="6" t="str">
        <f t="shared" si="15"/>
        <v>-75.24349,25.56561</v>
      </c>
    </row>
    <row r="1002" spans="1:4" x14ac:dyDescent="0.3">
      <c r="A1002" s="19">
        <v>996</v>
      </c>
      <c r="B1002" s="17">
        <f>IF($B$4="표준",'2.치형좌표'!D1001,'2.치형좌표'!G1001)</f>
        <v>-75.134979796134758</v>
      </c>
      <c r="C1002" s="17">
        <f>IF($B$4="표준",'2.치형좌표'!E1001,'2.치형좌표'!H1001)</f>
        <v>25.787007488018315</v>
      </c>
      <c r="D1002" s="6" t="str">
        <f t="shared" si="15"/>
        <v>-75.13498,25.78701</v>
      </c>
    </row>
    <row r="1003" spans="1:4" x14ac:dyDescent="0.3">
      <c r="A1003" s="19">
        <v>997</v>
      </c>
      <c r="B1003" s="17">
        <f>IF($B$4="표준",'2.치형좌표'!D1002,'2.치형좌표'!G1002)</f>
        <v>-75.015684761882682</v>
      </c>
      <c r="C1003" s="17">
        <f>IF($B$4="표준",'2.치형좌표'!E1002,'2.치형좌표'!H1002)</f>
        <v>25.997145783057423</v>
      </c>
      <c r="D1003" s="6" t="str">
        <f t="shared" si="15"/>
        <v>-75.01568,25.99715</v>
      </c>
    </row>
    <row r="1004" spans="1:4" x14ac:dyDescent="0.3">
      <c r="A1004" s="19">
        <v>998</v>
      </c>
      <c r="B1004" s="17">
        <f>IF($B$4="표준",'2.치형좌표'!D1003,'2.치형좌표'!G1003)</f>
        <v>-74.887565772671323</v>
      </c>
      <c r="C1004" s="17">
        <f>IF($B$4="표준",'2.치형좌표'!E1003,'2.치형좌표'!H1003)</f>
        <v>26.194147552761464</v>
      </c>
      <c r="D1004" s="6" t="str">
        <f t="shared" si="15"/>
        <v>-74.88757,26.19415</v>
      </c>
    </row>
    <row r="1005" spans="1:4" x14ac:dyDescent="0.3">
      <c r="A1005" s="19">
        <v>999</v>
      </c>
      <c r="B1005" s="17">
        <f>IF($B$4="표준",'2.치형좌표'!D1004,'2.치형좌표'!G1004)</f>
        <v>-74.752805576701562</v>
      </c>
      <c r="C1005" s="17">
        <f>IF($B$4="표준",'2.치형좌표'!E1004,'2.치형좌표'!H1004)</f>
        <v>26.376489152843266</v>
      </c>
      <c r="D1005" s="6" t="str">
        <f t="shared" si="15"/>
        <v>-74.75281,26.37649</v>
      </c>
    </row>
    <row r="1006" spans="1:4" x14ac:dyDescent="0.3">
      <c r="A1006" s="19">
        <v>1000</v>
      </c>
      <c r="B1006" s="17">
        <f>IF($B$4="표준",'2.치형좌표'!D1005,'2.치형좌표'!G1005)</f>
        <v>-74.613731352620235</v>
      </c>
      <c r="C1006" s="17">
        <f>IF($B$4="표준",'2.치형좌표'!E1005,'2.치형좌표'!H1005)</f>
        <v>26.543047715264386</v>
      </c>
      <c r="D1006" s="6" t="str">
        <f t="shared" si="15"/>
        <v>-74.61373,26.54305</v>
      </c>
    </row>
    <row r="1007" spans="1:4" x14ac:dyDescent="0.3">
      <c r="A1007" s="19">
        <v>1001</v>
      </c>
      <c r="B1007" s="17">
        <f>IF($B$4="표준",'2.치형좌표'!D1006,'2.치형좌표'!G1006)</f>
        <v>-74.472722970515562</v>
      </c>
      <c r="C1007" s="17">
        <f>IF($B$4="표준",'2.치형좌표'!E1006,'2.치형좌표'!H1006)</f>
        <v>26.693135496465647</v>
      </c>
      <c r="D1007" s="6" t="str">
        <f t="shared" si="15"/>
        <v>-74.47272,26.69314</v>
      </c>
    </row>
    <row r="1008" spans="1:4" x14ac:dyDescent="0.3">
      <c r="A1008" s="19">
        <v>1002</v>
      </c>
      <c r="B1008" s="17">
        <f>IF($B$4="표준",'2.치형좌표'!D1007,'2.치형좌표'!G1007)</f>
        <v>-74.332104861230803</v>
      </c>
      <c r="C1008" s="17">
        <f>IF($B$4="표준",'2.치형좌표'!E1007,'2.치형좌표'!H1007)</f>
        <v>26.826524824357268</v>
      </c>
      <c r="D1008" s="6" t="str">
        <f t="shared" si="15"/>
        <v>-74.33210,26.82652</v>
      </c>
    </row>
    <row r="1009" spans="1:4" x14ac:dyDescent="0.3">
      <c r="A1009" s="19">
        <v>1003</v>
      </c>
      <c r="B1009" s="17">
        <f>IF($B$4="표준",'2.치형좌표'!D1008,'2.치형좌표'!G1008)</f>
        <v>-74.194017273520103</v>
      </c>
      <c r="C1009" s="17">
        <f>IF($B$4="표준",'2.치형좌표'!E1008,'2.치형좌표'!H1008)</f>
        <v>26.943463824511539</v>
      </c>
      <c r="D1009" s="6" t="str">
        <f t="shared" si="15"/>
        <v>-74.19402,26.94346</v>
      </c>
    </row>
    <row r="1010" spans="1:4" x14ac:dyDescent="0.3">
      <c r="A1010" s="19">
        <v>1004</v>
      </c>
      <c r="B1010" s="17">
        <f>IF($B$4="표준",'2.치형좌표'!D1009,'2.치형좌표'!G1009)</f>
        <v>-74.060259367563532</v>
      </c>
      <c r="C1010" s="17">
        <f>IF($B$4="표준",'2.치형좌표'!E1009,'2.치형좌표'!H1009)</f>
        <v>27.044684052161706</v>
      </c>
      <c r="D1010" s="6" t="str">
        <f t="shared" si="15"/>
        <v>-74.06026,27.04468</v>
      </c>
    </row>
    <row r="1011" spans="1:4" x14ac:dyDescent="0.3">
      <c r="A1011" s="19">
        <v>1005</v>
      </c>
      <c r="B1011" s="17">
        <f>IF($B$4="표준",'2.치형좌표'!D1010,'2.치형좌표'!G1010)</f>
        <v>-73.932090857782811</v>
      </c>
      <c r="C1011" s="17">
        <f>IF($B$4="표준",'2.치형좌표'!E1010,'2.치형좌표'!H1010)</f>
        <v>27.131402931071449</v>
      </c>
      <c r="D1011" s="6" t="str">
        <f t="shared" si="15"/>
        <v>-73.93209,27.13140</v>
      </c>
    </row>
    <row r="1012" spans="1:4" x14ac:dyDescent="0.3">
      <c r="A1012" s="19">
        <v>1006</v>
      </c>
      <c r="B1012" s="17">
        <f>IF($B$4="표준",'2.치형좌표'!D1011,'2.치형좌표'!G1011)</f>
        <v>-73.809968825883843</v>
      </c>
      <c r="C1012" s="17">
        <f>IF($B$4="표준",'2.치형좌표'!E1011,'2.치형좌표'!H1011)</f>
        <v>27.20532747376496</v>
      </c>
      <c r="D1012" s="6" t="str">
        <f t="shared" si="15"/>
        <v>-73.80997,27.20533</v>
      </c>
    </row>
    <row r="1013" spans="1:4" x14ac:dyDescent="0.3">
      <c r="A1013" s="19">
        <v>1007</v>
      </c>
      <c r="B1013" s="17">
        <f>IF($B$4="표준",'2.치형좌표'!D1012,'2.치형좌표'!G1012)</f>
        <v>-73.693178107593312</v>
      </c>
      <c r="C1013" s="17">
        <f>IF($B$4="표준",'2.치형좌표'!E1012,'2.치형좌표'!H1012)</f>
        <v>27.268673412435803</v>
      </c>
      <c r="D1013" s="6" t="str">
        <f t="shared" si="15"/>
        <v>-73.69318,27.26867</v>
      </c>
    </row>
    <row r="1014" spans="1:4" x14ac:dyDescent="0.3">
      <c r="A1014" s="19">
        <v>1008</v>
      </c>
      <c r="B1014" s="17">
        <f>IF($B$4="표준",'2.치형좌표'!D1013,'2.치형좌표'!G1013)</f>
        <v>-73.579279881762588</v>
      </c>
      <c r="C1014" s="17">
        <f>IF($B$4="표준",'2.치형좌표'!E1013,'2.치형좌표'!H1013)</f>
        <v>27.324231211253643</v>
      </c>
      <c r="D1014" s="6" t="str">
        <f t="shared" si="15"/>
        <v>-73.57928,27.32423</v>
      </c>
    </row>
    <row r="1015" spans="1:4" x14ac:dyDescent="0.3">
      <c r="A1015" s="19">
        <v>1009</v>
      </c>
      <c r="B1015" s="17">
        <f>IF($B$4="표준",'2.치형좌표'!D1014,'2.치형좌표'!G1014)</f>
        <v>-73.463239004423372</v>
      </c>
      <c r="C1015" s="17">
        <f>IF($B$4="표준",'2.치형좌표'!E1014,'2.치형좌표'!H1014)</f>
        <v>27.375551916293301</v>
      </c>
      <c r="D1015" s="6" t="str">
        <f t="shared" si="15"/>
        <v>-73.46324,27.37555</v>
      </c>
    </row>
    <row r="1016" spans="1:4" x14ac:dyDescent="0.3">
      <c r="A1016" s="19">
        <v>1010</v>
      </c>
      <c r="B1016" s="17">
        <f>IF($B$4="표준",'2.치형좌표'!D1015,'2.치형좌표'!G1015)</f>
        <v>-73.33596787576883</v>
      </c>
      <c r="C1016" s="17">
        <f>IF($B$4="표준",'2.치형좌표'!E1015,'2.치형좌표'!H1015)</f>
        <v>27.427430733606464</v>
      </c>
      <c r="D1016" s="6" t="str">
        <f t="shared" si="15"/>
        <v>-73.33597,27.42743</v>
      </c>
    </row>
    <row r="1017" spans="1:4" x14ac:dyDescent="0.3">
      <c r="A1017" s="19">
        <v>1011</v>
      </c>
      <c r="B1017" s="17">
        <f>IF($B$4="표준",'2.치형좌표'!D1016,'2.치형좌표'!G1016)</f>
        <v>-73.18179713425549</v>
      </c>
      <c r="C1017" s="17">
        <f>IF($B$4="표준",'2.치형좌표'!E1016,'2.치형좌표'!H1016)</f>
        <v>27.4871470469751</v>
      </c>
      <c r="D1017" s="6" t="str">
        <f t="shared" si="15"/>
        <v>-73.18180,27.48715</v>
      </c>
    </row>
    <row r="1018" spans="1:4" x14ac:dyDescent="0.3">
      <c r="A1018" s="19">
        <v>1012</v>
      </c>
      <c r="B1018" s="17">
        <f>IF($B$4="표준",'2.치형좌표'!D1017,'2.치형좌표'!G1017)</f>
        <v>-72.974035670645918</v>
      </c>
      <c r="C1018" s="17">
        <f>IF($B$4="표준",'2.치형좌표'!E1017,'2.치형좌표'!H1017)</f>
        <v>27.567709122862286</v>
      </c>
      <c r="D1018" s="6" t="str">
        <f t="shared" si="15"/>
        <v>-72.97404,27.56771</v>
      </c>
    </row>
    <row r="1019" spans="1:4" x14ac:dyDescent="0.3">
      <c r="A1019" s="19">
        <v>1013</v>
      </c>
      <c r="B1019" s="17">
        <f>IF($B$4="표준",'2.치형좌표'!D1018,'2.치형좌표'!G1018)</f>
        <v>-72.667778512435802</v>
      </c>
      <c r="C1019" s="17">
        <f>IF($B$4="표준",'2.치형좌표'!E1018,'2.치형좌표'!H1018)</f>
        <v>27.696602468877686</v>
      </c>
      <c r="D1019" s="6" t="str">
        <f t="shared" si="15"/>
        <v>-72.66778,27.69660</v>
      </c>
    </row>
    <row r="1020" spans="1:4" x14ac:dyDescent="0.3">
      <c r="A1020" s="19">
        <v>1014</v>
      </c>
      <c r="B1020" s="17">
        <f>IF($B$4="표준",'2.치형좌표'!D1019,'2.치형좌표'!G1019)</f>
        <v>-72.193315343815001</v>
      </c>
      <c r="C1020" s="17">
        <f>IF($B$4="표준",'2.치형좌표'!E1019,'2.치형좌표'!H1019)</f>
        <v>27.939130262719509</v>
      </c>
      <c r="D1020" s="6" t="str">
        <f t="shared" si="15"/>
        <v>-72.19332,27.93913</v>
      </c>
    </row>
    <row r="1021" spans="1:4" x14ac:dyDescent="0.3">
      <c r="A1021" s="19">
        <v>1015</v>
      </c>
      <c r="B1021" s="17">
        <f>IF($B$4="표준",'2.치형좌표'!D1020,'2.치형좌표'!G1020)</f>
        <v>-71.482175908499912</v>
      </c>
      <c r="C1021" s="17">
        <f>IF($B$4="표준",'2.치형좌표'!E1020,'2.치형좌표'!H1020)</f>
        <v>28.447831653777037</v>
      </c>
      <c r="D1021" s="6" t="str">
        <f t="shared" si="15"/>
        <v>-71.48218,28.44783</v>
      </c>
    </row>
    <row r="1022" spans="1:4" x14ac:dyDescent="0.3">
      <c r="A1022" s="19">
        <v>1016</v>
      </c>
      <c r="B1022" s="17">
        <f>IF($B$4="표준",'2.치형좌표'!D1021,'2.치형좌표'!G1021)</f>
        <v>-70.636802157810351</v>
      </c>
      <c r="C1022" s="17">
        <f>IF($B$4="표준",'2.치형좌표'!E1021,'2.치형좌표'!H1021)</f>
        <v>29.455724117971009</v>
      </c>
      <c r="D1022" s="6" t="str">
        <f t="shared" si="15"/>
        <v>-70.63680,29.45572</v>
      </c>
    </row>
    <row r="1023" spans="1:4" x14ac:dyDescent="0.3">
      <c r="A1023" s="19">
        <v>1017</v>
      </c>
      <c r="B1023" s="17">
        <f>IF($B$4="표준",'2.치형좌표'!D1022,'2.치형좌표'!G1022)</f>
        <v>-70.100342271433675</v>
      </c>
      <c r="C1023" s="17">
        <f>IF($B$4="표준",'2.치형좌표'!E1022,'2.치형좌표'!H1022)</f>
        <v>30.870097312908797</v>
      </c>
      <c r="D1023" s="6" t="str">
        <f t="shared" si="15"/>
        <v>-70.10034,30.87010</v>
      </c>
    </row>
    <row r="1024" spans="1:4" x14ac:dyDescent="0.3">
      <c r="A1024" s="19">
        <v>1018</v>
      </c>
      <c r="B1024" s="17">
        <f>IF($B$4="표준",'2.치형좌표'!D1023,'2.치형좌표'!G1023)</f>
        <v>-70.051761318035943</v>
      </c>
      <c r="C1024" s="17">
        <f>IF($B$4="표준",'2.치형좌표'!E1023,'2.치형좌표'!H1023)</f>
        <v>32.086623285159583</v>
      </c>
      <c r="D1024" s="6" t="str">
        <f t="shared" si="15"/>
        <v>-70.05176,32.08662</v>
      </c>
    </row>
    <row r="1025" spans="1:4" x14ac:dyDescent="0.3">
      <c r="A1025" s="19">
        <v>1019</v>
      </c>
      <c r="B1025" s="17">
        <f>IF($B$4="표준",'2.치형좌표'!D1024,'2.치형좌표'!G1024)</f>
        <v>-70.197059430546233</v>
      </c>
      <c r="C1025" s="17">
        <f>IF($B$4="표준",'2.치형좌표'!E1024,'2.치형좌표'!H1024)</f>
        <v>32.854681207608188</v>
      </c>
      <c r="D1025" s="6" t="str">
        <f t="shared" si="15"/>
        <v>-70.19706,32.85468</v>
      </c>
    </row>
    <row r="1026" spans="1:4" x14ac:dyDescent="0.3">
      <c r="A1026" s="19">
        <v>1020</v>
      </c>
      <c r="B1026" s="17">
        <f>IF($B$4="표준",'2.치형좌표'!D1025,'2.치형좌표'!G1025)</f>
        <v>-70.344540938104728</v>
      </c>
      <c r="C1026" s="17">
        <f>IF($B$4="표준",'2.치형좌표'!E1025,'2.치형좌표'!H1025)</f>
        <v>33.306967604261871</v>
      </c>
      <c r="D1026" s="6" t="str">
        <f t="shared" si="15"/>
        <v>-70.34454,33.30697</v>
      </c>
    </row>
    <row r="1027" spans="1:4" x14ac:dyDescent="0.3">
      <c r="A1027" s="19">
        <v>1021</v>
      </c>
      <c r="B1027" s="17">
        <f>IF($B$4="표준",'2.치형좌표'!D1026,'2.치형좌표'!G1026)</f>
        <v>-70.455154091851455</v>
      </c>
      <c r="C1027" s="17">
        <f>IF($B$4="표준",'2.치형좌표'!E1026,'2.치형좌표'!H1026)</f>
        <v>33.586567019567994</v>
      </c>
      <c r="D1027" s="6" t="str">
        <f t="shared" si="15"/>
        <v>-70.45515,33.58657</v>
      </c>
    </row>
    <row r="1028" spans="1:4" x14ac:dyDescent="0.3">
      <c r="A1028" s="19">
        <v>1022</v>
      </c>
      <c r="B1028" s="17">
        <f>IF($B$4="표준",'2.치형좌표'!D1027,'2.치형좌표'!G1027)</f>
        <v>-70.534888210573129</v>
      </c>
      <c r="C1028" s="17">
        <f>IF($B$4="표준",'2.치형좌표'!E1027,'2.치형좌표'!H1027)</f>
        <v>33.776497766333897</v>
      </c>
      <c r="D1028" s="6" t="str">
        <f t="shared" si="15"/>
        <v>-70.53489,33.77650</v>
      </c>
    </row>
    <row r="1029" spans="1:4" x14ac:dyDescent="0.3">
      <c r="A1029" s="19">
        <v>1023</v>
      </c>
      <c r="B1029" s="17">
        <f>IF($B$4="표준",'2.치형좌표'!D1028,'2.치형좌표'!G1028)</f>
        <v>-70.59494756225881</v>
      </c>
      <c r="C1029" s="17">
        <f>IF($B$4="표준",'2.치형좌표'!E1028,'2.치형좌표'!H1028)</f>
        <v>33.921374516801443</v>
      </c>
      <c r="D1029" s="6" t="str">
        <f t="shared" si="15"/>
        <v>-70.59495,33.92137</v>
      </c>
    </row>
    <row r="1030" spans="1:4" x14ac:dyDescent="0.3">
      <c r="A1030" s="19">
        <v>1024</v>
      </c>
      <c r="B1030" s="17">
        <f>IF($B$4="표준",'2.치형좌표'!D1029,'2.치형좌표'!G1029)</f>
        <v>-70.643612222198129</v>
      </c>
      <c r="C1030" s="17">
        <f>IF($B$4="표준",'2.치형좌표'!E1029,'2.치형좌표'!H1029)</f>
        <v>34.045987992476711</v>
      </c>
      <c r="D1030" s="6" t="str">
        <f t="shared" si="15"/>
        <v>-70.64361,34.04599</v>
      </c>
    </row>
    <row r="1031" spans="1:4" x14ac:dyDescent="0.3">
      <c r="A1031" s="19">
        <v>1025</v>
      </c>
      <c r="B1031" s="17">
        <f>IF($B$4="표준",'2.치형좌표'!D1030,'2.치형좌표'!G1030)</f>
        <v>-70.685766571571349</v>
      </c>
      <c r="C1031" s="17">
        <f>IF($B$4="표준",'2.치형좌표'!E1030,'2.치형좌표'!H1030)</f>
        <v>34.164840740978541</v>
      </c>
      <c r="D1031" s="6" t="str">
        <f t="shared" ref="D1031:D1094" si="16">TEXT(B1031,"0.00000")&amp;","&amp;TEXT(C1031,"0.00000")</f>
        <v>-70.68577,34.16484</v>
      </c>
    </row>
    <row r="1032" spans="1:4" x14ac:dyDescent="0.3">
      <c r="A1032" s="19">
        <v>1026</v>
      </c>
      <c r="B1032" s="17">
        <f>IF($B$4="표준",'2.치형좌표'!D1031,'2.치형좌표'!G1031)</f>
        <v>-70.72373676628078</v>
      </c>
      <c r="C1032" s="17">
        <f>IF($B$4="표준",'2.치형좌표'!E1031,'2.치형좌표'!H1031)</f>
        <v>34.286760127728201</v>
      </c>
      <c r="D1032" s="6" t="str">
        <f t="shared" si="16"/>
        <v>-70.72374,34.28676</v>
      </c>
    </row>
    <row r="1033" spans="1:4" x14ac:dyDescent="0.3">
      <c r="A1033" s="19">
        <v>1027</v>
      </c>
      <c r="B1033" s="17">
        <f>IF($B$4="표준",'2.치형좌표'!D1032,'2.치형좌표'!G1032)</f>
        <v>-70.758110429545312</v>
      </c>
      <c r="C1033" s="17">
        <f>IF($B$4="표준",'2.치형좌표'!E1032,'2.치형좌표'!H1032)</f>
        <v>34.417190869916709</v>
      </c>
      <c r="D1033" s="6" t="str">
        <f t="shared" si="16"/>
        <v>-70.75811,34.41719</v>
      </c>
    </row>
    <row r="1034" spans="1:4" x14ac:dyDescent="0.3">
      <c r="A1034" s="19">
        <v>1028</v>
      </c>
      <c r="B1034" s="17">
        <f>IF($B$4="표준",'2.치형좌표'!D1033,'2.치형좌표'!G1033)</f>
        <v>-70.788348655265466</v>
      </c>
      <c r="C1034" s="17">
        <f>IF($B$4="표준",'2.치형좌표'!E1033,'2.치형좌표'!H1033)</f>
        <v>34.559393752362332</v>
      </c>
      <c r="D1034" s="6" t="str">
        <f t="shared" si="16"/>
        <v>-70.78835,34.55939</v>
      </c>
    </row>
    <row r="1035" spans="1:4" x14ac:dyDescent="0.3">
      <c r="A1035" s="19">
        <v>1029</v>
      </c>
      <c r="B1035" s="17">
        <f>IF($B$4="표준",'2.치형좌표'!D1034,'2.치형좌표'!G1034)</f>
        <v>-70.813220409665931</v>
      </c>
      <c r="C1035" s="17">
        <f>IF($B$4="표준",'2.치형좌표'!E1034,'2.치형좌표'!H1034)</f>
        <v>34.715111334738694</v>
      </c>
      <c r="D1035" s="6" t="str">
        <f t="shared" si="16"/>
        <v>-70.81322,34.71511</v>
      </c>
    </row>
    <row r="1036" spans="1:4" x14ac:dyDescent="0.3">
      <c r="A1036" s="19">
        <v>1030</v>
      </c>
      <c r="B1036" s="17">
        <f>IF($B$4="표준",'2.치형좌표'!D1035,'2.치형좌표'!G1035)</f>
        <v>-70.831112295795464</v>
      </c>
      <c r="C1036" s="17">
        <f>IF($B$4="표준",'2.치형좌표'!E1035,'2.치형좌표'!H1035)</f>
        <v>34.884963837705357</v>
      </c>
      <c r="D1036" s="6" t="str">
        <f t="shared" si="16"/>
        <v>-70.83111,34.88496</v>
      </c>
    </row>
    <row r="1037" spans="1:4" x14ac:dyDescent="0.3">
      <c r="A1037" s="19">
        <v>1031</v>
      </c>
      <c r="B1037" s="17">
        <f>IF($B$4="표준",'2.치형좌표'!D1036,'2.치형좌표'!G1036)</f>
        <v>-70.840254193912813</v>
      </c>
      <c r="C1037" s="17">
        <f>IF($B$4="표준",'2.치형좌표'!E1036,'2.치형좌표'!H1036)</f>
        <v>35.068703766956929</v>
      </c>
      <c r="D1037" s="6" t="str">
        <f t="shared" si="16"/>
        <v>-70.84025,35.06870</v>
      </c>
    </row>
    <row r="1038" spans="1:4" x14ac:dyDescent="0.3">
      <c r="A1038" s="19">
        <v>1032</v>
      </c>
      <c r="B1038" s="17">
        <f>IF($B$4="표준",'2.치형좌표'!D1037,'2.치형좌표'!G1037)</f>
        <v>-70.838887403040587</v>
      </c>
      <c r="C1038" s="17">
        <f>IF($B$4="표준",'2.치형좌표'!E1037,'2.치형좌표'!H1037)</f>
        <v>35.265394645372091</v>
      </c>
      <c r="D1038" s="6" t="str">
        <f t="shared" si="16"/>
        <v>-70.83889,35.26539</v>
      </c>
    </row>
    <row r="1039" spans="1:4" x14ac:dyDescent="0.3">
      <c r="A1039" s="19">
        <v>1033</v>
      </c>
      <c r="B1039" s="17">
        <f>IF($B$4="표준",'2.치형좌표'!D1038,'2.치형좌표'!G1038)</f>
        <v>-70.825391971270022</v>
      </c>
      <c r="C1039" s="17">
        <f>IF($B$4="표준",'2.치형좌표'!E1038,'2.치형좌표'!H1038)</f>
        <v>35.473548248622322</v>
      </c>
      <c r="D1039" s="6" t="str">
        <f t="shared" si="16"/>
        <v>-70.82539,35.47355</v>
      </c>
    </row>
    <row r="1040" spans="1:4" x14ac:dyDescent="0.3">
      <c r="A1040" s="19">
        <v>1034</v>
      </c>
      <c r="B1040" s="17">
        <f>IF($B$4="표준",'2.치형좌표'!D1039,'2.치형좌표'!G1039)</f>
        <v>-70.798383524018632</v>
      </c>
      <c r="C1040" s="17">
        <f>IF($B$4="표준",'2.치형좌표'!E1039,'2.치형좌표'!H1039)</f>
        <v>35.691238877349193</v>
      </c>
      <c r="D1040" s="6" t="str">
        <f t="shared" si="16"/>
        <v>-70.79838,35.69124</v>
      </c>
    </row>
    <row r="1041" spans="1:4" x14ac:dyDescent="0.3">
      <c r="A1041" s="19">
        <v>1035</v>
      </c>
      <c r="B1041" s="17">
        <f>IF($B$4="표준",'2.치형좌표'!D1040,'2.치형좌표'!G1040)</f>
        <v>-70.756785956481863</v>
      </c>
      <c r="C1041" s="17">
        <f>IF($B$4="표준",'2.치형좌표'!E1040,'2.치형좌표'!H1040)</f>
        <v>35.916204730288278</v>
      </c>
      <c r="D1041" s="6" t="str">
        <f t="shared" si="16"/>
        <v>-70.75679,35.91620</v>
      </c>
    </row>
    <row r="1042" spans="1:4" x14ac:dyDescent="0.3">
      <c r="A1042" s="19">
        <v>1036</v>
      </c>
      <c r="B1042" s="17">
        <f>IF($B$4="표준",'2.치형좌표'!D1041,'2.치형좌표'!G1041)</f>
        <v>-70.699883957174691</v>
      </c>
      <c r="C1042" s="17">
        <f>IF($B$4="표준",'2.치형좌표'!E1041,'2.치형좌표'!H1041)</f>
        <v>36.145941743945251</v>
      </c>
      <c r="D1042" s="6" t="str">
        <f t="shared" si="16"/>
        <v>-70.69988,36.14594</v>
      </c>
    </row>
    <row r="1043" spans="1:4" x14ac:dyDescent="0.3">
      <c r="A1043" s="19">
        <v>1037</v>
      </c>
      <c r="B1043" s="17">
        <f>IF($B$4="표준",'2.치형좌표'!D1042,'2.치형좌표'!G1042)</f>
        <v>-70.627357885715071</v>
      </c>
      <c r="C1043" s="17">
        <f>IF($B$4="표준",'2.치형좌표'!E1042,'2.치형좌표'!H1042)</f>
        <v>36.37779256681452</v>
      </c>
      <c r="D1043" s="6" t="str">
        <f t="shared" si="16"/>
        <v>-70.62736,36.37779</v>
      </c>
    </row>
    <row r="1044" spans="1:4" x14ac:dyDescent="0.3">
      <c r="A1044" s="19">
        <v>1038</v>
      </c>
      <c r="B1044" s="17">
        <f>IF($B$4="표준",'2.치형좌표'!D1043,'2.치형좌표'!G1043)</f>
        <v>-70.539302672387564</v>
      </c>
      <c r="C1044" s="17">
        <f>IF($B$4="표준",'2.치형좌표'!E1043,'2.치형좌표'!H1043)</f>
        <v>36.609031743411187</v>
      </c>
      <c r="D1044" s="6" t="str">
        <f t="shared" si="16"/>
        <v>-70.53930,36.60903</v>
      </c>
    </row>
    <row r="1045" spans="1:4" x14ac:dyDescent="0.3">
      <c r="A1045" s="19">
        <v>1039</v>
      </c>
      <c r="B1045" s="17">
        <f>IF($B$4="표준",'2.치형좌표'!D1044,'2.치형좌표'!G1044)</f>
        <v>-70.436231912060634</v>
      </c>
      <c r="C1045" s="17">
        <f>IF($B$4="표준",'2.치형좌표'!E1044,'2.치형좌표'!H1044)</f>
        <v>36.836947225200028</v>
      </c>
      <c r="D1045" s="6" t="str">
        <f t="shared" si="16"/>
        <v>-70.43623,36.83695</v>
      </c>
    </row>
    <row r="1046" spans="1:4" x14ac:dyDescent="0.3">
      <c r="A1046" s="19">
        <v>1040</v>
      </c>
      <c r="B1046" s="17">
        <f>IF($B$4="표준",'2.치형좌표'!D1045,'2.치형좌표'!G1045)</f>
        <v>-70.319068047745901</v>
      </c>
      <c r="C1046" s="17">
        <f>IF($B$4="표준",'2.치형좌표'!E1045,'2.치형좌표'!H1045)</f>
        <v>37.058917746565861</v>
      </c>
      <c r="D1046" s="6" t="str">
        <f t="shared" si="16"/>
        <v>-70.31907,37.05892</v>
      </c>
    </row>
    <row r="1047" spans="1:4" x14ac:dyDescent="0.3">
      <c r="A1047" s="19">
        <v>1041</v>
      </c>
      <c r="B1047" s="17">
        <f>IF($B$4="표준",'2.치형좌표'!D1046,'2.치형좌표'!G1046)</f>
        <v>-70.189119386231937</v>
      </c>
      <c r="C1047" s="17">
        <f>IF($B$4="표준",'2.치형좌표'!E1046,'2.치형좌표'!H1046)</f>
        <v>37.272485261092115</v>
      </c>
      <c r="D1047" s="6" t="str">
        <f t="shared" si="16"/>
        <v>-70.18912,37.27249</v>
      </c>
    </row>
    <row r="1048" spans="1:4" x14ac:dyDescent="0.3">
      <c r="A1048" s="19">
        <v>1042</v>
      </c>
      <c r="B1048" s="17">
        <f>IF($B$4="표준",'2.치형좌표'!D1047,'2.치형좌표'!G1047)</f>
        <v>-70.048044594603908</v>
      </c>
      <c r="C1048" s="17">
        <f>IF($B$4="표준",'2.치형좌표'!E1047,'2.치형좌표'!H1047)</f>
        <v>37.475421443415009</v>
      </c>
      <c r="D1048" s="6" t="str">
        <f t="shared" si="16"/>
        <v>-70.04804,37.47542</v>
      </c>
    </row>
    <row r="1049" spans="1:4" x14ac:dyDescent="0.3">
      <c r="A1049" s="19">
        <v>1043</v>
      </c>
      <c r="B1049" s="17">
        <f>IF($B$4="표준",'2.치형좌표'!D1048,'2.치형좌표'!G1048)</f>
        <v>-69.897805240841606</v>
      </c>
      <c r="C1049" s="17">
        <f>IF($B$4="표준",'2.치형좌표'!E1048,'2.치형좌표'!H1048)</f>
        <v>37.665787174617876</v>
      </c>
      <c r="D1049" s="6" t="str">
        <f t="shared" si="16"/>
        <v>-69.89781,37.66579</v>
      </c>
    </row>
    <row r="1050" spans="1:4" x14ac:dyDescent="0.3">
      <c r="A1050" s="19">
        <v>1044</v>
      </c>
      <c r="B1050" s="17">
        <f>IF($B$4="표준",'2.치형좌표'!D1049,'2.치형좌표'!G1049)</f>
        <v>-69.740606816376939</v>
      </c>
      <c r="C1050" s="17">
        <f>IF($B$4="표준",'2.치형좌표'!E1049,'2.치형좌표'!H1049)</f>
        <v>37.841983912886768</v>
      </c>
      <c r="D1050" s="6" t="str">
        <f t="shared" si="16"/>
        <v>-69.74061,37.84198</v>
      </c>
    </row>
    <row r="1051" spans="1:4" x14ac:dyDescent="0.3">
      <c r="A1051" s="19">
        <v>1045</v>
      </c>
      <c r="B1051" s="17">
        <f>IF($B$4="표준",'2.치형좌표'!D1050,'2.치형좌표'!G1050)</f>
        <v>-69.578828459492428</v>
      </c>
      <c r="C1051" s="17">
        <f>IF($B$4="표준",'2.치형좌표'!E1050,'2.치형좌표'!H1050)</f>
        <v>38.002795885358609</v>
      </c>
      <c r="D1051" s="6" t="str">
        <f t="shared" si="16"/>
        <v>-69.57883,38.00280</v>
      </c>
    </row>
    <row r="1052" spans="1:4" x14ac:dyDescent="0.3">
      <c r="A1052" s="19">
        <v>1046</v>
      </c>
      <c r="B1052" s="17">
        <f>IF($B$4="표준",'2.치형좌표'!D1051,'2.치형좌표'!G1051)</f>
        <v>-69.414941213393519</v>
      </c>
      <c r="C1052" s="17">
        <f>IF($B$4="표준",'2.치형좌표'!E1051,'2.치형좌표'!H1051)</f>
        <v>38.147422108635041</v>
      </c>
      <c r="D1052" s="6" t="str">
        <f t="shared" si="16"/>
        <v>-69.41494,38.14742</v>
      </c>
    </row>
    <row r="1053" spans="1:4" x14ac:dyDescent="0.3">
      <c r="A1053" s="19">
        <v>1047</v>
      </c>
      <c r="B1053" s="17">
        <f>IF($B$4="표준",'2.치형좌표'!D1052,'2.치형좌표'!G1052)</f>
        <v>-69.251413992471242</v>
      </c>
      <c r="C1053" s="17">
        <f>IF($B$4="표준",'2.치형좌표'!E1052,'2.치형좌표'!H1052)</f>
        <v>38.275497348548058</v>
      </c>
      <c r="D1053" s="6" t="str">
        <f t="shared" si="16"/>
        <v>-69.25141,38.27550</v>
      </c>
    </row>
    <row r="1054" spans="1:4" x14ac:dyDescent="0.3">
      <c r="A1054" s="19">
        <v>1048</v>
      </c>
      <c r="B1054" s="17">
        <f>IF($B$4="표준",'2.치형좌표'!D1053,'2.치형좌표'!G1053)</f>
        <v>-69.090605316993262</v>
      </c>
      <c r="C1054" s="17">
        <f>IF($B$4="표준",'2.치형좌표'!E1053,'2.치형좌표'!H1053)</f>
        <v>38.387101270229955</v>
      </c>
      <c r="D1054" s="6" t="str">
        <f t="shared" si="16"/>
        <v>-69.09061,38.38710</v>
      </c>
    </row>
    <row r="1055" spans="1:4" x14ac:dyDescent="0.3">
      <c r="A1055" s="19">
        <v>1049</v>
      </c>
      <c r="B1055" s="17">
        <f>IF($B$4="표준",'2.치형좌표'!D1054,'2.치형좌표'!G1054)</f>
        <v>-68.934637006191721</v>
      </c>
      <c r="C1055" s="17">
        <f>IF($B$4="표준",'2.치형좌표'!E1054,'2.치형좌표'!H1054)</f>
        <v>38.482755237370185</v>
      </c>
      <c r="D1055" s="6" t="str">
        <f t="shared" si="16"/>
        <v>-68.93464,38.48276</v>
      </c>
    </row>
    <row r="1056" spans="1:4" x14ac:dyDescent="0.3">
      <c r="A1056" s="19">
        <v>1050</v>
      </c>
      <c r="B1056" s="17">
        <f>IF($B$4="표준",'2.치형좌표'!D1055,'2.치형좌표'!G1055)</f>
        <v>-68.785242852113996</v>
      </c>
      <c r="C1056" s="17">
        <f>IF($B$4="표준",'2.치형좌표'!E1055,'2.치형좌표'!H1055)</f>
        <v>38.563406580969826</v>
      </c>
      <c r="D1056" s="6" t="str">
        <f t="shared" si="16"/>
        <v>-68.78524,38.56341</v>
      </c>
    </row>
    <row r="1057" spans="1:4" x14ac:dyDescent="0.3">
      <c r="A1057" s="19">
        <v>1051</v>
      </c>
      <c r="B1057" s="17">
        <f>IF($B$4="표준",'2.치형좌표'!D1056,'2.치형좌표'!G1056)</f>
        <v>-68.643579838863815</v>
      </c>
      <c r="C1057" s="17">
        <f>IF($B$4="표준",'2.치형좌표'!E1056,'2.치형좌표'!H1056)</f>
        <v>38.630400894948373</v>
      </c>
      <c r="D1057" s="6" t="str">
        <f t="shared" si="16"/>
        <v>-68.64358,38.63040</v>
      </c>
    </row>
    <row r="1058" spans="1:4" x14ac:dyDescent="0.3">
      <c r="A1058" s="19">
        <v>1052</v>
      </c>
      <c r="B1058" s="17">
        <f>IF($B$4="표준",'2.치형좌표'!D1057,'2.치형좌표'!G1057)</f>
        <v>-68.509979841951434</v>
      </c>
      <c r="C1058" s="17">
        <f>IF($B$4="표준",'2.치형좌표'!E1057,'2.치형좌표'!H1057)</f>
        <v>38.685444587899994</v>
      </c>
      <c r="D1058" s="6" t="str">
        <f t="shared" si="16"/>
        <v>-68.50998,38.68544</v>
      </c>
    </row>
    <row r="1059" spans="1:4" x14ac:dyDescent="0.3">
      <c r="A1059" s="19">
        <v>1053</v>
      </c>
      <c r="B1059" s="17">
        <f>IF($B$4="표준",'2.치형좌표'!D1058,'2.치형좌표'!G1058)</f>
        <v>-68.383602263464013</v>
      </c>
      <c r="C1059" s="17">
        <f>IF($B$4="표준",'2.치형좌표'!E1058,'2.치형좌표'!H1058)</f>
        <v>38.730563951547353</v>
      </c>
      <c r="D1059" s="6" t="str">
        <f t="shared" si="16"/>
        <v>-68.38360,38.73056</v>
      </c>
    </row>
    <row r="1060" spans="1:4" x14ac:dyDescent="0.3">
      <c r="A1060" s="19">
        <v>1054</v>
      </c>
      <c r="B1060" s="17">
        <f>IF($B$4="표준",'2.치형좌표'!D1059,'2.치형좌표'!G1059)</f>
        <v>-68.261915348277356</v>
      </c>
      <c r="C1060" s="17">
        <f>IF($B$4="표준",'2.치형좌표'!E1059,'2.치형좌표'!H1059)</f>
        <v>38.768077127697644</v>
      </c>
      <c r="D1060" s="6" t="str">
        <f t="shared" si="16"/>
        <v>-68.26192,38.76808</v>
      </c>
    </row>
    <row r="1061" spans="1:4" x14ac:dyDescent="0.3">
      <c r="A1061" s="19">
        <v>1055</v>
      </c>
      <c r="B1061" s="17">
        <f>IF($B$4="표준",'2.치형좌표'!D1060,'2.치형좌표'!G1060)</f>
        <v>-68.13987087364977</v>
      </c>
      <c r="C1061" s="17">
        <f>IF($B$4="표준",'2.치형좌표'!E1060,'2.치형좌표'!H1060)</f>
        <v>38.800621728760575</v>
      </c>
      <c r="D1061" s="6" t="str">
        <f t="shared" si="16"/>
        <v>-68.13987,38.80062</v>
      </c>
    </row>
    <row r="1062" spans="1:4" x14ac:dyDescent="0.3">
      <c r="A1062" s="19">
        <v>1056</v>
      </c>
      <c r="B1062" s="17">
        <f>IF($B$4="표준",'2.치형좌표'!D1061,'2.치형좌표'!G1061)</f>
        <v>-68.008512674008529</v>
      </c>
      <c r="C1062" s="17">
        <f>IF($B$4="표준",'2.치형좌표'!E1061,'2.치형좌표'!H1061)</f>
        <v>38.831352504611388</v>
      </c>
      <c r="D1062" s="6" t="str">
        <f t="shared" si="16"/>
        <v>-68.00851,38.83135</v>
      </c>
    </row>
    <row r="1063" spans="1:4" x14ac:dyDescent="0.3">
      <c r="A1063" s="19">
        <v>1057</v>
      </c>
      <c r="B1063" s="17">
        <f>IF($B$4="표준",'2.치형좌표'!D1062,'2.치형좌표'!G1062)</f>
        <v>-67.852515485546448</v>
      </c>
      <c r="C1063" s="17">
        <f>IF($B$4="표준",'2.치형좌표'!E1062,'2.치형좌표'!H1062)</f>
        <v>38.864627453137714</v>
      </c>
      <c r="D1063" s="6" t="str">
        <f t="shared" si="16"/>
        <v>-67.85252,38.86463</v>
      </c>
    </row>
    <row r="1064" spans="1:4" x14ac:dyDescent="0.3">
      <c r="A1064" s="19">
        <v>1058</v>
      </c>
      <c r="B1064" s="17">
        <f>IF($B$4="표준",'2.치형좌표'!D1063,'2.치형좌표'!G1063)</f>
        <v>-67.645711475188179</v>
      </c>
      <c r="C1064" s="17">
        <f>IF($B$4="표준",'2.치형좌표'!E1063,'2.치형좌표'!H1063)</f>
        <v>38.908110066854505</v>
      </c>
      <c r="D1064" s="6" t="str">
        <f t="shared" si="16"/>
        <v>-67.64571,38.90811</v>
      </c>
    </row>
    <row r="1065" spans="1:4" x14ac:dyDescent="0.3">
      <c r="A1065" s="19">
        <v>1059</v>
      </c>
      <c r="B1065" s="17">
        <f>IF($B$4="표준",'2.치형좌표'!D1064,'2.치형좌표'!G1064)</f>
        <v>-67.343204527741776</v>
      </c>
      <c r="C1065" s="17">
        <f>IF($B$4="표준",'2.치형좌표'!E1064,'2.치형좌표'!H1064)</f>
        <v>38.97908680259696</v>
      </c>
      <c r="D1065" s="6" t="str">
        <f t="shared" si="16"/>
        <v>-67.34320,38.97909</v>
      </c>
    </row>
    <row r="1066" spans="1:4" x14ac:dyDescent="0.3">
      <c r="A1066" s="19">
        <v>1060</v>
      </c>
      <c r="B1066" s="17">
        <f>IF($B$4="표준",'2.치형좌표'!D1065,'2.치형좌표'!G1065)</f>
        <v>-66.870741453845866</v>
      </c>
      <c r="C1066" s="17">
        <f>IF($B$4="표준",'2.치형좌표'!E1065,'2.치형좌표'!H1065)</f>
        <v>39.123184116585286</v>
      </c>
      <c r="D1066" s="6" t="str">
        <f t="shared" si="16"/>
        <v>-66.87074,39.12318</v>
      </c>
    </row>
    <row r="1067" spans="1:4" x14ac:dyDescent="0.3">
      <c r="A1067" s="19">
        <v>1061</v>
      </c>
      <c r="B1067" s="17">
        <f>IF($B$4="표준",'2.치형좌표'!D1066,'2.치형좌표'!G1066)</f>
        <v>-66.133192844080654</v>
      </c>
      <c r="C1067" s="17">
        <f>IF($B$4="표준",'2.치형좌표'!E1066,'2.치형좌표'!H1066)</f>
        <v>39.462141784860478</v>
      </c>
      <c r="D1067" s="6" t="str">
        <f t="shared" si="16"/>
        <v>-66.13319,39.46214</v>
      </c>
    </row>
    <row r="1068" spans="1:4" x14ac:dyDescent="0.3">
      <c r="A1068" s="19">
        <v>1062</v>
      </c>
      <c r="B1068" s="17">
        <f>IF($B$4="표준",'2.치형좌표'!D1067,'2.치형좌표'!G1067)</f>
        <v>-65.149434414562364</v>
      </c>
      <c r="C1068" s="17">
        <f>IF($B$4="표준",'2.치형좌표'!E1067,'2.치형좌표'!H1067)</f>
        <v>40.23520955037035</v>
      </c>
      <c r="D1068" s="6" t="str">
        <f t="shared" si="16"/>
        <v>-65.14943,40.23521</v>
      </c>
    </row>
    <row r="1069" spans="1:4" x14ac:dyDescent="0.3">
      <c r="A1069" s="19">
        <v>1063</v>
      </c>
      <c r="B1069" s="17">
        <f>IF($B$4="표준",'2.치형좌표'!D1068,'2.치형좌표'!G1068)</f>
        <v>-64.32199294068829</v>
      </c>
      <c r="C1069" s="17">
        <f>IF($B$4="표준",'2.치형좌표'!E1068,'2.치형좌표'!H1068)</f>
        <v>41.505627991258372</v>
      </c>
      <c r="D1069" s="6" t="str">
        <f t="shared" si="16"/>
        <v>-64.32199,41.50563</v>
      </c>
    </row>
    <row r="1070" spans="1:4" x14ac:dyDescent="0.3">
      <c r="A1070" s="19">
        <v>1064</v>
      </c>
      <c r="B1070" s="17">
        <f>IF($B$4="표준",'2.치형좌표'!D1069,'2.치형좌표'!G1069)</f>
        <v>-64.00986305670169</v>
      </c>
      <c r="C1070" s="17">
        <f>IF($B$4="표준",'2.치형좌표'!E1069,'2.치형좌표'!H1069)</f>
        <v>42.751020756427252</v>
      </c>
      <c r="D1070" s="6" t="str">
        <f t="shared" si="16"/>
        <v>-64.00986,42.75102</v>
      </c>
    </row>
    <row r="1071" spans="1:4" x14ac:dyDescent="0.3">
      <c r="A1071" s="19">
        <v>1065</v>
      </c>
      <c r="B1071" s="17">
        <f>IF($B$4="표준",'2.치형좌표'!D1070,'2.치형좌표'!G1070)</f>
        <v>-64.008216981178933</v>
      </c>
      <c r="C1071" s="17">
        <f>IF($B$4="표준",'2.치형좌표'!E1070,'2.치형좌표'!H1070)</f>
        <v>43.593633531119607</v>
      </c>
      <c r="D1071" s="6" t="str">
        <f t="shared" si="16"/>
        <v>-64.00822,43.59363</v>
      </c>
    </row>
    <row r="1072" spans="1:4" x14ac:dyDescent="0.3">
      <c r="A1072" s="19">
        <v>1066</v>
      </c>
      <c r="B1072" s="17">
        <f>IF($B$4="표준",'2.치형좌표'!D1071,'2.치형좌표'!G1071)</f>
        <v>-64.079558969453757</v>
      </c>
      <c r="C1072" s="17">
        <f>IF($B$4="표준",'2.치형좌표'!E1071,'2.치형좌표'!H1071)</f>
        <v>44.101632453498112</v>
      </c>
      <c r="D1072" s="6" t="str">
        <f t="shared" si="16"/>
        <v>-64.07956,44.10163</v>
      </c>
    </row>
    <row r="1073" spans="1:4" x14ac:dyDescent="0.3">
      <c r="A1073" s="19">
        <v>1067</v>
      </c>
      <c r="B1073" s="17">
        <f>IF($B$4="표준",'2.치형좌표'!D1072,'2.치형좌표'!G1072)</f>
        <v>-64.146310176569102</v>
      </c>
      <c r="C1073" s="17">
        <f>IF($B$4="표준",'2.치형좌표'!E1072,'2.치형좌표'!H1072)</f>
        <v>44.415865989475506</v>
      </c>
      <c r="D1073" s="6" t="str">
        <f t="shared" si="16"/>
        <v>-64.14631,44.41587</v>
      </c>
    </row>
    <row r="1074" spans="1:4" x14ac:dyDescent="0.3">
      <c r="A1074" s="19">
        <v>1068</v>
      </c>
      <c r="B1074" s="17">
        <f>IF($B$4="표준",'2.치형좌표'!D1073,'2.치형좌표'!G1073)</f>
        <v>-64.196843638874881</v>
      </c>
      <c r="C1074" s="17">
        <f>IF($B$4="표준",'2.치형좌표'!E1073,'2.치형좌표'!H1073)</f>
        <v>44.626835326246912</v>
      </c>
      <c r="D1074" s="6" t="str">
        <f t="shared" si="16"/>
        <v>-64.19684,44.62684</v>
      </c>
    </row>
    <row r="1075" spans="1:4" x14ac:dyDescent="0.3">
      <c r="A1075" s="19">
        <v>1069</v>
      </c>
      <c r="B1075" s="17">
        <f>IF($B$4="표준",'2.치형좌표'!D1074,'2.치형좌표'!G1074)</f>
        <v>-64.234453209854379</v>
      </c>
      <c r="C1075" s="17">
        <f>IF($B$4="표준",'2.치형좌표'!E1074,'2.치형좌표'!H1074)</f>
        <v>44.78475616749332</v>
      </c>
      <c r="D1075" s="6" t="str">
        <f t="shared" si="16"/>
        <v>-64.23445,44.78476</v>
      </c>
    </row>
    <row r="1076" spans="1:4" x14ac:dyDescent="0.3">
      <c r="A1076" s="19">
        <v>1070</v>
      </c>
      <c r="B1076" s="17">
        <f>IF($B$4="표준",'2.치형좌표'!D1075,'2.치형좌표'!G1075)</f>
        <v>-64.263520728756092</v>
      </c>
      <c r="C1076" s="17">
        <f>IF($B$4="표준",'2.치형좌표'!E1075,'2.치형좌표'!H1075)</f>
        <v>44.917740112883543</v>
      </c>
      <c r="D1076" s="6" t="str">
        <f t="shared" si="16"/>
        <v>-64.26352,44.91774</v>
      </c>
    </row>
    <row r="1077" spans="1:4" x14ac:dyDescent="0.3">
      <c r="A1077" s="19">
        <v>1071</v>
      </c>
      <c r="B1077" s="17">
        <f>IF($B$4="표준",'2.치형좌표'!D1076,'2.치형좌표'!G1076)</f>
        <v>-64.286817458318581</v>
      </c>
      <c r="C1077" s="17">
        <f>IF($B$4="표준",'2.치형좌표'!E1076,'2.치형좌표'!H1076)</f>
        <v>45.042144688781185</v>
      </c>
      <c r="D1077" s="6" t="str">
        <f t="shared" si="16"/>
        <v>-64.28682,45.04214</v>
      </c>
    </row>
    <row r="1078" spans="1:4" x14ac:dyDescent="0.3">
      <c r="A1078" s="19">
        <v>1072</v>
      </c>
      <c r="B1078" s="17">
        <f>IF($B$4="표준",'2.치형좌표'!D1077,'2.치형좌표'!G1077)</f>
        <v>-64.305444670576165</v>
      </c>
      <c r="C1078" s="17">
        <f>IF($B$4="표준",'2.치형좌표'!E1077,'2.치형좌표'!H1077)</f>
        <v>45.167785765665059</v>
      </c>
      <c r="D1078" s="6" t="str">
        <f t="shared" si="16"/>
        <v>-64.30544,45.16779</v>
      </c>
    </row>
    <row r="1079" spans="1:4" x14ac:dyDescent="0.3">
      <c r="A1079" s="19">
        <v>1073</v>
      </c>
      <c r="B1079" s="17">
        <f>IF($B$4="표준",'2.치형좌표'!D1078,'2.치형좌표'!G1078)</f>
        <v>-64.319260607419096</v>
      </c>
      <c r="C1079" s="17">
        <f>IF($B$4="표준",'2.치형좌표'!E1078,'2.치형좌표'!H1078)</f>
        <v>45.300585631905541</v>
      </c>
      <c r="D1079" s="6" t="str">
        <f t="shared" si="16"/>
        <v>-64.31926,45.30059</v>
      </c>
    </row>
    <row r="1080" spans="1:4" x14ac:dyDescent="0.3">
      <c r="A1080" s="19">
        <v>1074</v>
      </c>
      <c r="B1080" s="17">
        <f>IF($B$4="표준",'2.치형좌표'!D1079,'2.치형좌표'!G1079)</f>
        <v>-64.327304238394959</v>
      </c>
      <c r="C1080" s="17">
        <f>IF($B$4="표준",'2.치형좌표'!E1079,'2.치형좌표'!H1079)</f>
        <v>45.44397869927225</v>
      </c>
      <c r="D1080" s="6" t="str">
        <f t="shared" si="16"/>
        <v>-64.32730,45.44398</v>
      </c>
    </row>
    <row r="1081" spans="1:4" x14ac:dyDescent="0.3">
      <c r="A1081" s="19">
        <v>1075</v>
      </c>
      <c r="B1081" s="17">
        <f>IF($B$4="표준",'2.치형좌표'!D1080,'2.치형좌표'!G1080)</f>
        <v>-64.328131045242372</v>
      </c>
      <c r="C1081" s="17">
        <f>IF($B$4="표준",'2.치형좌표'!E1080,'2.치형좌표'!H1080)</f>
        <v>45.599701272157382</v>
      </c>
      <c r="D1081" s="6" t="str">
        <f t="shared" si="16"/>
        <v>-64.32813,45.59970</v>
      </c>
    </row>
    <row r="1082" spans="1:4" x14ac:dyDescent="0.3">
      <c r="A1082" s="19">
        <v>1076</v>
      </c>
      <c r="B1082" s="17">
        <f>IF($B$4="표준",'2.치형좌표'!D1081,'2.치형좌표'!G1081)</f>
        <v>-64.320066257933902</v>
      </c>
      <c r="C1082" s="17">
        <f>IF($B$4="표준",'2.치형좌표'!E1081,'2.치형좌표'!H1081)</f>
        <v>45.768265071593291</v>
      </c>
      <c r="D1082" s="6" t="str">
        <f t="shared" si="16"/>
        <v>-64.32007,45.76827</v>
      </c>
    </row>
    <row r="1083" spans="1:4" x14ac:dyDescent="0.3">
      <c r="A1083" s="19">
        <v>1077</v>
      </c>
      <c r="B1083" s="17">
        <f>IF($B$4="표준",'2.치형좌표'!D1082,'2.치형좌표'!G1082)</f>
        <v>-64.301394861557256</v>
      </c>
      <c r="C1083" s="17">
        <f>IF($B$4="표준",'2.치형좌표'!E1082,'2.치형좌표'!H1082)</f>
        <v>45.949262685237507</v>
      </c>
      <c r="D1083" s="6" t="str">
        <f t="shared" si="16"/>
        <v>-64.30139,45.94926</v>
      </c>
    </row>
    <row r="1084" spans="1:4" x14ac:dyDescent="0.3">
      <c r="A1084" s="19">
        <v>1078</v>
      </c>
      <c r="B1084" s="17">
        <f>IF($B$4="표준",'2.치형좌표'!D1083,'2.치형좌표'!G1083)</f>
        <v>-64.27050492357003</v>
      </c>
      <c r="C1084" s="17">
        <f>IF($B$4="표준",'2.치형좌표'!E1083,'2.치형좌표'!H1083)</f>
        <v>46.141580944871819</v>
      </c>
      <c r="D1084" s="6" t="str">
        <f t="shared" si="16"/>
        <v>-64.27050,46.14158</v>
      </c>
    </row>
    <row r="1085" spans="1:4" x14ac:dyDescent="0.3">
      <c r="A1085" s="19">
        <v>1079</v>
      </c>
      <c r="B1085" s="17">
        <f>IF($B$4="표준",'2.치형좌표'!D1084,'2.치형좌표'!G1084)</f>
        <v>-64.225995886864197</v>
      </c>
      <c r="C1085" s="17">
        <f>IF($B$4="표준",'2.치형좌표'!E1084,'2.치형좌표'!H1084)</f>
        <v>46.34356251742031</v>
      </c>
      <c r="D1085" s="6" t="str">
        <f t="shared" si="16"/>
        <v>-64.22600,46.34356</v>
      </c>
    </row>
    <row r="1086" spans="1:4" x14ac:dyDescent="0.3">
      <c r="A1086" s="19">
        <v>1080</v>
      </c>
      <c r="B1086" s="17">
        <f>IF($B$4="표준",'2.치형좌표'!D1085,'2.치형좌표'!G1085)</f>
        <v>-64.166759523649503</v>
      </c>
      <c r="C1086" s="17">
        <f>IF($B$4="표준",'2.치형좌표'!E1085,'2.치형좌표'!H1085)</f>
        <v>46.553137589802525</v>
      </c>
      <c r="D1086" s="6" t="str">
        <f t="shared" si="16"/>
        <v>-64.16676,46.55314</v>
      </c>
    </row>
    <row r="1087" spans="1:4" x14ac:dyDescent="0.3">
      <c r="A1087" s="19">
        <v>1081</v>
      </c>
      <c r="B1087" s="17">
        <f>IF($B$4="표준",'2.치형좌표'!D1086,'2.치형좌표'!G1086)</f>
        <v>-64.092038541187009</v>
      </c>
      <c r="C1087" s="17">
        <f>IF($B$4="표준",'2.치형좌표'!E1086,'2.치형좌표'!H1086)</f>
        <v>46.767937663483544</v>
      </c>
      <c r="D1087" s="6" t="str">
        <f t="shared" si="16"/>
        <v>-64.09204,46.76794</v>
      </c>
    </row>
    <row r="1088" spans="1:4" x14ac:dyDescent="0.3">
      <c r="A1088" s="19">
        <v>1082</v>
      </c>
      <c r="B1088" s="17">
        <f>IF($B$4="표준",'2.치형좌표'!D1087,'2.치형좌표'!G1087)</f>
        <v>-64.001466095509187</v>
      </c>
      <c r="C1088" s="17">
        <f>IF($B$4="표준",'2.치형좌표'!E1087,'2.치형좌표'!H1087)</f>
        <v>46.98539799286084</v>
      </c>
      <c r="D1088" s="6" t="str">
        <f t="shared" si="16"/>
        <v>-64.00147,46.98540</v>
      </c>
    </row>
    <row r="1089" spans="1:4" x14ac:dyDescent="0.3">
      <c r="A1089" s="19">
        <v>1083</v>
      </c>
      <c r="B1089" s="17">
        <f>IF($B$4="표준",'2.치형좌표'!D1088,'2.치형좌표'!G1088)</f>
        <v>-63.89508839747046</v>
      </c>
      <c r="C1089" s="17">
        <f>IF($B$4="표준",'2.치형좌표'!E1088,'2.치형좌표'!H1088)</f>
        <v>47.202852056815786</v>
      </c>
      <c r="D1089" s="6" t="str">
        <f t="shared" si="16"/>
        <v>-63.89509,47.20285</v>
      </c>
    </row>
    <row r="1090" spans="1:4" x14ac:dyDescent="0.3">
      <c r="A1090" s="19">
        <v>1084</v>
      </c>
      <c r="B1090" s="17">
        <f>IF($B$4="표준",'2.치형좌표'!D1089,'2.치형좌표'!G1089)</f>
        <v>-63.773371955600133</v>
      </c>
      <c r="C1090" s="17">
        <f>IF($B$4="표준",'2.치형좌표'!E1089,'2.치형좌표'!H1089)</f>
        <v>47.417619601523157</v>
      </c>
      <c r="D1090" s="6" t="str">
        <f t="shared" si="16"/>
        <v>-63.77337,47.41762</v>
      </c>
    </row>
    <row r="1091" spans="1:4" x14ac:dyDescent="0.3">
      <c r="A1091" s="19">
        <v>1085</v>
      </c>
      <c r="B1091" s="17">
        <f>IF($B$4="표준",'2.치형좌표'!D1090,'2.치형좌표'!G1090)</f>
        <v>-63.637196633783233</v>
      </c>
      <c r="C1091" s="17">
        <f>IF($B$4="표준",'2.치형좌표'!E1090,'2.치형좌표'!H1090)</f>
        <v>47.627088684118227</v>
      </c>
      <c r="D1091" s="6" t="str">
        <f t="shared" si="16"/>
        <v>-63.63720,47.62709</v>
      </c>
    </row>
    <row r="1092" spans="1:4" x14ac:dyDescent="0.3">
      <c r="A1092" s="19">
        <v>1086</v>
      </c>
      <c r="B1092" s="17">
        <f>IF($B$4="표준",'2.치형좌표'!D1091,'2.치형좌표'!G1091)</f>
        <v>-63.487835502374573</v>
      </c>
      <c r="C1092" s="17">
        <f>IF($B$4="표준",'2.치형좌표'!E1091,'2.치형좌표'!H1091)</f>
        <v>47.828791480272187</v>
      </c>
      <c r="D1092" s="6" t="str">
        <f t="shared" si="16"/>
        <v>-63.48784,47.82879</v>
      </c>
    </row>
    <row r="1093" spans="1:4" x14ac:dyDescent="0.3">
      <c r="A1093" s="19">
        <v>1087</v>
      </c>
      <c r="B1093" s="17">
        <f>IF($B$4="표준",'2.치형좌표'!D1092,'2.치형좌표'!G1092)</f>
        <v>-63.326922356057047</v>
      </c>
      <c r="C1093" s="17">
        <f>IF($B$4="표준",'2.치형좌표'!E1092,'2.치형좌표'!H1092)</f>
        <v>48.020473224045148</v>
      </c>
      <c r="D1093" s="6" t="str">
        <f t="shared" si="16"/>
        <v>-63.32692,48.02047</v>
      </c>
    </row>
    <row r="1094" spans="1:4" x14ac:dyDescent="0.3">
      <c r="A1094" s="19">
        <v>1088</v>
      </c>
      <c r="B1094" s="17">
        <f>IF($B$4="표준",'2.치형좌표'!D1093,'2.치형좌표'!G1093)</f>
        <v>-63.156407707484966</v>
      </c>
      <c r="C1094" s="17">
        <f>IF($B$4="표준",'2.치형좌표'!E1093,'2.치형좌표'!H1093)</f>
        <v>48.200153425555257</v>
      </c>
      <c r="D1094" s="6" t="str">
        <f t="shared" si="16"/>
        <v>-63.15641,48.20015</v>
      </c>
    </row>
    <row r="1095" spans="1:4" x14ac:dyDescent="0.3">
      <c r="A1095" s="19">
        <v>1089</v>
      </c>
      <c r="B1095" s="17">
        <f>IF($B$4="표준",'2.치형좌표'!D1094,'2.치형좌표'!G1094)</f>
        <v>-62.978503999225005</v>
      </c>
      <c r="C1095" s="17">
        <f>IF($B$4="표준",'2.치형좌표'!E1094,'2.치형좌표'!H1094)</f>
        <v>48.36617839917654</v>
      </c>
      <c r="D1095" s="6" t="str">
        <f t="shared" ref="D1095:D1158" si="17">TEXT(B1095,"0.00000")&amp;","&amp;TEXT(C1095,"0.00000")</f>
        <v>-62.97850,48.36618</v>
      </c>
    </row>
    <row r="1096" spans="1:4" x14ac:dyDescent="0.3">
      <c r="A1096" s="19">
        <v>1090</v>
      </c>
      <c r="B1096" s="17">
        <f>IF($B$4="표준",'2.치형좌표'!D1095,'2.치형좌표'!G1095)</f>
        <v>-62.795620666146888</v>
      </c>
      <c r="C1096" s="17">
        <f>IF($B$4="표준",'2.치형좌표'!E1095,'2.치형좌표'!H1095)</f>
        <v>48.517264091092905</v>
      </c>
      <c r="D1096" s="6" t="str">
        <f t="shared" si="17"/>
        <v>-62.79562,48.51726</v>
      </c>
    </row>
    <row r="1097" spans="1:4" x14ac:dyDescent="0.3">
      <c r="A1097" s="19">
        <v>1091</v>
      </c>
      <c r="B1097" s="17">
        <f>IF($B$4="표준",'2.치형좌표'!D1096,'2.치형좌표'!G1096)</f>
        <v>-62.610289478103205</v>
      </c>
      <c r="C1097" s="17">
        <f>IF($B$4="표준",'2.치형좌표'!E1096,'2.치형좌표'!H1096)</f>
        <v>48.652528189985553</v>
      </c>
      <c r="D1097" s="6" t="str">
        <f t="shared" si="17"/>
        <v>-62.61029,48.65253</v>
      </c>
    </row>
    <row r="1098" spans="1:4" x14ac:dyDescent="0.3">
      <c r="A1098" s="19">
        <v>1092</v>
      </c>
      <c r="B1098" s="17">
        <f>IF($B$4="표준",'2.치형좌표'!D1097,'2.치형좌표'!G1097)</f>
        <v>-62.425080233070972</v>
      </c>
      <c r="C1098" s="17">
        <f>IF($B$4="표준",'2.치형좌표'!E1097,'2.치형좌표'!H1097)</f>
        <v>48.771510513432737</v>
      </c>
      <c r="D1098" s="6" t="str">
        <f t="shared" si="17"/>
        <v>-62.42508,48.77151</v>
      </c>
    </row>
    <row r="1099" spans="1:4" x14ac:dyDescent="0.3">
      <c r="A1099" s="19">
        <v>1093</v>
      </c>
      <c r="B1099" s="17">
        <f>IF($B$4="표준",'2.치형좌표'!D1098,'2.치형좌표'!G1098)</f>
        <v>-62.242506254439256</v>
      </c>
      <c r="C1099" s="17">
        <f>IF($B$4="표준",'2.치형좌표'!E1098,'2.치형좌표'!H1098)</f>
        <v>48.874180661954888</v>
      </c>
      <c r="D1099" s="6" t="str">
        <f t="shared" si="17"/>
        <v>-62.24251,48.87418</v>
      </c>
    </row>
    <row r="1100" spans="1:4" x14ac:dyDescent="0.3">
      <c r="A1100" s="19">
        <v>1094</v>
      </c>
      <c r="B1100" s="17">
        <f>IF($B$4="표준",'2.치형좌표'!D1099,'2.치형좌표'!G1099)</f>
        <v>-62.06491811011248</v>
      </c>
      <c r="C1100" s="17">
        <f>IF($B$4="표준",'2.치형좌표'!E1099,'2.치형좌표'!H1099)</f>
        <v>48.96093189963144</v>
      </c>
      <c r="D1100" s="6" t="str">
        <f t="shared" si="17"/>
        <v>-62.06492,48.96093</v>
      </c>
    </row>
    <row r="1101" spans="1:4" x14ac:dyDescent="0.3">
      <c r="A1101" s="19">
        <v>1095</v>
      </c>
      <c r="B1101" s="17">
        <f>IF($B$4="표준",'2.치형좌표'!D1100,'2.치형좌표'!G1100)</f>
        <v>-61.894382236021592</v>
      </c>
      <c r="C1101" s="17">
        <f>IF($B$4="표준",'2.치형좌표'!E1100,'2.치형좌표'!H1100)</f>
        <v>49.032560134620219</v>
      </c>
      <c r="D1101" s="6" t="str">
        <f t="shared" si="17"/>
        <v>-61.89438,49.03256</v>
      </c>
    </row>
    <row r="1102" spans="1:4" x14ac:dyDescent="0.3">
      <c r="A1102" s="19">
        <v>1096</v>
      </c>
      <c r="B1102" s="17">
        <f>IF($B$4="표준",'2.치형좌표'!D1101,'2.치형좌표'!G1101)</f>
        <v>-61.73253821349946</v>
      </c>
      <c r="C1102" s="17">
        <f>IF($B$4="표준",'2.치형좌표'!E1101,'2.치형좌표'!H1101)</f>
        <v>49.090226728726456</v>
      </c>
      <c r="D1102" s="6" t="str">
        <f t="shared" si="17"/>
        <v>-61.73254,49.09023</v>
      </c>
    </row>
    <row r="1103" spans="1:4" x14ac:dyDescent="0.3">
      <c r="A1103" s="19">
        <v>1097</v>
      </c>
      <c r="B1103" s="17">
        <f>IF($B$4="표준",'2.치형좌표'!D1102,'2.치형좌표'!G1102)</f>
        <v>-61.580423397367269</v>
      </c>
      <c r="C1103" s="17">
        <f>IF($B$4="표준",'2.치형좌표'!E1102,'2.치형좌표'!H1102)</f>
        <v>49.135403707634488</v>
      </c>
      <c r="D1103" s="6" t="str">
        <f t="shared" si="17"/>
        <v>-61.58042,49.13540</v>
      </c>
    </row>
    <row r="1104" spans="1:4" x14ac:dyDescent="0.3">
      <c r="A1104" s="19">
        <v>1098</v>
      </c>
      <c r="B1104" s="17">
        <f>IF($B$4="표준",'2.치형좌표'!D1103,'2.치형좌표'!G1103)</f>
        <v>-61.438244661445673</v>
      </c>
      <c r="C1104" s="17">
        <f>IF($B$4="표준",'2.치형좌표'!E1103,'2.치형좌표'!H1103)</f>
        <v>49.169799978286882</v>
      </c>
      <c r="D1104" s="6" t="str">
        <f t="shared" si="17"/>
        <v>-61.43824,49.16980</v>
      </c>
    </row>
    <row r="1105" spans="1:4" x14ac:dyDescent="0.3">
      <c r="A1105" s="19">
        <v>1099</v>
      </c>
      <c r="B1105" s="17">
        <f>IF($B$4="표준",'2.치형좌표'!D1104,'2.치형좌표'!G1104)</f>
        <v>-61.305060755142939</v>
      </c>
      <c r="C1105" s="17">
        <f>IF($B$4="표준",'2.치형좌표'!E1104,'2.치형좌표'!H1104)</f>
        <v>49.195268071915969</v>
      </c>
      <c r="D1105" s="6" t="str">
        <f t="shared" si="17"/>
        <v>-61.30506,49.19527</v>
      </c>
    </row>
    <row r="1106" spans="1:4" x14ac:dyDescent="0.3">
      <c r="A1106" s="19">
        <v>1100</v>
      </c>
      <c r="B1106" s="17">
        <f>IF($B$4="표준",'2.치형좌표'!D1105,'2.치형좌표'!G1105)</f>
        <v>-61.178308098250234</v>
      </c>
      <c r="C1106" s="17">
        <f>IF($B$4="표준",'2.치형좌표'!E1105,'2.치형좌표'!H1105)</f>
        <v>49.213694826304533</v>
      </c>
      <c r="D1106" s="6" t="str">
        <f t="shared" si="17"/>
        <v>-61.17831,49.21369</v>
      </c>
    </row>
    <row r="1107" spans="1:4" x14ac:dyDescent="0.3">
      <c r="A1107" s="19">
        <v>1101</v>
      </c>
      <c r="B1107" s="17">
        <f>IF($B$4="표준",'2.치형좌표'!D1106,'2.치형좌표'!G1106)</f>
        <v>-61.053043037556847</v>
      </c>
      <c r="C1107" s="17">
        <f>IF($B$4="표준",'2.치형좌표'!E1106,'2.치형좌표'!H1106)</f>
        <v>49.226892701781921</v>
      </c>
      <c r="D1107" s="6" t="str">
        <f t="shared" si="17"/>
        <v>-61.05304,49.22689</v>
      </c>
    </row>
    <row r="1108" spans="1:4" x14ac:dyDescent="0.3">
      <c r="A1108" s="19">
        <v>1102</v>
      </c>
      <c r="B1108" s="17">
        <f>IF($B$4="표준",'2.치형좌표'!D1107,'2.치형좌표'!G1107)</f>
        <v>-60.920653374277308</v>
      </c>
      <c r="C1108" s="17">
        <f>IF($B$4="표준",'2.치형좌표'!E1107,'2.치형좌표'!H1107)</f>
        <v>49.236550940364161</v>
      </c>
      <c r="D1108" s="6" t="str">
        <f t="shared" si="17"/>
        <v>-60.92065,49.23655</v>
      </c>
    </row>
    <row r="1109" spans="1:4" x14ac:dyDescent="0.3">
      <c r="A1109" s="19">
        <v>1103</v>
      </c>
      <c r="B1109" s="17">
        <f>IF($B$4="표준",'2.치형좌표'!D1108,'2.치형좌표'!G1108)</f>
        <v>-60.766546636616184</v>
      </c>
      <c r="C1109" s="17">
        <f>IF($B$4="표준",'2.치형좌표'!E1108,'2.치형좌표'!H1108)</f>
        <v>49.244441287706664</v>
      </c>
      <c r="D1109" s="6" t="str">
        <f t="shared" si="17"/>
        <v>-60.76655,49.24444</v>
      </c>
    </row>
    <row r="1110" spans="1:4" x14ac:dyDescent="0.3">
      <c r="A1110" s="19">
        <v>1104</v>
      </c>
      <c r="B1110" s="17">
        <f>IF($B$4="표준",'2.치형좌표'!D1109,'2.치형좌표'!G1109)</f>
        <v>-60.565838799714342</v>
      </c>
      <c r="C1110" s="17">
        <f>IF($B$4="표준",'2.치형좌표'!E1109,'2.치형좌표'!H1109)</f>
        <v>49.253514612202473</v>
      </c>
      <c r="D1110" s="6" t="str">
        <f t="shared" si="17"/>
        <v>-60.56584,49.25351</v>
      </c>
    </row>
    <row r="1111" spans="1:4" x14ac:dyDescent="0.3">
      <c r="A1111" s="19">
        <v>1105</v>
      </c>
      <c r="B1111" s="17">
        <f>IF($B$4="표준",'2.치형좌표'!D1110,'2.치형좌표'!G1110)</f>
        <v>-60.275314573190784</v>
      </c>
      <c r="C1111" s="17">
        <f>IF($B$4="표준",'2.치형좌표'!E1110,'2.치형좌표'!H1110)</f>
        <v>49.271998272904305</v>
      </c>
      <c r="D1111" s="6" t="str">
        <f t="shared" si="17"/>
        <v>-60.27531,49.27200</v>
      </c>
    </row>
    <row r="1112" spans="1:4" x14ac:dyDescent="0.3">
      <c r="A1112" s="19">
        <v>1106</v>
      </c>
      <c r="B1112" s="17">
        <f>IF($B$4="표준",'2.치형좌표'!D1111,'2.치형좌표'!G1111)</f>
        <v>-59.820388162416407</v>
      </c>
      <c r="C1112" s="17">
        <f>IF($B$4="표준",'2.치형좌표'!E1111,'2.치형좌표'!H1111)</f>
        <v>49.327379370611538</v>
      </c>
      <c r="D1112" s="6" t="str">
        <f t="shared" si="17"/>
        <v>-59.82039,49.32738</v>
      </c>
    </row>
    <row r="1113" spans="1:4" x14ac:dyDescent="0.3">
      <c r="A1113" s="19">
        <v>1107</v>
      </c>
      <c r="B1113" s="17">
        <f>IF($B$4="표준",'2.치형좌표'!D1112,'2.치형좌표'!G1112)</f>
        <v>-59.089947540640537</v>
      </c>
      <c r="C1113" s="17">
        <f>IF($B$4="표준",'2.치형좌표'!E1112,'2.치형좌표'!H1112)</f>
        <v>49.508513177663417</v>
      </c>
      <c r="D1113" s="6" t="str">
        <f t="shared" si="17"/>
        <v>-59.08995,49.50851</v>
      </c>
    </row>
    <row r="1114" spans="1:4" x14ac:dyDescent="0.3">
      <c r="A1114" s="19">
        <v>1108</v>
      </c>
      <c r="B1114" s="17">
        <f>IF($B$4="표준",'2.치형좌표'!D1113,'2.치형좌표'!G1113)</f>
        <v>-58.030634280477145</v>
      </c>
      <c r="C1114" s="17">
        <f>IF($B$4="표준",'2.치형좌표'!E1113,'2.치형좌표'!H1113)</f>
        <v>50.035461023614111</v>
      </c>
      <c r="D1114" s="6" t="str">
        <f t="shared" si="17"/>
        <v>-58.03063,50.03546</v>
      </c>
    </row>
    <row r="1115" spans="1:4" x14ac:dyDescent="0.3">
      <c r="A1115" s="19">
        <v>1109</v>
      </c>
      <c r="B1115" s="17">
        <f>IF($B$4="표준",'2.치형좌표'!D1114,'2.치형좌표'!G1114)</f>
        <v>-56.958857410362654</v>
      </c>
      <c r="C1115" s="17">
        <f>IF($B$4="표준",'2.치형좌표'!E1114,'2.치형좌표'!H1114)</f>
        <v>51.093271052617013</v>
      </c>
      <c r="D1115" s="6" t="str">
        <f t="shared" si="17"/>
        <v>-56.95886,51.09327</v>
      </c>
    </row>
    <row r="1116" spans="1:4" x14ac:dyDescent="0.3">
      <c r="A1116" s="19">
        <v>1110</v>
      </c>
      <c r="B1116" s="17">
        <f>IF($B$4="표준",'2.치형좌표'!D1115,'2.치형좌표'!G1115)</f>
        <v>-56.369300300788908</v>
      </c>
      <c r="C1116" s="17">
        <f>IF($B$4="표준",'2.치형좌표'!E1115,'2.치형좌표'!H1115)</f>
        <v>52.30288090890209</v>
      </c>
      <c r="D1116" s="6" t="str">
        <f t="shared" si="17"/>
        <v>-56.36930,52.30288</v>
      </c>
    </row>
    <row r="1117" spans="1:4" x14ac:dyDescent="0.3">
      <c r="A1117" s="19">
        <v>1111</v>
      </c>
      <c r="B1117" s="17">
        <f>IF($B$4="표준",'2.치형좌표'!D1116,'2.치형좌표'!G1116)</f>
        <v>-56.195029204690023</v>
      </c>
      <c r="C1117" s="17">
        <f>IF($B$4="표준",'2.치형좌표'!E1116,'2.치형좌표'!H1116)</f>
        <v>53.1928516822502</v>
      </c>
      <c r="D1117" s="6" t="str">
        <f t="shared" si="17"/>
        <v>-56.19503,53.19285</v>
      </c>
    </row>
    <row r="1118" spans="1:4" x14ac:dyDescent="0.3">
      <c r="A1118" s="19">
        <v>1112</v>
      </c>
      <c r="B1118" s="17">
        <f>IF($B$4="표준",'2.치형좌표'!D1117,'2.치형좌표'!G1117)</f>
        <v>-56.17408747980658</v>
      </c>
      <c r="C1118" s="17">
        <f>IF($B$4="표준",'2.치형좌표'!E1117,'2.치형좌표'!H1117)</f>
        <v>53.746043099698781</v>
      </c>
      <c r="D1118" s="6" t="str">
        <f t="shared" si="17"/>
        <v>-56.17409,53.74604</v>
      </c>
    </row>
    <row r="1119" spans="1:4" x14ac:dyDescent="0.3">
      <c r="A1119" s="19">
        <v>1113</v>
      </c>
      <c r="B1119" s="17">
        <f>IF($B$4="표준",'2.치형좌표'!D1118,'2.치형좌표'!G1118)</f>
        <v>-56.188143075824875</v>
      </c>
      <c r="C1119" s="17">
        <f>IF($B$4="표준",'2.치형좌표'!E1118,'2.치형좌표'!H1118)</f>
        <v>54.089590786048831</v>
      </c>
      <c r="D1119" s="6" t="str">
        <f t="shared" si="17"/>
        <v>-56.18814,54.08959</v>
      </c>
    </row>
    <row r="1120" spans="1:4" x14ac:dyDescent="0.3">
      <c r="A1120" s="19">
        <v>1114</v>
      </c>
      <c r="B1120" s="17">
        <f>IF($B$4="표준",'2.치형좌표'!D1119,'2.치형좌표'!G1119)</f>
        <v>-56.204644068332023</v>
      </c>
      <c r="C1120" s="17">
        <f>IF($B$4="표준",'2.치형좌표'!E1119,'2.치형좌표'!H1119)</f>
        <v>54.318025706297057</v>
      </c>
      <c r="D1120" s="6" t="str">
        <f t="shared" si="17"/>
        <v>-56.20464,54.31803</v>
      </c>
    </row>
    <row r="1121" spans="1:4" x14ac:dyDescent="0.3">
      <c r="A1121" s="19">
        <v>1115</v>
      </c>
      <c r="B1121" s="17">
        <f>IF($B$4="표준",'2.치형좌표'!D1120,'2.치형좌표'!G1120)</f>
        <v>-56.217136077261301</v>
      </c>
      <c r="C1121" s="17">
        <f>IF($B$4="표준",'2.치형좌표'!E1120,'2.치형좌표'!H1120)</f>
        <v>54.486058873275603</v>
      </c>
      <c r="D1121" s="6" t="str">
        <f t="shared" si="17"/>
        <v>-56.21714,54.48606</v>
      </c>
    </row>
    <row r="1122" spans="1:4" x14ac:dyDescent="0.3">
      <c r="A1122" s="19">
        <v>1116</v>
      </c>
      <c r="B1122" s="17">
        <f>IF($B$4="표준",'2.치형좌표'!D1121,'2.치형좌표'!G1121)</f>
        <v>-56.225158787955515</v>
      </c>
      <c r="C1122" s="17">
        <f>IF($B$4="표준",'2.치형좌표'!E1121,'2.치형좌표'!H1121)</f>
        <v>54.624680451952237</v>
      </c>
      <c r="D1122" s="6" t="str">
        <f t="shared" si="17"/>
        <v>-56.22516,54.62468</v>
      </c>
    </row>
    <row r="1123" spans="1:4" x14ac:dyDescent="0.3">
      <c r="A1123" s="19">
        <v>1117</v>
      </c>
      <c r="B1123" s="17">
        <f>IF($B$4="표준",'2.치형좌표'!D1122,'2.치형좌표'!G1122)</f>
        <v>-56.228877334196383</v>
      </c>
      <c r="C1123" s="17">
        <f>IF($B$4="표준",'2.치형좌표'!E1122,'2.치형좌표'!H1122)</f>
        <v>54.751885238541647</v>
      </c>
      <c r="D1123" s="6" t="str">
        <f t="shared" si="17"/>
        <v>-56.22888,54.75189</v>
      </c>
    </row>
    <row r="1124" spans="1:4" x14ac:dyDescent="0.3">
      <c r="A1124" s="19">
        <v>1118</v>
      </c>
      <c r="B1124" s="17">
        <f>IF($B$4="표준",'2.치형좌표'!D1123,'2.치형좌표'!G1123)</f>
        <v>-56.227906481879231</v>
      </c>
      <c r="C1124" s="17">
        <f>IF($B$4="표준",'2.치형좌표'!E1123,'2.치형좌표'!H1123)</f>
        <v>54.878355615831509</v>
      </c>
      <c r="D1124" s="6" t="str">
        <f t="shared" si="17"/>
        <v>-56.22791,54.87836</v>
      </c>
    </row>
    <row r="1125" spans="1:4" x14ac:dyDescent="0.3">
      <c r="A1125" s="19">
        <v>1119</v>
      </c>
      <c r="B1125" s="17">
        <f>IF($B$4="표준",'2.치형좌표'!D1124,'2.치형좌표'!G1124)</f>
        <v>-56.221238012793137</v>
      </c>
      <c r="C1125" s="17">
        <f>IF($B$4="표준",'2.치형좌표'!E1124,'2.치형좌표'!H1124)</f>
        <v>55.010420065957867</v>
      </c>
      <c r="D1125" s="6" t="str">
        <f t="shared" si="17"/>
        <v>-56.22124,55.01042</v>
      </c>
    </row>
    <row r="1126" spans="1:4" x14ac:dyDescent="0.3">
      <c r="A1126" s="19">
        <v>1120</v>
      </c>
      <c r="B1126" s="17">
        <f>IF($B$4="표준",'2.치형좌표'!D1125,'2.치형좌표'!G1125)</f>
        <v>-56.207421585535897</v>
      </c>
      <c r="C1126" s="17">
        <f>IF($B$4="표준",'2.치형좌표'!E1125,'2.치형좌표'!H1125)</f>
        <v>55.151647015839174</v>
      </c>
      <c r="D1126" s="6" t="str">
        <f t="shared" si="17"/>
        <v>-56.20742,55.15165</v>
      </c>
    </row>
    <row r="1127" spans="1:4" x14ac:dyDescent="0.3">
      <c r="A1127" s="19">
        <v>1121</v>
      </c>
      <c r="B1127" s="17">
        <f>IF($B$4="표준",'2.치형좌표'!D1126,'2.치형좌표'!G1126)</f>
        <v>-56.18477214503563</v>
      </c>
      <c r="C1127" s="17">
        <f>IF($B$4="표준",'2.치형좌표'!E1126,'2.치형좌표'!H1126)</f>
        <v>55.303749372449246</v>
      </c>
      <c r="D1127" s="6" t="str">
        <f t="shared" si="17"/>
        <v>-56.18477,55.30375</v>
      </c>
    </row>
    <row r="1128" spans="1:4" x14ac:dyDescent="0.3">
      <c r="A1128" s="19">
        <v>1122</v>
      </c>
      <c r="B1128" s="17">
        <f>IF($B$4="표준",'2.치형좌표'!D1127,'2.치형좌표'!G1127)</f>
        <v>-56.15154939480756</v>
      </c>
      <c r="C1128" s="17">
        <f>IF($B$4="표준",'2.치형좌표'!E1127,'2.치형좌표'!H1127)</f>
        <v>55.467130345908899</v>
      </c>
      <c r="D1128" s="6" t="str">
        <f t="shared" si="17"/>
        <v>-56.15155,55.46713</v>
      </c>
    </row>
    <row r="1129" spans="1:4" x14ac:dyDescent="0.3">
      <c r="A1129" s="19">
        <v>1123</v>
      </c>
      <c r="B1129" s="17">
        <f>IF($B$4="표준",'2.치형좌표'!D1128,'2.치형좌표'!G1128)</f>
        <v>-56.106101607917743</v>
      </c>
      <c r="C1129" s="17">
        <f>IF($B$4="표준",'2.치형좌표'!E1128,'2.치형좌표'!H1128)</f>
        <v>55.641236198454443</v>
      </c>
      <c r="D1129" s="6" t="str">
        <f t="shared" si="17"/>
        <v>-56.10610,55.64124</v>
      </c>
    </row>
    <row r="1130" spans="1:4" x14ac:dyDescent="0.3">
      <c r="A1130" s="19">
        <v>1124</v>
      </c>
      <c r="B1130" s="17">
        <f>IF($B$4="표준",'2.치형좌표'!D1129,'2.치형좌표'!G1129)</f>
        <v>-56.046977345183201</v>
      </c>
      <c r="C1130" s="17">
        <f>IF($B$4="표준",'2.치형좌표'!E1129,'2.치형좌표'!H1129)</f>
        <v>55.824801631123179</v>
      </c>
      <c r="D1130" s="6" t="str">
        <f t="shared" si="17"/>
        <v>-56.04698,55.82480</v>
      </c>
    </row>
    <row r="1131" spans="1:4" x14ac:dyDescent="0.3">
      <c r="A1131" s="19">
        <v>1125</v>
      </c>
      <c r="B1131" s="17">
        <f>IF($B$4="표준",'2.치형좌표'!D1130,'2.치형좌표'!G1130)</f>
        <v>-55.973010171918304</v>
      </c>
      <c r="C1131" s="17">
        <f>IF($B$4="표준",'2.치형좌표'!E1130,'2.치형좌표'!H1130)</f>
        <v>56.016033553915214</v>
      </c>
      <c r="D1131" s="6" t="str">
        <f t="shared" si="17"/>
        <v>-55.97301,56.01603</v>
      </c>
    </row>
    <row r="1132" spans="1:4" x14ac:dyDescent="0.3">
      <c r="A1132" s="19">
        <v>1126</v>
      </c>
      <c r="B1132" s="17">
        <f>IF($B$4="표준",'2.치형좌표'!D1131,'2.치형좌표'!G1131)</f>
        <v>-55.883380633195721</v>
      </c>
      <c r="C1132" s="17">
        <f>IF($B$4="표준",'2.치형좌표'!E1131,'2.치형좌표'!H1131)</f>
        <v>56.212758254547715</v>
      </c>
      <c r="D1132" s="6" t="str">
        <f t="shared" si="17"/>
        <v>-55.88338,56.21276</v>
      </c>
    </row>
    <row r="1133" spans="1:4" x14ac:dyDescent="0.3">
      <c r="A1133" s="19">
        <v>1127</v>
      </c>
      <c r="B1133" s="17">
        <f>IF($B$4="표준",'2.치형좌표'!D1132,'2.치형좌표'!G1132)</f>
        <v>-55.777658640489051</v>
      </c>
      <c r="C1133" s="17">
        <f>IF($B$4="표준",'2.치형좌표'!E1132,'2.치형좌표'!H1132)</f>
        <v>56.412545827505753</v>
      </c>
      <c r="D1133" s="6" t="str">
        <f t="shared" si="17"/>
        <v>-55.77766,56.41255</v>
      </c>
    </row>
    <row r="1134" spans="1:4" x14ac:dyDescent="0.3">
      <c r="A1134" s="19">
        <v>1128</v>
      </c>
      <c r="B1134" s="17">
        <f>IF($B$4="표준",'2.치형좌표'!D1133,'2.치형좌표'!G1133)</f>
        <v>-55.655828544452675</v>
      </c>
      <c r="C1134" s="17">
        <f>IF($B$4="표준",'2.치형좌표'!E1133,'2.치형좌표'!H1133)</f>
        <v>56.612819516730809</v>
      </c>
      <c r="D1134" s="6" t="str">
        <f t="shared" si="17"/>
        <v>-55.65583,56.61282</v>
      </c>
    </row>
    <row r="1135" spans="1:4" x14ac:dyDescent="0.3">
      <c r="A1135" s="19">
        <v>1129</v>
      </c>
      <c r="B1135" s="17">
        <f>IF($B$4="표준",'2.치형좌표'!D1134,'2.치형좌표'!G1134)</f>
        <v>-55.518298575327279</v>
      </c>
      <c r="C1135" s="17">
        <f>IF($B$4="표준",'2.치형좌표'!E1134,'2.치형좌표'!H1134)</f>
        <v>56.810954064887248</v>
      </c>
      <c r="D1135" s="6" t="str">
        <f t="shared" si="17"/>
        <v>-55.51830,56.81095</v>
      </c>
    </row>
    <row r="1136" spans="1:4" x14ac:dyDescent="0.3">
      <c r="A1136" s="19">
        <v>1130</v>
      </c>
      <c r="B1136" s="17">
        <f>IF($B$4="표준",'2.치형좌표'!D1135,'2.치형좌표'!G1135)</f>
        <v>-55.365895968783946</v>
      </c>
      <c r="C1136" s="17">
        <f>IF($B$4="표준",'2.치형좌표'!E1135,'2.치형좌표'!H1135)</f>
        <v>57.004365070992705</v>
      </c>
      <c r="D1136" s="6" t="str">
        <f t="shared" si="17"/>
        <v>-55.36590,57.00437</v>
      </c>
    </row>
    <row r="1137" spans="1:4" x14ac:dyDescent="0.3">
      <c r="A1137" s="19">
        <v>1131</v>
      </c>
      <c r="B1137" s="17">
        <f>IF($B$4="표준",'2.치형좌표'!D1136,'2.치형좌표'!G1136)</f>
        <v>-55.199848891970412</v>
      </c>
      <c r="C1137" s="17">
        <f>IF($B$4="표준",'2.치형좌표'!E1136,'2.치형좌표'!H1136)</f>
        <v>57.190590110764497</v>
      </c>
      <c r="D1137" s="6" t="str">
        <f t="shared" si="17"/>
        <v>-55.19985,57.19059</v>
      </c>
    </row>
    <row r="1138" spans="1:4" x14ac:dyDescent="0.3">
      <c r="A1138" s="19">
        <v>1132</v>
      </c>
      <c r="B1138" s="17">
        <f>IF($B$4="표준",'2.치형좌표'!D1137,'2.치형좌표'!G1137)</f>
        <v>-55.021756183326119</v>
      </c>
      <c r="C1138" s="17">
        <f>IF($B$4="표준",'2.치형좌표'!E1137,'2.치형좌표'!H1137)</f>
        <v>57.367361627031194</v>
      </c>
      <c r="D1138" s="6" t="str">
        <f t="shared" si="17"/>
        <v>-55.02176,57.36736</v>
      </c>
    </row>
    <row r="1139" spans="1:4" x14ac:dyDescent="0.3">
      <c r="A1139" s="19">
        <v>1133</v>
      </c>
      <c r="B1139" s="17">
        <f>IF($B$4="표준",'2.치형좌표'!D1138,'2.치형좌표'!G1138)</f>
        <v>-54.833545874051623</v>
      </c>
      <c r="C1139" s="17">
        <f>IF($B$4="표준",'2.치형좌표'!E1138,'2.치형좌표'!H1138)</f>
        <v>57.532671155798383</v>
      </c>
      <c r="D1139" s="6" t="str">
        <f t="shared" si="17"/>
        <v>-54.83355,57.53267</v>
      </c>
    </row>
    <row r="1140" spans="1:4" x14ac:dyDescent="0.3">
      <c r="A1140" s="19">
        <v>1134</v>
      </c>
      <c r="B1140" s="17">
        <f>IF($B$4="표준",'2.치형좌표'!D1139,'2.치형좌표'!G1139)</f>
        <v>-54.637423431603203</v>
      </c>
      <c r="C1140" s="17">
        <f>IF($B$4="표준",'2.치형좌표'!E1139,'2.치형좌표'!H1139)</f>
        <v>57.684824201339048</v>
      </c>
      <c r="D1140" s="6" t="str">
        <f t="shared" si="17"/>
        <v>-54.63742,57.68482</v>
      </c>
    </row>
    <row r="1141" spans="1:4" x14ac:dyDescent="0.3">
      <c r="A1141" s="19">
        <v>1135</v>
      </c>
      <c r="B1141" s="17">
        <f>IF($B$4="표준",'2.치형좌표'!D1140,'2.치형좌표'!G1140)</f>
        <v>-54.435810623208077</v>
      </c>
      <c r="C1141" s="17">
        <f>IF($B$4="표준",'2.치형좌표'!E1140,'2.치형좌표'!H1140)</f>
        <v>57.822484938432602</v>
      </c>
      <c r="D1141" s="6" t="str">
        <f t="shared" si="17"/>
        <v>-54.43581,57.82248</v>
      </c>
    </row>
    <row r="1142" spans="1:4" x14ac:dyDescent="0.3">
      <c r="A1142" s="19">
        <v>1136</v>
      </c>
      <c r="B1142" s="17">
        <f>IF($B$4="표준",'2.치형좌표'!D1141,'2.치형좌표'!G1141)</f>
        <v>-54.231275806341984</v>
      </c>
      <c r="C1142" s="17">
        <f>IF($B$4="표준",'2.치형좌표'!E1141,'2.치형좌표'!H1141)</f>
        <v>57.944709852052974</v>
      </c>
      <c r="D1142" s="6" t="str">
        <f t="shared" si="17"/>
        <v>-54.23128,57.94471</v>
      </c>
    </row>
    <row r="1143" spans="1:4" x14ac:dyDescent="0.3">
      <c r="A1143" s="19">
        <v>1137</v>
      </c>
      <c r="B1143" s="17">
        <f>IF($B$4="표준",'2.치형좌표'!D1142,'2.치형좌표'!G1142)</f>
        <v>-54.02645627250066</v>
      </c>
      <c r="C1143" s="17">
        <f>IF($B$4="표준",'2.치형좌표'!E1142,'2.치형좌표'!H1142)</f>
        <v>58.050969386011801</v>
      </c>
      <c r="D1143" s="6" t="str">
        <f t="shared" si="17"/>
        <v>-54.02646,58.05097</v>
      </c>
    </row>
    <row r="1144" spans="1:4" x14ac:dyDescent="0.3">
      <c r="A1144" s="19">
        <v>1138</v>
      </c>
      <c r="B1144" s="17">
        <f>IF($B$4="표준",'2.치형좌표'!D1143,'2.치형좌표'!G1143)</f>
        <v>-53.823972943462955</v>
      </c>
      <c r="C1144" s="17">
        <f>IF($B$4="표준",'2.치형좌표'!E1143,'2.치형좌표'!H1143)</f>
        <v>58.141156627208382</v>
      </c>
      <c r="D1144" s="6" t="str">
        <f t="shared" si="17"/>
        <v>-53.82397,58.14116</v>
      </c>
    </row>
    <row r="1145" spans="1:4" x14ac:dyDescent="0.3">
      <c r="A1145" s="19">
        <v>1139</v>
      </c>
      <c r="B1145" s="17">
        <f>IF($B$4="표준",'2.치형좌표'!D1144,'2.치형좌표'!G1144)</f>
        <v>-53.626337157805892</v>
      </c>
      <c r="C1145" s="17">
        <f>IF($B$4="표준",'2.치형좌표'!E1144,'2.치형좌표'!H1144)</f>
        <v>58.215581963236367</v>
      </c>
      <c r="D1145" s="6" t="str">
        <f t="shared" si="17"/>
        <v>-53.62634,58.21558</v>
      </c>
    </row>
    <row r="1146" spans="1:4" x14ac:dyDescent="0.3">
      <c r="A1146" s="19">
        <v>1140</v>
      </c>
      <c r="B1146" s="17">
        <f>IF($B$4="표준",'2.치형좌표'!D1145,'2.치형좌표'!G1145)</f>
        <v>-53.435848345027239</v>
      </c>
      <c r="C1146" s="17">
        <f>IF($B$4="표준",'2.치형좌표'!E1145,'2.치형좌표'!H1145)</f>
        <v>58.274952471339461</v>
      </c>
      <c r="D1146" s="6" t="str">
        <f t="shared" si="17"/>
        <v>-53.43585,58.27495</v>
      </c>
    </row>
    <row r="1147" spans="1:4" x14ac:dyDescent="0.3">
      <c r="A1147" s="19">
        <v>1141</v>
      </c>
      <c r="B1147" s="17">
        <f>IF($B$4="표준",'2.치형좌표'!D1146,'2.치형좌표'!G1146)</f>
        <v>-53.254479815437875</v>
      </c>
      <c r="C1147" s="17">
        <f>IF($B$4="표준",'2.치형좌표'!E1146,'2.치형좌표'!H1146)</f>
        <v>58.320334464166059</v>
      </c>
      <c r="D1147" s="6" t="str">
        <f t="shared" si="17"/>
        <v>-53.25448,58.32033</v>
      </c>
    </row>
    <row r="1148" spans="1:4" x14ac:dyDescent="0.3">
      <c r="A1148" s="19">
        <v>1142</v>
      </c>
      <c r="B1148" s="17">
        <f>IF($B$4="표준",'2.치형좌표'!D1147,'2.치형좌표'!G1147)</f>
        <v>-53.083747248046215</v>
      </c>
      <c r="C1148" s="17">
        <f>IF($B$4="표준",'2.치형좌표'!E1147,'2.치형좌표'!H1147)</f>
        <v>58.353097049873199</v>
      </c>
      <c r="D1148" s="6" t="str">
        <f t="shared" si="17"/>
        <v>-53.08375,58.35310</v>
      </c>
    </row>
    <row r="1149" spans="1:4" x14ac:dyDescent="0.3">
      <c r="A1149" s="19">
        <v>1143</v>
      </c>
      <c r="B1149" s="17">
        <f>IF($B$4="표준",'2.치형좌표'!D1148,'2.치형좌표'!G1148)</f>
        <v>-52.92454990485443</v>
      </c>
      <c r="C1149" s="17">
        <f>IF($B$4="표준",'2.치형좌표'!E1148,'2.치형좌표'!H1148)</f>
        <v>58.374833659188326</v>
      </c>
      <c r="D1149" s="6" t="str">
        <f t="shared" si="17"/>
        <v>-52.92455,58.37483</v>
      </c>
    </row>
    <row r="1150" spans="1:4" x14ac:dyDescent="0.3">
      <c r="A1150" s="19">
        <v>1144</v>
      </c>
      <c r="B1150" s="17">
        <f>IF($B$4="표준",'2.치형좌표'!D1149,'2.치형좌표'!G1149)</f>
        <v>-52.776966543574062</v>
      </c>
      <c r="C1150" s="17">
        <f>IF($B$4="표준",'2.치형좌표'!E1149,'2.치형좌표'!H1149)</f>
        <v>58.387257161324413</v>
      </c>
      <c r="D1150" s="6" t="str">
        <f t="shared" si="17"/>
        <v>-52.77697,58.38726</v>
      </c>
    </row>
    <row r="1151" spans="1:4" x14ac:dyDescent="0.3">
      <c r="A1151" s="19">
        <v>1145</v>
      </c>
      <c r="B1151" s="17">
        <f>IF($B$4="표준",'2.치형좌표'!D1150,'2.치형좌표'!G1150)</f>
        <v>-52.639973274789114</v>
      </c>
      <c r="C1151" s="17">
        <f>IF($B$4="표준",'2.치형좌표'!E1150,'2.치형좌표'!H1150)</f>
        <v>58.392062500546238</v>
      </c>
      <c r="D1151" s="6" t="str">
        <f t="shared" si="17"/>
        <v>-52.63997,58.39206</v>
      </c>
    </row>
    <row r="1152" spans="1:4" x14ac:dyDescent="0.3">
      <c r="A1152" s="19">
        <v>1146</v>
      </c>
      <c r="B1152" s="17">
        <f>IF($B$4="표준",'2.치형좌표'!D1151,'2.치형좌표'!G1151)</f>
        <v>-52.511022702674516</v>
      </c>
      <c r="C1152" s="17">
        <f>IF($B$4="표준",'2.치형좌표'!E1151,'2.치형좌표'!H1151)</f>
        <v>58.390749475639929</v>
      </c>
      <c r="D1152" s="6" t="str">
        <f t="shared" si="17"/>
        <v>-52.51102,58.39075</v>
      </c>
    </row>
    <row r="1153" spans="1:4" x14ac:dyDescent="0.3">
      <c r="A1153" s="19">
        <v>1147</v>
      </c>
      <c r="B1153" s="17">
        <f>IF($B$4="표준",'2.치형좌표'!D1152,'2.치형좌표'!G1152)</f>
        <v>-52.385368762782612</v>
      </c>
      <c r="C1153" s="17">
        <f>IF($B$4="표준",'2.치형좌표'!E1152,'2.치형좌표'!H1152)</f>
        <v>58.38440056967189</v>
      </c>
      <c r="D1153" s="6" t="str">
        <f t="shared" si="17"/>
        <v>-52.38537,58.38440</v>
      </c>
    </row>
    <row r="1154" spans="1:4" x14ac:dyDescent="0.3">
      <c r="A1154" s="19">
        <v>1148</v>
      </c>
      <c r="B1154" s="17">
        <f>IF($B$4="표준",'2.치형좌표'!D1153,'2.치형좌표'!G1153)</f>
        <v>-52.254909556408116</v>
      </c>
      <c r="C1154" s="17">
        <f>IF($B$4="표준",'2.치형좌표'!E1153,'2.치형좌표'!H1153)</f>
        <v>58.373426575903892</v>
      </c>
      <c r="D1154" s="6" t="str">
        <f t="shared" si="17"/>
        <v>-52.25491,58.37343</v>
      </c>
    </row>
    <row r="1155" spans="1:4" x14ac:dyDescent="0.3">
      <c r="A1155" s="19">
        <v>1149</v>
      </c>
      <c r="B1155" s="17">
        <f>IF($B$4="표준",'2.치형좌표'!D1154,'2.치형좌표'!G1154)</f>
        <v>-52.106085261432682</v>
      </c>
      <c r="C1155" s="17">
        <f>IF($B$4="표준",'2.치형좌표'!E1154,'2.치형좌표'!H1154)</f>
        <v>58.357369283034934</v>
      </c>
      <c r="D1155" s="6" t="str">
        <f t="shared" si="17"/>
        <v>-52.10609,58.35737</v>
      </c>
    </row>
    <row r="1156" spans="1:4" x14ac:dyDescent="0.3">
      <c r="A1156" s="19">
        <v>1150</v>
      </c>
      <c r="B1156" s="17">
        <f>IF($B$4="표준",'2.치형좌표'!D1155,'2.치형좌표'!G1155)</f>
        <v>-51.915876244234418</v>
      </c>
      <c r="C1156" s="17">
        <f>IF($B$4="표준",'2.치형좌표'!E1155,'2.치형좌표'!H1155)</f>
        <v>58.335142890398004</v>
      </c>
      <c r="D1156" s="6" t="str">
        <f t="shared" si="17"/>
        <v>-51.91588,58.33514</v>
      </c>
    </row>
    <row r="1157" spans="1:4" x14ac:dyDescent="0.3">
      <c r="A1157" s="19">
        <v>1151</v>
      </c>
      <c r="B1157" s="17">
        <f>IF($B$4="표준",'2.치형좌표'!D1156,'2.치형좌표'!G1156)</f>
        <v>-51.644028512942889</v>
      </c>
      <c r="C1157" s="17">
        <f>IF($B$4="표준",'2.치형좌표'!E1156,'2.치형좌표'!H1156)</f>
        <v>58.307186265142221</v>
      </c>
      <c r="D1157" s="6" t="str">
        <f t="shared" si="17"/>
        <v>-51.64403,58.30719</v>
      </c>
    </row>
    <row r="1158" spans="1:4" x14ac:dyDescent="0.3">
      <c r="A1158" s="19">
        <v>1152</v>
      </c>
      <c r="B1158" s="17">
        <f>IF($B$4="표준",'2.치형좌표'!D1157,'2.치형좌표'!G1157)</f>
        <v>-51.218955755570704</v>
      </c>
      <c r="C1158" s="17">
        <f>IF($B$4="표준",'2.치형좌표'!E1157,'2.치형좌표'!H1157)</f>
        <v>58.284956271112861</v>
      </c>
      <c r="D1158" s="6" t="str">
        <f t="shared" si="17"/>
        <v>-51.21896,58.28496</v>
      </c>
    </row>
    <row r="1159" spans="1:4" x14ac:dyDescent="0.3">
      <c r="A1159" s="19">
        <v>1153</v>
      </c>
      <c r="B1159" s="17">
        <f>IF($B$4="표준",'2.치형좌표'!D1158,'2.치형좌표'!G1158)</f>
        <v>-50.522967741818121</v>
      </c>
      <c r="C1159" s="17">
        <f>IF($B$4="표준",'2.치형좌표'!E1158,'2.치형좌표'!H1158)</f>
        <v>58.325155265400376</v>
      </c>
      <c r="D1159" s="6" t="str">
        <f t="shared" ref="D1159:D1222" si="18">TEXT(B1159,"0.00000")&amp;","&amp;TEXT(C1159,"0.00000")</f>
        <v>-50.52297,58.32516</v>
      </c>
    </row>
    <row r="1160" spans="1:4" x14ac:dyDescent="0.3">
      <c r="A1160" s="19">
        <v>1154</v>
      </c>
      <c r="B1160" s="17">
        <f>IF($B$4="표준",'2.치형좌표'!D1159,'2.치형좌표'!G1159)</f>
        <v>-49.447050697287153</v>
      </c>
      <c r="C1160" s="17">
        <f>IF($B$4="표준",'2.치형좌표'!E1159,'2.치형좌표'!H1159)</f>
        <v>58.611017029680738</v>
      </c>
      <c r="D1160" s="6" t="str">
        <f t="shared" si="18"/>
        <v>-49.44705,58.61102</v>
      </c>
    </row>
    <row r="1161" spans="1:4" x14ac:dyDescent="0.3">
      <c r="A1161" s="19">
        <v>1155</v>
      </c>
      <c r="B1161" s="17">
        <f>IF($B$4="표준",'2.치형좌표'!D1160,'2.치형좌표'!G1160)</f>
        <v>-48.194797656118077</v>
      </c>
      <c r="C1161" s="17">
        <f>IF($B$4="표준",'2.치형좌표'!E1160,'2.치형좌표'!H1160)</f>
        <v>59.404410264504811</v>
      </c>
      <c r="D1161" s="6" t="str">
        <f t="shared" si="18"/>
        <v>-48.19480,59.40441</v>
      </c>
    </row>
    <row r="1162" spans="1:4" x14ac:dyDescent="0.3">
      <c r="A1162" s="19">
        <v>1156</v>
      </c>
      <c r="B1162" s="17">
        <f>IF($B$4="표준",'2.치형좌표'!D1161,'2.치형좌표'!G1161)</f>
        <v>-47.332187034623331</v>
      </c>
      <c r="C1162" s="17">
        <f>IF($B$4="표준",'2.치형좌표'!E1161,'2.치형좌표'!H1161)</f>
        <v>60.507878354545454</v>
      </c>
      <c r="D1162" s="6" t="str">
        <f t="shared" si="18"/>
        <v>-47.33219,60.50788</v>
      </c>
    </row>
    <row r="1163" spans="1:4" x14ac:dyDescent="0.3">
      <c r="A1163" s="19">
        <v>1157</v>
      </c>
      <c r="B1163" s="17">
        <f>IF($B$4="표준",'2.치형좌표'!D1162,'2.치형좌표'!G1162)</f>
        <v>-46.964277076598449</v>
      </c>
      <c r="C1163" s="17">
        <f>IF($B$4="표준",'2.치형좌표'!E1162,'2.치형좌표'!H1162)</f>
        <v>61.409659505980137</v>
      </c>
      <c r="D1163" s="6" t="str">
        <f t="shared" si="18"/>
        <v>-46.96428,61.40966</v>
      </c>
    </row>
    <row r="1164" spans="1:4" x14ac:dyDescent="0.3">
      <c r="A1164" s="19">
        <v>1158</v>
      </c>
      <c r="B1164" s="17">
        <f>IF($B$4="표준",'2.치형좌표'!D1163,'2.치형좌표'!G1163)</f>
        <v>-46.835582494892364</v>
      </c>
      <c r="C1164" s="17">
        <f>IF($B$4="표준",'2.치형좌표'!E1163,'2.치형좌표'!H1163)</f>
        <v>61.993363045042649</v>
      </c>
      <c r="D1164" s="6" t="str">
        <f t="shared" si="18"/>
        <v>-46.83558,61.99336</v>
      </c>
    </row>
    <row r="1165" spans="1:4" x14ac:dyDescent="0.3">
      <c r="A1165" s="19">
        <v>1159</v>
      </c>
      <c r="B1165" s="17">
        <f>IF($B$4="표준",'2.치형좌표'!D1164,'2.치형좌표'!G1164)</f>
        <v>-46.788293861234017</v>
      </c>
      <c r="C1165" s="17">
        <f>IF($B$4="표준",'2.치형좌표'!E1164,'2.치형좌표'!H1164)</f>
        <v>62.358953266975135</v>
      </c>
      <c r="D1165" s="6" t="str">
        <f t="shared" si="18"/>
        <v>-46.78829,62.35895</v>
      </c>
    </row>
    <row r="1166" spans="1:4" x14ac:dyDescent="0.3">
      <c r="A1166" s="19">
        <v>1160</v>
      </c>
      <c r="B1166" s="17">
        <f>IF($B$4="표준",'2.치형좌표'!D1165,'2.치형좌표'!G1165)</f>
        <v>-46.766134225811875</v>
      </c>
      <c r="C1166" s="17">
        <f>IF($B$4="표준",'2.치형좌표'!E1165,'2.치형좌표'!H1165)</f>
        <v>62.600311136123068</v>
      </c>
      <c r="D1166" s="6" t="str">
        <f t="shared" si="18"/>
        <v>-46.76613,62.60031</v>
      </c>
    </row>
    <row r="1167" spans="1:4" x14ac:dyDescent="0.3">
      <c r="A1167" s="19">
        <v>1161</v>
      </c>
      <c r="B1167" s="17">
        <f>IF($B$4="표준",'2.치형좌표'!D1166,'2.치형좌표'!G1166)</f>
        <v>-46.751103132213451</v>
      </c>
      <c r="C1167" s="17">
        <f>IF($B$4="표준",'2.치형좌표'!E1166,'2.치형좌표'!H1166)</f>
        <v>62.775033651889935</v>
      </c>
      <c r="D1167" s="6" t="str">
        <f t="shared" si="18"/>
        <v>-46.75110,62.77503</v>
      </c>
    </row>
    <row r="1168" spans="1:4" x14ac:dyDescent="0.3">
      <c r="A1168" s="19">
        <v>1162</v>
      </c>
      <c r="B1168" s="17">
        <f>IF($B$4="표준",'2.치형좌표'!D1167,'2.치형좌표'!G1167)</f>
        <v>-46.736946822729358</v>
      </c>
      <c r="C1168" s="17">
        <f>IF($B$4="표준",'2.치형좌표'!E1167,'2.치형좌표'!H1167)</f>
        <v>62.91632667926276</v>
      </c>
      <c r="D1168" s="6" t="str">
        <f t="shared" si="18"/>
        <v>-46.73695,62.91633</v>
      </c>
    </row>
    <row r="1169" spans="1:4" x14ac:dyDescent="0.3">
      <c r="A1169" s="19">
        <v>1163</v>
      </c>
      <c r="B1169" s="17">
        <f>IF($B$4="표준",'2.치형좌표'!D1168,'2.치형좌표'!G1168)</f>
        <v>-46.720725868947497</v>
      </c>
      <c r="C1169" s="17">
        <f>IF($B$4="표준",'2.치형좌표'!E1168,'2.치형좌표'!H1168)</f>
        <v>63.043497901129918</v>
      </c>
      <c r="D1169" s="6" t="str">
        <f t="shared" si="18"/>
        <v>-46.72073,63.04350</v>
      </c>
    </row>
    <row r="1170" spans="1:4" x14ac:dyDescent="0.3">
      <c r="A1170" s="19">
        <v>1164</v>
      </c>
      <c r="B1170" s="17">
        <f>IF($B$4="표준",'2.치형좌표'!D1169,'2.치형좌표'!G1169)</f>
        <v>-46.70030517460853</v>
      </c>
      <c r="C1170" s="17">
        <f>IF($B$4="표준",'2.치형좌표'!E1169,'2.치형좌표'!H1169)</f>
        <v>63.167918969068864</v>
      </c>
      <c r="D1170" s="6" t="str">
        <f t="shared" si="18"/>
        <v>-46.70031,63.16792</v>
      </c>
    </row>
    <row r="1171" spans="1:4" x14ac:dyDescent="0.3">
      <c r="A1171" s="19">
        <v>1165</v>
      </c>
      <c r="B1171" s="17">
        <f>IF($B$4="표준",'2.치형좌표'!D1170,'2.치형좌표'!G1170)</f>
        <v>-46.673672670187422</v>
      </c>
      <c r="C1171" s="17">
        <f>IF($B$4="표준",'2.치형좌표'!E1170,'2.치형좌표'!H1170)</f>
        <v>63.296223647677124</v>
      </c>
      <c r="D1171" s="6" t="str">
        <f t="shared" si="18"/>
        <v>-46.67367,63.29622</v>
      </c>
    </row>
    <row r="1172" spans="1:4" x14ac:dyDescent="0.3">
      <c r="A1172" s="19">
        <v>1166</v>
      </c>
      <c r="B1172" s="17">
        <f>IF($B$4="표준",'2.치형좌표'!D1171,'2.치형좌표'!G1171)</f>
        <v>-46.638821130328274</v>
      </c>
      <c r="C1172" s="17">
        <f>IF($B$4="표준",'2.치형좌표'!E1171,'2.치형좌표'!H1171)</f>
        <v>63.432059076694131</v>
      </c>
      <c r="D1172" s="6" t="str">
        <f t="shared" si="18"/>
        <v>-46.63882,63.43206</v>
      </c>
    </row>
    <row r="1173" spans="1:4" x14ac:dyDescent="0.3">
      <c r="A1173" s="19">
        <v>1167</v>
      </c>
      <c r="B1173" s="17">
        <f>IF($B$4="표준",'2.치형좌표'!D1172,'2.치형좌표'!G1172)</f>
        <v>-46.593796734187691</v>
      </c>
      <c r="C1173" s="17">
        <f>IF($B$4="표준",'2.치형좌표'!E1172,'2.치형좌표'!H1172)</f>
        <v>63.577089726621061</v>
      </c>
      <c r="D1173" s="6" t="str">
        <f t="shared" si="18"/>
        <v>-46.59380,63.57709</v>
      </c>
    </row>
    <row r="1174" spans="1:4" x14ac:dyDescent="0.3">
      <c r="A1174" s="19">
        <v>1168</v>
      </c>
      <c r="B1174" s="17">
        <f>IF($B$4="표준",'2.치형좌표'!D1173,'2.치형좌표'!G1173)</f>
        <v>-46.536787265480896</v>
      </c>
      <c r="C1174" s="17">
        <f>IF($B$4="표준",'2.치형좌표'!E1173,'2.치형좌표'!H1173)</f>
        <v>63.731606840240339</v>
      </c>
      <c r="D1174" s="6" t="str">
        <f t="shared" si="18"/>
        <v>-46.53679,63.73161</v>
      </c>
    </row>
    <row r="1175" spans="1:4" x14ac:dyDescent="0.3">
      <c r="A1175" s="19">
        <v>1169</v>
      </c>
      <c r="B1175" s="17">
        <f>IF($B$4="표준",'2.치형좌표'!D1174,'2.치형좌표'!G1174)</f>
        <v>-46.466209122078141</v>
      </c>
      <c r="C1175" s="17">
        <f>IF($B$4="표준",'2.치형좌표'!E1174,'2.치형좌표'!H1174)</f>
        <v>63.894922980833428</v>
      </c>
      <c r="D1175" s="6" t="str">
        <f t="shared" si="18"/>
        <v>-46.46621,63.89492</v>
      </c>
    </row>
    <row r="1176" spans="1:4" x14ac:dyDescent="0.3">
      <c r="A1176" s="19">
        <v>1170</v>
      </c>
      <c r="B1176" s="17">
        <f>IF($B$4="표준",'2.치형좌표'!D1175,'2.치형좌표'!G1175)</f>
        <v>-46.380780706280632</v>
      </c>
      <c r="C1176" s="17">
        <f>IF($B$4="표준",'2.치형좌표'!E1175,'2.치형좌표'!H1175)</f>
        <v>64.06564556295514</v>
      </c>
      <c r="D1176" s="6" t="str">
        <f t="shared" si="18"/>
        <v>-46.38078,64.06565</v>
      </c>
    </row>
    <row r="1177" spans="1:4" x14ac:dyDescent="0.3">
      <c r="A1177" s="19">
        <v>1171</v>
      </c>
      <c r="B1177" s="17">
        <f>IF($B$4="표준",'2.치형좌표'!D1176,'2.치형좌표'!G1176)</f>
        <v>-46.279579164894038</v>
      </c>
      <c r="C1177" s="17">
        <f>IF($B$4="표준",'2.치형좌표'!E1176,'2.치형좌표'!H1176)</f>
        <v>64.241879827888994</v>
      </c>
      <c r="D1177" s="6" t="str">
        <f t="shared" si="18"/>
        <v>-46.27958,64.24188</v>
      </c>
    </row>
    <row r="1178" spans="1:4" x14ac:dyDescent="0.3">
      <c r="A1178" s="19">
        <v>1172</v>
      </c>
      <c r="B1178" s="17">
        <f>IF($B$4="표준",'2.치형좌표'!D1177,'2.치형좌표'!G1177)</f>
        <v>-46.162080454182323</v>
      </c>
      <c r="C1178" s="17">
        <f>IF($B$4="표준",'2.치형좌표'!E1177,'2.치형좌표'!H1177)</f>
        <v>64.421389036099583</v>
      </c>
      <c r="D1178" s="6" t="str">
        <f t="shared" si="18"/>
        <v>-46.16208,64.42139</v>
      </c>
    </row>
    <row r="1179" spans="1:4" x14ac:dyDescent="0.3">
      <c r="A1179" s="19">
        <v>1173</v>
      </c>
      <c r="B1179" s="17">
        <f>IF($B$4="표준",'2.치형좌표'!D1178,'2.치형좌표'!G1178)</f>
        <v>-46.02818356543235</v>
      </c>
      <c r="C1179" s="17">
        <f>IF($B$4="표준",'2.치형좌표'!E1178,'2.치형좌표'!H1178)</f>
        <v>64.601727387009007</v>
      </c>
      <c r="D1179" s="6" t="str">
        <f t="shared" si="18"/>
        <v>-46.02818,64.60173</v>
      </c>
    </row>
    <row r="1180" spans="1:4" x14ac:dyDescent="0.3">
      <c r="A1180" s="19">
        <v>1174</v>
      </c>
      <c r="B1180" s="17">
        <f>IF($B$4="표준",'2.치형좌표'!D1179,'2.치형좌표'!G1179)</f>
        <v>-45.878219924033765</v>
      </c>
      <c r="C1180" s="17">
        <f>IF($B$4="표준",'2.치형좌표'!E1179,'2.치형좌표'!H1179)</f>
        <v>64.780354336365164</v>
      </c>
      <c r="D1180" s="6" t="str">
        <f t="shared" si="18"/>
        <v>-45.87822,64.78035</v>
      </c>
    </row>
    <row r="1181" spans="1:4" x14ac:dyDescent="0.3">
      <c r="A1181" s="19">
        <v>1175</v>
      </c>
      <c r="B1181" s="17">
        <f>IF($B$4="표준",'2.치형좌표'!D1180,'2.치형좌표'!G1180)</f>
        <v>-45.712948969713587</v>
      </c>
      <c r="C1181" s="17">
        <f>IF($B$4="표준",'2.치형좌표'!E1180,'2.치형좌표'!H1180)</f>
        <v>64.954735058135796</v>
      </c>
      <c r="D1181" s="6" t="str">
        <f t="shared" si="18"/>
        <v>-45.71295,64.95474</v>
      </c>
    </row>
    <row r="1182" spans="1:4" x14ac:dyDescent="0.3">
      <c r="A1182" s="19">
        <v>1176</v>
      </c>
      <c r="B1182" s="17">
        <f>IF($B$4="표준",'2.치형좌표'!D1181,'2.치형좌표'!G1181)</f>
        <v>-45.533540899886205</v>
      </c>
      <c r="C1182" s="17">
        <f>IF($B$4="표준",'2.치형좌표'!E1181,'2.치형좌표'!H1181)</f>
        <v>65.12242949723003</v>
      </c>
      <c r="D1182" s="6" t="str">
        <f t="shared" si="18"/>
        <v>-45.53354,65.12243</v>
      </c>
    </row>
    <row r="1183" spans="1:4" x14ac:dyDescent="0.3">
      <c r="A1183" s="19">
        <v>1177</v>
      </c>
      <c r="B1183" s="17">
        <f>IF($B$4="표준",'2.치형좌표'!D1182,'2.치형좌표'!G1182)</f>
        <v>-45.341547553899886</v>
      </c>
      <c r="C1183" s="17">
        <f>IF($B$4="표준",'2.치형좌표'!E1182,'2.치형좌표'!H1182)</f>
        <v>65.281171091128641</v>
      </c>
      <c r="D1183" s="6" t="str">
        <f t="shared" si="18"/>
        <v>-45.34155,65.28117</v>
      </c>
    </row>
    <row r="1184" spans="1:4" x14ac:dyDescent="0.3">
      <c r="A1184" s="19">
        <v>1178</v>
      </c>
      <c r="B1184" s="17">
        <f>IF($B$4="표준",'2.치형좌표'!D1183,'2.치형좌표'!G1183)</f>
        <v>-45.138862433571227</v>
      </c>
      <c r="C1184" s="17">
        <f>IF($B$4="표준",'2.치형좌표'!E1183,'2.치형좌표'!H1183)</f>
        <v>65.428935422163846</v>
      </c>
      <c r="D1184" s="6" t="str">
        <f t="shared" si="18"/>
        <v>-45.13886,65.42894</v>
      </c>
    </row>
    <row r="1185" spans="1:4" x14ac:dyDescent="0.3">
      <c r="A1185" s="19">
        <v>1179</v>
      </c>
      <c r="B1185" s="17">
        <f>IF($B$4="표준",'2.치형좌표'!D1184,'2.치형좌표'!G1184)</f>
        <v>-44.927670881404509</v>
      </c>
      <c r="C1185" s="17">
        <f>IF($B$4="표준",'2.치형좌표'!E1184,'2.치형좌표'!H1184)</f>
        <v>65.563998580389608</v>
      </c>
      <c r="D1185" s="6" t="str">
        <f t="shared" si="18"/>
        <v>-44.92767,65.56400</v>
      </c>
    </row>
    <row r="1186" spans="1:4" x14ac:dyDescent="0.3">
      <c r="A1186" s="19">
        <v>1180</v>
      </c>
      <c r="B1186" s="17">
        <f>IF($B$4="표준",'2.치형좌표'!D1185,'2.치형좌표'!G1185)</f>
        <v>-44.710391454400686</v>
      </c>
      <c r="C1186" s="17">
        <f>IF($B$4="표준",'2.치형좌표'!E1185,'2.치형좌표'!H1185)</f>
        <v>65.684984740184234</v>
      </c>
      <c r="D1186" s="6" t="str">
        <f t="shared" si="18"/>
        <v>-44.71039,65.68498</v>
      </c>
    </row>
    <row r="1187" spans="1:4" x14ac:dyDescent="0.3">
      <c r="A1187" s="19">
        <v>1181</v>
      </c>
      <c r="B1187" s="17">
        <f>IF($B$4="표준",'2.치형좌표'!D1186,'2.치형좌표'!G1186)</f>
        <v>-44.489609517877845</v>
      </c>
      <c r="C1187" s="17">
        <f>IF($B$4="표준",'2.치형좌표'!E1186,'2.치형좌표'!H1186)</f>
        <v>65.790902299966504</v>
      </c>
      <c r="D1187" s="6" t="str">
        <f t="shared" si="18"/>
        <v>-44.48961,65.79090</v>
      </c>
    </row>
    <row r="1188" spans="1:4" x14ac:dyDescent="0.3">
      <c r="A1188" s="19">
        <v>1182</v>
      </c>
      <c r="B1188" s="17">
        <f>IF($B$4="표준",'2.치형좌표'!D1187,'2.치형좌표'!G1187)</f>
        <v>-44.268004015727648</v>
      </c>
      <c r="C1188" s="17">
        <f>IF($B$4="표준",'2.치형좌표'!E1187,'2.치형좌표'!H1187)</f>
        <v>65.881167846841748</v>
      </c>
      <c r="D1188" s="6" t="str">
        <f t="shared" si="18"/>
        <v>-44.26800,65.88117</v>
      </c>
    </row>
    <row r="1189" spans="1:4" x14ac:dyDescent="0.3">
      <c r="A1189" s="19">
        <v>1183</v>
      </c>
      <c r="B1189" s="17">
        <f>IF($B$4="표준",'2.치형좌표'!D1188,'2.치형좌표'!G1188)</f>
        <v>-44.048268218560359</v>
      </c>
      <c r="C1189" s="17">
        <f>IF($B$4="표준",'2.치형좌표'!E1188,'2.치형좌표'!H1188)</f>
        <v>65.95561714130443</v>
      </c>
      <c r="D1189" s="6" t="str">
        <f t="shared" si="18"/>
        <v>-44.04827,65.95562</v>
      </c>
    </row>
    <row r="1190" spans="1:4" x14ac:dyDescent="0.3">
      <c r="A1190" s="19">
        <v>1184</v>
      </c>
      <c r="B1190" s="17">
        <f>IF($B$4="표준",'2.치형좌표'!D1189,'2.치형좌표'!G1189)</f>
        <v>-43.833024961871999</v>
      </c>
      <c r="C1190" s="17">
        <f>IF($B$4="표준",'2.치형좌표'!E1189,'2.치형좌표'!H1189)</f>
        <v>66.014502227967782</v>
      </c>
      <c r="D1190" s="6" t="str">
        <f t="shared" si="18"/>
        <v>-43.83302,66.01450</v>
      </c>
    </row>
    <row r="1191" spans="1:4" x14ac:dyDescent="0.3">
      <c r="A1191" s="19">
        <v>1185</v>
      </c>
      <c r="B1191" s="17">
        <f>IF($B$4="표준",'2.치형좌표'!D1190,'2.치형좌표'!G1190)</f>
        <v>-43.624736387994417</v>
      </c>
      <c r="C1191" s="17">
        <f>IF($B$4="표준",'2.치형좌표'!E1190,'2.치형좌표'!H1190)</f>
        <v>66.058473616886459</v>
      </c>
      <c r="D1191" s="6" t="str">
        <f t="shared" si="18"/>
        <v>-43.62474,66.05847</v>
      </c>
    </row>
    <row r="1192" spans="1:4" x14ac:dyDescent="0.3">
      <c r="A1192" s="19">
        <v>1186</v>
      </c>
      <c r="B1192" s="17">
        <f>IF($B$4="표준",'2.치형좌표'!D1191,'2.치형좌표'!G1191)</f>
        <v>-43.425607373613154</v>
      </c>
      <c r="C1192" s="17">
        <f>IF($B$4="표준",'2.치형좌표'!E1191,'2.치형좌표'!H1191)</f>
        <v>66.088546180500231</v>
      </c>
      <c r="D1192" s="6" t="str">
        <f t="shared" si="18"/>
        <v>-43.42561,66.08855</v>
      </c>
    </row>
    <row r="1193" spans="1:4" x14ac:dyDescent="0.3">
      <c r="A1193" s="19">
        <v>1187</v>
      </c>
      <c r="B1193" s="17">
        <f>IF($B$4="표준",'2.치형좌표'!D1192,'2.치형좌표'!G1192)</f>
        <v>-43.237480442435988</v>
      </c>
      <c r="C1193" s="17">
        <f>IF($B$4="표준",'2.치형좌표'!E1192,'2.치형좌표'!H1192)</f>
        <v>66.10604687838098</v>
      </c>
      <c r="D1193" s="6" t="str">
        <f t="shared" si="18"/>
        <v>-43.23748,66.10605</v>
      </c>
    </row>
    <row r="1194" spans="1:4" x14ac:dyDescent="0.3">
      <c r="A1194" s="19">
        <v>1188</v>
      </c>
      <c r="B1194" s="17">
        <f>IF($B$4="표준",'2.치형좌표'!D1193,'2.치형좌표'!G1193)</f>
        <v>-43.061717639612048</v>
      </c>
      <c r="C1194" s="17">
        <f>IF($B$4="표준",'2.치형좌표'!E1193,'2.치형좌표'!H1193)</f>
        <v>66.112541512123641</v>
      </c>
      <c r="D1194" s="6" t="str">
        <f t="shared" si="18"/>
        <v>-43.06172,66.11254</v>
      </c>
    </row>
    <row r="1195" spans="1:4" x14ac:dyDescent="0.3">
      <c r="A1195" s="19">
        <v>1189</v>
      </c>
      <c r="B1195" s="17">
        <f>IF($B$4="표준",'2.치형좌표'!D1194,'2.치형좌표'!G1194)</f>
        <v>-42.899060852396666</v>
      </c>
      <c r="C1195" s="17">
        <f>IF($B$4="표준",'2.치형좌표'!E1194,'2.치형좌표'!H1194)</f>
        <v>66.109736206625584</v>
      </c>
      <c r="D1195" s="6" t="str">
        <f t="shared" si="18"/>
        <v>-42.89906,66.10974</v>
      </c>
    </row>
    <row r="1196" spans="1:4" x14ac:dyDescent="0.3">
      <c r="A1196" s="19">
        <v>1190</v>
      </c>
      <c r="B1196" s="17">
        <f>IF($B$4="표준",'2.치형좌표'!D1195,'2.치형좌표'!G1195)</f>
        <v>-42.749454994887806</v>
      </c>
      <c r="C1196" s="17">
        <f>IF($B$4="표준",'2.치형좌표'!E1195,'2.치형좌표'!H1195)</f>
        <v>66.099346886390393</v>
      </c>
      <c r="D1196" s="6" t="str">
        <f t="shared" si="18"/>
        <v>-42.74945,66.09935</v>
      </c>
    </row>
    <row r="1197" spans="1:4" x14ac:dyDescent="0.3">
      <c r="A1197" s="19">
        <v>1191</v>
      </c>
      <c r="B1197" s="17">
        <f>IF($B$4="표준",'2.치형좌표'!D1196,'2.치형좌표'!G1196)</f>
        <v>-42.611805523165295</v>
      </c>
      <c r="C1197" s="17">
        <f>IF($B$4="표준",'2.치형좌표'!E1196,'2.치형좌표'!H1196)</f>
        <v>66.082926233605036</v>
      </c>
      <c r="D1197" s="6" t="str">
        <f t="shared" si="18"/>
        <v>-42.61181,66.08293</v>
      </c>
    </row>
    <row r="1198" spans="1:4" x14ac:dyDescent="0.3">
      <c r="A1198" s="19">
        <v>1192</v>
      </c>
      <c r="B1198" s="17">
        <f>IF($B$4="표준",'2.치형좌표'!D1197,'2.치형좌표'!G1197)</f>
        <v>-42.483617079814351</v>
      </c>
      <c r="C1198" s="17">
        <f>IF($B$4="표준",'2.치형좌표'!E1197,'2.치형좌표'!H1197)</f>
        <v>66.061632108305034</v>
      </c>
      <c r="D1198" s="6" t="str">
        <f t="shared" si="18"/>
        <v>-42.48362,66.06163</v>
      </c>
    </row>
    <row r="1199" spans="1:4" x14ac:dyDescent="0.3">
      <c r="A1199" s="19">
        <v>1193</v>
      </c>
      <c r="B1199" s="17">
        <f>IF($B$4="표준",'2.치형좌표'!D1198,'2.치형좌표'!G1198)</f>
        <v>-42.36041112685929</v>
      </c>
      <c r="C1199" s="17">
        <f>IF($B$4="표준",'2.치형좌표'!E1198,'2.치형좌표'!H1198)</f>
        <v>66.035914777380924</v>
      </c>
      <c r="D1199" s="6" t="str">
        <f t="shared" si="18"/>
        <v>-42.36041,66.03591</v>
      </c>
    </row>
    <row r="1200" spans="1:4" x14ac:dyDescent="0.3">
      <c r="A1200" s="19">
        <v>1194</v>
      </c>
      <c r="B1200" s="17">
        <f>IF($B$4="표준",'2.치형좌표'!D1199,'2.치형좌표'!G1199)</f>
        <v>-42.23471925394405</v>
      </c>
      <c r="C1200" s="17">
        <f>IF($B$4="표준",'2.치형좌표'!E1199,'2.치형좌표'!H1199)</f>
        <v>66.005097929556158</v>
      </c>
      <c r="D1200" s="6" t="str">
        <f t="shared" si="18"/>
        <v>-42.23472,66.00510</v>
      </c>
    </row>
    <row r="1201" spans="1:4" x14ac:dyDescent="0.3">
      <c r="A1201" s="19">
        <v>1195</v>
      </c>
      <c r="B1201" s="17">
        <f>IF($B$4="표준",'2.치형좌표'!D1200,'2.치형좌표'!G1200)</f>
        <v>-42.09423196977982</v>
      </c>
      <c r="C1201" s="17">
        <f>IF($B$4="표준",'2.치형좌표'!E1200,'2.치형좌표'!H1200)</f>
        <v>65.966855895195749</v>
      </c>
      <c r="D1201" s="6" t="str">
        <f t="shared" si="18"/>
        <v>-42.09423,65.96686</v>
      </c>
    </row>
    <row r="1202" spans="1:4" x14ac:dyDescent="0.3">
      <c r="A1202" s="19">
        <v>1196</v>
      </c>
      <c r="B1202" s="17">
        <f>IF($B$4="표준",'2.치형좌표'!D1201,'2.치형좌표'!G1201)</f>
        <v>-41.918209812681837</v>
      </c>
      <c r="C1202" s="17">
        <f>IF($B$4="표준",'2.치형좌표'!E1201,'2.치형좌표'!H1201)</f>
        <v>65.916754286618897</v>
      </c>
      <c r="D1202" s="6" t="str">
        <f t="shared" si="18"/>
        <v>-41.91821,65.91675</v>
      </c>
    </row>
    <row r="1203" spans="1:4" x14ac:dyDescent="0.3">
      <c r="A1203" s="19">
        <v>1197</v>
      </c>
      <c r="B1203" s="17">
        <f>IF($B$4="표준",'2.치형좌표'!D1202,'2.치형좌표'!G1202)</f>
        <v>-41.670282013592086</v>
      </c>
      <c r="C1203" s="17">
        <f>IF($B$4="표준",'2.치형좌표'!E1202,'2.치형좌표'!H1202)</f>
        <v>65.848764610151946</v>
      </c>
      <c r="D1203" s="6" t="str">
        <f t="shared" si="18"/>
        <v>-41.67028,65.84876</v>
      </c>
    </row>
    <row r="1204" spans="1:4" x14ac:dyDescent="0.3">
      <c r="A1204" s="19">
        <v>1198</v>
      </c>
      <c r="B1204" s="17">
        <f>IF($B$4="표준",'2.치형좌표'!D1203,'2.치형좌표'!G1203)</f>
        <v>-41.284352470586185</v>
      </c>
      <c r="C1204" s="17">
        <f>IF($B$4="표준",'2.치형좌표'!E1203,'2.치형좌표'!H1203)</f>
        <v>65.76073952465552</v>
      </c>
      <c r="D1204" s="6" t="str">
        <f t="shared" si="18"/>
        <v>-41.28435,65.76074</v>
      </c>
    </row>
    <row r="1205" spans="1:4" x14ac:dyDescent="0.3">
      <c r="A1205" s="19">
        <v>1199</v>
      </c>
      <c r="B1205" s="17">
        <f>IF($B$4="표준",'2.치형좌표'!D1204,'2.치형좌표'!G1204)</f>
        <v>-40.643886135147881</v>
      </c>
      <c r="C1205" s="17">
        <f>IF($B$4="표준",'2.치형좌표'!E1204,'2.치형좌표'!H1204)</f>
        <v>65.679946636585058</v>
      </c>
      <c r="D1205" s="6" t="str">
        <f t="shared" si="18"/>
        <v>-40.64389,65.67995</v>
      </c>
    </row>
    <row r="1206" spans="1:4" x14ac:dyDescent="0.3">
      <c r="A1206" s="19">
        <v>1200</v>
      </c>
      <c r="B1206" s="17">
        <f>IF($B$4="표준",'2.치형좌표'!D1205,'2.치형좌표'!G1205)</f>
        <v>-39.602712533505475</v>
      </c>
      <c r="C1206" s="17">
        <f>IF($B$4="표준",'2.치형좌표'!E1205,'2.치형좌표'!H1205)</f>
        <v>65.742914258502537</v>
      </c>
      <c r="D1206" s="6" t="str">
        <f t="shared" si="18"/>
        <v>-39.60271,65.74291</v>
      </c>
    </row>
    <row r="1207" spans="1:4" x14ac:dyDescent="0.3">
      <c r="A1207" s="19">
        <v>1201</v>
      </c>
      <c r="B1207" s="17">
        <f>IF($B$4="표준",'2.치형좌표'!D1206,'2.치형좌표'!G1206)</f>
        <v>-38.244400000034403</v>
      </c>
      <c r="C1207" s="17">
        <f>IF($B$4="표준",'2.치형좌표'!E1206,'2.치형좌표'!H1206)</f>
        <v>66.241243904967291</v>
      </c>
      <c r="D1207" s="6" t="str">
        <f t="shared" si="18"/>
        <v>-38.24440,66.24124</v>
      </c>
    </row>
    <row r="1208" spans="1:4" x14ac:dyDescent="0.3">
      <c r="A1208" s="19">
        <v>1202</v>
      </c>
      <c r="B1208" s="17">
        <f>IF($B$4="표준",'2.치형좌표'!D1207,'2.치형좌표'!G1207)</f>
        <v>-37.133677599974895</v>
      </c>
      <c r="C1208" s="17">
        <f>IF($B$4="표준",'2.치형좌표'!E1207,'2.치형좌표'!H1207)</f>
        <v>67.168412241989643</v>
      </c>
      <c r="D1208" s="6" t="str">
        <f t="shared" si="18"/>
        <v>-37.13368,67.16841</v>
      </c>
    </row>
    <row r="1209" spans="1:4" x14ac:dyDescent="0.3">
      <c r="A1209" s="19">
        <v>1203</v>
      </c>
      <c r="B1209" s="17">
        <f>IF($B$4="표준",'2.치형좌표'!D1208,'2.치형좌표'!G1208)</f>
        <v>-36.558559238933761</v>
      </c>
      <c r="C1209" s="17">
        <f>IF($B$4="표준",'2.치형좌표'!E1208,'2.치형좌표'!H1208)</f>
        <v>68.038611219815422</v>
      </c>
      <c r="D1209" s="6" t="str">
        <f t="shared" si="18"/>
        <v>-36.55856,68.03861</v>
      </c>
    </row>
    <row r="1210" spans="1:4" x14ac:dyDescent="0.3">
      <c r="A1210" s="19">
        <v>1204</v>
      </c>
      <c r="B1210" s="17">
        <f>IF($B$4="표준",'2.치형좌표'!D1209,'2.치형좌표'!G1209)</f>
        <v>-36.308294764718319</v>
      </c>
      <c r="C1210" s="17">
        <f>IF($B$4="표준",'2.치형좌표'!E1209,'2.치형좌표'!H1209)</f>
        <v>68.633667780622275</v>
      </c>
      <c r="D1210" s="6" t="str">
        <f t="shared" si="18"/>
        <v>-36.30829,68.63367</v>
      </c>
    </row>
    <row r="1211" spans="1:4" x14ac:dyDescent="0.3">
      <c r="A1211" s="19">
        <v>1205</v>
      </c>
      <c r="B1211" s="17">
        <f>IF($B$4="표준",'2.치형좌표'!D1210,'2.치형좌표'!G1210)</f>
        <v>-36.191561953421427</v>
      </c>
      <c r="C1211" s="17">
        <f>IF($B$4="표준",'2.치형좌표'!E1210,'2.치형좌표'!H1210)</f>
        <v>69.011905111693167</v>
      </c>
      <c r="D1211" s="6" t="str">
        <f t="shared" si="18"/>
        <v>-36.19156,69.01191</v>
      </c>
    </row>
    <row r="1212" spans="1:4" x14ac:dyDescent="0.3">
      <c r="A1212" s="19">
        <v>1206</v>
      </c>
      <c r="B1212" s="17">
        <f>IF($B$4="표준",'2.치형좌표'!D1211,'2.치형좌표'!G1211)</f>
        <v>-36.126478840890478</v>
      </c>
      <c r="C1212" s="17">
        <f>IF($B$4="표준",'2.치형좌표'!E1211,'2.치형좌표'!H1211)</f>
        <v>69.260611722247589</v>
      </c>
      <c r="D1212" s="6" t="str">
        <f t="shared" si="18"/>
        <v>-36.12648,69.26061</v>
      </c>
    </row>
    <row r="1213" spans="1:4" x14ac:dyDescent="0.3">
      <c r="A1213" s="19">
        <v>1207</v>
      </c>
      <c r="B1213" s="17">
        <f>IF($B$4="표준",'2.치형좌표'!D1212,'2.치형좌표'!G1212)</f>
        <v>-36.081857028138849</v>
      </c>
      <c r="C1213" s="17">
        <f>IF($B$4="표준",'2.치형좌표'!E1212,'2.치형좌표'!H1212)</f>
        <v>69.438102186214394</v>
      </c>
      <c r="D1213" s="6" t="str">
        <f t="shared" si="18"/>
        <v>-36.08186,69.43810</v>
      </c>
    </row>
    <row r="1214" spans="1:4" x14ac:dyDescent="0.3">
      <c r="A1214" s="19">
        <v>1208</v>
      </c>
      <c r="B1214" s="17">
        <f>IF($B$4="표준",'2.치형좌표'!D1213,'2.치형좌표'!G1213)</f>
        <v>-36.044731959305096</v>
      </c>
      <c r="C1214" s="17">
        <f>IF($B$4="표준",'2.치형좌표'!E1213,'2.치형좌표'!H1213)</f>
        <v>69.578888760390754</v>
      </c>
      <c r="D1214" s="6" t="str">
        <f t="shared" si="18"/>
        <v>-36.04473,69.57889</v>
      </c>
    </row>
    <row r="1215" spans="1:4" x14ac:dyDescent="0.3">
      <c r="A1215" s="19">
        <v>1209</v>
      </c>
      <c r="B1215" s="17">
        <f>IF($B$4="표준",'2.치형좌표'!D1214,'2.치형좌표'!G1214)</f>
        <v>-36.008574195928318</v>
      </c>
      <c r="C1215" s="17">
        <f>IF($B$4="표준",'2.치형좌표'!E1214,'2.치형좌표'!H1214)</f>
        <v>69.70314953929747</v>
      </c>
      <c r="D1215" s="6" t="str">
        <f t="shared" si="18"/>
        <v>-36.00857,69.70315</v>
      </c>
    </row>
    <row r="1216" spans="1:4" x14ac:dyDescent="0.3">
      <c r="A1216" s="19">
        <v>1210</v>
      </c>
      <c r="B1216" s="17">
        <f>IF($B$4="표준",'2.치형좌표'!D1215,'2.치형좌표'!G1215)</f>
        <v>-35.969243081348871</v>
      </c>
      <c r="C1216" s="17">
        <f>IF($B$4="표준",'2.치형좌표'!E1215,'2.치형좌표'!H1215)</f>
        <v>69.822707689916115</v>
      </c>
      <c r="D1216" s="6" t="str">
        <f t="shared" si="18"/>
        <v>-35.96924,69.82271</v>
      </c>
    </row>
    <row r="1217" spans="1:4" x14ac:dyDescent="0.3">
      <c r="A1217" s="19">
        <v>1211</v>
      </c>
      <c r="B1217" s="17">
        <f>IF($B$4="표준",'2.치형좌표'!D1216,'2.치형좌표'!G1216)</f>
        <v>-35.923590113134949</v>
      </c>
      <c r="C1217" s="17">
        <f>IF($B$4="표준",'2.치형좌표'!E1216,'2.치형좌표'!H1216)</f>
        <v>69.944369200979381</v>
      </c>
      <c r="D1217" s="6" t="str">
        <f t="shared" si="18"/>
        <v>-35.92359,69.94437</v>
      </c>
    </row>
    <row r="1218" spans="1:4" x14ac:dyDescent="0.3">
      <c r="A1218" s="19">
        <v>1212</v>
      </c>
      <c r="B1218" s="17">
        <f>IF($B$4="표준",'2.치형좌표'!D1217,'2.치형좌표'!G1217)</f>
        <v>-35.86898607973307</v>
      </c>
      <c r="C1218" s="17">
        <f>IF($B$4="표준",'2.치형좌표'!E1217,'2.치형좌표'!H1217)</f>
        <v>70.071787466700968</v>
      </c>
      <c r="D1218" s="6" t="str">
        <f t="shared" si="18"/>
        <v>-35.86899,70.07179</v>
      </c>
    </row>
    <row r="1219" spans="1:4" x14ac:dyDescent="0.3">
      <c r="A1219" s="19">
        <v>1213</v>
      </c>
      <c r="B1219" s="17">
        <f>IF($B$4="표준",'2.치형좌표'!D1218,'2.치형좌표'!G1218)</f>
        <v>-35.803180566230964</v>
      </c>
      <c r="C1219" s="17">
        <f>IF($B$4="표준",'2.치형좌표'!E1218,'2.치형좌표'!H1218)</f>
        <v>70.206544599975715</v>
      </c>
      <c r="D1219" s="6" t="str">
        <f t="shared" si="18"/>
        <v>-35.80318,70.20654</v>
      </c>
    </row>
    <row r="1220" spans="1:4" x14ac:dyDescent="0.3">
      <c r="A1220" s="19">
        <v>1214</v>
      </c>
      <c r="B1220" s="17">
        <f>IF($B$4="표준",'2.치형좌표'!D1219,'2.치형좌표'!G1219)</f>
        <v>-35.724281638450712</v>
      </c>
      <c r="C1220" s="17">
        <f>IF($B$4="표준",'2.치형좌표'!E1219,'2.치형좌표'!H1219)</f>
        <v>70.348812162550914</v>
      </c>
      <c r="D1220" s="6" t="str">
        <f t="shared" si="18"/>
        <v>-35.72428,70.34881</v>
      </c>
    </row>
    <row r="1221" spans="1:4" x14ac:dyDescent="0.3">
      <c r="A1221" s="19">
        <v>1215</v>
      </c>
      <c r="B1221" s="17">
        <f>IF($B$4="표준",'2.치형좌표'!D1220,'2.치형좌표'!G1220)</f>
        <v>-35.630775719230051</v>
      </c>
      <c r="C1221" s="17">
        <f>IF($B$4="표준",'2.치형좌표'!E1220,'2.치형좌표'!H1220)</f>
        <v>70.497779897965145</v>
      </c>
      <c r="D1221" s="6" t="str">
        <f t="shared" si="18"/>
        <v>-35.63078,70.49778</v>
      </c>
    </row>
    <row r="1222" spans="1:4" x14ac:dyDescent="0.3">
      <c r="A1222" s="19">
        <v>1216</v>
      </c>
      <c r="B1222" s="17">
        <f>IF($B$4="표준",'2.치형좌표'!D1221,'2.치형좌표'!G1221)</f>
        <v>-35.521556204693631</v>
      </c>
      <c r="C1222" s="17">
        <f>IF($B$4="표준",'2.치형좌표'!E1221,'2.치형좌표'!H1221)</f>
        <v>70.651952250560001</v>
      </c>
      <c r="D1222" s="6" t="str">
        <f t="shared" si="18"/>
        <v>-35.52156,70.65195</v>
      </c>
    </row>
    <row r="1223" spans="1:4" x14ac:dyDescent="0.3">
      <c r="A1223" s="19">
        <v>1217</v>
      </c>
      <c r="B1223" s="17">
        <f>IF($B$4="표준",'2.치형좌표'!D1222,'2.치형좌표'!G1222)</f>
        <v>-35.395948093457378</v>
      </c>
      <c r="C1223" s="17">
        <f>IF($B$4="표준",'2.치형좌표'!E1222,'2.치형좌표'!H1222)</f>
        <v>70.809366753837722</v>
      </c>
      <c r="D1223" s="6" t="str">
        <f t="shared" ref="D1223:D1286" si="19">TEXT(B1223,"0.00000")&amp;","&amp;TEXT(C1223,"0.00000")</f>
        <v>-35.39595,70.80937</v>
      </c>
    </row>
    <row r="1224" spans="1:4" x14ac:dyDescent="0.3">
      <c r="A1224" s="19">
        <v>1218</v>
      </c>
      <c r="B1224" s="17">
        <f>IF($B$4="표준",'2.치형좌표'!D1223,'2.치형좌표'!G1223)</f>
        <v>-35.253723466676192</v>
      </c>
      <c r="C1224" s="17">
        <f>IF($B$4="표준",'2.치형좌표'!E1223,'2.치형좌표'!H1223)</f>
        <v>70.967764255674425</v>
      </c>
      <c r="D1224" s="6" t="str">
        <f t="shared" si="19"/>
        <v>-35.25372,70.96776</v>
      </c>
    </row>
    <row r="1225" spans="1:4" x14ac:dyDescent="0.3">
      <c r="A1225" s="19">
        <v>1219</v>
      </c>
      <c r="B1225" s="17">
        <f>IF($B$4="표준",'2.치형좌표'!D1224,'2.치형좌표'!G1224)</f>
        <v>-35.095105857378343</v>
      </c>
      <c r="C1225" s="17">
        <f>IF($B$4="표준",'2.치형좌표'!E1224,'2.치형좌표'!H1224)</f>
        <v>71.124727840628253</v>
      </c>
      <c r="D1225" s="6" t="str">
        <f t="shared" si="19"/>
        <v>-35.09511,71.12473</v>
      </c>
    </row>
    <row r="1226" spans="1:4" x14ac:dyDescent="0.3">
      <c r="A1226" s="19">
        <v>1220</v>
      </c>
      <c r="B1226" s="17">
        <f>IF($B$4="표준",'2.치형좌표'!D1225,'2.치형좌표'!G1225)</f>
        <v>-34.920762978496903</v>
      </c>
      <c r="C1226" s="17">
        <f>IF($B$4="표준",'2.치형좌표'!E1225,'2.치형좌표'!H1225)</f>
        <v>71.277799975864951</v>
      </c>
      <c r="D1226" s="6" t="str">
        <f t="shared" si="19"/>
        <v>-34.92076,71.27780</v>
      </c>
    </row>
    <row r="1227" spans="1:4" x14ac:dyDescent="0.3">
      <c r="A1227" s="19">
        <v>1221</v>
      </c>
      <c r="B1227" s="17">
        <f>IF($B$4="표준",'2.치형좌표'!D1226,'2.치형좌표'!G1226)</f>
        <v>-34.731787970742133</v>
      </c>
      <c r="C1227" s="17">
        <f>IF($B$4="표준",'2.치형좌표'!E1226,'2.치형좌표'!H1226)</f>
        <v>71.424583196908102</v>
      </c>
      <c r="D1227" s="6" t="str">
        <f t="shared" si="19"/>
        <v>-34.73179,71.42458</v>
      </c>
    </row>
    <row r="1228" spans="1:4" x14ac:dyDescent="0.3">
      <c r="A1228" s="19">
        <v>1222</v>
      </c>
      <c r="B1228" s="17">
        <f>IF($B$4="표준",'2.치형좌표'!D1227,'2.치형좌표'!G1227)</f>
        <v>-34.529669705003009</v>
      </c>
      <c r="C1228" s="17">
        <f>IF($B$4="표준",'2.치형좌표'!E1227,'2.치형좌표'!H1227)</f>
        <v>71.562827182743007</v>
      </c>
      <c r="D1228" s="6" t="str">
        <f t="shared" si="19"/>
        <v>-34.52967,71.56283</v>
      </c>
    </row>
    <row r="1229" spans="1:4" x14ac:dyDescent="0.3">
      <c r="A1229" s="19">
        <v>1223</v>
      </c>
      <c r="B1229" s="17">
        <f>IF($B$4="표준",'2.치형좌표'!D1228,'2.치형좌표'!G1228)</f>
        <v>-34.316252903613112</v>
      </c>
      <c r="C1229" s="17">
        <f>IF($B$4="표준",'2.치형좌표'!E1228,'2.치형좌표'!H1228)</f>
        <v>71.690503606351299</v>
      </c>
      <c r="D1229" s="6" t="str">
        <f t="shared" si="19"/>
        <v>-34.31625,71.69050</v>
      </c>
    </row>
    <row r="1230" spans="1:4" x14ac:dyDescent="0.3">
      <c r="A1230" s="19">
        <v>1224</v>
      </c>
      <c r="B1230" s="17">
        <f>IF($B$4="표준",'2.치형좌표'!D1229,'2.치형좌표'!G1229)</f>
        <v>-34.093689001391319</v>
      </c>
      <c r="C1230" s="17">
        <f>IF($B$4="표준",'2.치형좌표'!E1229,'2.치형좌표'!H1229)</f>
        <v>71.805869276480124</v>
      </c>
      <c r="D1230" s="6" t="str">
        <f t="shared" si="19"/>
        <v>-34.09369,71.80587</v>
      </c>
    </row>
    <row r="1231" spans="1:4" x14ac:dyDescent="0.3">
      <c r="A1231" s="19">
        <v>1225</v>
      </c>
      <c r="B1231" s="17">
        <f>IF($B$4="표준",'2.치형좌표'!D1230,'2.치형좌표'!G1230)</f>
        <v>-33.864378776777578</v>
      </c>
      <c r="C1231" s="17">
        <f>IF($B$4="표준",'2.치형좌표'!E1230,'2.치형좌표'!H1230)</f>
        <v>71.907517574136975</v>
      </c>
      <c r="D1231" s="6" t="str">
        <f t="shared" si="19"/>
        <v>-33.86438,71.90752</v>
      </c>
    </row>
    <row r="1232" spans="1:4" x14ac:dyDescent="0.3">
      <c r="A1232" s="19">
        <v>1226</v>
      </c>
      <c r="B1232" s="17">
        <f>IF($B$4="표준",'2.치형좌표'!D1231,'2.치형좌표'!G1231)</f>
        <v>-33.630907850831115</v>
      </c>
      <c r="C1232" s="17">
        <f>IF($B$4="표준",'2.치형좌표'!E1231,'2.치형좌표'!H1231)</f>
        <v>71.994417892170176</v>
      </c>
      <c r="D1232" s="6" t="str">
        <f t="shared" si="19"/>
        <v>-33.63091,71.99442</v>
      </c>
    </row>
    <row r="1233" spans="1:4" x14ac:dyDescent="0.3">
      <c r="A1233" s="19">
        <v>1227</v>
      </c>
      <c r="B1233" s="17">
        <f>IF($B$4="표준",'2.치형좌표'!D1232,'2.치형좌표'!G1232)</f>
        <v>-33.395976171588501</v>
      </c>
      <c r="C1233" s="17">
        <f>IF($B$4="표준",'2.치형좌표'!E1232,'2.치형좌표'!H1232)</f>
        <v>72.065942618738291</v>
      </c>
      <c r="D1233" s="6" t="str">
        <f t="shared" si="19"/>
        <v>-33.39598,72.06594</v>
      </c>
    </row>
    <row r="1234" spans="1:4" x14ac:dyDescent="0.3">
      <c r="A1234" s="19">
        <v>1228</v>
      </c>
      <c r="B1234" s="17">
        <f>IF($B$4="표준",'2.치형좌표'!D1233,'2.치형좌표'!G1233)</f>
        <v>-33.162322559444533</v>
      </c>
      <c r="C1234" s="17">
        <f>IF($B$4="표준",'2.치형좌표'!E1233,'2.치형좌표'!H1233)</f>
        <v>72.12188110280276</v>
      </c>
      <c r="D1234" s="6" t="str">
        <f t="shared" si="19"/>
        <v>-33.16232,72.12188</v>
      </c>
    </row>
    <row r="1235" spans="1:4" x14ac:dyDescent="0.3">
      <c r="A1235" s="19">
        <v>1229</v>
      </c>
      <c r="B1235" s="17">
        <f>IF($B$4="표준",'2.치형좌표'!D1234,'2.치형좌표'!G1234)</f>
        <v>-32.932645262802104</v>
      </c>
      <c r="C1235" s="17">
        <f>IF($B$4="표준",'2.치형좌표'!E1234,'2.치형좌표'!H1234)</f>
        <v>72.162439951220634</v>
      </c>
      <c r="D1235" s="6" t="str">
        <f t="shared" si="19"/>
        <v>-32.93265,72.16244</v>
      </c>
    </row>
    <row r="1236" spans="1:4" x14ac:dyDescent="0.3">
      <c r="A1236" s="19">
        <v>1230</v>
      </c>
      <c r="B1236" s="17">
        <f>IF($B$4="표준",'2.치형좌표'!D1235,'2.치형좌표'!G1235)</f>
        <v>-32.70951922526254</v>
      </c>
      <c r="C1236" s="17">
        <f>IF($B$4="표준",'2.치형좌표'!E1235,'2.치형좌표'!H1235)</f>
        <v>72.188228882911815</v>
      </c>
      <c r="D1236" s="6" t="str">
        <f t="shared" si="19"/>
        <v>-32.70952,72.18823</v>
      </c>
    </row>
    <row r="1237" spans="1:4" x14ac:dyDescent="0.3">
      <c r="A1237" s="19">
        <v>1231</v>
      </c>
      <c r="B1237" s="17">
        <f>IF($B$4="표준",'2.치형좌표'!D1236,'2.치형좌표'!G1236)</f>
        <v>-32.495310335382563</v>
      </c>
      <c r="C1237" s="17">
        <f>IF($B$4="표준",'2.치형좌표'!E1236,'2.치형좌표'!H1236)</f>
        <v>72.200231147195481</v>
      </c>
      <c r="D1237" s="6" t="str">
        <f t="shared" si="19"/>
        <v>-32.49531,72.20023</v>
      </c>
    </row>
    <row r="1238" spans="1:4" x14ac:dyDescent="0.3">
      <c r="A1238" s="19">
        <v>1232</v>
      </c>
      <c r="B1238" s="17">
        <f>IF($B$4="표준",'2.치형좌표'!D1237,'2.치형좌표'!G1237)</f>
        <v>-32.292086214238665</v>
      </c>
      <c r="C1238" s="17">
        <f>IF($B$4="표준",'2.치형좌표'!E1237,'2.치형좌표'!H1237)</f>
        <v>72.199757120472057</v>
      </c>
      <c r="D1238" s="6" t="str">
        <f t="shared" si="19"/>
        <v>-32.29209,72.19976</v>
      </c>
    </row>
    <row r="1239" spans="1:4" x14ac:dyDescent="0.3">
      <c r="A1239" s="19">
        <v>1233</v>
      </c>
      <c r="B1239" s="17">
        <f>IF($B$4="표준",'2.치형좌표'!D1238,'2.치형좌표'!G1238)</f>
        <v>-32.10152191322215</v>
      </c>
      <c r="C1239" s="17">
        <f>IF($B$4="표준",'2.치형좌표'!E1238,'2.치형좌표'!H1238)</f>
        <v>72.188379007697435</v>
      </c>
      <c r="D1239" s="6" t="str">
        <f t="shared" si="19"/>
        <v>-32.10152,72.18838</v>
      </c>
    </row>
    <row r="1240" spans="1:4" x14ac:dyDescent="0.3">
      <c r="A1240" s="19">
        <v>1234</v>
      </c>
      <c r="B1240" s="17">
        <f>IF($B$4="표준",'2.치형좌표'!D1239,'2.치형좌표'!G1239)</f>
        <v>-31.924796914918421</v>
      </c>
      <c r="C1240" s="17">
        <f>IF($B$4="표준",'2.치형좌표'!E1239,'2.치형좌표'!H1239)</f>
        <v>72.167843402540001</v>
      </c>
      <c r="D1240" s="6" t="str">
        <f t="shared" si="19"/>
        <v>-31.92480,72.16784</v>
      </c>
    </row>
    <row r="1241" spans="1:4" x14ac:dyDescent="0.3">
      <c r="A1241" s="19">
        <v>1235</v>
      </c>
      <c r="B1241" s="17">
        <f>IF($B$4="표준",'2.치형좌표'!D1240,'2.치형좌표'!G1240)</f>
        <v>-31.762476434850576</v>
      </c>
      <c r="C1241" s="17">
        <f>IF($B$4="표준",'2.치형좌표'!E1240,'2.치형좌표'!H1240)</f>
        <v>72.139956493887098</v>
      </c>
      <c r="D1241" s="6" t="str">
        <f t="shared" si="19"/>
        <v>-31.76248,72.13996</v>
      </c>
    </row>
    <row r="1242" spans="1:4" x14ac:dyDescent="0.3">
      <c r="A1242" s="19">
        <v>1236</v>
      </c>
      <c r="B1242" s="17">
        <f>IF($B$4="표준",'2.치형좌표'!D1241,'2.치형좌표'!G1241)</f>
        <v>-31.614364009615425</v>
      </c>
      <c r="C1242" s="17">
        <f>IF($B$4="표준",'2.치형좌표'!E1241,'2.치형좌표'!H1241)</f>
        <v>72.106433439771621</v>
      </c>
      <c r="D1242" s="6" t="str">
        <f t="shared" si="19"/>
        <v>-31.61436,72.10643</v>
      </c>
    </row>
    <row r="1243" spans="1:4" x14ac:dyDescent="0.3">
      <c r="A1243" s="19">
        <v>1237</v>
      </c>
      <c r="B1243" s="17">
        <f>IF($B$4="표준",'2.치형좌표'!D1242,'2.치형좌표'!G1242)</f>
        <v>-31.479301307422606</v>
      </c>
      <c r="C1243" s="17">
        <f>IF($B$4="표준",'2.치형좌표'!E1242,'2.치형좌표'!H1242)</f>
        <v>72.068698044142394</v>
      </c>
      <c r="D1243" s="6" t="str">
        <f t="shared" si="19"/>
        <v>-31.47930,72.06870</v>
      </c>
    </row>
    <row r="1244" spans="1:4" x14ac:dyDescent="0.3">
      <c r="A1244" s="19">
        <v>1238</v>
      </c>
      <c r="B1244" s="17">
        <f>IF($B$4="표준",'2.치형좌표'!D1243,'2.치형좌표'!G1243)</f>
        <v>-31.354869944112423</v>
      </c>
      <c r="C1244" s="17">
        <f>IF($B$4="표준",'2.치형좌표'!E1243,'2.치형좌표'!H1243)</f>
        <v>72.027610130233455</v>
      </c>
      <c r="D1244" s="6" t="str">
        <f t="shared" si="19"/>
        <v>-31.35487,72.02761</v>
      </c>
    </row>
    <row r="1245" spans="1:4" x14ac:dyDescent="0.3">
      <c r="A1245" s="19">
        <v>1239</v>
      </c>
      <c r="B1245" s="17">
        <f>IF($B$4="표준",'2.치형좌표'!D1244,'2.치형좌표'!G1244)</f>
        <v>-31.236907791341615</v>
      </c>
      <c r="C1245" s="17">
        <f>IF($B$4="표준",'2.치형좌표'!E1244,'2.치형좌표'!H1244)</f>
        <v>71.983084436324674</v>
      </c>
      <c r="D1245" s="6" t="str">
        <f t="shared" si="19"/>
        <v>-31.23691,71.98308</v>
      </c>
    </row>
    <row r="1246" spans="1:4" x14ac:dyDescent="0.3">
      <c r="A1246" s="19">
        <v>1240</v>
      </c>
      <c r="B1246" s="17">
        <f>IF($B$4="표준",'2.치형좌표'!D1245,'2.치형좌표'!G1245)</f>
        <v>-31.118663805683706</v>
      </c>
      <c r="C1246" s="17">
        <f>IF($B$4="표준",'2.치형좌표'!E1245,'2.치형좌표'!H1245)</f>
        <v>71.933546583440105</v>
      </c>
      <c r="D1246" s="6" t="str">
        <f t="shared" si="19"/>
        <v>-31.11866,71.93355</v>
      </c>
    </row>
    <row r="1247" spans="1:4" x14ac:dyDescent="0.3">
      <c r="A1247" s="19">
        <v>1241</v>
      </c>
      <c r="B1247" s="17">
        <f>IF($B$4="표준",'2.치형좌표'!D1246,'2.치형좌표'!G1246)</f>
        <v>-30.989222299860103</v>
      </c>
      <c r="C1247" s="17">
        <f>IF($B$4="표준",'2.치형좌표'!E1246,'2.치형좌표'!H1246)</f>
        <v>71.875159793391376</v>
      </c>
      <c r="D1247" s="6" t="str">
        <f t="shared" si="19"/>
        <v>-30.98922,71.87516</v>
      </c>
    </row>
    <row r="1248" spans="1:4" x14ac:dyDescent="0.3">
      <c r="A1248" s="19">
        <v>1242</v>
      </c>
      <c r="B1248" s="17">
        <f>IF($B$4="표준",'2.치형좌표'!D1247,'2.치형좌표'!G1247)</f>
        <v>-30.830392615795819</v>
      </c>
      <c r="C1248" s="17">
        <f>IF($B$4="표준",'2.치형좌표'!E1247,'2.치형좌표'!H1247)</f>
        <v>71.800815844411886</v>
      </c>
      <c r="D1248" s="6" t="str">
        <f t="shared" si="19"/>
        <v>-30.83039,71.80082</v>
      </c>
    </row>
    <row r="1249" spans="1:4" x14ac:dyDescent="0.3">
      <c r="A1249" s="19">
        <v>1243</v>
      </c>
      <c r="B1249" s="17">
        <f>IF($B$4="표준",'2.치형좌표'!D1248,'2.치형좌표'!G1248)</f>
        <v>-30.610290752003642</v>
      </c>
      <c r="C1249" s="17">
        <f>IF($B$4="표준",'2.치형좌표'!E1248,'2.치형좌표'!H1248)</f>
        <v>71.699327717053848</v>
      </c>
      <c r="D1249" s="6" t="str">
        <f t="shared" si="19"/>
        <v>-30.61029,71.69933</v>
      </c>
    </row>
    <row r="1250" spans="1:4" x14ac:dyDescent="0.3">
      <c r="A1250" s="19">
        <v>1244</v>
      </c>
      <c r="B1250" s="17">
        <f>IF($B$4="표준",'2.치형좌표'!D1249,'2.치형좌표'!G1249)</f>
        <v>-30.270036015614174</v>
      </c>
      <c r="C1250" s="17">
        <f>IF($B$4="표준",'2.치형좌표'!E1249,'2.치형좌표'!H1249)</f>
        <v>71.557485764148268</v>
      </c>
      <c r="D1250" s="6" t="str">
        <f t="shared" si="19"/>
        <v>-30.27004,71.55749</v>
      </c>
    </row>
    <row r="1251" spans="1:4" x14ac:dyDescent="0.3">
      <c r="A1251" s="19">
        <v>1245</v>
      </c>
      <c r="B1251" s="17">
        <f>IF($B$4="표준",'2.치형좌표'!D1250,'2.치형좌표'!G1250)</f>
        <v>-29.700186631669613</v>
      </c>
      <c r="C1251" s="17">
        <f>IF($B$4="표준",'2.치형좌표'!E1250,'2.치형좌표'!H1250)</f>
        <v>71.377086771704896</v>
      </c>
      <c r="D1251" s="6" t="str">
        <f t="shared" si="19"/>
        <v>-29.70019,71.37709</v>
      </c>
    </row>
    <row r="1252" spans="1:4" x14ac:dyDescent="0.3">
      <c r="A1252" s="19">
        <v>1246</v>
      </c>
      <c r="B1252" s="17">
        <f>IF($B$4="표준",'2.치형좌표'!D1251,'2.치형좌표'!G1251)</f>
        <v>-28.735266266884629</v>
      </c>
      <c r="C1252" s="17">
        <f>IF($B$4="표준",'2.치형좌표'!E1251,'2.치형좌표'!H1251)</f>
        <v>71.244815565934488</v>
      </c>
      <c r="D1252" s="6" t="str">
        <f t="shared" si="19"/>
        <v>-28.73527,71.24482</v>
      </c>
    </row>
    <row r="1253" spans="1:4" x14ac:dyDescent="0.3">
      <c r="A1253" s="19">
        <v>1247</v>
      </c>
      <c r="B1253" s="17">
        <f>IF($B$4="표준",'2.치형좌표'!D1252,'2.치형좌표'!G1252)</f>
        <v>-27.348329557910585</v>
      </c>
      <c r="C1253" s="17">
        <f>IF($B$4="표준",'2.치형좌표'!E1252,'2.치형좌표'!H1252)</f>
        <v>71.440124232677562</v>
      </c>
      <c r="D1253" s="6" t="str">
        <f t="shared" si="19"/>
        <v>-27.34833,71.44012</v>
      </c>
    </row>
    <row r="1254" spans="1:4" x14ac:dyDescent="0.3">
      <c r="A1254" s="19">
        <v>1248</v>
      </c>
      <c r="B1254" s="17">
        <f>IF($B$4="표준",'2.치형좌표'!D1253,'2.치형좌표'!G1253)</f>
        <v>-26.0351043407567</v>
      </c>
      <c r="C1254" s="17">
        <f>IF($B$4="표준",'2.치형좌표'!E1253,'2.치형좌표'!H1253)</f>
        <v>72.127910560866027</v>
      </c>
      <c r="D1254" s="6" t="str">
        <f t="shared" si="19"/>
        <v>-26.03510,72.12791</v>
      </c>
    </row>
    <row r="1255" spans="1:4" x14ac:dyDescent="0.3">
      <c r="A1255" s="19">
        <v>1249</v>
      </c>
      <c r="B1255" s="17">
        <f>IF($B$4="표준",'2.치형좌표'!D1254,'2.치형좌표'!G1254)</f>
        <v>-25.249582268627051</v>
      </c>
      <c r="C1255" s="17">
        <f>IF($B$4="표준",'2.치형좌표'!E1254,'2.치형좌표'!H1254)</f>
        <v>72.916751171660422</v>
      </c>
      <c r="D1255" s="6" t="str">
        <f t="shared" si="19"/>
        <v>-25.24958,72.91675</v>
      </c>
    </row>
    <row r="1256" spans="1:4" x14ac:dyDescent="0.3">
      <c r="A1256" s="19">
        <v>1250</v>
      </c>
      <c r="B1256" s="17">
        <f>IF($B$4="표준",'2.치형좌표'!D1255,'2.치형좌표'!G1255)</f>
        <v>-24.866774911476892</v>
      </c>
      <c r="C1256" s="17">
        <f>IF($B$4="표준",'2.치형좌표'!E1255,'2.치형좌표'!H1255)</f>
        <v>73.499394975167931</v>
      </c>
      <c r="D1256" s="6" t="str">
        <f t="shared" si="19"/>
        <v>-24.86677,73.49939</v>
      </c>
    </row>
    <row r="1257" spans="1:4" x14ac:dyDescent="0.3">
      <c r="A1257" s="19">
        <v>1251</v>
      </c>
      <c r="B1257" s="17">
        <f>IF($B$4="표준",'2.치형좌표'!D1256,'2.치형좌표'!G1256)</f>
        <v>-24.673490272340032</v>
      </c>
      <c r="C1257" s="17">
        <f>IF($B$4="표준",'2.치형좌표'!E1256,'2.치형좌표'!H1256)</f>
        <v>73.878633778532148</v>
      </c>
      <c r="D1257" s="6" t="str">
        <f t="shared" si="19"/>
        <v>-24.67349,73.87863</v>
      </c>
    </row>
    <row r="1258" spans="1:4" x14ac:dyDescent="0.3">
      <c r="A1258" s="19">
        <v>1252</v>
      </c>
      <c r="B1258" s="17">
        <f>IF($B$4="표준",'2.치형좌표'!D1257,'2.치형좌표'!G1257)</f>
        <v>-24.561777554367179</v>
      </c>
      <c r="C1258" s="17">
        <f>IF($B$4="표준",'2.치형좌표'!E1257,'2.치형좌표'!H1257)</f>
        <v>74.128039132424618</v>
      </c>
      <c r="D1258" s="6" t="str">
        <f t="shared" si="19"/>
        <v>-24.56178,74.12804</v>
      </c>
    </row>
    <row r="1259" spans="1:4" x14ac:dyDescent="0.3">
      <c r="A1259" s="19">
        <v>1253</v>
      </c>
      <c r="B1259" s="17">
        <f>IF($B$4="표준",'2.치형좌표'!D1258,'2.치형좌표'!G1258)</f>
        <v>-24.485921666424954</v>
      </c>
      <c r="C1259" s="17">
        <f>IF($B$4="표준",'2.치형좌표'!E1258,'2.치형좌표'!H1258)</f>
        <v>74.303878169668366</v>
      </c>
      <c r="D1259" s="6" t="str">
        <f t="shared" si="19"/>
        <v>-24.48592,74.30388</v>
      </c>
    </row>
    <row r="1260" spans="1:4" x14ac:dyDescent="0.3">
      <c r="A1260" s="19">
        <v>1254</v>
      </c>
      <c r="B1260" s="17">
        <f>IF($B$4="표준",'2.치형좌표'!D1259,'2.치형좌표'!G1259)</f>
        <v>-24.4254155424773</v>
      </c>
      <c r="C1260" s="17">
        <f>IF($B$4="표준",'2.치형좌표'!E1259,'2.치형좌표'!H1259)</f>
        <v>74.440792436253247</v>
      </c>
      <c r="D1260" s="6" t="str">
        <f t="shared" si="19"/>
        <v>-24.42542,74.44079</v>
      </c>
    </row>
    <row r="1261" spans="1:4" x14ac:dyDescent="0.3">
      <c r="A1261" s="19">
        <v>1255</v>
      </c>
      <c r="B1261" s="17">
        <f>IF($B$4="표준",'2.치형좌표'!D1260,'2.치형좌표'!G1260)</f>
        <v>-24.369689696674033</v>
      </c>
      <c r="C1261" s="17">
        <f>IF($B$4="표준",'2.치형좌표'!E1260,'2.치형좌표'!H1260)</f>
        <v>74.559260420015718</v>
      </c>
      <c r="D1261" s="6" t="str">
        <f t="shared" si="19"/>
        <v>-24.36969,74.55926</v>
      </c>
    </row>
    <row r="1262" spans="1:4" x14ac:dyDescent="0.3">
      <c r="A1262" s="19">
        <v>1256</v>
      </c>
      <c r="B1262" s="17">
        <f>IF($B$4="표준",'2.치형좌표'!D1261,'2.치형좌표'!G1261)</f>
        <v>-24.312361040582861</v>
      </c>
      <c r="C1262" s="17">
        <f>IF($B$4="표준",'2.치형좌표'!E1261,'2.치형좌표'!H1261)</f>
        <v>74.671254377031872</v>
      </c>
      <c r="D1262" s="6" t="str">
        <f t="shared" si="19"/>
        <v>-24.31236,74.67125</v>
      </c>
    </row>
    <row r="1263" spans="1:4" x14ac:dyDescent="0.3">
      <c r="A1263" s="19">
        <v>1257</v>
      </c>
      <c r="B1263" s="17">
        <f>IF($B$4="표준",'2.치형좌표'!D1262,'2.치형좌표'!G1262)</f>
        <v>-24.249022867450634</v>
      </c>
      <c r="C1263" s="17">
        <f>IF($B$4="표준",'2.치형좌표'!E1262,'2.치형좌표'!H1262)</f>
        <v>74.783585360768626</v>
      </c>
      <c r="D1263" s="6" t="str">
        <f t="shared" si="19"/>
        <v>-24.24902,74.78359</v>
      </c>
    </row>
    <row r="1264" spans="1:4" x14ac:dyDescent="0.3">
      <c r="A1264" s="19">
        <v>1258</v>
      </c>
      <c r="B1264" s="17">
        <f>IF($B$4="표준",'2.치형좌표'!D1263,'2.치형좌표'!G1263)</f>
        <v>-24.176364687218779</v>
      </c>
      <c r="C1264" s="17">
        <f>IF($B$4="표준",'2.치형좌표'!E1263,'2.치형좌표'!H1263)</f>
        <v>74.899822342072724</v>
      </c>
      <c r="D1264" s="6" t="str">
        <f t="shared" si="19"/>
        <v>-24.17636,74.89982</v>
      </c>
    </row>
    <row r="1265" spans="1:4" x14ac:dyDescent="0.3">
      <c r="A1265" s="19">
        <v>1259</v>
      </c>
      <c r="B1265" s="17">
        <f>IF($B$4="표준",'2.치형좌표'!D1264,'2.치형좌표'!G1264)</f>
        <v>-24.091813938125451</v>
      </c>
      <c r="C1265" s="17">
        <f>IF($B$4="표준",'2.치형좌표'!E1264,'2.치형좌표'!H1264)</f>
        <v>75.021421531049072</v>
      </c>
      <c r="D1265" s="6" t="str">
        <f t="shared" si="19"/>
        <v>-24.09181,75.02142</v>
      </c>
    </row>
    <row r="1266" spans="1:4" x14ac:dyDescent="0.3">
      <c r="A1266" s="19">
        <v>1260</v>
      </c>
      <c r="B1266" s="17">
        <f>IF($B$4="표준",'2.치형좌표'!D1265,'2.치형좌표'!G1265)</f>
        <v>-23.993390810671258</v>
      </c>
      <c r="C1266" s="17">
        <f>IF($B$4="표준",'2.치형좌표'!E1265,'2.치형좌표'!H1265)</f>
        <v>75.148422169810317</v>
      </c>
      <c r="D1266" s="6" t="str">
        <f t="shared" si="19"/>
        <v>-23.99339,75.14842</v>
      </c>
    </row>
    <row r="1267" spans="1:4" x14ac:dyDescent="0.3">
      <c r="A1267" s="19">
        <v>1261</v>
      </c>
      <c r="B1267" s="17">
        <f>IF($B$4="표준",'2.치형좌표'!D1266,'2.치형좌표'!G1266)</f>
        <v>-23.879651295460171</v>
      </c>
      <c r="C1267" s="17">
        <f>IF($B$4="표준",'2.치형좌표'!E1266,'2.치형좌표'!H1266)</f>
        <v>75.279899617571104</v>
      </c>
      <c r="D1267" s="6" t="str">
        <f t="shared" si="19"/>
        <v>-23.87965,75.27990</v>
      </c>
    </row>
    <row r="1268" spans="1:4" x14ac:dyDescent="0.3">
      <c r="A1268" s="19">
        <v>1262</v>
      </c>
      <c r="B1268" s="17">
        <f>IF($B$4="표준",'2.치형좌표'!D1267,'2.치형좌표'!G1267)</f>
        <v>-23.749665072004163</v>
      </c>
      <c r="C1268" s="17">
        <f>IF($B$4="표준",'2.치형좌표'!E1267,'2.치형좌표'!H1267)</f>
        <v>75.414278375229088</v>
      </c>
      <c r="D1268" s="6" t="str">
        <f t="shared" si="19"/>
        <v>-23.74967,75.41428</v>
      </c>
    </row>
    <row r="1269" spans="1:4" x14ac:dyDescent="0.3">
      <c r="A1269" s="19">
        <v>1263</v>
      </c>
      <c r="B1269" s="17">
        <f>IF($B$4="표준",'2.치형좌표'!D1268,'2.치형좌표'!G1268)</f>
        <v>-23.603004297362776</v>
      </c>
      <c r="C1269" s="17">
        <f>IF($B$4="표준",'2.치형좌표'!E1268,'2.치형좌표'!H1268)</f>
        <v>75.54956127218064</v>
      </c>
      <c r="D1269" s="6" t="str">
        <f t="shared" si="19"/>
        <v>-23.60300,75.54956</v>
      </c>
    </row>
    <row r="1270" spans="1:4" x14ac:dyDescent="0.3">
      <c r="A1270" s="19">
        <v>1264</v>
      </c>
      <c r="B1270" s="17">
        <f>IF($B$4="표준",'2.치형좌표'!D1269,'2.치형좌표'!G1269)</f>
        <v>-23.439732172849684</v>
      </c>
      <c r="C1270" s="17">
        <f>IF($B$4="표준",'2.치형좌표'!E1269,'2.치형좌표'!H1269)</f>
        <v>75.683506215242659</v>
      </c>
      <c r="D1270" s="6" t="str">
        <f t="shared" si="19"/>
        <v>-23.43973,75.68351</v>
      </c>
    </row>
    <row r="1271" spans="1:4" x14ac:dyDescent="0.3">
      <c r="A1271" s="19">
        <v>1265</v>
      </c>
      <c r="B1271" s="17">
        <f>IF($B$4="표준",'2.치형좌표'!D1270,'2.치형좌표'!G1270)</f>
        <v>-23.260386066358155</v>
      </c>
      <c r="C1271" s="17">
        <f>IF($B$4="표준",'2.치형좌표'!E1270,'2.치형좌표'!H1270)</f>
        <v>75.813768301434095</v>
      </c>
      <c r="D1271" s="6" t="str">
        <f t="shared" si="19"/>
        <v>-23.26039,75.81377</v>
      </c>
    </row>
    <row r="1272" spans="1:4" x14ac:dyDescent="0.3">
      <c r="A1272" s="19">
        <v>1266</v>
      </c>
      <c r="B1272" s="17">
        <f>IF($B$4="표준",'2.치형좌표'!D1271,'2.치형좌표'!G1271)</f>
        <v>-23.06595284363555</v>
      </c>
      <c r="C1272" s="17">
        <f>IF($B$4="표준",'2.치형좌표'!E1271,'2.치형좌표'!H1271)</f>
        <v>75.938017453952952</v>
      </c>
      <c r="D1272" s="6" t="str">
        <f t="shared" si="19"/>
        <v>-23.06595,75.93802</v>
      </c>
    </row>
    <row r="1273" spans="1:4" x14ac:dyDescent="0.3">
      <c r="A1273" s="19">
        <v>1267</v>
      </c>
      <c r="B1273" s="17">
        <f>IF($B$4="표준",'2.치형좌표'!D1272,'2.치형좌표'!G1272)</f>
        <v>-22.85783555503259</v>
      </c>
      <c r="C1273" s="17">
        <f>IF($B$4="표준",'2.치형좌표'!E1272,'2.치형좌표'!H1272)</f>
        <v>76.054037344507648</v>
      </c>
      <c r="D1273" s="6" t="str">
        <f t="shared" si="19"/>
        <v>-22.85784,76.05404</v>
      </c>
    </row>
    <row r="1274" spans="1:4" x14ac:dyDescent="0.3">
      <c r="A1274" s="19">
        <v>1268</v>
      </c>
      <c r="B1274" s="17">
        <f>IF($B$4="표준",'2.치형좌표'!D1273,'2.치형좌표'!G1273)</f>
        <v>-22.637811455408873</v>
      </c>
      <c r="C1274" s="17">
        <f>IF($B$4="표준",'2.치형좌표'!E1273,'2.치형좌표'!H1273)</f>
        <v>76.159808789759936</v>
      </c>
      <c r="D1274" s="6" t="str">
        <f t="shared" si="19"/>
        <v>-22.63781,76.15981</v>
      </c>
    </row>
    <row r="1275" spans="1:4" x14ac:dyDescent="0.3">
      <c r="A1275" s="19">
        <v>1269</v>
      </c>
      <c r="B1275" s="17">
        <f>IF($B$4="표준",'2.치형좌표'!D1274,'2.치형좌표'!G1274)</f>
        <v>-22.407981831483717</v>
      </c>
      <c r="C1275" s="17">
        <f>IF($B$4="표준",'2.치형좌표'!E1274,'2.치형좌표'!H1274)</f>
        <v>76.253579284402832</v>
      </c>
      <c r="D1275" s="6" t="str">
        <f t="shared" si="19"/>
        <v>-22.40798,76.25358</v>
      </c>
    </row>
    <row r="1276" spans="1:4" x14ac:dyDescent="0.3">
      <c r="A1276" s="19">
        <v>1270</v>
      </c>
      <c r="B1276" s="17">
        <f>IF($B$4="표준",'2.치형좌표'!D1275,'2.치형좌표'!G1275)</f>
        <v>-22.170714425446764</v>
      </c>
      <c r="C1276" s="17">
        <f>IF($B$4="표준",'2.치형좌표'!E1275,'2.치형좌표'!H1275)</f>
        <v>76.333919429105805</v>
      </c>
      <c r="D1276" s="6" t="str">
        <f t="shared" si="19"/>
        <v>-22.17071,76.33392</v>
      </c>
    </row>
    <row r="1277" spans="1:4" x14ac:dyDescent="0.3">
      <c r="A1277" s="19">
        <v>1271</v>
      </c>
      <c r="B1277" s="17">
        <f>IF($B$4="표준",'2.치형좌표'!D1276,'2.치형좌표'!G1276)</f>
        <v>-21.928579447372297</v>
      </c>
      <c r="C1277" s="17">
        <f>IF($B$4="표준",'2.치형좌표'!E1276,'2.치형좌표'!H1276)</f>
        <v>76.399766480887962</v>
      </c>
      <c r="D1277" s="6" t="str">
        <f t="shared" si="19"/>
        <v>-21.92858,76.39977</v>
      </c>
    </row>
    <row r="1278" spans="1:4" x14ac:dyDescent="0.3">
      <c r="A1278" s="19">
        <v>1272</v>
      </c>
      <c r="B1278" s="17">
        <f>IF($B$4="표준",'2.치형좌표'!D1277,'2.치형좌표'!G1277)</f>
        <v>-21.684280293702475</v>
      </c>
      <c r="C1278" s="17">
        <f>IF($B$4="표준",'2.치형좌표'!E1277,'2.치형좌표'!H1277)</f>
        <v>76.450454947747502</v>
      </c>
      <c r="D1278" s="6" t="str">
        <f t="shared" si="19"/>
        <v>-21.68428,76.45045</v>
      </c>
    </row>
    <row r="1279" spans="1:4" x14ac:dyDescent="0.3">
      <c r="A1279" s="19">
        <v>1273</v>
      </c>
      <c r="B1279" s="17">
        <f>IF($B$4="표준",'2.치형좌표'!D1278,'2.치형좌표'!G1278)</f>
        <v>-21.440580145771882</v>
      </c>
      <c r="C1279" s="17">
        <f>IF($B$4="표준",'2.치형좌표'!E1278,'2.치형좌표'!H1278)</f>
        <v>76.485733973565061</v>
      </c>
      <c r="D1279" s="6" t="str">
        <f t="shared" si="19"/>
        <v>-21.44058,76.48573</v>
      </c>
    </row>
    <row r="1280" spans="1:4" x14ac:dyDescent="0.3">
      <c r="A1280" s="19">
        <v>1274</v>
      </c>
      <c r="B1280" s="17">
        <f>IF($B$4="표준",'2.치형좌표'!D1279,'2.치형좌표'!G1279)</f>
        <v>-21.200225609138066</v>
      </c>
      <c r="C1280" s="17">
        <f>IF($B$4="표준",'2.치형좌표'!E1279,'2.치형좌표'!H1279)</f>
        <v>76.505771146531885</v>
      </c>
      <c r="D1280" s="6" t="str">
        <f t="shared" si="19"/>
        <v>-21.20023,76.50577</v>
      </c>
    </row>
    <row r="1281" spans="1:4" x14ac:dyDescent="0.3">
      <c r="A1281" s="19">
        <v>1275</v>
      </c>
      <c r="B1281" s="17">
        <f>IF($B$4="표준",'2.치형좌표'!D1280,'2.치형좌표'!G1280)</f>
        <v>-20.965868458541028</v>
      </c>
      <c r="C1281" s="17">
        <f>IF($B$4="표준",'2.치형좌표'!E1280,'2.치형좌표'!H1280)</f>
        <v>76.511142260033083</v>
      </c>
      <c r="D1281" s="6" t="str">
        <f t="shared" si="19"/>
        <v>-20.96587,76.51114</v>
      </c>
    </row>
    <row r="1282" spans="1:4" x14ac:dyDescent="0.3">
      <c r="A1282" s="19">
        <v>1276</v>
      </c>
      <c r="B1282" s="17">
        <f>IF($B$4="표준",'2.치형좌표'!D1281,'2.치형좌표'!G1281)</f>
        <v>-20.739986348645111</v>
      </c>
      <c r="C1282" s="17">
        <f>IF($B$4="표준",'2.치형좌표'!E1281,'2.치형좌표'!H1281)</f>
        <v>76.50280640497742</v>
      </c>
      <c r="D1282" s="6" t="str">
        <f t="shared" si="19"/>
        <v>-20.73999,76.50281</v>
      </c>
    </row>
    <row r="1283" spans="1:4" x14ac:dyDescent="0.3">
      <c r="A1283" s="19">
        <v>1277</v>
      </c>
      <c r="B1283" s="17">
        <f>IF($B$4="표준",'2.치형좌표'!D1282,'2.치형좌표'!G1282)</f>
        <v>-20.524802990983527</v>
      </c>
      <c r="C1283" s="17">
        <f>IF($B$4="표준",'2.치형좌표'!E1282,'2.치형좌표'!H1282)</f>
        <v>76.482065512124976</v>
      </c>
      <c r="D1283" s="6" t="str">
        <f t="shared" si="19"/>
        <v>-20.52480,76.48207</v>
      </c>
    </row>
    <row r="1284" spans="1:4" x14ac:dyDescent="0.3">
      <c r="A1284" s="19">
        <v>1278</v>
      </c>
      <c r="B1284" s="17">
        <f>IF($B$4="표준",'2.치형좌표'!D1283,'2.치형좌표'!G1283)</f>
        <v>-20.32220770119801</v>
      </c>
      <c r="C1284" s="17">
        <f>IF($B$4="표준",'2.치형좌표'!E1283,'2.치형좌표'!H1283)</f>
        <v>76.450507001823013</v>
      </c>
      <c r="D1284" s="6" t="str">
        <f t="shared" si="19"/>
        <v>-20.32221,76.45051</v>
      </c>
    </row>
    <row r="1285" spans="1:4" x14ac:dyDescent="0.3">
      <c r="A1285" s="19">
        <v>1279</v>
      </c>
      <c r="B1285" s="17">
        <f>IF($B$4="표준",'2.치형좌표'!D1284,'2.치형좌표'!G1284)</f>
        <v>-20.133673241882139</v>
      </c>
      <c r="C1285" s="17">
        <f>IF($B$4="표준",'2.치형좌표'!E1284,'2.치형좌표'!H1284)</f>
        <v>76.409927398997169</v>
      </c>
      <c r="D1285" s="6" t="str">
        <f t="shared" si="19"/>
        <v>-20.13367,76.40993</v>
      </c>
    </row>
    <row r="1286" spans="1:4" x14ac:dyDescent="0.3">
      <c r="A1286" s="19">
        <v>1280</v>
      </c>
      <c r="B1286" s="17">
        <f>IF($B$4="표준",'2.치형좌표'!D1285,'2.치형좌표'!G1285)</f>
        <v>-19.960169257184525</v>
      </c>
      <c r="C1286" s="17">
        <f>IF($B$4="표준",'2.치형좌표'!E1285,'2.치형좌표'!H1285)</f>
        <v>76.362233410717081</v>
      </c>
      <c r="D1286" s="6" t="str">
        <f t="shared" si="19"/>
        <v>-19.96017,76.36223</v>
      </c>
    </row>
    <row r="1287" spans="1:4" x14ac:dyDescent="0.3">
      <c r="A1287" s="19">
        <v>1281</v>
      </c>
      <c r="B1287" s="17">
        <f>IF($B$4="표준",'2.치형좌표'!D1286,'2.치형좌표'!G1286)</f>
        <v>-19.802065808558602</v>
      </c>
      <c r="C1287" s="17">
        <f>IF($B$4="표준",'2.치형좌표'!E1286,'2.치형좌표'!H1286)</f>
        <v>76.309314669668566</v>
      </c>
      <c r="D1287" s="6" t="str">
        <f t="shared" ref="D1287:D1350" si="20">TEXT(B1287,"0.00000")&amp;","&amp;TEXT(C1287,"0.00000")</f>
        <v>-19.80207,76.30931</v>
      </c>
    </row>
    <row r="1288" spans="1:4" x14ac:dyDescent="0.3">
      <c r="A1288" s="19">
        <v>1282</v>
      </c>
      <c r="B1288" s="17">
        <f>IF($B$4="표준",'2.치형좌표'!D1287,'2.치형좌표'!G1287)</f>
        <v>-19.659016583507857</v>
      </c>
      <c r="C1288" s="17">
        <f>IF($B$4="표준",'2.치형좌표'!E1287,'2.치형좌표'!H1287)</f>
        <v>76.252878482218392</v>
      </c>
      <c r="D1288" s="6" t="str">
        <f t="shared" si="20"/>
        <v>-19.65902,76.25288</v>
      </c>
    </row>
    <row r="1289" spans="1:4" x14ac:dyDescent="0.3">
      <c r="A1289" s="19">
        <v>1283</v>
      </c>
      <c r="B1289" s="17">
        <f>IF($B$4="표준",'2.치형좌표'!D1288,'2.치형좌표'!G1288)</f>
        <v>-19.529802243582409</v>
      </c>
      <c r="C1289" s="17">
        <f>IF($B$4="표준",'2.치형좌표'!E1288,'2.치형좌표'!H1288)</f>
        <v>76.194230384272174</v>
      </c>
      <c r="D1289" s="6" t="str">
        <f t="shared" si="20"/>
        <v>-19.52980,76.19423</v>
      </c>
    </row>
    <row r="1290" spans="1:4" x14ac:dyDescent="0.3">
      <c r="A1290" s="19">
        <v>1284</v>
      </c>
      <c r="B1290" s="17">
        <f>IF($B$4="표준",'2.치형좌표'!D1289,'2.치형좌표'!G1289)</f>
        <v>-19.412096840292637</v>
      </c>
      <c r="C1290" s="17">
        <f>IF($B$4="표준",'2.치형좌표'!E1289,'2.치형좌표'!H1289)</f>
        <v>76.133973222842002</v>
      </c>
      <c r="D1290" s="6" t="str">
        <f t="shared" si="20"/>
        <v>-19.41210,76.13397</v>
      </c>
    </row>
    <row r="1291" spans="1:4" x14ac:dyDescent="0.3">
      <c r="A1291" s="19">
        <v>1285</v>
      </c>
      <c r="B1291" s="17">
        <f>IF($B$4="표준",'2.치형좌표'!D1290,'2.치형좌표'!G1290)</f>
        <v>-19.302084854574559</v>
      </c>
      <c r="C1291" s="17">
        <f>IF($B$4="표준",'2.치형좌표'!E1290,'2.치형좌표'!H1290)</f>
        <v>76.071578816967175</v>
      </c>
      <c r="D1291" s="6" t="str">
        <f t="shared" si="20"/>
        <v>-19.30208,76.07158</v>
      </c>
    </row>
    <row r="1292" spans="1:4" x14ac:dyDescent="0.3">
      <c r="A1292" s="19">
        <v>1286</v>
      </c>
      <c r="B1292" s="17">
        <f>IF($B$4="표준",'2.치형좌표'!D1291,'2.치형좌표'!G1291)</f>
        <v>-19.193781551025701</v>
      </c>
      <c r="C1292" s="17">
        <f>IF($B$4="표준",'2.치형좌표'!E1291,'2.치형좌표'!H1291)</f>
        <v>76.004756068163076</v>
      </c>
      <c r="D1292" s="6" t="str">
        <f t="shared" si="20"/>
        <v>-19.19378,76.00476</v>
      </c>
    </row>
    <row r="1293" spans="1:4" x14ac:dyDescent="0.3">
      <c r="A1293" s="19">
        <v>1287</v>
      </c>
      <c r="B1293" s="17">
        <f>IF($B$4="표준",'2.치형좌표'!D1292,'2.치형좌표'!G1292)</f>
        <v>-19.077743097726863</v>
      </c>
      <c r="C1293" s="17">
        <f>IF($B$4="표준",'2.치형좌표'!E1292,'2.치형좌표'!H1292)</f>
        <v>75.928497407557032</v>
      </c>
      <c r="D1293" s="6" t="str">
        <f t="shared" si="20"/>
        <v>-19.07774,75.92850</v>
      </c>
    </row>
    <row r="1294" spans="1:4" x14ac:dyDescent="0.3">
      <c r="A1294" s="19">
        <v>1288</v>
      </c>
      <c r="B1294" s="17">
        <f>IF($B$4="표준",'2.치형좌표'!D1293,'2.치형좌표'!G1293)</f>
        <v>-18.938468110911451</v>
      </c>
      <c r="C1294" s="17">
        <f>IF($B$4="표준",'2.치형좌표'!E1293,'2.치형좌표'!H1293)</f>
        <v>75.833662426991935</v>
      </c>
      <c r="D1294" s="6" t="str">
        <f t="shared" si="20"/>
        <v>-18.93847,75.83366</v>
      </c>
    </row>
    <row r="1295" spans="1:4" x14ac:dyDescent="0.3">
      <c r="A1295" s="19">
        <v>1289</v>
      </c>
      <c r="B1295" s="17">
        <f>IF($B$4="표준",'2.치형좌표'!D1294,'2.치형좌표'!G1294)</f>
        <v>-18.74888816312215</v>
      </c>
      <c r="C1295" s="17">
        <f>IF($B$4="표준",'2.치형좌표'!E1294,'2.치형좌표'!H1294)</f>
        <v>75.70515468817122</v>
      </c>
      <c r="D1295" s="6" t="str">
        <f t="shared" si="20"/>
        <v>-18.74889,75.70515</v>
      </c>
    </row>
    <row r="1296" spans="1:4" x14ac:dyDescent="0.3">
      <c r="A1296" s="19">
        <v>1290</v>
      </c>
      <c r="B1296" s="17">
        <f>IF($B$4="표준",'2.치형좌표'!D1295,'2.치형좌표'!G1295)</f>
        <v>-18.458394937347816</v>
      </c>
      <c r="C1296" s="17">
        <f>IF($B$4="표준",'2.치형좌표'!E1295,'2.치형좌표'!H1295)</f>
        <v>75.521208341782412</v>
      </c>
      <c r="D1296" s="6" t="str">
        <f t="shared" si="20"/>
        <v>-18.45839,75.52121</v>
      </c>
    </row>
    <row r="1297" spans="1:4" x14ac:dyDescent="0.3">
      <c r="A1297" s="19">
        <v>1291</v>
      </c>
      <c r="B1297" s="17">
        <f>IF($B$4="표준",'2.치형좌표'!D1296,'2.치형좌표'!G1296)</f>
        <v>-17.968846254253993</v>
      </c>
      <c r="C1297" s="17">
        <f>IF($B$4="표준",'2.치형좌표'!E1296,'2.치형좌표'!H1296)</f>
        <v>75.262748698810029</v>
      </c>
      <c r="D1297" s="6" t="str">
        <f t="shared" si="20"/>
        <v>-17.96885,75.26275</v>
      </c>
    </row>
    <row r="1298" spans="1:4" x14ac:dyDescent="0.3">
      <c r="A1298" s="19">
        <v>1292</v>
      </c>
      <c r="B1298" s="17">
        <f>IF($B$4="표준",'2.치형좌표'!D1297,'2.치형좌표'!G1297)</f>
        <v>-17.11097340788282</v>
      </c>
      <c r="C1298" s="17">
        <f>IF($B$4="표준",'2.치형좌표'!E1297,'2.치형좌표'!H1297)</f>
        <v>74.968686508500994</v>
      </c>
      <c r="D1298" s="6" t="str">
        <f t="shared" si="20"/>
        <v>-17.11097,74.96869</v>
      </c>
    </row>
    <row r="1299" spans="1:4" x14ac:dyDescent="0.3">
      <c r="A1299" s="19">
        <v>1293</v>
      </c>
      <c r="B1299" s="17">
        <f>IF($B$4="표준",'2.치형좌표'!D1298,'2.치형좌표'!G1298)</f>
        <v>-15.768641988906072</v>
      </c>
      <c r="C1299" s="17">
        <f>IF($B$4="표준",'2.치형좌표'!E1298,'2.치형좌표'!H1298)</f>
        <v>74.874453014211213</v>
      </c>
      <c r="D1299" s="6" t="str">
        <f t="shared" si="20"/>
        <v>-15.76864,74.87445</v>
      </c>
    </row>
    <row r="1300" spans="1:4" x14ac:dyDescent="0.3">
      <c r="A1300" s="19">
        <v>1294</v>
      </c>
      <c r="B1300" s="17">
        <f>IF($B$4="표준",'2.치형좌표'!D1299,'2.치형좌표'!G1299)</f>
        <v>-14.31666319634191</v>
      </c>
      <c r="C1300" s="17">
        <f>IF($B$4="표준",'2.치형좌표'!E1299,'2.치형좌표'!H1299)</f>
        <v>75.273733996393389</v>
      </c>
      <c r="D1300" s="6" t="str">
        <f t="shared" si="20"/>
        <v>-14.31666,75.27373</v>
      </c>
    </row>
    <row r="1301" spans="1:4" x14ac:dyDescent="0.3">
      <c r="A1301" s="19">
        <v>1295</v>
      </c>
      <c r="B1301" s="17">
        <f>IF($B$4="표준",'2.치형좌표'!D1300,'2.치형좌표'!G1300)</f>
        <v>-13.330656345169123</v>
      </c>
      <c r="C1301" s="17">
        <f>IF($B$4="표준",'2.치형좌표'!E1300,'2.치형좌표'!H1300)</f>
        <v>75.927652267284316</v>
      </c>
      <c r="D1301" s="6" t="str">
        <f t="shared" si="20"/>
        <v>-13.33066,75.92765</v>
      </c>
    </row>
    <row r="1302" spans="1:4" x14ac:dyDescent="0.3">
      <c r="A1302" s="19">
        <v>1296</v>
      </c>
      <c r="B1302" s="17">
        <f>IF($B$4="표준",'2.치형좌표'!D1301,'2.치형좌표'!G1301)</f>
        <v>-12.808569555872541</v>
      </c>
      <c r="C1302" s="17">
        <f>IF($B$4="표준",'2.치형좌표'!E1301,'2.치형좌표'!H1301)</f>
        <v>76.469665498181513</v>
      </c>
      <c r="D1302" s="6" t="str">
        <f t="shared" si="20"/>
        <v>-12.80857,76.46967</v>
      </c>
    </row>
    <row r="1303" spans="1:4" x14ac:dyDescent="0.3">
      <c r="A1303" s="19">
        <v>1297</v>
      </c>
      <c r="B1303" s="17">
        <f>IF($B$4="표준",'2.치형좌표'!D1302,'2.치형좌표'!G1302)</f>
        <v>-12.533144912973066</v>
      </c>
      <c r="C1303" s="17">
        <f>IF($B$4="표준",'2.치형좌표'!E1302,'2.치형좌표'!H1302)</f>
        <v>76.835952777918791</v>
      </c>
      <c r="D1303" s="6" t="str">
        <f t="shared" si="20"/>
        <v>-12.53314,76.83595</v>
      </c>
    </row>
    <row r="1304" spans="1:4" x14ac:dyDescent="0.3">
      <c r="A1304" s="19">
        <v>1298</v>
      </c>
      <c r="B1304" s="17">
        <f>IF($B$4="표준",'2.치형좌표'!D1303,'2.치형좌표'!G1303)</f>
        <v>-12.371875479984723</v>
      </c>
      <c r="C1304" s="17">
        <f>IF($B$4="표준",'2.치형좌표'!E1303,'2.치형좌표'!H1303)</f>
        <v>77.078312308156967</v>
      </c>
      <c r="D1304" s="6" t="str">
        <f t="shared" si="20"/>
        <v>-12.37188,77.07831</v>
      </c>
    </row>
    <row r="1305" spans="1:4" x14ac:dyDescent="0.3">
      <c r="A1305" s="19">
        <v>1299</v>
      </c>
      <c r="B1305" s="17">
        <f>IF($B$4="표준",'2.치형좌표'!D1304,'2.치형좌표'!G1304)</f>
        <v>-12.263663832021843</v>
      </c>
      <c r="C1305" s="17">
        <f>IF($B$4="표준",'2.치형좌표'!E1304,'2.치형좌표'!H1304)</f>
        <v>77.247593731407406</v>
      </c>
      <c r="D1305" s="6" t="str">
        <f t="shared" si="20"/>
        <v>-12.26366,77.24759</v>
      </c>
    </row>
    <row r="1306" spans="1:4" x14ac:dyDescent="0.3">
      <c r="A1306" s="19">
        <v>1300</v>
      </c>
      <c r="B1306" s="17">
        <f>IF($B$4="표준",'2.치형좌표'!D1305,'2.치형좌표'!G1305)</f>
        <v>-12.179777221947228</v>
      </c>
      <c r="C1306" s="17">
        <f>IF($B$4="표준",'2.치형좌표'!E1305,'2.치형좌표'!H1305)</f>
        <v>77.377108907446441</v>
      </c>
      <c r="D1306" s="6" t="str">
        <f t="shared" si="20"/>
        <v>-12.17978,77.37711</v>
      </c>
    </row>
    <row r="1307" spans="1:4" x14ac:dyDescent="0.3">
      <c r="A1307" s="19">
        <v>1301</v>
      </c>
      <c r="B1307" s="17">
        <f>IF($B$4="표준",'2.치형좌표'!D1306,'2.치형좌표'!G1306)</f>
        <v>-12.105218110339202</v>
      </c>
      <c r="C1307" s="17">
        <f>IF($B$4="표준",'2.치형좌표'!E1306,'2.치형좌표'!H1306)</f>
        <v>77.486932599754525</v>
      </c>
      <c r="D1307" s="6" t="str">
        <f t="shared" si="20"/>
        <v>-12.10522,77.48693</v>
      </c>
    </row>
    <row r="1308" spans="1:4" x14ac:dyDescent="0.3">
      <c r="A1308" s="19">
        <v>1302</v>
      </c>
      <c r="B1308" s="17">
        <f>IF($B$4="표준",'2.치형좌표'!D1307,'2.치형좌표'!G1307)</f>
        <v>-12.031155884553245</v>
      </c>
      <c r="C1308" s="17">
        <f>IF($B$4="표준",'2.치형좌표'!E1307,'2.치형좌표'!H1307)</f>
        <v>77.588816386783122</v>
      </c>
      <c r="D1308" s="6" t="str">
        <f t="shared" si="20"/>
        <v>-12.03116,77.58882</v>
      </c>
    </row>
    <row r="1309" spans="1:4" x14ac:dyDescent="0.3">
      <c r="A1309" s="19">
        <v>1303</v>
      </c>
      <c r="B1309" s="17">
        <f>IF($B$4="표준",'2.치형좌표'!D1308,'2.치형좌표'!G1308)</f>
        <v>-11.951821518697498</v>
      </c>
      <c r="C1309" s="17">
        <f>IF($B$4="표준",'2.치형좌표'!E1308,'2.치형좌표'!H1308)</f>
        <v>77.689374030455014</v>
      </c>
      <c r="D1309" s="6" t="str">
        <f t="shared" si="20"/>
        <v>-11.95182,77.68937</v>
      </c>
    </row>
    <row r="1310" spans="1:4" x14ac:dyDescent="0.3">
      <c r="A1310" s="19">
        <v>1304</v>
      </c>
      <c r="B1310" s="17">
        <f>IF($B$4="표준",'2.치형좌표'!D1309,'2.치형좌표'!G1309)</f>
        <v>-11.863173549477931</v>
      </c>
      <c r="C1310" s="17">
        <f>IF($B$4="표준",'2.치형좌표'!E1309,'2.치형좌표'!H1309)</f>
        <v>77.791980629873763</v>
      </c>
      <c r="D1310" s="6" t="str">
        <f t="shared" si="20"/>
        <v>-11.86317,77.79198</v>
      </c>
    </row>
    <row r="1311" spans="1:4" x14ac:dyDescent="0.3">
      <c r="A1311" s="19">
        <v>1305</v>
      </c>
      <c r="B1311" s="17">
        <f>IF($B$4="표준",'2.치형좌표'!D1310,'2.치형좌표'!G1310)</f>
        <v>-11.762296137337389</v>
      </c>
      <c r="C1311" s="17">
        <f>IF($B$4="표준",'2.치형좌표'!E1310,'2.치형좌표'!H1310)</f>
        <v>77.897912891733455</v>
      </c>
      <c r="D1311" s="6" t="str">
        <f t="shared" si="20"/>
        <v>-11.76230,77.89791</v>
      </c>
    </row>
    <row r="1312" spans="1:4" x14ac:dyDescent="0.3">
      <c r="A1312" s="19">
        <v>1306</v>
      </c>
      <c r="B1312" s="17">
        <f>IF($B$4="표준",'2.치형좌표'!D1311,'2.치형좌표'!G1311)</f>
        <v>-11.647114317871505</v>
      </c>
      <c r="C1312" s="17">
        <f>IF($B$4="표준",'2.치형좌표'!E1311,'2.치형좌표'!H1311)</f>
        <v>78.007059697341759</v>
      </c>
      <c r="D1312" s="6" t="str">
        <f t="shared" si="20"/>
        <v>-11.64711,78.00706</v>
      </c>
    </row>
    <row r="1313" spans="1:4" x14ac:dyDescent="0.3">
      <c r="A1313" s="19">
        <v>1307</v>
      </c>
      <c r="B1313" s="17">
        <f>IF($B$4="표준",'2.치형좌표'!D1312,'2.치형좌표'!G1312)</f>
        <v>-11.51625157116553</v>
      </c>
      <c r="C1313" s="17">
        <f>IF($B$4="표준",'2.치형좌표'!E1312,'2.치형좌표'!H1312)</f>
        <v>78.118387435243406</v>
      </c>
      <c r="D1313" s="6" t="str">
        <f t="shared" si="20"/>
        <v>-11.51625,78.11839</v>
      </c>
    </row>
    <row r="1314" spans="1:4" x14ac:dyDescent="0.3">
      <c r="A1314" s="19">
        <v>1308</v>
      </c>
      <c r="B1314" s="17">
        <f>IF($B$4="표준",'2.치형좌표'!D1313,'2.치형좌표'!G1313)</f>
        <v>-11.368951762992404</v>
      </c>
      <c r="C1314" s="17">
        <f>IF($B$4="표준",'2.치형좌표'!E1313,'2.치형좌표'!H1313)</f>
        <v>78.230261716968329</v>
      </c>
      <c r="D1314" s="6" t="str">
        <f t="shared" si="20"/>
        <v>-11.36895,78.23026</v>
      </c>
    </row>
    <row r="1315" spans="1:4" x14ac:dyDescent="0.3">
      <c r="A1315" s="19">
        <v>1309</v>
      </c>
      <c r="B1315" s="17">
        <f>IF($B$4="표준",'2.치형좌표'!D1314,'2.치형좌표'!G1314)</f>
        <v>-11.205028915192198</v>
      </c>
      <c r="C1315" s="17">
        <f>IF($B$4="표준",'2.치형좌표'!E1314,'2.치형좌표'!H1314)</f>
        <v>78.340681942528121</v>
      </c>
      <c r="D1315" s="6" t="str">
        <f t="shared" si="20"/>
        <v>-11.20503,78.34068</v>
      </c>
    </row>
    <row r="1316" spans="1:4" x14ac:dyDescent="0.3">
      <c r="A1316" s="19">
        <v>1310</v>
      </c>
      <c r="B1316" s="17">
        <f>IF($B$4="표준",'2.치형좌표'!D1315,'2.치형좌표'!G1315)</f>
        <v>-11.024826969046682</v>
      </c>
      <c r="C1316" s="17">
        <f>IF($B$4="표준",'2.치형좌표'!E1315,'2.치형좌표'!H1315)</f>
        <v>78.447460571832352</v>
      </c>
      <c r="D1316" s="6" t="str">
        <f t="shared" si="20"/>
        <v>-11.02483,78.44746</v>
      </c>
    </row>
    <row r="1317" spans="1:4" x14ac:dyDescent="0.3">
      <c r="A1317" s="19">
        <v>1311</v>
      </c>
      <c r="B1317" s="17">
        <f>IF($B$4="표준",'2.치형좌표'!D1316,'2.치형좌표'!G1316)</f>
        <v>-10.829180631824759</v>
      </c>
      <c r="C1317" s="17">
        <f>IF($B$4="표준",'2.치형좌표'!E1316,'2.치형좌표'!H1316)</f>
        <v>78.548365321322748</v>
      </c>
      <c r="D1317" s="6" t="str">
        <f t="shared" si="20"/>
        <v>-10.82918,78.54837</v>
      </c>
    </row>
    <row r="1318" spans="1:4" x14ac:dyDescent="0.3">
      <c r="A1318" s="19">
        <v>1312</v>
      </c>
      <c r="B1318" s="17">
        <f>IF($B$4="표준",'2.치형좌표'!D1317,'2.치형좌표'!G1317)</f>
        <v>-10.619372891942509</v>
      </c>
      <c r="C1318" s="17">
        <f>IF($B$4="표준",'2.치형좌표'!E1317,'2.치형좌표'!H1317)</f>
        <v>78.641234788836272</v>
      </c>
      <c r="D1318" s="6" t="str">
        <f t="shared" si="20"/>
        <v>-10.61937,78.64123</v>
      </c>
    </row>
    <row r="1319" spans="1:4" x14ac:dyDescent="0.3">
      <c r="A1319" s="19">
        <v>1313</v>
      </c>
      <c r="B1319" s="17">
        <f>IF($B$4="표준",'2.치형좌표'!D1318,'2.치형좌표'!G1318)</f>
        <v>-10.397087178056168</v>
      </c>
      <c r="C1319" s="17">
        <f>IF($B$4="표준",'2.치형좌표'!E1318,'2.치형좌표'!H1318)</f>
        <v>78.724073555253057</v>
      </c>
      <c r="D1319" s="6" t="str">
        <f t="shared" si="20"/>
        <v>-10.39709,78.72407</v>
      </c>
    </row>
    <row r="1320" spans="1:4" x14ac:dyDescent="0.3">
      <c r="A1320" s="19">
        <v>1314</v>
      </c>
      <c r="B1320" s="17">
        <f>IF($B$4="표준",'2.치형좌표'!D1319,'2.치형좌표'!G1319)</f>
        <v>-10.164353479107939</v>
      </c>
      <c r="C1320" s="17">
        <f>IF($B$4="표준",'2.치형좌표'!E1319,'2.치형좌표'!H1319)</f>
        <v>78.795130199223649</v>
      </c>
      <c r="D1320" s="6" t="str">
        <f t="shared" si="20"/>
        <v>-10.16435,78.79513</v>
      </c>
    </row>
    <row r="1321" spans="1:4" x14ac:dyDescent="0.3">
      <c r="A1321" s="19">
        <v>1315</v>
      </c>
      <c r="B1321" s="17">
        <f>IF($B$4="표준",'2.치형좌표'!D1320,'2.치형좌표'!G1320)</f>
        <v>-9.923488535757425</v>
      </c>
      <c r="C1321" s="17">
        <f>IF($B$4="표준",'2.치형좌표'!E1320,'2.치형좌표'!H1320)</f>
        <v>78.852960115850095</v>
      </c>
      <c r="D1321" s="6" t="str">
        <f t="shared" si="20"/>
        <v>-9.92349,78.85296</v>
      </c>
    </row>
    <row r="1322" spans="1:4" x14ac:dyDescent="0.3">
      <c r="A1322" s="19">
        <v>1316</v>
      </c>
      <c r="B1322" s="17">
        <f>IF($B$4="표준",'2.치형좌표'!D1321,'2.치형좌표'!G1321)</f>
        <v>-9.6770307030498035</v>
      </c>
      <c r="C1322" s="17">
        <f>IF($B$4="표준",'2.치형좌표'!E1321,'2.치형좌표'!H1321)</f>
        <v>78.896474116478217</v>
      </c>
      <c r="D1322" s="6" t="str">
        <f t="shared" si="20"/>
        <v>-9.67703,78.89647</v>
      </c>
    </row>
    <row r="1323" spans="1:4" x14ac:dyDescent="0.3">
      <c r="A1323" s="19">
        <v>1317</v>
      </c>
      <c r="B1323" s="17">
        <f>IF($B$4="표준",'2.치형좌표'!D1322,'2.치형좌표'!G1322)</f>
        <v>-9.4276703918618114</v>
      </c>
      <c r="C1323" s="17">
        <f>IF($B$4="표준",'2.치형좌표'!E1322,'2.치형좌표'!H1322)</f>
        <v>78.9249732525399</v>
      </c>
      <c r="D1323" s="6" t="str">
        <f t="shared" si="20"/>
        <v>-9.42767,78.92497</v>
      </c>
    </row>
    <row r="1324" spans="1:4" x14ac:dyDescent="0.3">
      <c r="A1324" s="19">
        <v>1318</v>
      </c>
      <c r="B1324" s="17">
        <f>IF($B$4="표준",'2.치형좌표'!D1323,'2.치형좌표'!G1323)</f>
        <v>-9.1781771841186028</v>
      </c>
      <c r="C1324" s="17">
        <f>IF($B$4="표준",'2.치형좌표'!E1323,'2.치형좌표'!H1323)</f>
        <v>78.938169999305117</v>
      </c>
      <c r="D1324" s="6" t="str">
        <f t="shared" si="20"/>
        <v>-9.17818,78.93817</v>
      </c>
    </row>
    <row r="1325" spans="1:4" x14ac:dyDescent="0.3">
      <c r="A1325" s="19">
        <v>1319</v>
      </c>
      <c r="B1325" s="17">
        <f>IF($B$4="표준",'2.치형좌표'!D1324,'2.치형좌표'!G1324)</f>
        <v>-8.9313248135581755</v>
      </c>
      <c r="C1325" s="17">
        <f>IF($B$4="표준",'2.치형좌표'!E1324,'2.치형좌표'!H1324)</f>
        <v>78.93619575767012</v>
      </c>
      <c r="D1325" s="6" t="str">
        <f t="shared" si="20"/>
        <v>-8.93132,78.93620</v>
      </c>
    </row>
    <row r="1326" spans="1:4" x14ac:dyDescent="0.3">
      <c r="A1326" s="19">
        <v>1320</v>
      </c>
      <c r="B1326" s="17">
        <f>IF($B$4="표준",'2.치형좌표'!D1325,'2.치형좌표'!G1325)</f>
        <v>-8.6898152209972821</v>
      </c>
      <c r="C1326" s="17">
        <f>IF($B$4="표준",'2.치형좌표'!E1325,'2.치형좌표'!H1325)</f>
        <v>78.919594514591026</v>
      </c>
      <c r="D1326" s="6" t="str">
        <f t="shared" si="20"/>
        <v>-8.68982,78.91959</v>
      </c>
    </row>
    <row r="1327" spans="1:4" x14ac:dyDescent="0.3">
      <c r="A1327" s="19">
        <v>1321</v>
      </c>
      <c r="B1327" s="17">
        <f>IF($B$4="표준",'2.치형좌표'!D1326,'2.치형좌표'!G1326)</f>
        <v>-8.4562028286018851</v>
      </c>
      <c r="C1327" s="17">
        <f>IF($B$4="표준",'2.치형좌표'!E1326,'2.치형좌표'!H1326)</f>
        <v>78.889302388742905</v>
      </c>
      <c r="D1327" s="6" t="str">
        <f t="shared" si="20"/>
        <v>-8.45620,78.88930</v>
      </c>
    </row>
    <row r="1328" spans="1:4" x14ac:dyDescent="0.3">
      <c r="A1328" s="19">
        <v>1322</v>
      </c>
      <c r="B1328" s="17">
        <f>IF($B$4="표준",'2.치형좌표'!D1327,'2.치형좌표'!G1327)</f>
        <v>-8.2328200168275387</v>
      </c>
      <c r="C1328" s="17">
        <f>IF($B$4="표준",'2.치형좌표'!E1327,'2.치형좌표'!H1327)</f>
        <v>78.846612620911245</v>
      </c>
      <c r="D1328" s="6" t="str">
        <f t="shared" si="20"/>
        <v>-8.23282,78.84661</v>
      </c>
    </row>
    <row r="1329" spans="1:4" x14ac:dyDescent="0.3">
      <c r="A1329" s="19">
        <v>1323</v>
      </c>
      <c r="B1329" s="17">
        <f>IF($B$4="표준",'2.치형좌표'!D1328,'2.치형좌표'!G1328)</f>
        <v>-8.0217044985365629</v>
      </c>
      <c r="C1329" s="17">
        <f>IF($B$4="표준",'2.치형좌표'!E1328,'2.치형좌표'!H1328)</f>
        <v>78.793125280092369</v>
      </c>
      <c r="D1329" s="6" t="str">
        <f t="shared" si="20"/>
        <v>-8.02170,78.79313</v>
      </c>
    </row>
    <row r="1330" spans="1:4" x14ac:dyDescent="0.3">
      <c r="A1330" s="19">
        <v>1324</v>
      </c>
      <c r="B1330" s="17">
        <f>IF($B$4="표준",'2.치형좌표'!D1329,'2.치형좌표'!G1329)</f>
        <v>-7.8245288072595791</v>
      </c>
      <c r="C1330" s="17">
        <f>IF($B$4="표준",'2.치형좌표'!E1329,'2.치형좌표'!H1329)</f>
        <v>78.730680450303737</v>
      </c>
      <c r="D1330" s="6" t="str">
        <f t="shared" si="20"/>
        <v>-7.82453,78.73068</v>
      </c>
    </row>
    <row r="1331" spans="1:4" x14ac:dyDescent="0.3">
      <c r="A1331" s="19">
        <v>1325</v>
      </c>
      <c r="B1331" s="17">
        <f>IF($B$4="표준",'2.치형좌표'!D1330,'2.치형좌표'!G1330)</f>
        <v>-7.6425313398102466</v>
      </c>
      <c r="C1331" s="17">
        <f>IF($B$4="표준",'2.치형좌표'!E1330,'2.치형좌표'!H1330)</f>
        <v>78.661272791505155</v>
      </c>
      <c r="D1331" s="6" t="str">
        <f t="shared" si="20"/>
        <v>-7.64253,78.66127</v>
      </c>
    </row>
    <row r="1332" spans="1:4" x14ac:dyDescent="0.3">
      <c r="A1332" s="19">
        <v>1326</v>
      </c>
      <c r="B1332" s="17">
        <f>IF($B$4="표준",'2.치형좌표'!D1331,'2.치형좌표'!G1331)</f>
        <v>-7.4764471101808576</v>
      </c>
      <c r="C1332" s="17">
        <f>IF($B$4="표준",'2.치형좌표'!E1331,'2.치형좌표'!H1331)</f>
        <v>78.586943888269559</v>
      </c>
      <c r="D1332" s="6" t="str">
        <f t="shared" si="20"/>
        <v>-7.47645,78.58694</v>
      </c>
    </row>
    <row r="1333" spans="1:4" x14ac:dyDescent="0.3">
      <c r="A1333" s="19">
        <v>1327</v>
      </c>
      <c r="B1333" s="17">
        <f>IF($B$4="표준",'2.치형좌표'!D1332,'2.치형좌표'!G1332)</f>
        <v>-7.3264341840558869</v>
      </c>
      <c r="C1333" s="17">
        <f>IF($B$4="표준",'2.치형좌표'!E1332,'2.치형좌표'!H1332)</f>
        <v>78.509646299236962</v>
      </c>
      <c r="D1333" s="6" t="str">
        <f t="shared" si="20"/>
        <v>-7.32643,78.50965</v>
      </c>
    </row>
    <row r="1334" spans="1:4" x14ac:dyDescent="0.3">
      <c r="A1334" s="19">
        <v>1328</v>
      </c>
      <c r="B1334" s="17">
        <f>IF($B$4="표준",'2.치형좌표'!D1333,'2.치형좌표'!G1333)</f>
        <v>-7.1919878834176014</v>
      </c>
      <c r="C1334" s="17">
        <f>IF($B$4="표준",'2.치형좌표'!E1333,'2.치형좌표'!H1333)</f>
        <v>78.431068977060505</v>
      </c>
      <c r="D1334" s="6" t="str">
        <f t="shared" si="20"/>
        <v>-7.19199,78.43107</v>
      </c>
    </row>
    <row r="1335" spans="1:4" x14ac:dyDescent="0.3">
      <c r="A1335" s="19">
        <v>1329</v>
      </c>
      <c r="B1335" s="17">
        <f>IF($B$4="표준",'2.치형좌표'!D1334,'2.치형좌표'!G1334)</f>
        <v>-7.0718276598387497</v>
      </c>
      <c r="C1335" s="17">
        <f>IF($B$4="표준",'2.치형좌표'!E1334,'2.치형좌표'!H1334)</f>
        <v>78.352406454613401</v>
      </c>
      <c r="D1335" s="6" t="str">
        <f t="shared" si="20"/>
        <v>-7.07183,78.35241</v>
      </c>
    </row>
    <row r="1336" spans="1:4" x14ac:dyDescent="0.3">
      <c r="A1336" s="19">
        <v>1330</v>
      </c>
      <c r="B1336" s="17">
        <f>IF($B$4="표준",'2.치형좌표'!D1335,'2.치형좌표'!G1335)</f>
        <v>-6.9637275704762747</v>
      </c>
      <c r="C1336" s="17">
        <f>IF($B$4="표준",'2.치형좌표'!E1335,'2.치형좌표'!H1335)</f>
        <v>78.274041569210155</v>
      </c>
      <c r="D1336" s="6" t="str">
        <f t="shared" si="20"/>
        <v>-6.96373,78.27404</v>
      </c>
    </row>
    <row r="1337" spans="1:4" x14ac:dyDescent="0.3">
      <c r="A1337" s="19">
        <v>1331</v>
      </c>
      <c r="B1337" s="17">
        <f>IF($B$4="표준",'2.치형좌표'!D1336,'2.치형좌표'!G1336)</f>
        <v>-6.8642328122644418</v>
      </c>
      <c r="C1337" s="17">
        <f>IF($B$4="표준",'2.치형좌표'!E1336,'2.치형좌표'!H1336)</f>
        <v>78.195089391751523</v>
      </c>
      <c r="D1337" s="6" t="str">
        <f t="shared" si="20"/>
        <v>-6.86423,78.19509</v>
      </c>
    </row>
    <row r="1338" spans="1:4" x14ac:dyDescent="0.3">
      <c r="A1338" s="19">
        <v>1332</v>
      </c>
      <c r="B1338" s="17">
        <f>IF($B$4="표준",'2.치형좌표'!D1337,'2.치형좌표'!G1337)</f>
        <v>-6.7681436539713076</v>
      </c>
      <c r="C1338" s="17">
        <f>IF($B$4="표준",'2.치형좌표'!E1337,'2.치형좌표'!H1337)</f>
        <v>78.112711544176776</v>
      </c>
      <c r="D1338" s="6" t="str">
        <f t="shared" si="20"/>
        <v>-6.76814,78.11271</v>
      </c>
    </row>
    <row r="1339" spans="1:4" x14ac:dyDescent="0.3">
      <c r="A1339" s="19">
        <v>1333</v>
      </c>
      <c r="B1339" s="17">
        <f>IF($B$4="표준",'2.치형좌표'!D1338,'2.치형좌표'!G1338)</f>
        <v>-6.6675099384192551</v>
      </c>
      <c r="C1339" s="17">
        <f>IF($B$4="표준",'2.치형좌표'!E1338,'2.치형좌표'!H1338)</f>
        <v>78.021046361688491</v>
      </c>
      <c r="D1339" s="6" t="str">
        <f t="shared" si="20"/>
        <v>-6.66751,78.02105</v>
      </c>
    </row>
    <row r="1340" spans="1:4" x14ac:dyDescent="0.3">
      <c r="A1340" s="19">
        <v>1334</v>
      </c>
      <c r="B1340" s="17">
        <f>IF($B$4="표준",'2.치형좌표'!D1339,'2.치형좌표'!G1339)</f>
        <v>-6.5495512636039308</v>
      </c>
      <c r="C1340" s="17">
        <f>IF($B$4="표준",'2.치형좌표'!E1339,'2.치형좌표'!H1339)</f>
        <v>77.909515097172985</v>
      </c>
      <c r="D1340" s="6" t="str">
        <f t="shared" si="20"/>
        <v>-6.54955,77.90952</v>
      </c>
    </row>
    <row r="1341" spans="1:4" x14ac:dyDescent="0.3">
      <c r="A1341" s="19">
        <v>1335</v>
      </c>
      <c r="B1341" s="17">
        <f>IF($B$4="표준",'2.치형좌표'!D1340,'2.치형좌표'!G1340)</f>
        <v>-6.392113189696059</v>
      </c>
      <c r="C1341" s="17">
        <f>IF($B$4="표준",'2.치형좌표'!E1340,'2.치형좌표'!H1340)</f>
        <v>77.760267166691818</v>
      </c>
      <c r="D1341" s="6" t="str">
        <f t="shared" si="20"/>
        <v>-6.39211,77.76027</v>
      </c>
    </row>
    <row r="1342" spans="1:4" x14ac:dyDescent="0.3">
      <c r="A1342" s="19">
        <v>1336</v>
      </c>
      <c r="B1342" s="17">
        <f>IF($B$4="표준",'2.치형좌표'!D1341,'2.치형좌표'!G1341)</f>
        <v>-6.1533545683820705</v>
      </c>
      <c r="C1342" s="17">
        <f>IF($B$4="표준",'2.치형좌표'!E1341,'2.치형좌표'!H1341)</f>
        <v>77.545342157612197</v>
      </c>
      <c r="D1342" s="6" t="str">
        <f t="shared" si="20"/>
        <v>-6.15335,77.54534</v>
      </c>
    </row>
    <row r="1343" spans="1:4" x14ac:dyDescent="0.3">
      <c r="A1343" s="19">
        <v>1337</v>
      </c>
      <c r="B1343" s="17">
        <f>IF($B$4="표준",'2.치형좌표'!D1342,'2.치형좌표'!G1342)</f>
        <v>-5.749085590656315</v>
      </c>
      <c r="C1343" s="17">
        <f>IF($B$4="표준",'2.치형좌표'!E1342,'2.치형좌표'!H1342)</f>
        <v>77.229558722226315</v>
      </c>
      <c r="D1343" s="6" t="str">
        <f t="shared" si="20"/>
        <v>-5.74909,77.22956</v>
      </c>
    </row>
    <row r="1344" spans="1:4" x14ac:dyDescent="0.3">
      <c r="A1344" s="19">
        <v>1338</v>
      </c>
      <c r="B1344" s="17">
        <f>IF($B$4="표준",'2.치형좌표'!D1343,'2.치형좌표'!G1343)</f>
        <v>-5.0185384844798477</v>
      </c>
      <c r="C1344" s="17">
        <f>IF($B$4="표준",'2.치형좌표'!E1343,'2.치형좌표'!H1343)</f>
        <v>76.809677878102605</v>
      </c>
      <c r="D1344" s="6" t="str">
        <f t="shared" si="20"/>
        <v>-5.01854,76.80968</v>
      </c>
    </row>
    <row r="1345" spans="1:4" x14ac:dyDescent="0.3">
      <c r="A1345" s="19">
        <v>1339</v>
      </c>
      <c r="B1345" s="17">
        <f>IF($B$4="표준",'2.치형좌표'!D1344,'2.치형좌표'!G1344)</f>
        <v>-3.7839317701869177</v>
      </c>
      <c r="C1345" s="17">
        <f>IF($B$4="표준",'2.치형좌표'!E1344,'2.치형좌표'!H1344)</f>
        <v>76.457293904318107</v>
      </c>
      <c r="D1345" s="6" t="str">
        <f t="shared" si="20"/>
        <v>-3.78393,76.45729</v>
      </c>
    </row>
    <row r="1346" spans="1:4" x14ac:dyDescent="0.3">
      <c r="A1346" s="19">
        <v>1340</v>
      </c>
      <c r="B1346" s="17">
        <f>IF($B$4="표준",'2.치형좌표'!D1345,'2.치형좌표'!G1345)</f>
        <v>-2.2699963900020643</v>
      </c>
      <c r="C1346" s="17">
        <f>IF($B$4="표준",'2.치형좌표'!E1345,'2.치형좌표'!H1345)</f>
        <v>76.538670020367107</v>
      </c>
      <c r="D1346" s="6" t="str">
        <f t="shared" si="20"/>
        <v>-2.27000,76.53867</v>
      </c>
    </row>
    <row r="1347" spans="1:4" x14ac:dyDescent="0.3">
      <c r="A1347" s="19">
        <v>1341</v>
      </c>
      <c r="B1347" s="17">
        <f>IF($B$4="표준",'2.치형좌표'!D1346,'2.치형좌표'!G1346)</f>
        <v>-1.108620851437085</v>
      </c>
      <c r="C1347" s="17">
        <f>IF($B$4="표준",'2.치형좌표'!E1346,'2.치형좌표'!H1346)</f>
        <v>77.004095928753259</v>
      </c>
      <c r="D1347" s="6" t="str">
        <f t="shared" si="20"/>
        <v>-1.10862,77.00410</v>
      </c>
    </row>
    <row r="1348" spans="1:4" x14ac:dyDescent="0.3">
      <c r="A1348" s="19">
        <v>1342</v>
      </c>
      <c r="B1348" s="17">
        <f>IF($B$4="표준",'2.치형좌표'!D1347,'2.치형좌표'!G1347)</f>
        <v>-0.44630059500004821</v>
      </c>
      <c r="C1348" s="17">
        <f>IF($B$4="표준",'2.치형좌표'!E1347,'2.치형좌표'!H1347)</f>
        <v>77.473352927203706</v>
      </c>
      <c r="D1348" s="6" t="str">
        <f t="shared" si="20"/>
        <v>-0.44630,77.47335</v>
      </c>
    </row>
    <row r="1349" spans="1:4" x14ac:dyDescent="0.3">
      <c r="A1349" s="19">
        <v>1343</v>
      </c>
      <c r="B1349" s="17">
        <f>IF($B$4="표준",'2.치형좌표'!D1348,'2.치형좌표'!G1348)</f>
        <v>-8.5277123510475228E-2</v>
      </c>
      <c r="C1349" s="17">
        <f>IF($B$4="표준",'2.치형좌표'!E1348,'2.치형좌표'!H1348)</f>
        <v>77.81046929456015</v>
      </c>
      <c r="D1349" s="6" t="str">
        <f t="shared" si="20"/>
        <v>-0.08528,77.81047</v>
      </c>
    </row>
    <row r="1350" spans="1:4" x14ac:dyDescent="0.3">
      <c r="A1350" s="19">
        <v>1344</v>
      </c>
      <c r="B1350" s="17">
        <f>IF($B$4="표준",'2.치형좌표'!D1349,'2.치형좌표'!G1349)</f>
        <v>0.12744400644848919</v>
      </c>
      <c r="C1350" s="17">
        <f>IF($B$4="표준",'2.치형좌표'!E1349,'2.치형좌표'!H1349)</f>
        <v>78.036959628003288</v>
      </c>
      <c r="D1350" s="6" t="str">
        <f t="shared" si="20"/>
        <v>0.12744,78.03696</v>
      </c>
    </row>
    <row r="1351" spans="1:4" x14ac:dyDescent="0.3">
      <c r="A1351" s="19">
        <v>1345</v>
      </c>
      <c r="B1351" s="17">
        <f>IF($B$4="표준",'2.치형좌표'!D1350,'2.치형좌표'!G1350)</f>
        <v>0.268503059731793</v>
      </c>
      <c r="C1351" s="17">
        <f>IF($B$4="표준",'2.치형좌표'!E1350,'2.치형좌표'!H1350)</f>
        <v>78.194315847722308</v>
      </c>
      <c r="D1351" s="6" t="str">
        <f t="shared" ref="D1351:D1414" si="21">TEXT(B1351,"0.00000")&amp;","&amp;TEXT(C1351,"0.00000")</f>
        <v>0.26850,78.19432</v>
      </c>
    </row>
    <row r="1352" spans="1:4" x14ac:dyDescent="0.3">
      <c r="A1352" s="19">
        <v>1346</v>
      </c>
      <c r="B1352" s="17">
        <f>IF($B$4="표준",'2.치형좌표'!D1351,'2.치형좌표'!G1351)</f>
        <v>0.37531860469738865</v>
      </c>
      <c r="C1352" s="17">
        <f>IF($B$4="표준",'2.치형좌표'!E1351,'2.치형좌표'!H1351)</f>
        <v>78.312775901587642</v>
      </c>
      <c r="D1352" s="6" t="str">
        <f t="shared" si="21"/>
        <v>0.37532,78.31278</v>
      </c>
    </row>
    <row r="1353" spans="1:4" x14ac:dyDescent="0.3">
      <c r="A1353" s="19">
        <v>1347</v>
      </c>
      <c r="B1353" s="17">
        <f>IF($B$4="표준",'2.치형좌표'!D1352,'2.치형좌표'!G1352)</f>
        <v>0.46761133708321245</v>
      </c>
      <c r="C1353" s="17">
        <f>IF($B$4="표준",'2.치형좌표'!E1352,'2.치형좌표'!H1352)</f>
        <v>78.411170051547614</v>
      </c>
      <c r="D1353" s="6" t="str">
        <f t="shared" si="21"/>
        <v>0.46761,78.41117</v>
      </c>
    </row>
    <row r="1354" spans="1:4" x14ac:dyDescent="0.3">
      <c r="A1354" s="19">
        <v>1348</v>
      </c>
      <c r="B1354" s="17">
        <f>IF($B$4="표준",'2.치형좌표'!D1353,'2.치형좌표'!G1353)</f>
        <v>0.55681802567350114</v>
      </c>
      <c r="C1354" s="17">
        <f>IF($B$4="표준",'2.치형좌표'!E1353,'2.치형좌표'!H1353)</f>
        <v>78.500591366435458</v>
      </c>
      <c r="D1354" s="6" t="str">
        <f t="shared" si="21"/>
        <v>0.55682,78.50059</v>
      </c>
    </row>
    <row r="1355" spans="1:4" x14ac:dyDescent="0.3">
      <c r="A1355" s="19">
        <v>1349</v>
      </c>
      <c r="B1355" s="17">
        <f>IF($B$4="표준",'2.치형좌표'!D1354,'2.치형좌표'!G1354)</f>
        <v>0.65014884678924045</v>
      </c>
      <c r="C1355" s="17">
        <f>IF($B$4="표준",'2.치형좌표'!E1354,'2.치형좌표'!H1354)</f>
        <v>78.58721873822013</v>
      </c>
      <c r="D1355" s="6" t="str">
        <f t="shared" si="21"/>
        <v>0.65015,78.58722</v>
      </c>
    </row>
    <row r="1356" spans="1:4" x14ac:dyDescent="0.3">
      <c r="A1356" s="19">
        <v>1350</v>
      </c>
      <c r="B1356" s="17">
        <f>IF($B$4="표준",'2.치형좌표'!D1355,'2.치형좌표'!G1355)</f>
        <v>0.75241215115362725</v>
      </c>
      <c r="C1356" s="17">
        <f>IF($B$4="표준",'2.치형좌표'!E1355,'2.치형좌표'!H1355)</f>
        <v>78.674105249835293</v>
      </c>
      <c r="D1356" s="6" t="str">
        <f t="shared" si="21"/>
        <v>0.75241,78.67411</v>
      </c>
    </row>
    <row r="1357" spans="1:4" x14ac:dyDescent="0.3">
      <c r="A1357" s="19">
        <v>1351</v>
      </c>
      <c r="B1357" s="17">
        <f>IF($B$4="표준",'2.치형좌표'!D1356,'2.치형좌표'!G1356)</f>
        <v>0.86688138602334242</v>
      </c>
      <c r="C1357" s="17">
        <f>IF($B$4="표준",'2.치형좌표'!E1356,'2.치형좌표'!H1356)</f>
        <v>78.762284394631052</v>
      </c>
      <c r="D1357" s="6" t="str">
        <f t="shared" si="21"/>
        <v>0.86688,78.76228</v>
      </c>
    </row>
    <row r="1358" spans="1:4" x14ac:dyDescent="0.3">
      <c r="A1358" s="19">
        <v>1352</v>
      </c>
      <c r="B1358" s="17">
        <f>IF($B$4="표준",'2.치형좌표'!D1357,'2.치형좌표'!G1357)</f>
        <v>0.99573167046220101</v>
      </c>
      <c r="C1358" s="17">
        <f>IF($B$4="표준",'2.치형좌표'!E1357,'2.치형좌표'!H1357)</f>
        <v>78.85147100589306</v>
      </c>
      <c r="D1358" s="6" t="str">
        <f t="shared" si="21"/>
        <v>0.99573,78.85147</v>
      </c>
    </row>
    <row r="1359" spans="1:4" x14ac:dyDescent="0.3">
      <c r="A1359" s="19">
        <v>1353</v>
      </c>
      <c r="B1359" s="17">
        <f>IF($B$4="표준",'2.치형좌표'!D1358,'2.치형좌표'!G1358)</f>
        <v>1.1402748599068699</v>
      </c>
      <c r="C1359" s="17">
        <f>IF($B$4="표준",'2.치형좌표'!E1358,'2.치형좌표'!H1358)</f>
        <v>78.940524466701504</v>
      </c>
      <c r="D1359" s="6" t="str">
        <f t="shared" si="21"/>
        <v>1.14027,78.94052</v>
      </c>
    </row>
    <row r="1360" spans="1:4" x14ac:dyDescent="0.3">
      <c r="A1360" s="19">
        <v>1354</v>
      </c>
      <c r="B1360" s="17">
        <f>IF($B$4="표준",'2.치형좌표'!D1359,'2.치형좌표'!G1359)</f>
        <v>1.301097780822976</v>
      </c>
      <c r="C1360" s="17">
        <f>IF($B$4="표준",'2.치형좌표'!E1359,'2.치형좌표'!H1359)</f>
        <v>79.027770002470959</v>
      </c>
      <c r="D1360" s="6" t="str">
        <f t="shared" si="21"/>
        <v>1.30110,79.02777</v>
      </c>
    </row>
    <row r="1361" spans="1:4" x14ac:dyDescent="0.3">
      <c r="A1361" s="19">
        <v>1355</v>
      </c>
      <c r="B1361" s="17">
        <f>IF($B$4="표준",'2.치형좌표'!D1360,'2.치형좌표'!G1360)</f>
        <v>1.4781539498996923</v>
      </c>
      <c r="C1361" s="17">
        <f>IF($B$4="표준",'2.치형좌표'!E1360,'2.치형좌표'!H1360)</f>
        <v>79.111232439743162</v>
      </c>
      <c r="D1361" s="6" t="str">
        <f t="shared" si="21"/>
        <v>1.47815,79.11123</v>
      </c>
    </row>
    <row r="1362" spans="1:4" x14ac:dyDescent="0.3">
      <c r="A1362" s="19">
        <v>1356</v>
      </c>
      <c r="B1362" s="17">
        <f>IF($B$4="표준",'2.치형좌표'!D1361,'2.치형좌표'!G1361)</f>
        <v>1.670833971720461</v>
      </c>
      <c r="C1362" s="17">
        <f>IF($B$4="표준",'2.치형좌표'!E1361,'2.치형좌표'!H1361)</f>
        <v>79.188813547315931</v>
      </c>
      <c r="D1362" s="6" t="str">
        <f t="shared" si="21"/>
        <v>1.67083,79.18881</v>
      </c>
    </row>
    <row r="1363" spans="1:4" x14ac:dyDescent="0.3">
      <c r="A1363" s="19">
        <v>1357</v>
      </c>
      <c r="B1363" s="17">
        <f>IF($B$4="표준",'2.치형좌표'!D1362,'2.치형좌표'!G1362)</f>
        <v>1.8780275781800166</v>
      </c>
      <c r="C1363" s="17">
        <f>IF($B$4="표준",'2.치형좌표'!E1362,'2.치형좌표'!H1362)</f>
        <v>79.258430954156111</v>
      </c>
      <c r="D1363" s="6" t="str">
        <f t="shared" si="21"/>
        <v>1.87803,79.25843</v>
      </c>
    </row>
    <row r="1364" spans="1:4" x14ac:dyDescent="0.3">
      <c r="A1364" s="19">
        <v>1358</v>
      </c>
      <c r="B1364" s="17">
        <f>IF($B$4="표준",'2.치형좌표'!D1363,'2.치형좌표'!G1363)</f>
        <v>2.0981840100149762</v>
      </c>
      <c r="C1364" s="17">
        <f>IF($B$4="표준",'2.치형좌표'!E1363,'2.치형좌표'!H1363)</f>
        <v>79.318129134765258</v>
      </c>
      <c r="D1364" s="6" t="str">
        <f t="shared" si="21"/>
        <v>2.09818,79.31813</v>
      </c>
    </row>
    <row r="1365" spans="1:4" x14ac:dyDescent="0.3">
      <c r="A1365" s="19">
        <v>1359</v>
      </c>
      <c r="B1365" s="17">
        <f>IF($B$4="표준",'2.치형좌표'!D1364,'2.치형좌표'!G1364)</f>
        <v>2.3293740736516022</v>
      </c>
      <c r="C1365" s="17">
        <f>IF($B$4="표준",'2.치형좌표'!E1364,'2.치형좌표'!H1364)</f>
        <v>79.366168594652706</v>
      </c>
      <c r="D1365" s="6" t="str">
        <f t="shared" si="21"/>
        <v>2.32937,79.36617</v>
      </c>
    </row>
    <row r="1366" spans="1:4" x14ac:dyDescent="0.3">
      <c r="A1366" s="19">
        <v>1360</v>
      </c>
      <c r="B1366" s="17">
        <f>IF($B$4="표준",'2.치형좌표'!D1365,'2.치형좌표'!G1365)</f>
        <v>2.569355309764064</v>
      </c>
      <c r="C1366" s="17">
        <f>IF($B$4="표준",'2.치형좌표'!E1365,'2.치형좌표'!H1365)</f>
        <v>79.401096826058307</v>
      </c>
      <c r="D1366" s="6" t="str">
        <f t="shared" si="21"/>
        <v>2.56936,79.40110</v>
      </c>
    </row>
    <row r="1367" spans="1:4" x14ac:dyDescent="0.3">
      <c r="A1367" s="19">
        <v>1361</v>
      </c>
      <c r="B1367" s="17">
        <f>IF($B$4="표준",'2.치형좌표'!D1366,'2.치형좌표'!G1366)</f>
        <v>2.8156405948164815</v>
      </c>
      <c r="C1367" s="17">
        <f>IF($B$4="표준",'2.치형좌표'!E1366,'2.치형좌표'!H1366)</f>
        <v>79.421803088281081</v>
      </c>
      <c r="D1367" s="6" t="str">
        <f t="shared" si="21"/>
        <v>2.81564,79.42180</v>
      </c>
    </row>
    <row r="1368" spans="1:4" x14ac:dyDescent="0.3">
      <c r="A1368" s="19">
        <v>1362</v>
      </c>
      <c r="B1368" s="17">
        <f>IF($B$4="표준",'2.치형좌표'!D1367,'2.치형좌표'!G1367)</f>
        <v>3.0655698185761406</v>
      </c>
      <c r="C1368" s="17">
        <f>IF($B$4="표준",'2.치형좌표'!E1367,'2.치형좌표'!H1367)</f>
        <v>79.427558173077585</v>
      </c>
      <c r="D1368" s="6" t="str">
        <f t="shared" si="21"/>
        <v>3.06557,79.42756</v>
      </c>
    </row>
    <row r="1369" spans="1:4" x14ac:dyDescent="0.3">
      <c r="A1369" s="19">
        <v>1363</v>
      </c>
      <c r="B1369" s="17">
        <f>IF($B$4="표준",'2.치형좌표'!D1368,'2.치형좌표'!G1368)</f>
        <v>3.316383861127695</v>
      </c>
      <c r="C1369" s="17">
        <f>IF($B$4="표준",'2.치형좌표'!E1368,'2.치형좌표'!H1368)</f>
        <v>79.418039795297545</v>
      </c>
      <c r="D1369" s="6" t="str">
        <f t="shared" si="21"/>
        <v>3.31638,79.41804</v>
      </c>
    </row>
    <row r="1370" spans="1:4" x14ac:dyDescent="0.3">
      <c r="A1370" s="19">
        <v>1364</v>
      </c>
      <c r="B1370" s="17">
        <f>IF($B$4="표준",'2.치형좌표'!D1369,'2.치형좌표'!G1369)</f>
        <v>3.5652998384361543</v>
      </c>
      <c r="C1370" s="17">
        <f>IF($B$4="표준",'2.치형좌표'!E1369,'2.치형좌표'!H1369)</f>
        <v>79.393343951234385</v>
      </c>
      <c r="D1370" s="6" t="str">
        <f t="shared" si="21"/>
        <v>3.56530,79.39334</v>
      </c>
    </row>
    <row r="1371" spans="1:4" x14ac:dyDescent="0.3">
      <c r="A1371" s="19">
        <v>1365</v>
      </c>
      <c r="B1371" s="17">
        <f>IF($B$4="표준",'2.치형좌표'!D1370,'2.치형좌표'!G1370)</f>
        <v>3.8095864463831557</v>
      </c>
      <c r="C1371" s="17">
        <f>IF($B$4="표준",'2.치형좌표'!E1370,'2.치형좌표'!H1370)</f>
        <v>79.35398241461408</v>
      </c>
      <c r="D1371" s="6" t="str">
        <f t="shared" si="21"/>
        <v>3.80959,79.35398</v>
      </c>
    </row>
    <row r="1372" spans="1:4" x14ac:dyDescent="0.3">
      <c r="A1372" s="19">
        <v>1366</v>
      </c>
      <c r="B1372" s="17">
        <f>IF($B$4="표준",'2.치형좌표'!D1371,'2.치형좌표'!G1371)</f>
        <v>4.0466381846065875</v>
      </c>
      <c r="C1372" s="17">
        <f>IF($B$4="표준",'2.치형좌표'!E1371,'2.치형좌표'!H1371)</f>
        <v>79.300866423500835</v>
      </c>
      <c r="D1372" s="6" t="str">
        <f t="shared" si="21"/>
        <v>4.04664,79.30087</v>
      </c>
    </row>
    <row r="1373" spans="1:4" x14ac:dyDescent="0.3">
      <c r="A1373" s="19">
        <v>1367</v>
      </c>
      <c r="B1373" s="17">
        <f>IF($B$4="표준",'2.치형좌표'!D1372,'2.치형좌표'!G1372)</f>
        <v>4.2740472742772502</v>
      </c>
      <c r="C1373" s="17">
        <f>IF($B$4="표준",'2.치형좌표'!E1372,'2.치형좌표'!H1372)</f>
        <v>79.235276493599017</v>
      </c>
      <c r="D1373" s="6" t="str">
        <f t="shared" si="21"/>
        <v>4.27405,79.23528</v>
      </c>
    </row>
    <row r="1374" spans="1:4" x14ac:dyDescent="0.3">
      <c r="A1374" s="19">
        <v>1368</v>
      </c>
      <c r="B1374" s="17">
        <f>IF($B$4="표준",'2.치형좌표'!D1373,'2.치형좌표'!G1373)</f>
        <v>4.4896722016755088</v>
      </c>
      <c r="C1374" s="17">
        <f>IF($B$4="표준",'2.치형좌표'!E1373,'2.치형좌표'!H1373)</f>
        <v>79.158818117352524</v>
      </c>
      <c r="D1374" s="6" t="str">
        <f t="shared" si="21"/>
        <v>4.48967,79.15882</v>
      </c>
    </row>
    <row r="1375" spans="1:4" x14ac:dyDescent="0.3">
      <c r="A1375" s="19">
        <v>1369</v>
      </c>
      <c r="B1375" s="17">
        <f>IF($B$4="표준",'2.치형좌표'!D1374,'2.치형좌표'!G1374)</f>
        <v>4.6917020399452527</v>
      </c>
      <c r="C1375" s="17">
        <f>IF($B$4="표준",'2.치형좌표'!E1374,'2.치형좌표'!H1374)</f>
        <v>79.073362804425898</v>
      </c>
      <c r="D1375" s="6" t="str">
        <f t="shared" si="21"/>
        <v>4.69170,79.07336</v>
      </c>
    </row>
    <row r="1376" spans="1:4" x14ac:dyDescent="0.3">
      <c r="A1376" s="19">
        <v>1370</v>
      </c>
      <c r="B1376" s="17">
        <f>IF($B$4="표준",'2.치형좌표'!D1375,'2.치형좌표'!G1375)</f>
        <v>4.8787160641352596</v>
      </c>
      <c r="C1376" s="17">
        <f>IF($B$4="표준",'2.치형좌표'!E1375,'2.치형좌표'!H1375)</f>
        <v>78.980973389549519</v>
      </c>
      <c r="D1376" s="6" t="str">
        <f t="shared" si="21"/>
        <v>4.87872,78.98097</v>
      </c>
    </row>
    <row r="1377" spans="1:4" x14ac:dyDescent="0.3">
      <c r="A1377" s="19">
        <v>1371</v>
      </c>
      <c r="B1377" s="17">
        <f>IF($B$4="표준",'2.치형좌표'!D1376,'2.치형좌표'!G1376)</f>
        <v>5.0497387569724328</v>
      </c>
      <c r="C1377" s="17">
        <f>IF($B$4="표준",'2.치형좌표'!E1376,'2.치형좌표'!H1376)</f>
        <v>78.883811625959055</v>
      </c>
      <c r="D1377" s="6" t="str">
        <f t="shared" si="21"/>
        <v>5.04974,78.88381</v>
      </c>
    </row>
    <row r="1378" spans="1:4" x14ac:dyDescent="0.3">
      <c r="A1378" s="19">
        <v>1372</v>
      </c>
      <c r="B1378" s="17">
        <f>IF($B$4="표준",'2.치형좌표'!D1377,'2.치형좌표'!G1377)</f>
        <v>5.20429125433599</v>
      </c>
      <c r="C1378" s="17">
        <f>IF($B$4="표준",'2.치형좌표'!E1377,'2.치형좌표'!H1377)</f>
        <v>78.784024545324996</v>
      </c>
      <c r="D1378" s="6" t="str">
        <f t="shared" si="21"/>
        <v>5.20429,78.78402</v>
      </c>
    </row>
    <row r="1379" spans="1:4" x14ac:dyDescent="0.3">
      <c r="A1379" s="19">
        <v>1373</v>
      </c>
      <c r="B1379" s="17">
        <f>IF($B$4="표준",'2.치형좌표'!D1378,'2.치형좌표'!G1378)</f>
        <v>5.342441893737556</v>
      </c>
      <c r="C1379" s="17">
        <f>IF($B$4="표준",'2.치형좌표'!E1378,'2.치형좌표'!H1378)</f>
        <v>78.683603465931796</v>
      </c>
      <c r="D1379" s="6" t="str">
        <f t="shared" si="21"/>
        <v>5.34244,78.68360</v>
      </c>
    </row>
    <row r="1380" spans="1:4" x14ac:dyDescent="0.3">
      <c r="A1380" s="19">
        <v>1374</v>
      </c>
      <c r="B1380" s="17">
        <f>IF($B$4="표준",'2.치형좌표'!D1379,'2.치형좌표'!G1379)</f>
        <v>5.4648613986919488</v>
      </c>
      <c r="C1380" s="17">
        <f>IF($B$4="표준",'2.치형좌표'!E1379,'2.치형좌표'!H1379)</f>
        <v>78.584205103596076</v>
      </c>
      <c r="D1380" s="6" t="str">
        <f t="shared" si="21"/>
        <v>5.46486,78.58421</v>
      </c>
    </row>
    <row r="1381" spans="1:4" x14ac:dyDescent="0.3">
      <c r="A1381" s="19">
        <v>1375</v>
      </c>
      <c r="B1381" s="17">
        <f>IF($B$4="표준",'2.치형좌표'!D1380,'2.치형좌표'!G1380)</f>
        <v>5.572893594521787</v>
      </c>
      <c r="C1381" s="17">
        <f>IF($B$4="표준",'2.치형좌표'!E1380,'2.치형좌표'!H1380)</f>
        <v>78.486916590734054</v>
      </c>
      <c r="D1381" s="6" t="str">
        <f t="shared" si="21"/>
        <v>5.57289,78.48692</v>
      </c>
    </row>
    <row r="1382" spans="1:4" x14ac:dyDescent="0.3">
      <c r="A1382" s="19">
        <v>1376</v>
      </c>
      <c r="B1382" s="17">
        <f>IF($B$4="표준",'2.치형좌표'!D1381,'2.치형좌표'!G1381)</f>
        <v>5.6686630990598097</v>
      </c>
      <c r="C1382" s="17">
        <f>IF($B$4="표준",'2.치형좌표'!E1381,'2.치형좌표'!H1381)</f>
        <v>78.391932754031544</v>
      </c>
      <c r="D1382" s="6" t="str">
        <f t="shared" si="21"/>
        <v>5.66866,78.39193</v>
      </c>
    </row>
    <row r="1383" spans="1:4" x14ac:dyDescent="0.3">
      <c r="A1383" s="19">
        <v>1377</v>
      </c>
      <c r="B1383" s="17">
        <f>IF($B$4="표준",'2.치형좌표'!D1382,'2.치형좌표'!G1382)</f>
        <v>5.7552632878444596</v>
      </c>
      <c r="C1383" s="17">
        <f>IF($B$4="표준",'2.치형좌표'!E1382,'2.치형좌표'!H1382)</f>
        <v>78.298089907451683</v>
      </c>
      <c r="D1383" s="6" t="str">
        <f t="shared" si="21"/>
        <v>5.75526,78.29809</v>
      </c>
    </row>
    <row r="1384" spans="1:4" x14ac:dyDescent="0.3">
      <c r="A1384" s="19">
        <v>1378</v>
      </c>
      <c r="B1384" s="17">
        <f>IF($B$4="표준",'2.치형좌표'!D1383,'2.치형좌표'!G1383)</f>
        <v>5.8371156126701598</v>
      </c>
      <c r="C1384" s="17">
        <f>IF($B$4="표준",'2.치형좌표'!E1383,'2.치형좌표'!H1383)</f>
        <v>78.202156795763813</v>
      </c>
      <c r="D1384" s="6" t="str">
        <f t="shared" si="21"/>
        <v>5.83712,78.20216</v>
      </c>
    </row>
    <row r="1385" spans="1:4" x14ac:dyDescent="0.3">
      <c r="A1385" s="19">
        <v>1379</v>
      </c>
      <c r="B1385" s="17">
        <f>IF($B$4="표준",'2.치형좌표'!D1384,'2.치형좌표'!G1384)</f>
        <v>5.9207017182888109</v>
      </c>
      <c r="C1385" s="17">
        <f>IF($B$4="표준",'2.치형좌표'!E1384,'2.치형좌표'!H1384)</f>
        <v>78.097705226152854</v>
      </c>
      <c r="D1385" s="6" t="str">
        <f t="shared" si="21"/>
        <v>5.92070,78.09771</v>
      </c>
    </row>
    <row r="1386" spans="1:4" x14ac:dyDescent="0.3">
      <c r="A1386" s="19">
        <v>1380</v>
      </c>
      <c r="B1386" s="17">
        <f>IF($B$4="표준",'2.치형좌표'!D1385,'2.치형좌표'!G1385)</f>
        <v>6.0161389887676808</v>
      </c>
      <c r="C1386" s="17">
        <f>IF($B$4="표준",'2.치형좌표'!E1385,'2.치형좌표'!H1385)</f>
        <v>77.973253926625901</v>
      </c>
      <c r="D1386" s="6" t="str">
        <f t="shared" si="21"/>
        <v>6.01614,77.97325</v>
      </c>
    </row>
    <row r="1387" spans="1:4" x14ac:dyDescent="0.3">
      <c r="A1387" s="19">
        <v>1381</v>
      </c>
      <c r="B1387" s="17">
        <f>IF($B$4="표준",'2.치형좌표'!D1386,'2.치형좌표'!G1386)</f>
        <v>6.1407567810637023</v>
      </c>
      <c r="C1387" s="17">
        <f>IF($B$4="표준",'2.치형좌표'!E1386,'2.치형좌표'!H1386)</f>
        <v>77.809236780884305</v>
      </c>
      <c r="D1387" s="6" t="str">
        <f t="shared" si="21"/>
        <v>6.14076,77.80924</v>
      </c>
    </row>
    <row r="1388" spans="1:4" x14ac:dyDescent="0.3">
      <c r="A1388" s="19">
        <v>1382</v>
      </c>
      <c r="B1388" s="17">
        <f>IF($B$4="표준",'2.치형좌표'!D1387,'2.치형좌표'!G1387)</f>
        <v>6.3275904007242696</v>
      </c>
      <c r="C1388" s="17">
        <f>IF($B$4="표준",'2.치형좌표'!E1387,'2.치형좌표'!H1387)</f>
        <v>77.573643272098607</v>
      </c>
      <c r="D1388" s="6" t="str">
        <f t="shared" si="21"/>
        <v>6.32759,77.57364</v>
      </c>
    </row>
    <row r="1389" spans="1:4" x14ac:dyDescent="0.3">
      <c r="A1389" s="19">
        <v>1383</v>
      </c>
      <c r="B1389" s="17">
        <f>IF($B$4="표준",'2.치형좌표'!D1388,'2.치형좌표'!G1388)</f>
        <v>6.645541156223711</v>
      </c>
      <c r="C1389" s="17">
        <f>IF($B$4="표준",'2.치형좌표'!E1388,'2.치형좌표'!H1388)</f>
        <v>77.219777341644971</v>
      </c>
      <c r="D1389" s="6" t="str">
        <f t="shared" si="21"/>
        <v>6.64554,77.21978</v>
      </c>
    </row>
    <row r="1390" spans="1:4" x14ac:dyDescent="0.3">
      <c r="A1390" s="19">
        <v>1384</v>
      </c>
      <c r="B1390" s="17">
        <f>IF($B$4="표준",'2.치형좌표'!D1389,'2.치형좌표'!G1389)</f>
        <v>7.2380497723678632</v>
      </c>
      <c r="C1390" s="17">
        <f>IF($B$4="표준",'2.치형좌표'!E1389,'2.치형좌표'!H1389)</f>
        <v>76.709916523872252</v>
      </c>
      <c r="D1390" s="6" t="str">
        <f t="shared" si="21"/>
        <v>7.23805,76.70992</v>
      </c>
    </row>
    <row r="1391" spans="1:4" x14ac:dyDescent="0.3">
      <c r="A1391" s="19">
        <v>1385</v>
      </c>
      <c r="B1391" s="17">
        <f>IF($B$4="표준",'2.치형좌표'!D1390,'2.치형좌표'!G1390)</f>
        <v>8.3158826453712571</v>
      </c>
      <c r="C1391" s="17">
        <f>IF($B$4="표준",'2.치형좌표'!E1390,'2.치형좌표'!H1390)</f>
        <v>76.143725877524517</v>
      </c>
      <c r="D1391" s="6" t="str">
        <f t="shared" si="21"/>
        <v>8.31588,76.14373</v>
      </c>
    </row>
    <row r="1392" spans="1:4" x14ac:dyDescent="0.3">
      <c r="A1392" s="19">
        <v>1386</v>
      </c>
      <c r="B1392" s="17">
        <f>IF($B$4="표준",'2.치형좌표'!D1391,'2.치형좌표'!G1391)</f>
        <v>9.8089957057998785</v>
      </c>
      <c r="C1392" s="17">
        <f>IF($B$4="표준",'2.치형좌표'!E1391,'2.치형좌표'!H1391)</f>
        <v>75.901127169743262</v>
      </c>
      <c r="D1392" s="6" t="str">
        <f t="shared" si="21"/>
        <v>9.80900,75.90113</v>
      </c>
    </row>
    <row r="1393" spans="1:4" x14ac:dyDescent="0.3">
      <c r="A1393" s="19">
        <v>1387</v>
      </c>
      <c r="B1393" s="17">
        <f>IF($B$4="표준",'2.치형좌표'!D1392,'2.치형좌표'!G1392)</f>
        <v>11.104543059443337</v>
      </c>
      <c r="C1393" s="17">
        <f>IF($B$4="표준",'2.치형좌표'!E1392,'2.치형좌표'!H1392)</f>
        <v>76.12929608141954</v>
      </c>
      <c r="D1393" s="6" t="str">
        <f t="shared" si="21"/>
        <v>11.10454,76.12930</v>
      </c>
    </row>
    <row r="1394" spans="1:4" x14ac:dyDescent="0.3">
      <c r="A1394" s="19">
        <v>1388</v>
      </c>
      <c r="B1394" s="17">
        <f>IF($B$4="표준",'2.치형좌표'!D1393,'2.치형좌표'!G1393)</f>
        <v>11.900661104719976</v>
      </c>
      <c r="C1394" s="17">
        <f>IF($B$4="표준",'2.치형좌표'!E1393,'2.치형좌표'!H1393)</f>
        <v>76.490810202507291</v>
      </c>
      <c r="D1394" s="6" t="str">
        <f t="shared" si="21"/>
        <v>11.90066,76.49081</v>
      </c>
    </row>
    <row r="1395" spans="1:4" x14ac:dyDescent="0.3">
      <c r="A1395" s="19">
        <v>1389</v>
      </c>
      <c r="B1395" s="17">
        <f>IF($B$4="표준",'2.치형좌표'!D1394,'2.치형좌표'!G1394)</f>
        <v>12.347927919633966</v>
      </c>
      <c r="C1395" s="17">
        <f>IF($B$4="표준",'2.치형좌표'!E1394,'2.치형좌표'!H1394)</f>
        <v>76.780443462776958</v>
      </c>
      <c r="D1395" s="6" t="str">
        <f t="shared" si="21"/>
        <v>12.34793,76.78044</v>
      </c>
    </row>
    <row r="1396" spans="1:4" x14ac:dyDescent="0.3">
      <c r="A1396" s="19">
        <v>1390</v>
      </c>
      <c r="B1396" s="17">
        <f>IF($B$4="표준",'2.치형좌표'!D1395,'2.치형좌표'!G1395)</f>
        <v>12.6126814107736</v>
      </c>
      <c r="C1396" s="17">
        <f>IF($B$4="표준",'2.치형좌표'!E1395,'2.치형좌표'!H1395)</f>
        <v>76.981223268873904</v>
      </c>
      <c r="D1396" s="6" t="str">
        <f t="shared" si="21"/>
        <v>12.61268,76.98122</v>
      </c>
    </row>
    <row r="1397" spans="1:4" x14ac:dyDescent="0.3">
      <c r="A1397" s="19">
        <v>1391</v>
      </c>
      <c r="B1397" s="17">
        <f>IF($B$4="표준",'2.치형좌표'!D1396,'2.치형좌표'!G1396)</f>
        <v>12.786330946881472</v>
      </c>
      <c r="C1397" s="17">
        <f>IF($B$4="표준",'2.치형좌표'!E1396,'2.치형좌표'!H1396)</f>
        <v>77.120868936346071</v>
      </c>
      <c r="D1397" s="6" t="str">
        <f t="shared" si="21"/>
        <v>12.78633,77.12087</v>
      </c>
    </row>
    <row r="1398" spans="1:4" x14ac:dyDescent="0.3">
      <c r="A1398" s="19">
        <v>1392</v>
      </c>
      <c r="B1398" s="17">
        <f>IF($B$4="표준",'2.치형좌표'!D1397,'2.치형좌표'!G1397)</f>
        <v>12.915132162037283</v>
      </c>
      <c r="C1398" s="17">
        <f>IF($B$4="표준",'2.치형좌표'!E1397,'2.치형좌표'!H1397)</f>
        <v>77.224526558333878</v>
      </c>
      <c r="D1398" s="6" t="str">
        <f t="shared" si="21"/>
        <v>12.91513,77.22453</v>
      </c>
    </row>
    <row r="1399" spans="1:4" x14ac:dyDescent="0.3">
      <c r="A1399" s="19">
        <v>1393</v>
      </c>
      <c r="B1399" s="17">
        <f>IF($B$4="표준",'2.치형좌표'!D1398,'2.치형좌표'!G1398)</f>
        <v>13.023696100076638</v>
      </c>
      <c r="C1399" s="17">
        <f>IF($B$4="표준",'2.치형좌표'!E1398,'2.치형좌표'!H1398)</f>
        <v>77.308807180261155</v>
      </c>
      <c r="D1399" s="6" t="str">
        <f t="shared" si="21"/>
        <v>13.02370,77.30881</v>
      </c>
    </row>
    <row r="1400" spans="1:4" x14ac:dyDescent="0.3">
      <c r="A1400" s="19">
        <v>1394</v>
      </c>
      <c r="B1400" s="17">
        <f>IF($B$4="표준",'2.치형좌표'!D1399,'2.치형좌표'!G1399)</f>
        <v>13.126161573050798</v>
      </c>
      <c r="C1400" s="17">
        <f>IF($B$4="표준",'2.치형좌표'!E1399,'2.치형좌표'!H1399)</f>
        <v>77.383641175394814</v>
      </c>
      <c r="D1400" s="6" t="str">
        <f t="shared" si="21"/>
        <v>13.12616,77.38364</v>
      </c>
    </row>
    <row r="1401" spans="1:4" x14ac:dyDescent="0.3">
      <c r="A1401" s="19">
        <v>1395</v>
      </c>
      <c r="B1401" s="17">
        <f>IF($B$4="표준",'2.치형좌표'!D1400,'2.치형좌표'!G1400)</f>
        <v>13.231225151120427</v>
      </c>
      <c r="C1401" s="17">
        <f>IF($B$4="표준",'2.치형좌표'!E1400,'2.치형좌표'!H1400)</f>
        <v>77.454501033001421</v>
      </c>
      <c r="D1401" s="6" t="str">
        <f t="shared" si="21"/>
        <v>13.23123,77.45450</v>
      </c>
    </row>
    <row r="1402" spans="1:4" x14ac:dyDescent="0.3">
      <c r="A1402" s="19">
        <v>1396</v>
      </c>
      <c r="B1402" s="17">
        <f>IF($B$4="표준",'2.치형좌표'!D1401,'2.치형좌표'!G1401)</f>
        <v>13.34447970238072</v>
      </c>
      <c r="C1402" s="17">
        <f>IF($B$4="표준",'2.치형좌표'!E1401,'2.치형좌표'!H1401)</f>
        <v>77.523971792631826</v>
      </c>
      <c r="D1402" s="6" t="str">
        <f t="shared" si="21"/>
        <v>13.34448,77.52397</v>
      </c>
    </row>
    <row r="1403" spans="1:4" x14ac:dyDescent="0.3">
      <c r="A1403" s="19">
        <v>1397</v>
      </c>
      <c r="B1403" s="17">
        <f>IF($B$4="표준",'2.치형좌표'!D1402,'2.치형좌표'!G1402)</f>
        <v>13.46956125026527</v>
      </c>
      <c r="C1403" s="17">
        <f>IF($B$4="표준",'2.치형좌표'!E1402,'2.치형좌표'!H1402)</f>
        <v>77.59277030327145</v>
      </c>
      <c r="D1403" s="6" t="str">
        <f t="shared" si="21"/>
        <v>13.46956,77.59277</v>
      </c>
    </row>
    <row r="1404" spans="1:4" x14ac:dyDescent="0.3">
      <c r="A1404" s="19">
        <v>1398</v>
      </c>
      <c r="B1404" s="17">
        <f>IF($B$4="표준",'2.치형좌표'!D1403,'2.치형좌표'!G1403)</f>
        <v>13.608746257278415</v>
      </c>
      <c r="C1404" s="17">
        <f>IF($B$4="표준",'2.치형좌표'!E1403,'2.치형좌표'!H1403)</f>
        <v>77.660408049251942</v>
      </c>
      <c r="D1404" s="6" t="str">
        <f t="shared" si="21"/>
        <v>13.60875,77.66041</v>
      </c>
    </row>
    <row r="1405" spans="1:4" x14ac:dyDescent="0.3">
      <c r="A1405" s="19">
        <v>1399</v>
      </c>
      <c r="B1405" s="17">
        <f>IF($B$4="표준",'2.치형좌표'!D1404,'2.치형좌표'!G1404)</f>
        <v>13.763284498777812</v>
      </c>
      <c r="C1405" s="17">
        <f>IF($B$4="표준",'2.치형좌표'!E1404,'2.치형좌표'!H1404)</f>
        <v>77.725635679942457</v>
      </c>
      <c r="D1405" s="6" t="str">
        <f t="shared" si="21"/>
        <v>13.76328,77.72564</v>
      </c>
    </row>
    <row r="1406" spans="1:4" x14ac:dyDescent="0.3">
      <c r="A1406" s="19">
        <v>1400</v>
      </c>
      <c r="B1406" s="17">
        <f>IF($B$4="표준",'2.치형좌표'!D1405,'2.치형좌표'!G1405)</f>
        <v>13.933600437459054</v>
      </c>
      <c r="C1406" s="17">
        <f>IF($B$4="표준",'2.치형좌표'!E1405,'2.치형좌표'!H1405)</f>
        <v>77.786753538770299</v>
      </c>
      <c r="D1406" s="6" t="str">
        <f t="shared" si="21"/>
        <v>13.93360,77.78675</v>
      </c>
    </row>
    <row r="1407" spans="1:4" x14ac:dyDescent="0.3">
      <c r="A1407" s="19">
        <v>1401</v>
      </c>
      <c r="B1407" s="17">
        <f>IF($B$4="표준",'2.치형좌표'!D1406,'2.치형좌표'!G1406)</f>
        <v>14.119428038648573</v>
      </c>
      <c r="C1407" s="17">
        <f>IF($B$4="표준",'2.치형좌표'!E1406,'2.치형좌표'!H1406)</f>
        <v>77.841837729697602</v>
      </c>
      <c r="D1407" s="6" t="str">
        <f t="shared" si="21"/>
        <v>14.11943,77.84184</v>
      </c>
    </row>
    <row r="1408" spans="1:4" x14ac:dyDescent="0.3">
      <c r="A1408" s="19">
        <v>1402</v>
      </c>
      <c r="B1408" s="17">
        <f>IF($B$4="표준",'2.치형좌표'!D1407,'2.치형좌표'!G1407)</f>
        <v>14.319912061018055</v>
      </c>
      <c r="C1408" s="17">
        <f>IF($B$4="표준",'2.치형좌표'!E1407,'2.치형좌표'!H1407)</f>
        <v>77.888910680146566</v>
      </c>
      <c r="D1408" s="6" t="str">
        <f t="shared" si="21"/>
        <v>14.31991,77.88891</v>
      </c>
    </row>
    <row r="1409" spans="1:4" x14ac:dyDescent="0.3">
      <c r="A1409" s="19">
        <v>1403</v>
      </c>
      <c r="B1409" s="17">
        <f>IF($B$4="표준",'2.치형좌표'!D1408,'2.치형좌표'!G1408)</f>
        <v>14.533693119332627</v>
      </c>
      <c r="C1409" s="17">
        <f>IF($B$4="표준",'2.치형좌표'!E1408,'2.치형좌표'!H1408)</f>
        <v>77.926073210002627</v>
      </c>
      <c r="D1409" s="6" t="str">
        <f t="shared" si="21"/>
        <v>14.53369,77.92607</v>
      </c>
    </row>
    <row r="1410" spans="1:4" x14ac:dyDescent="0.3">
      <c r="A1410" s="19">
        <v>1404</v>
      </c>
      <c r="B1410" s="17">
        <f>IF($B$4="표준",'2.치형좌표'!D1409,'2.치형좌표'!G1409)</f>
        <v>14.758985675154532</v>
      </c>
      <c r="C1410" s="17">
        <f>IF($B$4="표준",'2.치형좌표'!E1409,'2.치형좌표'!H1409)</f>
        <v>77.951608163091137</v>
      </c>
      <c r="D1410" s="6" t="str">
        <f t="shared" si="21"/>
        <v>14.75899,77.95161</v>
      </c>
    </row>
    <row r="1411" spans="1:4" x14ac:dyDescent="0.3">
      <c r="A1411" s="19">
        <v>1405</v>
      </c>
      <c r="B1411" s="17">
        <f>IF($B$4="표준",'2.치형좌표'!D1410,'2.치형좌표'!G1410)</f>
        <v>14.993653706913973</v>
      </c>
      <c r="C1411" s="17">
        <f>IF($B$4="표준",'2.치형좌표'!E1410,'2.치형좌표'!H1410)</f>
        <v>77.964061577604056</v>
      </c>
      <c r="D1411" s="6" t="str">
        <f t="shared" si="21"/>
        <v>14.99365,77.96406</v>
      </c>
    </row>
    <row r="1412" spans="1:4" x14ac:dyDescent="0.3">
      <c r="A1412" s="19">
        <v>1406</v>
      </c>
      <c r="B1412" s="17">
        <f>IF($B$4="표준",'2.치형좌표'!D1411,'2.치형좌표'!G1411)</f>
        <v>15.235286325851551</v>
      </c>
      <c r="C1412" s="17">
        <f>IF($B$4="표준",'2.치형좌표'!E1411,'2.치형좌표'!H1411)</f>
        <v>77.962304960292869</v>
      </c>
      <c r="D1412" s="6" t="str">
        <f t="shared" si="21"/>
        <v>15.23529,77.96230</v>
      </c>
    </row>
    <row r="1413" spans="1:4" x14ac:dyDescent="0.3">
      <c r="A1413" s="19">
        <v>1407</v>
      </c>
      <c r="B1413" s="17">
        <f>IF($B$4="표준",'2.치형좌표'!D1412,'2.치형좌표'!G1412)</f>
        <v>15.481274149333405</v>
      </c>
      <c r="C1413" s="17">
        <f>IF($B$4="표준",'2.치형좌표'!E1412,'2.치형좌표'!H1412)</f>
        <v>77.945580800930031</v>
      </c>
      <c r="D1413" s="6" t="str">
        <f t="shared" si="21"/>
        <v>15.48127,77.94558</v>
      </c>
    </row>
    <row r="1414" spans="1:4" x14ac:dyDescent="0.3">
      <c r="A1414" s="19">
        <v>1408</v>
      </c>
      <c r="B1414" s="17">
        <f>IF($B$4="표준",'2.치형좌표'!D1413,'2.치형좌표'!G1413)</f>
        <v>15.728886365892951</v>
      </c>
      <c r="C1414" s="17">
        <f>IF($B$4="표준",'2.치형좌표'!E1413,'2.치형좌표'!H1413)</f>
        <v>77.913532623215474</v>
      </c>
      <c r="D1414" s="6" t="str">
        <f t="shared" si="21"/>
        <v>15.72889,77.91353</v>
      </c>
    </row>
    <row r="1415" spans="1:4" x14ac:dyDescent="0.3">
      <c r="A1415" s="19">
        <v>1409</v>
      </c>
      <c r="B1415" s="17">
        <f>IF($B$4="표준",'2.치형좌표'!D1414,'2.치형좌표'!G1414)</f>
        <v>15.975347889727438</v>
      </c>
      <c r="C1415" s="17">
        <f>IF($B$4="표준",'2.치형좌표'!E1414,'2.치형좌표'!H1414)</f>
        <v>77.866220381951962</v>
      </c>
      <c r="D1415" s="6" t="str">
        <f t="shared" ref="D1415:D1478" si="22">TEXT(B1415,"0.00000")&amp;","&amp;TEXT(C1415,"0.00000")</f>
        <v>15.97535,77.86622</v>
      </c>
    </row>
    <row r="1416" spans="1:4" x14ac:dyDescent="0.3">
      <c r="A1416" s="19">
        <v>1410</v>
      </c>
      <c r="B1416" s="17">
        <f>IF($B$4="표준",'2.치형좌표'!D1415,'2.치형좌표'!G1415)</f>
        <v>16.217915678053153</v>
      </c>
      <c r="C1416" s="17">
        <f>IF($B$4="표준",'2.치형좌표'!E1415,'2.치형좌표'!H1415)</f>
        <v>77.804121740150066</v>
      </c>
      <c r="D1416" s="6" t="str">
        <f t="shared" si="22"/>
        <v>16.21792,77.80412</v>
      </c>
    </row>
    <row r="1417" spans="1:4" x14ac:dyDescent="0.3">
      <c r="A1417" s="19">
        <v>1411</v>
      </c>
      <c r="B1417" s="17">
        <f>IF($B$4="표준",'2.치형좌표'!D1416,'2.치형좌표'!G1416)</f>
        <v>16.453953101989661</v>
      </c>
      <c r="C1417" s="17">
        <f>IF($B$4="표준",'2.치형좌표'!E1416,'2.치형좌표'!H1416)</f>
        <v>77.728119600161307</v>
      </c>
      <c r="D1417" s="6" t="str">
        <f t="shared" si="22"/>
        <v>16.45395,77.72812</v>
      </c>
    </row>
    <row r="1418" spans="1:4" x14ac:dyDescent="0.3">
      <c r="A1418" s="19">
        <v>1412</v>
      </c>
      <c r="B1418" s="17">
        <f>IF($B$4="표준",'2.치형좌표'!D1417,'2.치형좌표'!G1417)</f>
        <v>16.681001181371101</v>
      </c>
      <c r="C1418" s="17">
        <f>IF($B$4="표준",'2.치형좌표'!E1417,'2.치형좌표'!H1417)</f>
        <v>77.639476153013291</v>
      </c>
      <c r="D1418" s="6" t="str">
        <f t="shared" si="22"/>
        <v>16.68100,77.63948</v>
      </c>
    </row>
    <row r="1419" spans="1:4" x14ac:dyDescent="0.3">
      <c r="A1419" s="19">
        <v>1413</v>
      </c>
      <c r="B1419" s="17">
        <f>IF($B$4="표준",'2.치형좌표'!D1418,'2.치형좌표'!G1418)</f>
        <v>16.896845495695956</v>
      </c>
      <c r="C1419" s="17">
        <f>IF($B$4="표준",'2.치형좌표'!E1418,'2.치형좌표'!H1418)</f>
        <v>77.539793594290884</v>
      </c>
      <c r="D1419" s="6" t="str">
        <f t="shared" si="22"/>
        <v>16.89685,77.53979</v>
      </c>
    </row>
    <row r="1420" spans="1:4" x14ac:dyDescent="0.3">
      <c r="A1420" s="19">
        <v>1414</v>
      </c>
      <c r="B1420" s="17">
        <f>IF($B$4="표준",'2.치형좌표'!D1419,'2.치형좌표'!G1419)</f>
        <v>17.099577659829677</v>
      </c>
      <c r="C1420" s="17">
        <f>IF($B$4="표준",'2.치형좌표'!E1419,'2.치형좌표'!H1419)</f>
        <v>77.430961477295341</v>
      </c>
      <c r="D1420" s="6" t="str">
        <f t="shared" si="22"/>
        <v>17.09958,77.43096</v>
      </c>
    </row>
    <row r="1421" spans="1:4" x14ac:dyDescent="0.3">
      <c r="A1421" s="19">
        <v>1415</v>
      </c>
      <c r="B1421" s="17">
        <f>IF($B$4="표준",'2.치형좌표'!D1420,'2.치형좌표'!G1420)</f>
        <v>17.287650408548011</v>
      </c>
      <c r="C1421" s="17">
        <f>IF($B$4="표준",'2.치형좌표'!E1420,'2.치형좌표'!H1420)</f>
        <v>77.315090366556177</v>
      </c>
      <c r="D1421" s="6" t="str">
        <f t="shared" si="22"/>
        <v>17.28765,77.31509</v>
      </c>
    </row>
    <row r="1422" spans="1:4" x14ac:dyDescent="0.3">
      <c r="A1422" s="19">
        <v>1416</v>
      </c>
      <c r="B1422" s="17">
        <f>IF($B$4="표준",'2.치형좌표'!D1421,'2.치형좌표'!G1421)</f>
        <v>17.459925588609924</v>
      </c>
      <c r="C1422" s="17">
        <f>IF($B$4="표준",'2.치형좌표'!E1421,'2.치형좌표'!H1421)</f>
        <v>77.194430920308477</v>
      </c>
      <c r="D1422" s="6" t="str">
        <f t="shared" si="22"/>
        <v>17.45993,77.19443</v>
      </c>
    </row>
    <row r="1423" spans="1:4" x14ac:dyDescent="0.3">
      <c r="A1423" s="19">
        <v>1417</v>
      </c>
      <c r="B1423" s="17">
        <f>IF($B$4="표준",'2.치형좌표'!D1422,'2.치형좌표'!G1422)</f>
        <v>17.615714757071125</v>
      </c>
      <c r="C1423" s="17">
        <f>IF($B$4="표준",'2.치형좌표'!E1422,'2.치형좌표'!H1422)</f>
        <v>77.07127661817411</v>
      </c>
      <c r="D1423" s="6" t="str">
        <f t="shared" si="22"/>
        <v>17.61571,77.07128</v>
      </c>
    </row>
    <row r="1424" spans="1:4" x14ac:dyDescent="0.3">
      <c r="A1424" s="19">
        <v>1418</v>
      </c>
      <c r="B1424" s="17">
        <f>IF($B$4="표준",'2.치형좌표'!D1423,'2.치형좌표'!G1423)</f>
        <v>17.754812726093181</v>
      </c>
      <c r="C1424" s="17">
        <f>IF($B$4="표준",'2.치형좌표'!E1423,'2.치형좌표'!H1423)</f>
        <v>76.947846809246784</v>
      </c>
      <c r="D1424" s="6" t="str">
        <f t="shared" si="22"/>
        <v>17.75481,76.94785</v>
      </c>
    </row>
    <row r="1425" spans="1:4" x14ac:dyDescent="0.3">
      <c r="A1425" s="19">
        <v>1419</v>
      </c>
      <c r="B1425" s="17">
        <f>IF($B$4="표준",'2.치형좌표'!D1424,'2.치형좌표'!G1424)</f>
        <v>17.87752547476785</v>
      </c>
      <c r="C1425" s="17">
        <f>IF($B$4="표준",'2.치형좌표'!E1424,'2.치형좌표'!H1424)</f>
        <v>76.826144152042588</v>
      </c>
      <c r="D1425" s="6" t="str">
        <f t="shared" si="22"/>
        <v>17.87753,76.82614</v>
      </c>
    </row>
    <row r="1426" spans="1:4" x14ac:dyDescent="0.3">
      <c r="A1426" s="19">
        <v>1420</v>
      </c>
      <c r="B1426" s="17">
        <f>IF($B$4="표준",'2.치형좌표'!D1425,'2.치형좌표'!G1425)</f>
        <v>17.984695778890643</v>
      </c>
      <c r="C1426" s="17">
        <f>IF($B$4="표준",'2.치형좌표'!E1425,'2.치형좌표'!H1425)</f>
        <v>76.707776074824054</v>
      </c>
      <c r="D1426" s="6" t="str">
        <f t="shared" si="22"/>
        <v>17.98470,76.70778</v>
      </c>
    </row>
    <row r="1427" spans="1:4" x14ac:dyDescent="0.3">
      <c r="A1427" s="19">
        <v>1421</v>
      </c>
      <c r="B1427" s="17">
        <f>IF($B$4="표준",'2.치형좌표'!D1426,'2.치형좌표'!G1426)</f>
        <v>18.077733574706926</v>
      </c>
      <c r="C1427" s="17">
        <f>IF($B$4="표준",'2.치형좌표'!E1426,'2.치형좌표'!H1426)</f>
        <v>76.593722172903028</v>
      </c>
      <c r="D1427" s="6" t="str">
        <f t="shared" si="22"/>
        <v>18.07773,76.59372</v>
      </c>
    </row>
    <row r="1428" spans="1:4" x14ac:dyDescent="0.3">
      <c r="A1428" s="19">
        <v>1422</v>
      </c>
      <c r="B1428" s="17">
        <f>IF($B$4="표준",'2.치형좌표'!D1427,'2.치형좌표'!G1427)</f>
        <v>18.15866544714196</v>
      </c>
      <c r="C1428" s="17">
        <f>IF($B$4="표준",'2.치형좌표'!E1427,'2.치형좌표'!H1427)</f>
        <v>76.484015779214374</v>
      </c>
      <c r="D1428" s="6" t="str">
        <f t="shared" si="22"/>
        <v>18.15867,76.48402</v>
      </c>
    </row>
    <row r="1429" spans="1:4" x14ac:dyDescent="0.3">
      <c r="A1429" s="19">
        <v>1423</v>
      </c>
      <c r="B1429" s="17">
        <f>IF($B$4="표준",'2.치형좌표'!D1428,'2.치형좌표'!G1428)</f>
        <v>18.230233322381082</v>
      </c>
      <c r="C1429" s="17">
        <f>IF($B$4="표준",'2.치형좌표'!E1428,'2.치형좌표'!H1428)</f>
        <v>76.377283099837712</v>
      </c>
      <c r="D1429" s="6" t="str">
        <f t="shared" si="22"/>
        <v>18.23023,76.37728</v>
      </c>
    </row>
    <row r="1430" spans="1:4" x14ac:dyDescent="0.3">
      <c r="A1430" s="19">
        <v>1424</v>
      </c>
      <c r="B1430" s="17">
        <f>IF($B$4="표준",'2.치형좌표'!D1429,'2.치형좌표'!G1429)</f>
        <v>18.29610772432693</v>
      </c>
      <c r="C1430" s="17">
        <f>IF($B$4="표준",'2.치형좌표'!E1429,'2.치형좌표'!H1429)</f>
        <v>76.270037240394359</v>
      </c>
      <c r="D1430" s="6" t="str">
        <f t="shared" si="22"/>
        <v>18.29611,76.27004</v>
      </c>
    </row>
    <row r="1431" spans="1:4" x14ac:dyDescent="0.3">
      <c r="A1431" s="19">
        <v>1425</v>
      </c>
      <c r="B1431" s="17">
        <f>IF($B$4="표준",'2.치형좌표'!D1430,'2.치형좌표'!G1430)</f>
        <v>18.361364897872821</v>
      </c>
      <c r="C1431" s="17">
        <f>IF($B$4="표준",'2.치형좌표'!E1430,'2.치형좌표'!H1430)</f>
        <v>76.155538283817307</v>
      </c>
      <c r="D1431" s="6" t="str">
        <f t="shared" si="22"/>
        <v>18.36136,76.15554</v>
      </c>
    </row>
    <row r="1432" spans="1:4" x14ac:dyDescent="0.3">
      <c r="A1432" s="19">
        <v>1426</v>
      </c>
      <c r="B1432" s="17">
        <f>IF($B$4="표준",'2.치형좌표'!D1431,'2.치형좌표'!G1431)</f>
        <v>18.433588597082352</v>
      </c>
      <c r="C1432" s="17">
        <f>IF($B$4="표준",'2.치형좌표'!E1431,'2.치형좌표'!H1431)</f>
        <v>76.021873828884367</v>
      </c>
      <c r="D1432" s="6" t="str">
        <f t="shared" si="22"/>
        <v>18.43359,76.02187</v>
      </c>
    </row>
    <row r="1433" spans="1:4" x14ac:dyDescent="0.3">
      <c r="A1433" s="19">
        <v>1427</v>
      </c>
      <c r="B1433" s="17">
        <f>IF($B$4="표준",'2.치형좌표'!D1432,'2.치형좌표'!G1432)</f>
        <v>18.52551886718463</v>
      </c>
      <c r="C1433" s="17">
        <f>IF($B$4="표준",'2.치형좌표'!E1432,'2.치형좌표'!H1432)</f>
        <v>75.848670698864225</v>
      </c>
      <c r="D1433" s="6" t="str">
        <f t="shared" si="22"/>
        <v>18.52552,75.84867</v>
      </c>
    </row>
    <row r="1434" spans="1:4" x14ac:dyDescent="0.3">
      <c r="A1434" s="19">
        <v>1428</v>
      </c>
      <c r="B1434" s="17">
        <f>IF($B$4="표준",'2.치형좌표'!D1433,'2.치형좌표'!G1433)</f>
        <v>18.661702275707565</v>
      </c>
      <c r="C1434" s="17">
        <f>IF($B$4="표준",'2.치형좌표'!E1433,'2.치형좌표'!H1433)</f>
        <v>75.601751917801295</v>
      </c>
      <c r="D1434" s="6" t="str">
        <f t="shared" si="22"/>
        <v>18.66170,75.60175</v>
      </c>
    </row>
    <row r="1435" spans="1:4" x14ac:dyDescent="0.3">
      <c r="A1435" s="19">
        <v>1429</v>
      </c>
      <c r="B1435" s="17">
        <f>IF($B$4="표준",'2.치형좌표'!D1434,'2.치형좌표'!G1434)</f>
        <v>18.895476247707428</v>
      </c>
      <c r="C1435" s="17">
        <f>IF($B$4="표준",'2.치형좌표'!E1434,'2.치형좌표'!H1434)</f>
        <v>75.227100770147302</v>
      </c>
      <c r="D1435" s="6" t="str">
        <f t="shared" si="22"/>
        <v>18.89548,75.22710</v>
      </c>
    </row>
    <row r="1436" spans="1:4" x14ac:dyDescent="0.3">
      <c r="A1436" s="19">
        <v>1430</v>
      </c>
      <c r="B1436" s="17">
        <f>IF($B$4="표준",'2.치형좌표'!D1435,'2.치형좌표'!G1435)</f>
        <v>19.347405124177179</v>
      </c>
      <c r="C1436" s="17">
        <f>IF($B$4="표준",'2.치형좌표'!E1435,'2.치형좌표'!H1435)</f>
        <v>74.660982690004417</v>
      </c>
      <c r="D1436" s="6" t="str">
        <f t="shared" si="22"/>
        <v>19.34741,74.66098</v>
      </c>
    </row>
    <row r="1437" spans="1:4" x14ac:dyDescent="0.3">
      <c r="A1437" s="19">
        <v>1431</v>
      </c>
      <c r="B1437" s="17">
        <f>IF($B$4="표준",'2.치형좌표'!D1436,'2.치형좌표'!G1436)</f>
        <v>20.235321790986145</v>
      </c>
      <c r="C1437" s="17">
        <f>IF($B$4="표준",'2.치형좌표'!E1436,'2.치형좌표'!H1436)</f>
        <v>73.932805302036428</v>
      </c>
      <c r="D1437" s="6" t="str">
        <f t="shared" si="22"/>
        <v>20.23532,73.93281</v>
      </c>
    </row>
    <row r="1438" spans="1:4" x14ac:dyDescent="0.3">
      <c r="A1438" s="19">
        <v>1432</v>
      </c>
      <c r="B1438" s="17">
        <f>IF($B$4="표준",'2.치형좌표'!D1437,'2.치형좌표'!G1437)</f>
        <v>21.626854568924514</v>
      </c>
      <c r="C1438" s="17">
        <f>IF($B$4="표준",'2.치형좌표'!E1437,'2.치형좌표'!H1437)</f>
        <v>73.384249670713729</v>
      </c>
      <c r="D1438" s="6" t="str">
        <f t="shared" si="22"/>
        <v>21.62685,73.38425</v>
      </c>
    </row>
    <row r="1439" spans="1:4" x14ac:dyDescent="0.3">
      <c r="A1439" s="19">
        <v>1433</v>
      </c>
      <c r="B1439" s="17">
        <f>IF($B$4="표준",'2.치형좌표'!D1438,'2.치형좌표'!G1438)</f>
        <v>23.000127991184002</v>
      </c>
      <c r="C1439" s="17">
        <f>IF($B$4="표준",'2.치형좌표'!E1438,'2.치형좌표'!H1438)</f>
        <v>73.336620448966841</v>
      </c>
      <c r="D1439" s="6" t="str">
        <f t="shared" si="22"/>
        <v>23.00013,73.33662</v>
      </c>
    </row>
    <row r="1440" spans="1:4" x14ac:dyDescent="0.3">
      <c r="A1440" s="19">
        <v>1434</v>
      </c>
      <c r="B1440" s="17">
        <f>IF($B$4="표준",'2.치형좌표'!D1439,'2.치형좌표'!G1439)</f>
        <v>23.914701548154255</v>
      </c>
      <c r="C1440" s="17">
        <f>IF($B$4="표준",'2.치형좌표'!E1439,'2.치형좌표'!H1439)</f>
        <v>73.554195977740847</v>
      </c>
      <c r="D1440" s="6" t="str">
        <f t="shared" si="22"/>
        <v>23.91470,73.55420</v>
      </c>
    </row>
    <row r="1441" spans="1:4" x14ac:dyDescent="0.3">
      <c r="A1441" s="19">
        <v>1435</v>
      </c>
      <c r="B1441" s="17">
        <f>IF($B$4="표준",'2.치형좌표'!D1440,'2.치형좌표'!G1440)</f>
        <v>24.445299407873136</v>
      </c>
      <c r="C1441" s="17">
        <f>IF($B$4="표준",'2.치형좌표'!E1440,'2.치형좌표'!H1440)</f>
        <v>73.776287140876661</v>
      </c>
      <c r="D1441" s="6" t="str">
        <f t="shared" si="22"/>
        <v>24.44530,73.77629</v>
      </c>
    </row>
    <row r="1442" spans="1:4" x14ac:dyDescent="0.3">
      <c r="A1442" s="19">
        <v>1436</v>
      </c>
      <c r="B1442" s="17">
        <f>IF($B$4="표준",'2.치형좌표'!D1441,'2.치형좌표'!G1441)</f>
        <v>24.761044290472476</v>
      </c>
      <c r="C1442" s="17">
        <f>IF($B$4="표준",'2.치형좌표'!E1441,'2.치형좌표'!H1441)</f>
        <v>73.940615048427901</v>
      </c>
      <c r="D1442" s="6" t="str">
        <f t="shared" si="22"/>
        <v>24.76104,73.94062</v>
      </c>
    </row>
    <row r="1443" spans="1:4" x14ac:dyDescent="0.3">
      <c r="A1443" s="19">
        <v>1437</v>
      </c>
      <c r="B1443" s="17">
        <f>IF($B$4="표준",'2.치형좌표'!D1442,'2.치형좌표'!G1442)</f>
        <v>24.96615177046019</v>
      </c>
      <c r="C1443" s="17">
        <f>IF($B$4="표준",'2.치형좌표'!E1442,'2.치형좌표'!H1442)</f>
        <v>74.056413309810424</v>
      </c>
      <c r="D1443" s="6" t="str">
        <f t="shared" si="22"/>
        <v>24.96615,74.05641</v>
      </c>
    </row>
    <row r="1444" spans="1:4" x14ac:dyDescent="0.3">
      <c r="A1444" s="19">
        <v>1438</v>
      </c>
      <c r="B1444" s="17">
        <f>IF($B$4="표준",'2.치형좌표'!D1443,'2.치형좌표'!G1443)</f>
        <v>25.115460817605275</v>
      </c>
      <c r="C1444" s="17">
        <f>IF($B$4="표준",'2.치형좌표'!E1443,'2.치형좌표'!H1443)</f>
        <v>74.141475998191993</v>
      </c>
      <c r="D1444" s="6" t="str">
        <f t="shared" si="22"/>
        <v>25.11546,74.14148</v>
      </c>
    </row>
    <row r="1445" spans="1:4" x14ac:dyDescent="0.3">
      <c r="A1445" s="19">
        <v>1439</v>
      </c>
      <c r="B1445" s="17">
        <f>IF($B$4="표준",'2.치형좌표'!D1444,'2.치형좌표'!G1444)</f>
        <v>25.238473315225427</v>
      </c>
      <c r="C1445" s="17">
        <f>IF($B$4="표준",'2.치형좌표'!E1444,'2.치형좌표'!H1444)</f>
        <v>74.20909577357601</v>
      </c>
      <c r="D1445" s="6" t="str">
        <f t="shared" si="22"/>
        <v>25.23847,74.20910</v>
      </c>
    </row>
    <row r="1446" spans="1:4" x14ac:dyDescent="0.3">
      <c r="A1446" s="19">
        <v>1440</v>
      </c>
      <c r="B1446" s="17">
        <f>IF($B$4="표준",'2.치형좌표'!D1445,'2.치형좌표'!G1445)</f>
        <v>25.352045591296125</v>
      </c>
      <c r="C1446" s="17">
        <f>IF($B$4="표준",'2.치형좌표'!E1445,'2.치형좌표'!H1445)</f>
        <v>74.267474458463823</v>
      </c>
      <c r="D1446" s="6" t="str">
        <f t="shared" si="22"/>
        <v>25.35205,74.26747</v>
      </c>
    </row>
    <row r="1447" spans="1:4" x14ac:dyDescent="0.3">
      <c r="A1447" s="19">
        <v>1441</v>
      </c>
      <c r="B1447" s="17">
        <f>IF($B$4="표준",'2.치형좌표'!D1446,'2.치형좌표'!G1446)</f>
        <v>25.466363429728947</v>
      </c>
      <c r="C1447" s="17">
        <f>IF($B$4="표준",'2.치형좌표'!E1446,'2.치형좌표'!H1446)</f>
        <v>74.321075442083185</v>
      </c>
      <c r="D1447" s="6" t="str">
        <f t="shared" si="22"/>
        <v>25.46636,74.32108</v>
      </c>
    </row>
    <row r="1448" spans="1:4" x14ac:dyDescent="0.3">
      <c r="A1448" s="19">
        <v>1442</v>
      </c>
      <c r="B1448" s="17">
        <f>IF($B$4="표준",'2.치형좌표'!D1447,'2.치형좌표'!G1447)</f>
        <v>25.587798834888858</v>
      </c>
      <c r="C1448" s="17">
        <f>IF($B$4="표준",'2.치형좌표'!E1447,'2.치형좌표'!H1447)</f>
        <v>74.371853473147794</v>
      </c>
      <c r="D1448" s="6" t="str">
        <f t="shared" si="22"/>
        <v>25.58780,74.37185</v>
      </c>
    </row>
    <row r="1449" spans="1:4" x14ac:dyDescent="0.3">
      <c r="A1449" s="19">
        <v>1443</v>
      </c>
      <c r="B1449" s="17">
        <f>IF($B$4="표준",'2.치형좌표'!D1448,'2.치형좌표'!G1448)</f>
        <v>25.720343337137034</v>
      </c>
      <c r="C1449" s="17">
        <f>IF($B$4="표준",'2.치형좌표'!E1448,'2.치형좌표'!H1448)</f>
        <v>74.420126494682577</v>
      </c>
      <c r="D1449" s="6" t="str">
        <f t="shared" si="22"/>
        <v>25.72034,74.42013</v>
      </c>
    </row>
    <row r="1450" spans="1:4" x14ac:dyDescent="0.3">
      <c r="A1450" s="19">
        <v>1444</v>
      </c>
      <c r="B1450" s="17">
        <f>IF($B$4="표준",'2.치형좌표'!D1449,'2.치형좌표'!G1449)</f>
        <v>25.866370504234169</v>
      </c>
      <c r="C1450" s="17">
        <f>IF($B$4="표준",'2.치형좌표'!E1449,'2.치형좌표'!H1449)</f>
        <v>74.465168073094361</v>
      </c>
      <c r="D1450" s="6" t="str">
        <f t="shared" si="22"/>
        <v>25.86637,74.46517</v>
      </c>
    </row>
    <row r="1451" spans="1:4" x14ac:dyDescent="0.3">
      <c r="A1451" s="19">
        <v>1445</v>
      </c>
      <c r="B1451" s="17">
        <f>IF($B$4="표준",'2.치형좌표'!D1450,'2.치형좌표'!G1450)</f>
        <v>26.027069306153738</v>
      </c>
      <c r="C1451" s="17">
        <f>IF($B$4="표준",'2.치형좌표'!E1450,'2.치형좌표'!H1450)</f>
        <v>74.50561466602062</v>
      </c>
      <c r="D1451" s="6" t="str">
        <f t="shared" si="22"/>
        <v>26.02707,74.50561</v>
      </c>
    </row>
    <row r="1452" spans="1:4" x14ac:dyDescent="0.3">
      <c r="A1452" s="19">
        <v>1446</v>
      </c>
      <c r="B1452" s="17">
        <f>IF($B$4="표준",'2.치형좌표'!D1451,'2.치형좌표'!G1451)</f>
        <v>26.202710048134801</v>
      </c>
      <c r="C1452" s="17">
        <f>IF($B$4="표준",'2.치형좌표'!E1451,'2.치형좌표'!H1451)</f>
        <v>74.539753943393862</v>
      </c>
      <c r="D1452" s="6" t="str">
        <f t="shared" si="22"/>
        <v>26.20271,74.53975</v>
      </c>
    </row>
    <row r="1453" spans="1:4" x14ac:dyDescent="0.3">
      <c r="A1453" s="19">
        <v>1447</v>
      </c>
      <c r="B1453" s="17">
        <f>IF($B$4="표준",'2.치형좌표'!D1452,'2.치형좌표'!G1452)</f>
        <v>26.392822864821625</v>
      </c>
      <c r="C1453" s="17">
        <f>IF($B$4="표준",'2.치형좌표'!E1452,'2.치형좌표'!H1452)</f>
        <v>74.565735669256156</v>
      </c>
      <c r="D1453" s="6" t="str">
        <f t="shared" si="22"/>
        <v>26.39282,74.56574</v>
      </c>
    </row>
    <row r="1454" spans="1:4" x14ac:dyDescent="0.3">
      <c r="A1454" s="19">
        <v>1448</v>
      </c>
      <c r="B1454" s="17">
        <f>IF($B$4="표준",'2.치형좌표'!D1453,'2.치형좌표'!G1453)</f>
        <v>26.596329919530465</v>
      </c>
      <c r="C1454" s="17">
        <f>IF($B$4="표준",'2.치형좌표'!E1453,'2.치형좌표'!H1453)</f>
        <v>74.58173031670762</v>
      </c>
      <c r="D1454" s="6" t="str">
        <f t="shared" si="22"/>
        <v>26.59633,74.58173</v>
      </c>
    </row>
    <row r="1455" spans="1:4" x14ac:dyDescent="0.3">
      <c r="A1455" s="19">
        <v>1449</v>
      </c>
      <c r="B1455" s="17">
        <f>IF($B$4="표준",'2.치형좌표'!D1454,'2.치형좌표'!G1454)</f>
        <v>26.81165310446741</v>
      </c>
      <c r="C1455" s="17">
        <f>IF($B$4="표준",'2.치형좌표'!E1454,'2.치형좌표'!H1454)</f>
        <v>74.586050568556132</v>
      </c>
      <c r="D1455" s="6" t="str">
        <f t="shared" si="22"/>
        <v>26.81165,74.58605</v>
      </c>
    </row>
    <row r="1456" spans="1:4" x14ac:dyDescent="0.3">
      <c r="A1456" s="19">
        <v>1450</v>
      </c>
      <c r="B1456" s="17">
        <f>IF($B$4="표준",'2.치형좌표'!D1455,'2.치형좌표'!G1455)</f>
        <v>27.036808959700789</v>
      </c>
      <c r="C1456" s="17">
        <f>IF($B$4="표준",'2.치형좌표'!E1455,'2.치형좌표'!H1455)</f>
        <v>74.57724484142291</v>
      </c>
      <c r="D1456" s="6" t="str">
        <f t="shared" si="22"/>
        <v>27.03681,74.57724</v>
      </c>
    </row>
    <row r="1457" spans="1:4" x14ac:dyDescent="0.3">
      <c r="A1457" s="19">
        <v>1451</v>
      </c>
      <c r="B1457" s="17">
        <f>IF($B$4="표준",'2.치형좌표'!D1456,'2.치형좌표'!G1456)</f>
        <v>27.269497053760002</v>
      </c>
      <c r="C1457" s="17">
        <f>IF($B$4="표준",'2.치형좌표'!E1456,'2.치형좌표'!H1456)</f>
        <v>74.554168376582282</v>
      </c>
      <c r="D1457" s="6" t="str">
        <f t="shared" si="22"/>
        <v>27.26950,74.55417</v>
      </c>
    </row>
    <row r="1458" spans="1:4" x14ac:dyDescent="0.3">
      <c r="A1458" s="19">
        <v>1452</v>
      </c>
      <c r="B1458" s="17">
        <f>IF($B$4="표준",'2.치형좌표'!D1457,'2.치형좌표'!G1457)</f>
        <v>27.507184977762105</v>
      </c>
      <c r="C1458" s="17">
        <f>IF($B$4="표준",'2.치형좌표'!E1457,'2.치형좌표'!H1457)</f>
        <v>74.516035294810024</v>
      </c>
      <c r="D1458" s="6" t="str">
        <f t="shared" si="22"/>
        <v>27.50718,74.51604</v>
      </c>
    </row>
    <row r="1459" spans="1:4" x14ac:dyDescent="0.3">
      <c r="A1459" s="19">
        <v>1453</v>
      </c>
      <c r="B1459" s="17">
        <f>IF($B$4="표준",'2.치형좌표'!D1458,'2.치형좌표'!G1458)</f>
        <v>27.747191300498741</v>
      </c>
      <c r="C1459" s="17">
        <f>IF($B$4="표준",'2.치형좌표'!E1458,'2.치형좌표'!H1458)</f>
        <v>74.462453736977608</v>
      </c>
      <c r="D1459" s="6" t="str">
        <f t="shared" si="22"/>
        <v>27.74719,74.46245</v>
      </c>
    </row>
    <row r="1460" spans="1:4" x14ac:dyDescent="0.3">
      <c r="A1460" s="19">
        <v>1454</v>
      </c>
      <c r="B1460" s="17">
        <f>IF($B$4="표준",'2.치형좌표'!D1459,'2.치형좌표'!G1459)</f>
        <v>27.986766750974741</v>
      </c>
      <c r="C1460" s="17">
        <f>IF($B$4="표준",'2.치형좌표'!E1459,'2.치형좌표'!H1459)</f>
        <v>74.393445463285389</v>
      </c>
      <c r="D1460" s="6" t="str">
        <f t="shared" si="22"/>
        <v>27.98677,74.39345</v>
      </c>
    </row>
    <row r="1461" spans="1:4" x14ac:dyDescent="0.3">
      <c r="A1461" s="19">
        <v>1455</v>
      </c>
      <c r="B1461" s="17">
        <f>IF($B$4="표준",'2.치형좌표'!D1460,'2.치형좌표'!G1460)</f>
        <v>28.223173238687043</v>
      </c>
      <c r="C1461" s="17">
        <f>IF($B$4="표준",'2.치형좌표'!E1460,'2.치형좌표'!H1460)</f>
        <v>74.309450853953535</v>
      </c>
      <c r="D1461" s="6" t="str">
        <f t="shared" si="22"/>
        <v>28.22317,74.30945</v>
      </c>
    </row>
    <row r="1462" spans="1:4" x14ac:dyDescent="0.3">
      <c r="A1462" s="19">
        <v>1456</v>
      </c>
      <c r="B1462" s="17">
        <f>IF($B$4="표준",'2.치형좌표'!D1461,'2.치형좌표'!G1461)</f>
        <v>28.453759926795183</v>
      </c>
      <c r="C1462" s="17">
        <f>IF($B$4="표준",'2.치형좌표'!E1461,'2.치형좌표'!H1461)</f>
        <v>74.211320012968969</v>
      </c>
      <c r="D1462" s="6" t="str">
        <f t="shared" si="22"/>
        <v>28.45376,74.21132</v>
      </c>
    </row>
    <row r="1463" spans="1:4" x14ac:dyDescent="0.3">
      <c r="A1463" s="19">
        <v>1457</v>
      </c>
      <c r="B1463" s="17">
        <f>IF($B$4="표준",'2.치형좌표'!D1462,'2.치형좌표'!G1462)</f>
        <v>28.676035346864275</v>
      </c>
      <c r="C1463" s="17">
        <f>IF($B$4="표준",'2.치형좌표'!E1462,'2.치형좌표'!H1462)</f>
        <v>74.100290538346314</v>
      </c>
      <c r="D1463" s="6" t="str">
        <f t="shared" si="22"/>
        <v>28.67604,74.10029</v>
      </c>
    </row>
    <row r="1464" spans="1:4" x14ac:dyDescent="0.3">
      <c r="A1464" s="19">
        <v>1458</v>
      </c>
      <c r="B1464" s="17">
        <f>IF($B$4="표준",'2.치형좌표'!D1463,'2.치형좌표'!G1463)</f>
        <v>28.887734432497489</v>
      </c>
      <c r="C1464" s="17">
        <f>IF($B$4="표준",'2.치형좌표'!E1463,'2.치형좌표'!H1463)</f>
        <v>73.977952425162954</v>
      </c>
      <c r="D1464" s="6" t="str">
        <f t="shared" si="22"/>
        <v>28.88773,73.97795</v>
      </c>
    </row>
    <row r="1465" spans="1:4" x14ac:dyDescent="0.3">
      <c r="A1465" s="19">
        <v>1459</v>
      </c>
      <c r="B1465" s="17">
        <f>IF($B$4="표준",'2.치형좌표'!D1464,'2.치형좌표'!G1464)</f>
        <v>29.086879321390278</v>
      </c>
      <c r="C1465" s="17">
        <f>IF($B$4="표준",'2.치형좌표'!E1464,'2.치형좌표'!H1464)</f>
        <v>73.84620045925908</v>
      </c>
      <c r="D1465" s="6" t="str">
        <f t="shared" si="22"/>
        <v>29.08688,73.84620</v>
      </c>
    </row>
    <row r="1466" spans="1:4" x14ac:dyDescent="0.3">
      <c r="A1466" s="19">
        <v>1460</v>
      </c>
      <c r="B1466" s="17">
        <f>IF($B$4="표준",'2.치형좌표'!D1465,'2.치형좌표'!G1465)</f>
        <v>29.271832813125769</v>
      </c>
      <c r="C1466" s="17">
        <f>IF($B$4="표준",'2.치형좌표'!E1465,'2.치형좌표'!H1465)</f>
        <v>73.707174287069407</v>
      </c>
      <c r="D1466" s="6" t="str">
        <f t="shared" si="22"/>
        <v>29.27183,73.70717</v>
      </c>
    </row>
    <row r="1467" spans="1:4" x14ac:dyDescent="0.3">
      <c r="A1467" s="19">
        <v>1461</v>
      </c>
      <c r="B1467" s="17">
        <f>IF($B$4="표준",'2.치형좌표'!D1466,'2.치형좌표'!G1466)</f>
        <v>29.441343465369481</v>
      </c>
      <c r="C1467" s="17">
        <f>IF($B$4="표준",'2.치형좌표'!E1466,'2.치형좌표'!H1466)</f>
        <v>73.563186045558709</v>
      </c>
      <c r="D1467" s="6" t="str">
        <f t="shared" si="22"/>
        <v>29.44134,73.56319</v>
      </c>
    </row>
    <row r="1468" spans="1:4" x14ac:dyDescent="0.3">
      <c r="A1468" s="19">
        <v>1462</v>
      </c>
      <c r="B1468" s="17">
        <f>IF($B$4="표준",'2.치형좌표'!D1467,'2.치형좌표'!G1467)</f>
        <v>29.594581466395045</v>
      </c>
      <c r="C1468" s="17">
        <f>IF($B$4="표준",'2.치형좌표'!E1467,'2.치형좌표'!H1467)</f>
        <v>73.416634913057763</v>
      </c>
      <c r="D1468" s="6" t="str">
        <f t="shared" si="22"/>
        <v>29.59458,73.41663</v>
      </c>
    </row>
    <row r="1469" spans="1:4" x14ac:dyDescent="0.3">
      <c r="A1469" s="19">
        <v>1463</v>
      </c>
      <c r="B1469" s="17">
        <f>IF($B$4="표준",'2.치형좌표'!D1468,'2.치형좌표'!G1468)</f>
        <v>29.731164655157503</v>
      </c>
      <c r="C1469" s="17">
        <f>IF($B$4="표준",'2.치형좌표'!E1468,'2.치형좌표'!H1468)</f>
        <v>73.269907051731224</v>
      </c>
      <c r="D1469" s="6" t="str">
        <f t="shared" si="22"/>
        <v>29.73116,73.26991</v>
      </c>
    </row>
    <row r="1470" spans="1:4" x14ac:dyDescent="0.3">
      <c r="A1470" s="19">
        <v>1464</v>
      </c>
      <c r="B1470" s="17">
        <f>IF($B$4="표준",'2.치형좌표'!D1469,'2.치형좌표'!G1469)</f>
        <v>29.851174419282881</v>
      </c>
      <c r="C1470" s="17">
        <f>IF($B$4="표준",'2.치형좌표'!E1469,'2.치형좌표'!H1469)</f>
        <v>73.125257913383976</v>
      </c>
      <c r="D1470" s="6" t="str">
        <f t="shared" si="22"/>
        <v>29.85117,73.12526</v>
      </c>
    </row>
    <row r="1471" spans="1:4" x14ac:dyDescent="0.3">
      <c r="A1471" s="19">
        <v>1465</v>
      </c>
      <c r="B1471" s="17">
        <f>IF($B$4="표준",'2.치형좌표'!D1470,'2.치형좌표'!G1470)</f>
        <v>29.955161796671675</v>
      </c>
      <c r="C1471" s="17">
        <f>IF($B$4="표준",'2.치형좌표'!E1470,'2.치형좌표'!H1470)</f>
        <v>72.984671351205506</v>
      </c>
      <c r="D1471" s="6" t="str">
        <f t="shared" si="22"/>
        <v>29.95516,72.98467</v>
      </c>
    </row>
    <row r="1472" spans="1:4" x14ac:dyDescent="0.3">
      <c r="A1472" s="19">
        <v>1466</v>
      </c>
      <c r="B1472" s="17">
        <f>IF($B$4="표준",'2.치형좌표'!D1471,'2.치형좌표'!G1471)</f>
        <v>30.044145186280794</v>
      </c>
      <c r="C1472" s="17">
        <f>IF($B$4="표준",'2.치형좌표'!E1471,'2.치형좌표'!H1471)</f>
        <v>72.849685662536785</v>
      </c>
      <c r="D1472" s="6" t="str">
        <f t="shared" si="22"/>
        <v>30.04415,72.84969</v>
      </c>
    </row>
    <row r="1473" spans="1:4" x14ac:dyDescent="0.3">
      <c r="A1473" s="19">
        <v>1467</v>
      </c>
      <c r="B1473" s="17">
        <f>IF($B$4="표준",'2.치형좌표'!D1472,'2.치형좌표'!G1472)</f>
        <v>30.119603203939018</v>
      </c>
      <c r="C1473" s="17">
        <f>IF($B$4="표준",'2.치형좌표'!E1472,'2.치형좌표'!H1472)</f>
        <v>72.721169173496861</v>
      </c>
      <c r="D1473" s="6" t="str">
        <f t="shared" si="22"/>
        <v>30.11960,72.72117</v>
      </c>
    </row>
    <row r="1474" spans="1:4" x14ac:dyDescent="0.3">
      <c r="A1474" s="19">
        <v>1468</v>
      </c>
      <c r="B1474" s="17">
        <f>IF($B$4="표준",'2.치형좌표'!D1473,'2.치형좌표'!G1473)</f>
        <v>30.18347072559132</v>
      </c>
      <c r="C1474" s="17">
        <f>IF($B$4="표준",'2.치형좌표'!E1473,'2.치형좌표'!H1473)</f>
        <v>72.599014573332312</v>
      </c>
      <c r="D1474" s="6" t="str">
        <f t="shared" si="22"/>
        <v>30.18347,72.59901</v>
      </c>
    </row>
    <row r="1475" spans="1:4" x14ac:dyDescent="0.3">
      <c r="A1475" s="19">
        <v>1469</v>
      </c>
      <c r="B1475" s="17">
        <f>IF($B$4="표준",'2.치형좌표'!D1474,'2.치형좌표'!G1474)</f>
        <v>30.238156268588458</v>
      </c>
      <c r="C1475" s="17">
        <f>IF($B$4="표준",'2.치형좌표'!E1474,'2.치형좌표'!H1474)</f>
        <v>72.481696634940292</v>
      </c>
      <c r="D1475" s="6" t="str">
        <f t="shared" si="22"/>
        <v>30.23816,72.48170</v>
      </c>
    </row>
    <row r="1476" spans="1:4" x14ac:dyDescent="0.3">
      <c r="A1476" s="19">
        <v>1470</v>
      </c>
      <c r="B1476" s="17">
        <f>IF($B$4="표준",'2.치형좌표'!D1475,'2.치형좌표'!G1475)</f>
        <v>30.286622778331193</v>
      </c>
      <c r="C1476" s="17">
        <f>IF($B$4="표준",'2.치형좌표'!E1475,'2.치형좌표'!H1475)</f>
        <v>72.365591674042449</v>
      </c>
      <c r="D1476" s="6" t="str">
        <f t="shared" si="22"/>
        <v>30.28662,72.36559</v>
      </c>
    </row>
    <row r="1477" spans="1:4" x14ac:dyDescent="0.3">
      <c r="A1477" s="19">
        <v>1471</v>
      </c>
      <c r="B1477" s="17">
        <f>IF($B$4="표준",'2.치형좌표'!D1476,'2.치형좌표'!G1476)</f>
        <v>30.332633571507142</v>
      </c>
      <c r="C1477" s="17">
        <f>IF($B$4="표준",'2.치형좌표'!E1476,'2.치형좌표'!H1476)</f>
        <v>72.24386808901167</v>
      </c>
      <c r="D1477" s="6" t="str">
        <f t="shared" si="22"/>
        <v>30.33263,72.24387</v>
      </c>
    </row>
    <row r="1478" spans="1:4" x14ac:dyDescent="0.3">
      <c r="A1478" s="19">
        <v>1472</v>
      </c>
      <c r="B1478" s="17">
        <f>IF($B$4="표준",'2.치형좌표'!D1477,'2.치형좌표'!G1477)</f>
        <v>30.381422573669024</v>
      </c>
      <c r="C1478" s="17">
        <f>IF($B$4="표준",'2.치형좌표'!E1477,'2.치형좌표'!H1477)</f>
        <v>72.104586198307729</v>
      </c>
      <c r="D1478" s="6" t="str">
        <f t="shared" si="22"/>
        <v>30.38142,72.10459</v>
      </c>
    </row>
    <row r="1479" spans="1:4" x14ac:dyDescent="0.3">
      <c r="A1479" s="19">
        <v>1473</v>
      </c>
      <c r="B1479" s="17">
        <f>IF($B$4="표준",'2.치형좌표'!D1478,'2.치형좌표'!G1478)</f>
        <v>30.441486195419944</v>
      </c>
      <c r="C1479" s="17">
        <f>IF($B$4="표준",'2.치형좌표'!E1478,'2.치형좌표'!H1478)</f>
        <v>71.927338189897625</v>
      </c>
      <c r="D1479" s="6" t="str">
        <f t="shared" ref="D1479:D1542" si="23">TEXT(B1479,"0.00000")&amp;","&amp;TEXT(C1479,"0.00000")</f>
        <v>30.44149,71.92734</v>
      </c>
    </row>
    <row r="1480" spans="1:4" x14ac:dyDescent="0.3">
      <c r="A1480" s="19">
        <v>1474</v>
      </c>
      <c r="B1480" s="17">
        <f>IF($B$4="표준",'2.치형좌표'!D1479,'2.치형좌표'!G1479)</f>
        <v>30.529463958260433</v>
      </c>
      <c r="C1480" s="17">
        <f>IF($B$4="표준",'2.치형좌표'!E1479,'2.치형좌표'!H1479)</f>
        <v>71.677382630635293</v>
      </c>
      <c r="D1480" s="6" t="str">
        <f t="shared" si="23"/>
        <v>30.52946,71.67738</v>
      </c>
    </row>
    <row r="1481" spans="1:4" x14ac:dyDescent="0.3">
      <c r="A1481" s="19">
        <v>1475</v>
      </c>
      <c r="B1481" s="17">
        <f>IF($B$4="표준",'2.치형좌표'!D1480,'2.치형좌표'!G1480)</f>
        <v>30.683665851745694</v>
      </c>
      <c r="C1481" s="17">
        <f>IF($B$4="표준",'2.치형좌표'!E1480,'2.치형좌표'!H1480)</f>
        <v>71.297044993186788</v>
      </c>
      <c r="D1481" s="6" t="str">
        <f t="shared" si="23"/>
        <v>30.68367,71.29704</v>
      </c>
    </row>
    <row r="1482" spans="1:4" x14ac:dyDescent="0.3">
      <c r="A1482" s="19">
        <v>1476</v>
      </c>
      <c r="B1482" s="17">
        <f>IF($B$4="표준",'2.치형좌표'!D1481,'2.치형좌표'!G1481)</f>
        <v>30.999060160761879</v>
      </c>
      <c r="C1482" s="17">
        <f>IF($B$4="표준",'2.치형좌표'!E1481,'2.치형좌표'!H1481)</f>
        <v>70.704938197208179</v>
      </c>
      <c r="D1482" s="6" t="str">
        <f t="shared" si="23"/>
        <v>30.99906,70.70494</v>
      </c>
    </row>
    <row r="1483" spans="1:4" x14ac:dyDescent="0.3">
      <c r="A1483" s="19">
        <v>1477</v>
      </c>
      <c r="B1483" s="17">
        <f>IF($B$4="표준",'2.치형좌표'!D1482,'2.치형좌표'!G1482)</f>
        <v>31.679741540982416</v>
      </c>
      <c r="C1483" s="17">
        <f>IF($B$4="표준",'2.치형좌표'!E1482,'2.치형좌표'!H1482)</f>
        <v>69.868884731212887</v>
      </c>
      <c r="D1483" s="6" t="str">
        <f t="shared" si="23"/>
        <v>31.67974,69.86888</v>
      </c>
    </row>
    <row r="1484" spans="1:4" x14ac:dyDescent="0.3">
      <c r="A1484" s="19">
        <v>1478</v>
      </c>
      <c r="B1484" s="17">
        <f>IF($B$4="표준",'2.치형좌표'!D1483,'2.치형좌표'!G1483)</f>
        <v>32.898641131734152</v>
      </c>
      <c r="C1484" s="17">
        <f>IF($B$4="표준",'2.치형좌표'!E1483,'2.치형좌표'!H1483)</f>
        <v>69.054240736533231</v>
      </c>
      <c r="D1484" s="6" t="str">
        <f t="shared" si="23"/>
        <v>32.89864,69.05424</v>
      </c>
    </row>
    <row r="1485" spans="1:4" x14ac:dyDescent="0.3">
      <c r="A1485" s="19">
        <v>1479</v>
      </c>
      <c r="B1485" s="17">
        <f>IF($B$4="표준",'2.치형좌표'!D1484,'2.치형좌표'!G1484)</f>
        <v>34.280840271548009</v>
      </c>
      <c r="C1485" s="17">
        <f>IF($B$4="표준",'2.치형좌표'!E1484,'2.치형좌표'!H1484)</f>
        <v>68.707826165781668</v>
      </c>
      <c r="D1485" s="6" t="str">
        <f t="shared" si="23"/>
        <v>34.28084,68.70783</v>
      </c>
    </row>
    <row r="1486" spans="1:4" x14ac:dyDescent="0.3">
      <c r="A1486" s="19">
        <v>1480</v>
      </c>
      <c r="B1486" s="17">
        <f>IF($B$4="표준",'2.치형좌표'!D1485,'2.치형좌표'!G1485)</f>
        <v>35.288412648339623</v>
      </c>
      <c r="C1486" s="17">
        <f>IF($B$4="표준",'2.치형좌표'!E1485,'2.치형좌표'!H1485)</f>
        <v>68.746379630641712</v>
      </c>
      <c r="D1486" s="6" t="str">
        <f t="shared" si="23"/>
        <v>35.28841,68.74638</v>
      </c>
    </row>
    <row r="1487" spans="1:4" x14ac:dyDescent="0.3">
      <c r="A1487" s="19">
        <v>1481</v>
      </c>
      <c r="B1487" s="17">
        <f>IF($B$4="표준",'2.치형좌표'!D1486,'2.치형좌표'!G1486)</f>
        <v>35.895103831519812</v>
      </c>
      <c r="C1487" s="17">
        <f>IF($B$4="표준",'2.치형좌표'!E1486,'2.치형좌표'!H1486)</f>
        <v>68.879685028755702</v>
      </c>
      <c r="D1487" s="6" t="str">
        <f t="shared" si="23"/>
        <v>35.89510,68.87969</v>
      </c>
    </row>
    <row r="1488" spans="1:4" x14ac:dyDescent="0.3">
      <c r="A1488" s="19">
        <v>1482</v>
      </c>
      <c r="B1488" s="17">
        <f>IF($B$4="표준",'2.치형좌표'!D1487,'2.치형좌표'!G1487)</f>
        <v>36.258851957783953</v>
      </c>
      <c r="C1488" s="17">
        <f>IF($B$4="표준",'2.치형좌표'!E1487,'2.치형좌표'!H1487)</f>
        <v>68.996107922315034</v>
      </c>
      <c r="D1488" s="6" t="str">
        <f t="shared" si="23"/>
        <v>36.25885,68.99611</v>
      </c>
    </row>
    <row r="1489" spans="1:4" x14ac:dyDescent="0.3">
      <c r="A1489" s="19">
        <v>1483</v>
      </c>
      <c r="B1489" s="17">
        <f>IF($B$4="표준",'2.치형좌표'!D1488,'2.치형좌표'!G1488)</f>
        <v>36.493276315824872</v>
      </c>
      <c r="C1489" s="17">
        <f>IF($B$4="표준",'2.치형좌표'!E1488,'2.치형좌표'!H1488)</f>
        <v>69.081663970647313</v>
      </c>
      <c r="D1489" s="6" t="str">
        <f t="shared" si="23"/>
        <v>36.49328,69.08166</v>
      </c>
    </row>
    <row r="1490" spans="1:4" x14ac:dyDescent="0.3">
      <c r="A1490" s="19">
        <v>1484</v>
      </c>
      <c r="B1490" s="17">
        <f>IF($B$4="표준",'2.치형좌표'!D1489,'2.치형좌표'!G1489)</f>
        <v>36.661036753921522</v>
      </c>
      <c r="C1490" s="17">
        <f>IF($B$4="표준",'2.치형좌표'!E1489,'2.치형좌표'!H1489)</f>
        <v>69.144350184962619</v>
      </c>
      <c r="D1490" s="6" t="str">
        <f t="shared" si="23"/>
        <v>36.66104,69.14435</v>
      </c>
    </row>
    <row r="1491" spans="1:4" x14ac:dyDescent="0.3">
      <c r="A1491" s="19">
        <v>1485</v>
      </c>
      <c r="B1491" s="17">
        <f>IF($B$4="표준",'2.치형좌표'!D1490,'2.치형좌표'!G1490)</f>
        <v>36.796317886821974</v>
      </c>
      <c r="C1491" s="17">
        <f>IF($B$4="표준",'2.치형좌표'!E1490,'2.치형좌표'!H1490)</f>
        <v>69.192935138549444</v>
      </c>
      <c r="D1491" s="6" t="str">
        <f t="shared" si="23"/>
        <v>36.79632,69.19294</v>
      </c>
    </row>
    <row r="1492" spans="1:4" x14ac:dyDescent="0.3">
      <c r="A1492" s="19">
        <v>1486</v>
      </c>
      <c r="B1492" s="17">
        <f>IF($B$4="표준",'2.치형좌표'!D1491,'2.치형좌표'!G1491)</f>
        <v>36.91860988950414</v>
      </c>
      <c r="C1492" s="17">
        <f>IF($B$4="표준",'2.치형좌표'!E1491,'2.치형좌표'!H1491)</f>
        <v>69.233272812123147</v>
      </c>
      <c r="D1492" s="6" t="str">
        <f t="shared" si="23"/>
        <v>36.91861,69.23327</v>
      </c>
    </row>
    <row r="1493" spans="1:4" x14ac:dyDescent="0.3">
      <c r="A1493" s="19">
        <v>1487</v>
      </c>
      <c r="B1493" s="17">
        <f>IF($B$4="표준",'2.치형좌표'!D1492,'2.치형좌표'!G1492)</f>
        <v>37.039538984037193</v>
      </c>
      <c r="C1493" s="17">
        <f>IF($B$4="표준",'2.치형좌표'!E1492,'2.치형좌표'!H1492)</f>
        <v>69.268488175155994</v>
      </c>
      <c r="D1493" s="6" t="str">
        <f t="shared" si="23"/>
        <v>37.03954,69.26849</v>
      </c>
    </row>
    <row r="1494" spans="1:4" x14ac:dyDescent="0.3">
      <c r="A1494" s="19">
        <v>1488</v>
      </c>
      <c r="B1494" s="17">
        <f>IF($B$4="표준",'2.치형좌표'!D1493,'2.치형좌표'!G1493)</f>
        <v>37.166223091325591</v>
      </c>
      <c r="C1494" s="17">
        <f>IF($B$4="표준",'2.치형좌표'!E1493,'2.치형좌표'!H1493)</f>
        <v>69.299729834048023</v>
      </c>
      <c r="D1494" s="6" t="str">
        <f t="shared" si="23"/>
        <v>37.16622,69.29973</v>
      </c>
    </row>
    <row r="1495" spans="1:4" x14ac:dyDescent="0.3">
      <c r="A1495" s="19">
        <v>1489</v>
      </c>
      <c r="B1495" s="17">
        <f>IF($B$4="표준",'2.치형좌표'!D1494,'2.치형좌표'!G1494)</f>
        <v>37.302987428480854</v>
      </c>
      <c r="C1495" s="17">
        <f>IF($B$4="표준",'2.치형좌표'!E1494,'2.치형좌표'!H1494)</f>
        <v>69.326827180048227</v>
      </c>
      <c r="D1495" s="6" t="str">
        <f t="shared" si="23"/>
        <v>37.30299,69.32683</v>
      </c>
    </row>
    <row r="1496" spans="1:4" x14ac:dyDescent="0.3">
      <c r="A1496" s="19">
        <v>1490</v>
      </c>
      <c r="B1496" s="17">
        <f>IF($B$4="표준",'2.치형좌표'!D1495,'2.치형좌표'!G1495)</f>
        <v>37.452291355285269</v>
      </c>
      <c r="C1496" s="17">
        <f>IF($B$4="표준",'2.치형좌표'!E1495,'2.치형좌표'!H1495)</f>
        <v>69.348776715585601</v>
      </c>
      <c r="D1496" s="6" t="str">
        <f t="shared" si="23"/>
        <v>37.45229,69.34878</v>
      </c>
    </row>
    <row r="1497" spans="1:4" x14ac:dyDescent="0.3">
      <c r="A1497" s="19">
        <v>1491</v>
      </c>
      <c r="B1497" s="17">
        <f>IF($B$4="표준",'2.치형좌표'!D1496,'2.치형좌표'!G1496)</f>
        <v>37.615261887340338</v>
      </c>
      <c r="C1497" s="17">
        <f>IF($B$4="표준",'2.치형좌표'!E1496,'2.치형좌표'!H1496)</f>
        <v>69.364091713659803</v>
      </c>
      <c r="D1497" s="6" t="str">
        <f t="shared" si="23"/>
        <v>37.61526,69.36409</v>
      </c>
    </row>
    <row r="1498" spans="1:4" x14ac:dyDescent="0.3">
      <c r="A1498" s="19">
        <v>1492</v>
      </c>
      <c r="B1498" s="17">
        <f>IF($B$4="표준",'2.치형좌표'!D1497,'2.치형좌표'!G1497)</f>
        <v>37.792023778132609</v>
      </c>
      <c r="C1498" s="17">
        <f>IF($B$4="표준",'2.치형좌표'!E1497,'2.치형좌표'!H1497)</f>
        <v>69.371055957185987</v>
      </c>
      <c r="D1498" s="6" t="str">
        <f t="shared" si="23"/>
        <v>37.79202,69.37106</v>
      </c>
    </row>
    <row r="1499" spans="1:4" x14ac:dyDescent="0.3">
      <c r="A1499" s="19">
        <v>1493</v>
      </c>
      <c r="B1499" s="17">
        <f>IF($B$4="표준",'2.치형좌표'!D1498,'2.치형좌표'!G1498)</f>
        <v>37.981921095518459</v>
      </c>
      <c r="C1499" s="17">
        <f>IF($B$4="표준",'2.치형좌표'!E1498,'2.치형좌표'!H1498)</f>
        <v>69.367911460850934</v>
      </c>
      <c r="D1499" s="6" t="str">
        <f t="shared" si="23"/>
        <v>37.98192,69.36791</v>
      </c>
    </row>
    <row r="1500" spans="1:4" x14ac:dyDescent="0.3">
      <c r="A1500" s="19">
        <v>1494</v>
      </c>
      <c r="B1500" s="17">
        <f>IF($B$4="표준",'2.치형좌표'!D1499,'2.치형좌표'!G1499)</f>
        <v>38.183679543016993</v>
      </c>
      <c r="C1500" s="17">
        <f>IF($B$4="표준",'2.치형좌표'!E1499,'2.치형좌표'!H1499)</f>
        <v>69.352999737336773</v>
      </c>
      <c r="D1500" s="6" t="str">
        <f t="shared" si="23"/>
        <v>38.18368,69.35300</v>
      </c>
    </row>
    <row r="1501" spans="1:4" x14ac:dyDescent="0.3">
      <c r="A1501" s="19">
        <v>1495</v>
      </c>
      <c r="B1501" s="17">
        <f>IF($B$4="표준",'2.치형좌표'!D1500,'2.치형좌표'!G1500)</f>
        <v>38.395535843402719</v>
      </c>
      <c r="C1501" s="17">
        <f>IF($B$4="표준",'2.치형좌표'!E1500,'2.치형좌표'!H1500)</f>
        <v>69.324868929419679</v>
      </c>
      <c r="D1501" s="6" t="str">
        <f t="shared" si="23"/>
        <v>38.39554,69.32487</v>
      </c>
    </row>
    <row r="1502" spans="1:4" x14ac:dyDescent="0.3">
      <c r="A1502" s="19">
        <v>1496</v>
      </c>
      <c r="B1502" s="17">
        <f>IF($B$4="표준",'2.치형좌표'!D1501,'2.치형좌표'!G1501)</f>
        <v>38.615348491331638</v>
      </c>
      <c r="C1502" s="17">
        <f>IF($B$4="표준",'2.치형좌표'!E1501,'2.치형좌표'!H1501)</f>
        <v>69.282354486573638</v>
      </c>
      <c r="D1502" s="6" t="str">
        <f t="shared" si="23"/>
        <v>38.61535,69.28235</v>
      </c>
    </row>
    <row r="1503" spans="1:4" x14ac:dyDescent="0.3">
      <c r="A1503" s="19">
        <v>1497</v>
      </c>
      <c r="B1503" s="17">
        <f>IF($B$4="표준",'2.치형좌표'!D1502,'2.치형좌표'!G1502)</f>
        <v>38.84069763712958</v>
      </c>
      <c r="C1503" s="17">
        <f>IF($B$4="표준",'2.치형좌표'!E1502,'2.치형좌표'!H1502)</f>
        <v>69.22463818630581</v>
      </c>
      <c r="D1503" s="6" t="str">
        <f t="shared" si="23"/>
        <v>38.84070,69.22464</v>
      </c>
    </row>
    <row r="1504" spans="1:4" x14ac:dyDescent="0.3">
      <c r="A1504" s="19">
        <v>1498</v>
      </c>
      <c r="B1504" s="17">
        <f>IF($B$4="표준",'2.치형좌표'!D1503,'2.치형좌표'!G1503)</f>
        <v>39.068978167454091</v>
      </c>
      <c r="C1504" s="17">
        <f>IF($B$4="표준",'2.치형좌표'!E1503,'2.치형좌표'!H1503)</f>
        <v>69.151288547131955</v>
      </c>
      <c r="D1504" s="6" t="str">
        <f t="shared" si="23"/>
        <v>39.06898,69.15129</v>
      </c>
    </row>
    <row r="1505" spans="1:4" x14ac:dyDescent="0.3">
      <c r="A1505" s="19">
        <v>1499</v>
      </c>
      <c r="B1505" s="17">
        <f>IF($B$4="표준",'2.치형좌표'!D1504,'2.치형좌표'!G1504)</f>
        <v>39.29748789559256</v>
      </c>
      <c r="C1505" s="17">
        <f>IF($B$4="표준",'2.치형좌표'!E1504,'2.치형좌표'!H1504)</f>
        <v>69.062284629238206</v>
      </c>
      <c r="D1505" s="6" t="str">
        <f t="shared" si="23"/>
        <v>39.29749,69.06228</v>
      </c>
    </row>
    <row r="1506" spans="1:4" x14ac:dyDescent="0.3">
      <c r="A1506" s="19">
        <v>1500</v>
      </c>
      <c r="B1506" s="17">
        <f>IF($B$4="표준",'2.치형좌표'!D1505,'2.치형좌표'!G1505)</f>
        <v>39.523511490608215</v>
      </c>
      <c r="C1506" s="17">
        <f>IF($B$4="표준",'2.치형좌표'!E1505,'2.치형좌표'!H1505)</f>
        <v>68.958024603035327</v>
      </c>
      <c r="D1506" s="6" t="str">
        <f t="shared" si="23"/>
        <v>39.52351,68.95802</v>
      </c>
    </row>
    <row r="1507" spans="1:4" x14ac:dyDescent="0.3">
      <c r="A1507" s="19">
        <v>1501</v>
      </c>
      <c r="B1507" s="17">
        <f>IF($B$4="표준",'2.치형좌표'!D1506,'2.치형좌표'!G1506)</f>
        <v>39.744399999990769</v>
      </c>
      <c r="C1507" s="17">
        <f>IF($B$4="표준",'2.치형좌표'!E1506,'2.치형좌표'!H1506)</f>
        <v>68.839320116345817</v>
      </c>
      <c r="D1507" s="6" t="str">
        <f t="shared" si="23"/>
        <v>39.74440,68.83932</v>
      </c>
    </row>
    <row r="1508" spans="1:4" x14ac:dyDescent="0.3">
      <c r="A1508" s="19">
        <v>1502</v>
      </c>
      <c r="B1508" s="17">
        <f>IF($B$4="표준",'2.치형좌표'!D1507,'2.치형좌표'!G1507)</f>
        <v>39.957645355699086</v>
      </c>
      <c r="C1508" s="17">
        <f>IF($B$4="표준",'2.치형좌표'!E1507,'2.치형좌표'!H1507)</f>
        <v>68.70737729916226</v>
      </c>
      <c r="D1508" s="6" t="str">
        <f t="shared" si="23"/>
        <v>39.95765,68.70738</v>
      </c>
    </row>
    <row r="1509" spans="1:4" x14ac:dyDescent="0.3">
      <c r="A1509" s="19">
        <v>1503</v>
      </c>
      <c r="B1509" s="17">
        <f>IF($B$4="표준",'2.치형좌표'!D1508,'2.치형좌표'!G1508)</f>
        <v>40.160948984498802</v>
      </c>
      <c r="C1509" s="17">
        <f>IF($B$4="표준",'2.치형좌표'!E1508,'2.치형좌표'!H1508)</f>
        <v>68.563765137126367</v>
      </c>
      <c r="D1509" s="6" t="str">
        <f t="shared" si="23"/>
        <v>40.16095,68.56377</v>
      </c>
    </row>
    <row r="1510" spans="1:4" x14ac:dyDescent="0.3">
      <c r="A1510" s="19">
        <v>1504</v>
      </c>
      <c r="B1510" s="17">
        <f>IF($B$4="표준",'2.치형좌표'!D1509,'2.치형좌표'!G1509)</f>
        <v>40.352283502501464</v>
      </c>
      <c r="C1510" s="17">
        <f>IF($B$4="표준",'2.치형좌표'!E1509,'2.치형좌표'!H1509)</f>
        <v>68.410371866494202</v>
      </c>
      <c r="D1510" s="6" t="str">
        <f t="shared" si="23"/>
        <v>40.35228,68.41037</v>
      </c>
    </row>
    <row r="1511" spans="1:4" x14ac:dyDescent="0.3">
      <c r="A1511" s="19">
        <v>1505</v>
      </c>
      <c r="B1511" s="17">
        <f>IF($B$4="표준",'2.치형좌표'!D1510,'2.치형좌표'!G1510)</f>
        <v>40.529946418547887</v>
      </c>
      <c r="C1511" s="17">
        <f>IF($B$4="표준",'2.치형좌표'!E1510,'2.치형좌표'!H1510)</f>
        <v>68.249349947631288</v>
      </c>
      <c r="D1511" s="6" t="str">
        <f t="shared" si="23"/>
        <v>40.52995,68.24935</v>
      </c>
    </row>
    <row r="1512" spans="1:4" x14ac:dyDescent="0.3">
      <c r="A1512" s="19">
        <v>1506</v>
      </c>
      <c r="B1512" s="17">
        <f>IF($B$4="표준",'2.치형좌표'!D1511,'2.치형좌표'!G1511)</f>
        <v>40.692604773692601</v>
      </c>
      <c r="C1512" s="17">
        <f>IF($B$4="표준",'2.치형좌표'!E1511,'2.치형좌표'!H1511)</f>
        <v>68.083050012783374</v>
      </c>
      <c r="D1512" s="6" t="str">
        <f t="shared" si="23"/>
        <v>40.69260,68.08305</v>
      </c>
    </row>
    <row r="1513" spans="1:4" x14ac:dyDescent="0.3">
      <c r="A1513" s="19">
        <v>1507</v>
      </c>
      <c r="B1513" s="17">
        <f>IF($B$4="표준",'2.치형좌표'!D1512,'2.치형좌표'!G1512)</f>
        <v>40.839329685190819</v>
      </c>
      <c r="C1513" s="17">
        <f>IF($B$4="표준",'2.치형좌표'!E1512,'2.치형좌표'!H1512)</f>
        <v>67.913943897026996</v>
      </c>
      <c r="D1513" s="6" t="str">
        <f t="shared" si="23"/>
        <v>40.83933,67.91394</v>
      </c>
    </row>
    <row r="1514" spans="1:4" x14ac:dyDescent="0.3">
      <c r="A1514" s="19">
        <v>1508</v>
      </c>
      <c r="B1514" s="17">
        <f>IF($B$4="표준",'2.치형좌표'!D1513,'2.치형좌표'!G1513)</f>
        <v>40.9696198296703</v>
      </c>
      <c r="C1514" s="17">
        <f>IF($B$4="표준",'2.치형좌표'!E1513,'2.치형좌표'!H1513)</f>
        <v>67.744536362899581</v>
      </c>
      <c r="D1514" s="6" t="str">
        <f t="shared" si="23"/>
        <v>40.96962,67.74454</v>
      </c>
    </row>
    <row r="1515" spans="1:4" x14ac:dyDescent="0.3">
      <c r="A1515" s="19">
        <v>1509</v>
      </c>
      <c r="B1515" s="17">
        <f>IF($B$4="표준",'2.치형좌표'!D1514,'2.치형좌표'!G1514)</f>
        <v>41.083412984798464</v>
      </c>
      <c r="C1515" s="17">
        <f>IF($B$4="표준",'2.치형좌표'!E1514,'2.치형좌표'!H1514)</f>
        <v>67.577264283694518</v>
      </c>
      <c r="D1515" s="6" t="str">
        <f t="shared" si="23"/>
        <v>41.08341,67.57726</v>
      </c>
    </row>
    <row r="1516" spans="1:4" x14ac:dyDescent="0.3">
      <c r="A1516" s="19">
        <v>1510</v>
      </c>
      <c r="B1516" s="17">
        <f>IF($B$4="표준",'2.치형좌표'!D1515,'2.치형좌표'!G1515)</f>
        <v>41.181084857200972</v>
      </c>
      <c r="C1516" s="17">
        <f>IF($B$4="표준",'2.치형좌표'!E1515,'2.치형좌표'!H1515)</f>
        <v>67.414380630894982</v>
      </c>
      <c r="D1516" s="6" t="str">
        <f t="shared" si="23"/>
        <v>41.18108,67.41438</v>
      </c>
    </row>
    <row r="1517" spans="1:4" x14ac:dyDescent="0.3">
      <c r="A1517" s="19">
        <v>1511</v>
      </c>
      <c r="B1517" s="17">
        <f>IF($B$4="표준",'2.치형좌표'!D1516,'2.치형좌표'!G1516)</f>
        <v>41.263434590786545</v>
      </c>
      <c r="C1517" s="17">
        <f>IF($B$4="표준",'2.치형좌표'!E1516,'2.치형좌표'!H1516)</f>
        <v>67.257818221284197</v>
      </c>
      <c r="D1517" s="6" t="str">
        <f t="shared" si="23"/>
        <v>41.26343,67.25782</v>
      </c>
    </row>
    <row r="1518" spans="1:4" x14ac:dyDescent="0.3">
      <c r="A1518" s="19">
        <v>1512</v>
      </c>
      <c r="B1518" s="17">
        <f>IF($B$4="표준",'2.치형좌표'!D1517,'2.치형좌표'!G1517)</f>
        <v>41.331656679424057</v>
      </c>
      <c r="C1518" s="17">
        <f>IF($B$4="표준",'2.치형좌표'!E1517,'2.치형좌표'!H1517)</f>
        <v>67.109024101418385</v>
      </c>
      <c r="D1518" s="6" t="str">
        <f t="shared" si="23"/>
        <v>41.33166,67.10902</v>
      </c>
    </row>
    <row r="1519" spans="1:4" x14ac:dyDescent="0.3">
      <c r="A1519" s="19">
        <v>1513</v>
      </c>
      <c r="B1519" s="17">
        <f>IF($B$4="표준",'2.치형좌표'!D1518,'2.치형좌표'!G1518)</f>
        <v>41.387299787450594</v>
      </c>
      <c r="C1519" s="17">
        <f>IF($B$4="표준",'2.치형좌표'!E1518,'2.치형좌표'!H1518)</f>
        <v>66.968748340151635</v>
      </c>
      <c r="D1519" s="6" t="str">
        <f t="shared" si="23"/>
        <v>41.38730,66.96875</v>
      </c>
    </row>
    <row r="1520" spans="1:4" x14ac:dyDescent="0.3">
      <c r="A1520" s="19">
        <v>1514</v>
      </c>
      <c r="B1520" s="17">
        <f>IF($B$4="표준",'2.치형좌표'!D1519,'2.치형좌표'!G1519)</f>
        <v>41.432214966017753</v>
      </c>
      <c r="C1520" s="17">
        <f>IF($B$4="표준",'2.치형좌표'!E1519,'2.치형좌표'!H1519)</f>
        <v>66.836758276842644</v>
      </c>
      <c r="D1520" s="6" t="str">
        <f t="shared" si="23"/>
        <v>41.43221,66.83676</v>
      </c>
    </row>
    <row r="1521" spans="1:4" x14ac:dyDescent="0.3">
      <c r="A1521" s="19">
        <v>1515</v>
      </c>
      <c r="B1521" s="17">
        <f>IF($B$4="표준",'2.치형좌표'!D1520,'2.치형좌표'!G1520)</f>
        <v>41.46850094940573</v>
      </c>
      <c r="C1521" s="17">
        <f>IF($B$4="표준",'2.치형좌표'!E1520,'2.치형좌표'!H1520)</f>
        <v>66.711425792228681</v>
      </c>
      <c r="D1521" s="6" t="str">
        <f t="shared" si="23"/>
        <v>41.46850,66.71143</v>
      </c>
    </row>
    <row r="1522" spans="1:4" x14ac:dyDescent="0.3">
      <c r="A1522" s="19">
        <v>1516</v>
      </c>
      <c r="B1522" s="17">
        <f>IF($B$4="표준",'2.치형좌표'!D1521,'2.치형좌표'!G1521)</f>
        <v>41.498468097682739</v>
      </c>
      <c r="C1522" s="17">
        <f>IF($B$4="표준",'2.치형좌표'!E1521,'2.치형좌표'!H1521)</f>
        <v>66.589090442789967</v>
      </c>
      <c r="D1522" s="6" t="str">
        <f t="shared" si="23"/>
        <v>41.49847,66.58909</v>
      </c>
    </row>
    <row r="1523" spans="1:4" x14ac:dyDescent="0.3">
      <c r="A1523" s="19">
        <v>1517</v>
      </c>
      <c r="B1523" s="17">
        <f>IF($B$4="표준",'2.치형좌표'!D1522,'2.치형좌표'!G1522)</f>
        <v>41.52468064897964</v>
      </c>
      <c r="C1523" s="17">
        <f>IF($B$4="표준",'2.치형좌표'!E1522,'2.치형좌표'!H1522)</f>
        <v>66.463013625001395</v>
      </c>
      <c r="D1523" s="6" t="str">
        <f t="shared" si="23"/>
        <v>41.52468,66.46301</v>
      </c>
    </row>
    <row r="1524" spans="1:4" x14ac:dyDescent="0.3">
      <c r="A1524" s="19">
        <v>1518</v>
      </c>
      <c r="B1524" s="17">
        <f>IF($B$4="표준",'2.치형좌표'!D1523,'2.치형좌표'!G1523)</f>
        <v>41.550245411381887</v>
      </c>
      <c r="C1524" s="17">
        <f>IF($B$4="표준",'2.치형좌표'!E1523,'2.치형좌표'!H1523)</f>
        <v>66.321564250465471</v>
      </c>
      <c r="D1524" s="6" t="str">
        <f t="shared" si="23"/>
        <v>41.55025,66.32156</v>
      </c>
    </row>
    <row r="1525" spans="1:4" x14ac:dyDescent="0.3">
      <c r="A1525" s="19">
        <v>1519</v>
      </c>
      <c r="B1525" s="17">
        <f>IF($B$4="표준",'2.치형좌표'!D1524,'2.치형좌표'!G1524)</f>
        <v>41.57983777636543</v>
      </c>
      <c r="C1525" s="17">
        <f>IF($B$4="표준",'2.치형좌표'!E1524,'2.치형좌표'!H1524)</f>
        <v>66.144936342170254</v>
      </c>
      <c r="D1525" s="6" t="str">
        <f t="shared" si="23"/>
        <v>41.57984,66.14494</v>
      </c>
    </row>
    <row r="1526" spans="1:4" x14ac:dyDescent="0.3">
      <c r="A1526" s="19">
        <v>1520</v>
      </c>
      <c r="B1526" s="17">
        <f>IF($B$4="표준",'2.치형좌표'!D1525,'2.치형좌표'!G1525)</f>
        <v>41.622956244080868</v>
      </c>
      <c r="C1526" s="17">
        <f>IF($B$4="표준",'2.치형좌표'!E1525,'2.치형좌표'!H1525)</f>
        <v>65.899140868682707</v>
      </c>
      <c r="D1526" s="6" t="str">
        <f t="shared" si="23"/>
        <v>41.62296,65.89914</v>
      </c>
    </row>
    <row r="1527" spans="1:4" x14ac:dyDescent="0.3">
      <c r="A1527" s="19">
        <v>1521</v>
      </c>
      <c r="B1527" s="17">
        <f>IF($B$4="표준",'2.치형좌표'!D1526,'2.치형좌표'!G1526)</f>
        <v>41.704005123803348</v>
      </c>
      <c r="C1527" s="17">
        <f>IF($B$4="표준",'2.치형좌표'!E1526,'2.치형좌표'!H1526)</f>
        <v>65.525914303993474</v>
      </c>
      <c r="D1527" s="6" t="str">
        <f t="shared" si="23"/>
        <v>41.70401,65.52591</v>
      </c>
    </row>
    <row r="1528" spans="1:4" x14ac:dyDescent="0.3">
      <c r="A1528" s="19">
        <v>1522</v>
      </c>
      <c r="B1528" s="17">
        <f>IF($B$4="표준",'2.치형좌표'!D1527,'2.치형좌표'!G1527)</f>
        <v>41.891904854150653</v>
      </c>
      <c r="C1528" s="17">
        <f>IF($B$4="표준",'2.치형좌표'!E1527,'2.치형좌표'!H1527)</f>
        <v>64.933851628073398</v>
      </c>
      <c r="D1528" s="6" t="str">
        <f t="shared" si="23"/>
        <v>41.89190,64.93385</v>
      </c>
    </row>
    <row r="1529" spans="1:4" x14ac:dyDescent="0.3">
      <c r="A1529" s="19">
        <v>1523</v>
      </c>
      <c r="B1529" s="17">
        <f>IF($B$4="표준",'2.치형좌표'!D1528,'2.치형좌표'!G1528)</f>
        <v>42.362302762538583</v>
      </c>
      <c r="C1529" s="17">
        <f>IF($B$4="표준",'2.치형좌표'!E1528,'2.치형좌표'!H1528)</f>
        <v>64.041991621214848</v>
      </c>
      <c r="D1529" s="6" t="str">
        <f t="shared" si="23"/>
        <v>42.36230,64.04199</v>
      </c>
    </row>
    <row r="1530" spans="1:4" x14ac:dyDescent="0.3">
      <c r="A1530" s="19">
        <v>1524</v>
      </c>
      <c r="B1530" s="17">
        <f>IF($B$4="표준",'2.치형좌표'!D1529,'2.치형좌표'!G1529)</f>
        <v>43.353406150911198</v>
      </c>
      <c r="C1530" s="17">
        <f>IF($B$4="표준",'2.치형좌표'!E1529,'2.치형좌표'!H1529)</f>
        <v>63.018179338413518</v>
      </c>
      <c r="D1530" s="6" t="str">
        <f t="shared" si="23"/>
        <v>43.35341,63.01818</v>
      </c>
    </row>
    <row r="1531" spans="1:4" x14ac:dyDescent="0.3">
      <c r="A1531" s="19">
        <v>1525</v>
      </c>
      <c r="B1531" s="17">
        <f>IF($B$4="표준",'2.치형좌표'!D1530,'2.치형좌표'!G1530)</f>
        <v>44.668358340718896</v>
      </c>
      <c r="C1531" s="17">
        <f>IF($B$4="표준",'2.치형좌표'!E1530,'2.치형좌표'!H1530)</f>
        <v>62.369903325453656</v>
      </c>
      <c r="D1531" s="6" t="str">
        <f t="shared" si="23"/>
        <v>44.66836,62.36990</v>
      </c>
    </row>
    <row r="1532" spans="1:4" x14ac:dyDescent="0.3">
      <c r="A1532" s="19">
        <v>1526</v>
      </c>
      <c r="B1532" s="17">
        <f>IF($B$4="표준",'2.치형좌표'!D1531,'2.치형좌표'!G1531)</f>
        <v>45.732742571337894</v>
      </c>
      <c r="C1532" s="17">
        <f>IF($B$4="표준",'2.치형좌표'!E1531,'2.치형좌표'!H1531)</f>
        <v>62.198442691268681</v>
      </c>
      <c r="D1532" s="6" t="str">
        <f t="shared" si="23"/>
        <v>45.73274,62.19844</v>
      </c>
    </row>
    <row r="1533" spans="1:4" x14ac:dyDescent="0.3">
      <c r="A1533" s="19">
        <v>1527</v>
      </c>
      <c r="B1533" s="17">
        <f>IF($B$4="표준",'2.치형좌표'!D1532,'2.치형좌표'!G1532)</f>
        <v>46.403219252945505</v>
      </c>
      <c r="C1533" s="17">
        <f>IF($B$4="표준",'2.치형좌표'!E1532,'2.치형좌표'!H1532)</f>
        <v>62.221356605433769</v>
      </c>
      <c r="D1533" s="6" t="str">
        <f t="shared" si="23"/>
        <v>46.40322,62.22136</v>
      </c>
    </row>
    <row r="1534" spans="1:4" x14ac:dyDescent="0.3">
      <c r="A1534" s="19">
        <v>1528</v>
      </c>
      <c r="B1534" s="17">
        <f>IF($B$4="표준",'2.치형좌표'!D1533,'2.치형좌표'!G1533)</f>
        <v>46.809702255750423</v>
      </c>
      <c r="C1534" s="17">
        <f>IF($B$4="표준",'2.치형좌표'!E1533,'2.치형좌표'!H1533)</f>
        <v>62.27798266708794</v>
      </c>
      <c r="D1534" s="6" t="str">
        <f t="shared" si="23"/>
        <v>46.80970,62.27798</v>
      </c>
    </row>
    <row r="1535" spans="1:4" x14ac:dyDescent="0.3">
      <c r="A1535" s="19">
        <v>1529</v>
      </c>
      <c r="B1535" s="17">
        <f>IF($B$4="표준",'2.치형좌표'!D1534,'2.치형좌표'!G1534)</f>
        <v>47.070159001317904</v>
      </c>
      <c r="C1535" s="17">
        <f>IF($B$4="표준",'2.치형좌표'!E1534,'2.치형좌표'!H1534)</f>
        <v>62.326769469132188</v>
      </c>
      <c r="D1535" s="6" t="str">
        <f t="shared" si="23"/>
        <v>47.07016,62.32677</v>
      </c>
    </row>
    <row r="1536" spans="1:4" x14ac:dyDescent="0.3">
      <c r="A1536" s="19">
        <v>1530</v>
      </c>
      <c r="B1536" s="17">
        <f>IF($B$4="표준",'2.치형좌표'!D1535,'2.치형좌표'!G1535)</f>
        <v>47.253692090251292</v>
      </c>
      <c r="C1536" s="17">
        <f>IF($B$4="표준",'2.치형좌표'!E1535,'2.치형좌표'!H1535)</f>
        <v>62.363376851058561</v>
      </c>
      <c r="D1536" s="6" t="str">
        <f t="shared" si="23"/>
        <v>47.25369,62.36338</v>
      </c>
    </row>
    <row r="1537" spans="1:4" x14ac:dyDescent="0.3">
      <c r="A1537" s="19">
        <v>1531</v>
      </c>
      <c r="B1537" s="17">
        <f>IF($B$4="표준",'2.치형좌표'!D1536,'2.치형좌표'!G1536)</f>
        <v>47.398708246971154</v>
      </c>
      <c r="C1537" s="17">
        <f>IF($B$4="표준",'2.치형좌표'!E1536,'2.치형좌표'!H1536)</f>
        <v>62.390765281113694</v>
      </c>
      <c r="D1537" s="6" t="str">
        <f t="shared" si="23"/>
        <v>47.39871,62.39077</v>
      </c>
    </row>
    <row r="1538" spans="1:4" x14ac:dyDescent="0.3">
      <c r="A1538" s="19">
        <v>1532</v>
      </c>
      <c r="B1538" s="17">
        <f>IF($B$4="표준",'2.치형좌표'!D1537,'2.치형좌표'!G1537)</f>
        <v>47.527129360436248</v>
      </c>
      <c r="C1538" s="17">
        <f>IF($B$4="표준",'2.치형좌표'!E1537,'2.치형좌표'!H1537)</f>
        <v>62.411780557890907</v>
      </c>
      <c r="D1538" s="6" t="str">
        <f t="shared" si="23"/>
        <v>47.52713,62.41178</v>
      </c>
    </row>
    <row r="1539" spans="1:4" x14ac:dyDescent="0.3">
      <c r="A1539" s="19">
        <v>1533</v>
      </c>
      <c r="B1539" s="17">
        <f>IF($B$4="표준",'2.치형좌표'!D1538,'2.치형좌표'!G1538)</f>
        <v>47.651912460950477</v>
      </c>
      <c r="C1539" s="17">
        <f>IF($B$4="표준",'2.치형좌표'!E1538,'2.치형좌표'!H1538)</f>
        <v>62.427859809670252</v>
      </c>
      <c r="D1539" s="6" t="str">
        <f t="shared" si="23"/>
        <v>47.65191,62.42786</v>
      </c>
    </row>
    <row r="1540" spans="1:4" x14ac:dyDescent="0.3">
      <c r="A1540" s="19">
        <v>1534</v>
      </c>
      <c r="B1540" s="17">
        <f>IF($B$4="표준",'2.치형좌표'!D1539,'2.치형좌표'!G1539)</f>
        <v>47.780855547415541</v>
      </c>
      <c r="C1540" s="17">
        <f>IF($B$4="표준",'2.치형좌표'!E1539,'2.치형좌표'!H1539)</f>
        <v>62.439159709411406</v>
      </c>
      <c r="D1540" s="6" t="str">
        <f t="shared" si="23"/>
        <v>47.78086,62.43916</v>
      </c>
    </row>
    <row r="1541" spans="1:4" x14ac:dyDescent="0.3">
      <c r="A1541" s="19">
        <v>1535</v>
      </c>
      <c r="B1541" s="17">
        <f>IF($B$4="표준",'2.치형좌표'!D1540,'2.치형좌표'!G1540)</f>
        <v>47.918578295172452</v>
      </c>
      <c r="C1541" s="17">
        <f>IF($B$4="표준",'2.치형좌표'!E1540,'2.치형좌표'!H1540)</f>
        <v>62.444926113266561</v>
      </c>
      <c r="D1541" s="6" t="str">
        <f t="shared" si="23"/>
        <v>47.91858,62.44493</v>
      </c>
    </row>
    <row r="1542" spans="1:4" x14ac:dyDescent="0.3">
      <c r="A1542" s="19">
        <v>1536</v>
      </c>
      <c r="B1542" s="17">
        <f>IF($B$4="표준",'2.치형좌표'!D1541,'2.치형좌표'!G1541)</f>
        <v>48.067605848314336</v>
      </c>
      <c r="C1542" s="17">
        <f>IF($B$4="표준",'2.치형좌표'!E1541,'2.치형좌표'!H1541)</f>
        <v>62.443835797575936</v>
      </c>
      <c r="D1542" s="6" t="str">
        <f t="shared" si="23"/>
        <v>48.06761,62.44384</v>
      </c>
    </row>
    <row r="1543" spans="1:4" x14ac:dyDescent="0.3">
      <c r="A1543" s="19">
        <v>1537</v>
      </c>
      <c r="B1543" s="17">
        <f>IF($B$4="표준",'2.치형좌표'!D1542,'2.치형좌표'!G1542)</f>
        <v>48.228998578652245</v>
      </c>
      <c r="C1543" s="17">
        <f>IF($B$4="표준",'2.치형좌표'!E1542,'2.치형좌표'!H1542)</f>
        <v>62.434266765994735</v>
      </c>
      <c r="D1543" s="6" t="str">
        <f t="shared" ref="D1543:D1606" si="24">TEXT(B1543,"0.00000")&amp;","&amp;TEXT(C1543,"0.00000")</f>
        <v>48.22900,62.43427</v>
      </c>
    </row>
    <row r="1544" spans="1:4" x14ac:dyDescent="0.3">
      <c r="A1544" s="19">
        <v>1538</v>
      </c>
      <c r="B1544" s="17">
        <f>IF($B$4="표준",'2.치형좌표'!D1543,'2.치형좌표'!G1543)</f>
        <v>48.402743801622904</v>
      </c>
      <c r="C1544" s="17">
        <f>IF($B$4="표준",'2.치형좌표'!E1543,'2.치형좌표'!H1543)</f>
        <v>62.414504336593296</v>
      </c>
      <c r="D1544" s="6" t="str">
        <f t="shared" si="24"/>
        <v>48.40274,62.41450</v>
      </c>
    </row>
    <row r="1545" spans="1:4" x14ac:dyDescent="0.3">
      <c r="A1545" s="19">
        <v>1539</v>
      </c>
      <c r="B1545" s="17">
        <f>IF($B$4="표준",'2.치형좌표'!D1544,'2.치형좌표'!G1544)</f>
        <v>48.588018512128897</v>
      </c>
      <c r="C1545" s="17">
        <f>IF($B$4="표준",'2.치형좌표'!E1544,'2.치형좌표'!H1544)</f>
        <v>62.382897401333224</v>
      </c>
      <c r="D1545" s="6" t="str">
        <f t="shared" si="24"/>
        <v>48.58802,62.38290</v>
      </c>
    </row>
    <row r="1546" spans="1:4" x14ac:dyDescent="0.3">
      <c r="A1546" s="19">
        <v>1540</v>
      </c>
      <c r="B1546" s="17">
        <f>IF($B$4="표준",'2.치형좌표'!D1545,'2.치형좌표'!G1545)</f>
        <v>48.783380161861089</v>
      </c>
      <c r="C1546" s="17">
        <f>IF($B$4="표준",'2.치형좌표'!E1545,'2.치형좌표'!H1545)</f>
        <v>62.337976820799511</v>
      </c>
      <c r="D1546" s="6" t="str">
        <f t="shared" si="24"/>
        <v>48.78338,62.33798</v>
      </c>
    </row>
    <row r="1547" spans="1:4" x14ac:dyDescent="0.3">
      <c r="A1547" s="19">
        <v>1541</v>
      </c>
      <c r="B1547" s="17">
        <f>IF($B$4="표준",'2.치형좌표'!D1546,'2.치형좌표'!G1546)</f>
        <v>48.986916166072511</v>
      </c>
      <c r="C1547" s="17">
        <f>IF($B$4="표준",'2.치형좌표'!E1546,'2.치형좌표'!H1546)</f>
        <v>62.278544385337952</v>
      </c>
      <c r="D1547" s="6" t="str">
        <f t="shared" si="24"/>
        <v>48.98692,62.27854</v>
      </c>
    </row>
    <row r="1548" spans="1:4" x14ac:dyDescent="0.3">
      <c r="A1548" s="19">
        <v>1542</v>
      </c>
      <c r="B1548" s="17">
        <f>IF($B$4="표준",'2.치형좌표'!D1547,'2.치형좌표'!G1547)</f>
        <v>49.196368967188427</v>
      </c>
      <c r="C1548" s="17">
        <f>IF($B$4="표준",'2.치형좌표'!E1547,'2.치형좌표'!H1547)</f>
        <v>62.203737975039552</v>
      </c>
      <c r="D1548" s="6" t="str">
        <f t="shared" si="24"/>
        <v>49.19637,62.20374</v>
      </c>
    </row>
    <row r="1549" spans="1:4" x14ac:dyDescent="0.3">
      <c r="A1549" s="19">
        <v>1543</v>
      </c>
      <c r="B1549" s="17">
        <f>IF($B$4="표준",'2.치형좌표'!D1548,'2.치형좌표'!G1548)</f>
        <v>49.409245909963133</v>
      </c>
      <c r="C1549" s="17">
        <f>IF($B$4="표준",'2.치형좌표'!E1548,'2.치형좌표'!H1548)</f>
        <v>62.113076638774174</v>
      </c>
      <c r="D1549" s="6" t="str">
        <f t="shared" si="24"/>
        <v>49.40925,62.11308</v>
      </c>
    </row>
    <row r="1550" spans="1:4" x14ac:dyDescent="0.3">
      <c r="A1550" s="19">
        <v>1544</v>
      </c>
      <c r="B1550" s="17">
        <f>IF($B$4="표준",'2.치형좌표'!D1549,'2.치형좌표'!G1549)</f>
        <v>49.622918903880922</v>
      </c>
      <c r="C1550" s="17">
        <f>IF($B$4="표준",'2.치형좌표'!E1549,'2.치형좌표'!H1549)</f>
        <v>62.006488088912469</v>
      </c>
      <c r="D1550" s="6" t="str">
        <f t="shared" si="24"/>
        <v>49.62292,62.00649</v>
      </c>
    </row>
    <row r="1551" spans="1:4" x14ac:dyDescent="0.3">
      <c r="A1551" s="19">
        <v>1545</v>
      </c>
      <c r="B1551" s="17">
        <f>IF($B$4="표준",'2.치형좌표'!D1550,'2.치형좌표'!G1550)</f>
        <v>49.834716360565594</v>
      </c>
      <c r="C1551" s="17">
        <f>IF($B$4="표준",'2.치형좌표'!E1550,'2.치형좌표'!H1550)</f>
        <v>61.884320359389164</v>
      </c>
      <c r="D1551" s="6" t="str">
        <f t="shared" si="24"/>
        <v>49.83472,61.88432</v>
      </c>
    </row>
    <row r="1552" spans="1:4" x14ac:dyDescent="0.3">
      <c r="A1552" s="19">
        <v>1546</v>
      </c>
      <c r="B1552" s="17">
        <f>IF($B$4="표준",'2.치형좌표'!D1551,'2.치형좌표'!G1551)</f>
        <v>50.042008416192687</v>
      </c>
      <c r="C1552" s="17">
        <f>IF($B$4="표준",'2.치형좌표'!E1551,'2.치형좌표'!H1551)</f>
        <v>61.74733893628499</v>
      </c>
      <c r="D1552" s="6" t="str">
        <f t="shared" si="24"/>
        <v>50.04201,61.74734</v>
      </c>
    </row>
    <row r="1553" spans="1:4" x14ac:dyDescent="0.3">
      <c r="A1553" s="19">
        <v>1547</v>
      </c>
      <c r="B1553" s="17">
        <f>IF($B$4="표준",'2.치형좌표'!D1552,'2.치형좌표'!G1552)</f>
        <v>50.242285561434862</v>
      </c>
      <c r="C1553" s="17">
        <f>IF($B$4="표준",'2.치형좌표'!E1552,'2.치형좌표'!H1552)</f>
        <v>61.596710427102188</v>
      </c>
      <c r="D1553" s="6" t="str">
        <f t="shared" si="24"/>
        <v>50.24229,61.59671</v>
      </c>
    </row>
    <row r="1554" spans="1:4" x14ac:dyDescent="0.3">
      <c r="A1554" s="19">
        <v>1548</v>
      </c>
      <c r="B1554" s="17">
        <f>IF($B$4="표준",'2.치형좌표'!D1553,'2.치형좌표'!G1553)</f>
        <v>50.433230270754201</v>
      </c>
      <c r="C1554" s="17">
        <f>IF($B$4="표준",'2.치형좌표'!E1553,'2.치형좌표'!H1553)</f>
        <v>61.433973707790798</v>
      </c>
      <c r="D1554" s="6" t="str">
        <f t="shared" si="24"/>
        <v>50.43323,61.43397</v>
      </c>
    </row>
    <row r="1555" spans="1:4" x14ac:dyDescent="0.3">
      <c r="A1555" s="19">
        <v>1549</v>
      </c>
      <c r="B1555" s="17">
        <f>IF($B$4="표준",'2.치형좌표'!D1554,'2.치형좌표'!G1554)</f>
        <v>50.612780914082066</v>
      </c>
      <c r="C1555" s="17">
        <f>IF($B$4="표준",'2.치형좌표'!E1554,'2.치형좌표'!H1554)</f>
        <v>61.260999418402349</v>
      </c>
      <c r="D1555" s="6" t="str">
        <f t="shared" si="24"/>
        <v>50.61278,61.26100</v>
      </c>
    </row>
    <row r="1556" spans="1:4" x14ac:dyDescent="0.3">
      <c r="A1556" s="19">
        <v>1550</v>
      </c>
      <c r="B1556" s="17">
        <f>IF($B$4="표준",'2.치형좌표'!D1555,'2.치형좌표'!G1555)</f>
        <v>50.779187065708761</v>
      </c>
      <c r="C1556" s="17">
        <f>IF($B$4="표준",'2.치형좌표'!E1555,'2.치형좌표'!H1555)</f>
        <v>61.079938624760324</v>
      </c>
      <c r="D1556" s="6" t="str">
        <f t="shared" si="24"/>
        <v>50.77919,61.07994</v>
      </c>
    </row>
    <row r="1557" spans="1:4" x14ac:dyDescent="0.3">
      <c r="A1557" s="19">
        <v>1551</v>
      </c>
      <c r="B1557" s="17">
        <f>IF($B$4="표준",'2.치형좌표'!D1556,'2.치형좌표'!G1556)</f>
        <v>50.931055245250427</v>
      </c>
      <c r="C1557" s="17">
        <f>IF($B$4="표준",'2.치형좌표'!E1556,'2.치형좌표'!H1556)</f>
        <v>60.893161385288266</v>
      </c>
      <c r="D1557" s="6" t="str">
        <f t="shared" si="24"/>
        <v>50.93106,60.89316</v>
      </c>
    </row>
    <row r="1558" spans="1:4" x14ac:dyDescent="0.3">
      <c r="A1558" s="19">
        <v>1552</v>
      </c>
      <c r="B1558" s="17">
        <f>IF($B$4="표준",'2.치형좌표'!D1557,'2.치형좌표'!G1557)</f>
        <v>51.067384097062941</v>
      </c>
      <c r="C1558" s="17">
        <f>IF($B$4="표준",'2.치형좌표'!E1557,'2.치형좌표'!H1557)</f>
        <v>60.703185817095239</v>
      </c>
      <c r="D1558" s="6" t="str">
        <f t="shared" si="24"/>
        <v>51.06738,60.70319</v>
      </c>
    </row>
    <row r="1559" spans="1:4" x14ac:dyDescent="0.3">
      <c r="A1559" s="19">
        <v>1553</v>
      </c>
      <c r="B1559" s="17">
        <f>IF($B$4="표준",'2.치형좌표'!D1558,'2.치형좌표'!G1558)</f>
        <v>51.187588008077142</v>
      </c>
      <c r="C1559" s="17">
        <f>IF($B$4="표준",'2.치형좌표'!E1558,'2.치형좌표'!H1558)</f>
        <v>60.512597990218907</v>
      </c>
      <c r="D1559" s="6" t="str">
        <f t="shared" si="24"/>
        <v>51.18759,60.51260</v>
      </c>
    </row>
    <row r="1560" spans="1:4" x14ac:dyDescent="0.3">
      <c r="A1560" s="19">
        <v>1554</v>
      </c>
      <c r="B1560" s="17">
        <f>IF($B$4="표준",'2.치형좌표'!D1559,'2.치형좌표'!G1559)</f>
        <v>51.291508152695457</v>
      </c>
      <c r="C1560" s="17">
        <f>IF($B$4="표준",'2.치형좌표'!E1559,'2.치형좌표'!H1559)</f>
        <v>60.323962516115216</v>
      </c>
      <c r="D1560" s="6" t="str">
        <f t="shared" si="24"/>
        <v>51.29151,60.32396</v>
      </c>
    </row>
    <row r="1561" spans="1:4" x14ac:dyDescent="0.3">
      <c r="A1561" s="19">
        <v>1555</v>
      </c>
      <c r="B1561" s="17">
        <f>IF($B$4="표준",'2.치형좌표'!D1560,'2.치형좌표'!G1560)</f>
        <v>51.379409909033697</v>
      </c>
      <c r="C1561" s="17">
        <f>IF($B$4="표준",'2.치형좌표'!E1560,'2.치형좌표'!H1560)</f>
        <v>60.139722913161712</v>
      </c>
      <c r="D1561" s="6" t="str">
        <f t="shared" si="24"/>
        <v>51.37941,60.13972</v>
      </c>
    </row>
    <row r="1562" spans="1:4" x14ac:dyDescent="0.3">
      <c r="A1562" s="19">
        <v>1556</v>
      </c>
      <c r="B1562" s="17">
        <f>IF($B$4="표준",'2.치형좌표'!D1561,'2.치형좌표'!G1561)</f>
        <v>51.451965482747433</v>
      </c>
      <c r="C1562" s="17">
        <f>IF($B$4="표준",'2.치형좌표'!E1561,'2.치형좌표'!H1561)</f>
        <v>59.962089521394134</v>
      </c>
      <c r="D1562" s="6" t="str">
        <f t="shared" si="24"/>
        <v>51.45197,59.96209</v>
      </c>
    </row>
    <row r="1563" spans="1:4" x14ac:dyDescent="0.3">
      <c r="A1563" s="19">
        <v>1557</v>
      </c>
      <c r="B1563" s="17">
        <f>IF($B$4="표준",'2.치형좌표'!D1562,'2.치형좌표'!G1562)</f>
        <v>51.510220372267064</v>
      </c>
      <c r="C1563" s="17">
        <f>IF($B$4="표준",'2.치형좌표'!E1562,'2.치형좌표'!H1562)</f>
        <v>59.792910538211608</v>
      </c>
      <c r="D1563" s="6" t="str">
        <f t="shared" si="24"/>
        <v>51.51022,59.79291</v>
      </c>
    </row>
    <row r="1564" spans="1:4" x14ac:dyDescent="0.3">
      <c r="A1564" s="19">
        <v>1558</v>
      </c>
      <c r="B1564" s="17">
        <f>IF($B$4="표준",'2.치형좌표'!D1563,'2.치형좌표'!G1563)</f>
        <v>51.555541996257205</v>
      </c>
      <c r="C1564" s="17">
        <f>IF($B$4="표준",'2.치형좌표'!E1563,'2.치형좌표'!H1563)</f>
        <v>59.63351799692748</v>
      </c>
      <c r="D1564" s="6" t="str">
        <f t="shared" si="24"/>
        <v>51.55554,59.63352</v>
      </c>
    </row>
    <row r="1565" spans="1:4" x14ac:dyDescent="0.3">
      <c r="A1565" s="19">
        <v>1559</v>
      </c>
      <c r="B1565" s="17">
        <f>IF($B$4="표준",'2.치형좌표'!D1564,'2.치형좌표'!G1564)</f>
        <v>51.589548428675513</v>
      </c>
      <c r="C1565" s="17">
        <f>IF($B$4="표준",'2.치형좌표'!E1564,'2.치형좌표'!H1564)</f>
        <v>59.484533971371974</v>
      </c>
      <c r="D1565" s="6" t="str">
        <f t="shared" si="24"/>
        <v>51.58955,59.48453</v>
      </c>
    </row>
    <row r="1566" spans="1:4" x14ac:dyDescent="0.3">
      <c r="A1566" s="19">
        <v>1560</v>
      </c>
      <c r="B1566" s="17">
        <f>IF($B$4="표준",'2.치형좌표'!D1565,'2.치형좌표'!G1565)</f>
        <v>51.614015016833747</v>
      </c>
      <c r="C1566" s="17">
        <f>IF($B$4="표준",'2.치형좌표'!E1565,'2.치형좌표'!H1565)</f>
        <v>59.345610554524875</v>
      </c>
      <c r="D1566" s="6" t="str">
        <f t="shared" si="24"/>
        <v>51.61402,59.34561</v>
      </c>
    </row>
    <row r="1567" spans="1:4" x14ac:dyDescent="0.3">
      <c r="A1567" s="19">
        <v>1561</v>
      </c>
      <c r="B1567" s="17">
        <f>IF($B$4="표준",'2.치형좌표'!D1566,'2.치형좌표'!G1566)</f>
        <v>51.630757654558202</v>
      </c>
      <c r="C1567" s="17">
        <f>IF($B$4="표준",'2.치형좌표'!E1566,'2.치형좌표'!H1566)</f>
        <v>59.215055393204658</v>
      </c>
      <c r="D1567" s="6" t="str">
        <f t="shared" si="24"/>
        <v>51.63076,59.21506</v>
      </c>
    </row>
    <row r="1568" spans="1:4" x14ac:dyDescent="0.3">
      <c r="A1568" s="19">
        <v>1562</v>
      </c>
      <c r="B1568" s="17">
        <f>IF($B$4="표준",'2.치형좌표'!D1567,'2.치형좌표'!G1567)</f>
        <v>51.641496760292831</v>
      </c>
      <c r="C1568" s="17">
        <f>IF($B$4="표준",'2.치형좌표'!E1567,'2.치형좌표'!H1567)</f>
        <v>59.089252749206253</v>
      </c>
      <c r="D1568" s="6" t="str">
        <f t="shared" si="24"/>
        <v>51.64150,59.08925</v>
      </c>
    </row>
    <row r="1569" spans="1:4" x14ac:dyDescent="0.3">
      <c r="A1569" s="19">
        <v>1563</v>
      </c>
      <c r="B1569" s="17">
        <f>IF($B$4="표준",'2.치형좌표'!D1568,'2.치형좌표'!G1568)</f>
        <v>51.647725474176163</v>
      </c>
      <c r="C1569" s="17">
        <f>IF($B$4="표준",'2.치형좌표'!E1568,'2.치형좌표'!H1568)</f>
        <v>58.961706930520016</v>
      </c>
      <c r="D1569" s="6" t="str">
        <f t="shared" si="24"/>
        <v>51.64773,58.96171</v>
      </c>
    </row>
    <row r="1570" spans="1:4" x14ac:dyDescent="0.3">
      <c r="A1570" s="19">
        <v>1564</v>
      </c>
      <c r="B1570" s="17">
        <f>IF($B$4="표준",'2.치형좌표'!D1569,'2.치형좌표'!G1569)</f>
        <v>51.650671279705669</v>
      </c>
      <c r="C1570" s="17">
        <f>IF($B$4="표준",'2.치형좌표'!E1569,'2.치형좌표'!H1569)</f>
        <v>58.821365094907726</v>
      </c>
      <c r="D1570" s="6" t="str">
        <f t="shared" si="24"/>
        <v>51.65067,58.82137</v>
      </c>
    </row>
    <row r="1571" spans="1:4" x14ac:dyDescent="0.3">
      <c r="A1571" s="19">
        <v>1565</v>
      </c>
      <c r="B1571" s="17">
        <f>IF($B$4="표준",'2.치형좌표'!D1570,'2.치형좌표'!G1570)</f>
        <v>51.651659354225693</v>
      </c>
      <c r="C1571" s="17">
        <f>IF($B$4="표준",'2.치형좌표'!E1570,'2.치형좌표'!H1570)</f>
        <v>58.649528322878226</v>
      </c>
      <c r="D1571" s="6" t="str">
        <f t="shared" si="24"/>
        <v>51.65166,58.64953</v>
      </c>
    </row>
    <row r="1572" spans="1:4" x14ac:dyDescent="0.3">
      <c r="A1572" s="19">
        <v>1566</v>
      </c>
      <c r="B1572" s="17">
        <f>IF($B$4="표준",'2.치형좌표'!D1571,'2.치형좌표'!G1571)</f>
        <v>51.653928858147779</v>
      </c>
      <c r="C1572" s="17">
        <f>IF($B$4="표준",'2.치형좌표'!E1571,'2.치형좌표'!H1571)</f>
        <v>58.414000904018771</v>
      </c>
      <c r="D1572" s="6" t="str">
        <f t="shared" si="24"/>
        <v>51.65393,58.41400</v>
      </c>
    </row>
    <row r="1573" spans="1:4" x14ac:dyDescent="0.3">
      <c r="A1573" s="19">
        <v>1567</v>
      </c>
      <c r="B1573" s="17">
        <f>IF($B$4="표준",'2.치형좌표'!D1572,'2.치형좌표'!G1572)</f>
        <v>51.66948915695513</v>
      </c>
      <c r="C1573" s="17">
        <f>IF($B$4="표준",'2.치형좌표'!E1572,'2.치형좌표'!H1572)</f>
        <v>58.058393860810696</v>
      </c>
      <c r="D1573" s="6" t="str">
        <f t="shared" si="24"/>
        <v>51.66949,58.05839</v>
      </c>
    </row>
    <row r="1574" spans="1:4" x14ac:dyDescent="0.3">
      <c r="A1574" s="19">
        <v>1568</v>
      </c>
      <c r="B1574" s="17">
        <f>IF($B$4="표준",'2.치형좌표'!D1573,'2.치형좌표'!G1573)</f>
        <v>51.74245149757413</v>
      </c>
      <c r="C1574" s="17">
        <f>IF($B$4="표준",'2.치형좌표'!E1573,'2.치형좌표'!H1573)</f>
        <v>57.487837053555957</v>
      </c>
      <c r="D1574" s="6" t="str">
        <f t="shared" si="24"/>
        <v>51.74245,57.48784</v>
      </c>
    </row>
    <row r="1575" spans="1:4" x14ac:dyDescent="0.3">
      <c r="A1575" s="19">
        <v>1569</v>
      </c>
      <c r="B1575" s="17">
        <f>IF($B$4="표준",'2.치형좌표'!D1574,'2.치형좌표'!G1574)</f>
        <v>52.011312340872337</v>
      </c>
      <c r="C1575" s="17">
        <f>IF($B$4="표준",'2.치형좌표'!E1574,'2.치형좌표'!H1574)</f>
        <v>56.5870053552337</v>
      </c>
      <c r="D1575" s="6" t="str">
        <f t="shared" si="24"/>
        <v>52.01131,56.58701</v>
      </c>
    </row>
    <row r="1576" spans="1:4" x14ac:dyDescent="0.3">
      <c r="A1576" s="19">
        <v>1570</v>
      </c>
      <c r="B1576" s="17">
        <f>IF($B$4="표준",'2.치형좌표'!D1575,'2.치형좌표'!G1575)</f>
        <v>52.739197167949939</v>
      </c>
      <c r="C1576" s="17">
        <f>IF($B$4="표준",'2.치형좌표'!E1575,'2.치형좌표'!H1575)</f>
        <v>55.421530296094573</v>
      </c>
      <c r="D1576" s="6" t="str">
        <f t="shared" si="24"/>
        <v>52.73920,55.42153</v>
      </c>
    </row>
    <row r="1577" spans="1:4" x14ac:dyDescent="0.3">
      <c r="A1577" s="19">
        <v>1571</v>
      </c>
      <c r="B1577" s="17">
        <f>IF($B$4="표준",'2.치형좌표'!D1576,'2.치형좌표'!G1576)</f>
        <v>53.910026669016347</v>
      </c>
      <c r="C1577" s="17">
        <f>IF($B$4="표준",'2.치형좌표'!E1576,'2.치형좌표'!H1576)</f>
        <v>54.49070537582049</v>
      </c>
      <c r="D1577" s="6" t="str">
        <f t="shared" si="24"/>
        <v>53.91003,54.49071</v>
      </c>
    </row>
    <row r="1578" spans="1:4" x14ac:dyDescent="0.3">
      <c r="A1578" s="19">
        <v>1572</v>
      </c>
      <c r="B1578" s="17">
        <f>IF($B$4="표준",'2.치형좌표'!D1577,'2.치형좌표'!G1577)</f>
        <v>54.984605118889647</v>
      </c>
      <c r="C1578" s="17">
        <f>IF($B$4="표준",'2.치형좌표'!E1577,'2.치형좌표'!H1577)</f>
        <v>54.085835679866541</v>
      </c>
      <c r="D1578" s="6" t="str">
        <f t="shared" si="24"/>
        <v>54.98461,54.08584</v>
      </c>
    </row>
    <row r="1579" spans="1:4" x14ac:dyDescent="0.3">
      <c r="A1579" s="19">
        <v>1573</v>
      </c>
      <c r="B1579" s="17">
        <f>IF($B$4="표준",'2.치형좌표'!D1578,'2.치형좌표'!G1578)</f>
        <v>55.700842196098662</v>
      </c>
      <c r="C1579" s="17">
        <f>IF($B$4="표준",'2.치형좌표'!E1578,'2.치형좌표'!H1578)</f>
        <v>53.97751283219727</v>
      </c>
      <c r="D1579" s="6" t="str">
        <f t="shared" si="24"/>
        <v>55.70084,53.97751</v>
      </c>
    </row>
    <row r="1580" spans="1:4" x14ac:dyDescent="0.3">
      <c r="A1580" s="19">
        <v>1574</v>
      </c>
      <c r="B1580" s="17">
        <f>IF($B$4="표준",'2.치형좌표'!D1579,'2.치형좌표'!G1579)</f>
        <v>56.142186593541709</v>
      </c>
      <c r="C1580" s="17">
        <f>IF($B$4="표준",'2.치형좌표'!E1579,'2.치형좌표'!H1579)</f>
        <v>53.962384207525218</v>
      </c>
      <c r="D1580" s="6" t="str">
        <f t="shared" si="24"/>
        <v>56.14219,53.96238</v>
      </c>
    </row>
    <row r="1581" spans="1:4" x14ac:dyDescent="0.3">
      <c r="A1581" s="19">
        <v>1575</v>
      </c>
      <c r="B1581" s="17">
        <f>IF($B$4="표준",'2.치형좌표'!D1580,'2.치형좌표'!G1580)</f>
        <v>56.424116234885041</v>
      </c>
      <c r="C1581" s="17">
        <f>IF($B$4="표준",'2.치형좌표'!E1580,'2.치형좌표'!H1580)</f>
        <v>53.967905306701269</v>
      </c>
      <c r="D1581" s="6" t="str">
        <f t="shared" si="24"/>
        <v>56.42412,53.96791</v>
      </c>
    </row>
    <row r="1582" spans="1:4" x14ac:dyDescent="0.3">
      <c r="A1582" s="19">
        <v>1576</v>
      </c>
      <c r="B1582" s="17">
        <f>IF($B$4="표준",'2.치형좌표'!D1581,'2.치형좌표'!G1581)</f>
        <v>56.620079680553779</v>
      </c>
      <c r="C1582" s="17">
        <f>IF($B$4="표준",'2.치형좌표'!E1581,'2.치형좌표'!H1581)</f>
        <v>53.9748929224262</v>
      </c>
      <c r="D1582" s="6" t="str">
        <f t="shared" si="24"/>
        <v>56.62008,53.97489</v>
      </c>
    </row>
    <row r="1583" spans="1:4" x14ac:dyDescent="0.3">
      <c r="A1583" s="19">
        <v>1577</v>
      </c>
      <c r="B1583" s="17">
        <f>IF($B$4="표준",'2.치형좌표'!D1582,'2.치형좌표'!G1582)</f>
        <v>56.771948343715977</v>
      </c>
      <c r="C1583" s="17">
        <f>IF($B$4="표준",'2.치형좌표'!E1582,'2.치형좌표'!H1582)</f>
        <v>53.979177591622147</v>
      </c>
      <c r="D1583" s="6" t="str">
        <f t="shared" si="24"/>
        <v>56.77195,53.97918</v>
      </c>
    </row>
    <row r="1584" spans="1:4" x14ac:dyDescent="0.3">
      <c r="A1584" s="19">
        <v>1578</v>
      </c>
      <c r="B1584" s="17">
        <f>IF($B$4="표준",'2.치형좌표'!D1583,'2.치형좌표'!G1583)</f>
        <v>56.903735935592479</v>
      </c>
      <c r="C1584" s="17">
        <f>IF($B$4="표준",'2.치형좌표'!E1583,'2.치형좌표'!H1583)</f>
        <v>53.979912699841137</v>
      </c>
      <c r="D1584" s="6" t="str">
        <f t="shared" si="24"/>
        <v>56.90374,53.97991</v>
      </c>
    </row>
    <row r="1585" spans="1:4" x14ac:dyDescent="0.3">
      <c r="A1585" s="19">
        <v>1579</v>
      </c>
      <c r="B1585" s="17">
        <f>IF($B$4="표준",'2.치형좌표'!D1584,'2.치형좌표'!G1584)</f>
        <v>57.029550775294148</v>
      </c>
      <c r="C1585" s="17">
        <f>IF($B$4="표준",'2.치형좌표'!E1584,'2.치형좌표'!H1584)</f>
        <v>53.97648672401894</v>
      </c>
      <c r="D1585" s="6" t="str">
        <f t="shared" si="24"/>
        <v>57.02955,53.97649</v>
      </c>
    </row>
    <row r="1586" spans="1:4" x14ac:dyDescent="0.3">
      <c r="A1586" s="19">
        <v>1580</v>
      </c>
      <c r="B1586" s="17">
        <f>IF($B$4="표준",'2.치형좌표'!D1585,'2.치형좌표'!G1585)</f>
        <v>57.157767924667411</v>
      </c>
      <c r="C1586" s="17">
        <f>IF($B$4="표준",'2.치형좌표'!E1585,'2.치형좌표'!H1585)</f>
        <v>53.967873465655849</v>
      </c>
      <c r="D1586" s="6" t="str">
        <f t="shared" si="24"/>
        <v>57.15777,53.96787</v>
      </c>
    </row>
    <row r="1587" spans="1:4" x14ac:dyDescent="0.3">
      <c r="A1587" s="19">
        <v>1581</v>
      </c>
      <c r="B1587" s="17">
        <f>IF($B$4="표준",'2.치형좌표'!D1586,'2.치형좌표'!G1586)</f>
        <v>57.293242384776121</v>
      </c>
      <c r="C1587" s="17">
        <f>IF($B$4="표준",'2.치형좌표'!E1586,'2.치형좌표'!H1586)</f>
        <v>53.952637604996205</v>
      </c>
      <c r="D1587" s="6" t="str">
        <f t="shared" si="24"/>
        <v>57.29324,53.95264</v>
      </c>
    </row>
    <row r="1588" spans="1:4" x14ac:dyDescent="0.3">
      <c r="A1588" s="19">
        <v>1582</v>
      </c>
      <c r="B1588" s="17">
        <f>IF($B$4="표준",'2.치형좌표'!D1587,'2.치형좌표'!G1587)</f>
        <v>57.438534859147786</v>
      </c>
      <c r="C1588" s="17">
        <f>IF($B$4="표준",'2.치형좌표'!E1587,'2.치형좌표'!H1587)</f>
        <v>53.929091461268513</v>
      </c>
      <c r="D1588" s="6" t="str">
        <f t="shared" si="24"/>
        <v>57.43853,53.92909</v>
      </c>
    </row>
    <row r="1589" spans="1:4" x14ac:dyDescent="0.3">
      <c r="A1589" s="19">
        <v>1583</v>
      </c>
      <c r="B1589" s="17">
        <f>IF($B$4="표준",'2.치형좌표'!D1588,'2.치형좌표'!G1588)</f>
        <v>57.594629773076534</v>
      </c>
      <c r="C1589" s="17">
        <f>IF($B$4="표준",'2.치형좌표'!E1588,'2.치형좌표'!H1588)</f>
        <v>53.895463293977031</v>
      </c>
      <c r="D1589" s="6" t="str">
        <f t="shared" si="24"/>
        <v>57.59463,53.89546</v>
      </c>
    </row>
    <row r="1590" spans="1:4" x14ac:dyDescent="0.3">
      <c r="A1590" s="19">
        <v>1584</v>
      </c>
      <c r="B1590" s="17">
        <f>IF($B$4="표준",'2.치형좌표'!D1589,'2.치형좌표'!G1589)</f>
        <v>57.761383740259959</v>
      </c>
      <c r="C1590" s="17">
        <f>IF($B$4="표준",'2.치형좌표'!E1589,'2.치형좌표'!H1589)</f>
        <v>53.850042264859745</v>
      </c>
      <c r="D1590" s="6" t="str">
        <f t="shared" si="24"/>
        <v>57.76138,53.85004</v>
      </c>
    </row>
    <row r="1591" spans="1:4" x14ac:dyDescent="0.3">
      <c r="A1591" s="19">
        <v>1585</v>
      </c>
      <c r="B1591" s="17">
        <f>IF($B$4="표준",'2.치형좌표'!D1590,'2.치형좌표'!G1590)</f>
        <v>57.9378260748855</v>
      </c>
      <c r="C1591" s="17">
        <f>IF($B$4="표준",'2.치형좌표'!E1590,'2.치형좌표'!H1590)</f>
        <v>53.791294794536647</v>
      </c>
      <c r="D1591" s="6" t="str">
        <f t="shared" si="24"/>
        <v>57.93783,53.79129</v>
      </c>
    </row>
    <row r="1592" spans="1:4" x14ac:dyDescent="0.3">
      <c r="A1592" s="19">
        <v>1586</v>
      </c>
      <c r="B1592" s="17">
        <f>IF($B$4="표준",'2.치형좌표'!D1591,'2.치형좌표'!G1591)</f>
        <v>58.122375413349232</v>
      </c>
      <c r="C1592" s="17">
        <f>IF($B$4="표준",'2.치형좌표'!E1591,'2.치형좌표'!H1591)</f>
        <v>53.717954568083265</v>
      </c>
      <c r="D1592" s="6" t="str">
        <f t="shared" si="24"/>
        <v>58.12238,53.71795</v>
      </c>
    </row>
    <row r="1593" spans="1:4" x14ac:dyDescent="0.3">
      <c r="A1593" s="19">
        <v>1587</v>
      </c>
      <c r="B1593" s="17">
        <f>IF($B$4="표준",'2.치형좌표'!D1592,'2.치형좌표'!G1592)</f>
        <v>58.313007149036849</v>
      </c>
      <c r="C1593" s="17">
        <f>IF($B$4="표준",'2.치형좌표'!E1592,'2.치형좌표'!H1592)</f>
        <v>53.62908960883329</v>
      </c>
      <c r="D1593" s="6" t="str">
        <f t="shared" si="24"/>
        <v>58.31301,53.62909</v>
      </c>
    </row>
    <row r="1594" spans="1:4" x14ac:dyDescent="0.3">
      <c r="A1594" s="19">
        <v>1588</v>
      </c>
      <c r="B1594" s="17">
        <f>IF($B$4="표준",'2.치형좌표'!D1593,'2.치형좌표'!G1593)</f>
        <v>58.507390848860652</v>
      </c>
      <c r="C1594" s="17">
        <f>IF($B$4="표준",'2.치형좌표'!E1593,'2.치형좌표'!H1593)</f>
        <v>53.52414938605461</v>
      </c>
      <c r="D1594" s="6" t="str">
        <f t="shared" si="24"/>
        <v>58.50739,53.52415</v>
      </c>
    </row>
    <row r="1595" spans="1:4" x14ac:dyDescent="0.3">
      <c r="A1595" s="19">
        <v>1589</v>
      </c>
      <c r="B1595" s="17">
        <f>IF($B$4="표준",'2.치형좌표'!D1594,'2.치형좌표'!G1594)</f>
        <v>58.703008308993248</v>
      </c>
      <c r="C1595" s="17">
        <f>IF($B$4="표준",'2.치형좌표'!E1594,'2.치형좌표'!H1594)</f>
        <v>53.402994240249761</v>
      </c>
      <c r="D1595" s="6" t="str">
        <f t="shared" si="24"/>
        <v>58.70301,53.40299</v>
      </c>
    </row>
    <row r="1596" spans="1:4" x14ac:dyDescent="0.3">
      <c r="A1596" s="19">
        <v>1590</v>
      </c>
      <c r="B1596" s="17">
        <f>IF($B$4="표준",'2.치형좌표'!D1595,'2.치형좌표'!G1595)</f>
        <v>58.897258094323732</v>
      </c>
      <c r="C1596" s="17">
        <f>IF($B$4="표준",'2.치형좌표'!E1595,'2.치형좌표'!H1595)</f>
        <v>53.265908860144549</v>
      </c>
      <c r="D1596" s="6" t="str">
        <f t="shared" si="24"/>
        <v>58.89726,53.26591</v>
      </c>
    </row>
    <row r="1597" spans="1:4" x14ac:dyDescent="0.3">
      <c r="A1597" s="19">
        <v>1591</v>
      </c>
      <c r="B1597" s="17">
        <f>IF($B$4="표준",'2.치형좌표'!D1596,'2.치형좌표'!G1596)</f>
        <v>59.087549611124054</v>
      </c>
      <c r="C1597" s="17">
        <f>IF($B$4="표준",'2.치형좌표'!E1596,'2.치형좌표'!H1596)</f>
        <v>53.113601179095028</v>
      </c>
      <c r="D1597" s="6" t="str">
        <f t="shared" si="24"/>
        <v>59.08755,53.11360</v>
      </c>
    </row>
    <row r="1598" spans="1:4" x14ac:dyDescent="0.3">
      <c r="A1598" s="19">
        <v>1592</v>
      </c>
      <c r="B1598" s="17">
        <f>IF($B$4="표준",'2.치형좌표'!D1597,'2.치형좌표'!G1597)</f>
        <v>59.271388107065221</v>
      </c>
      <c r="C1598" s="17">
        <f>IF($B$4="표준",'2.치형좌표'!E1597,'2.치형좌표'!H1597)</f>
        <v>52.9471878437177</v>
      </c>
      <c r="D1598" s="6" t="str">
        <f t="shared" si="24"/>
        <v>59.27139,52.94719</v>
      </c>
    </row>
    <row r="1599" spans="1:4" x14ac:dyDescent="0.3">
      <c r="A1599" s="19">
        <v>1593</v>
      </c>
      <c r="B1599" s="17">
        <f>IF($B$4="표준",'2.치형좌표'!D1598,'2.치형좌표'!G1598)</f>
        <v>59.446451002569894</v>
      </c>
      <c r="C1599" s="17">
        <f>IF($B$4="표준",'2.치형좌표'!E1598,'2.치형좌표'!H1598)</f>
        <v>52.768167297789738</v>
      </c>
      <c r="D1599" s="6" t="str">
        <f t="shared" si="24"/>
        <v>59.44645,52.76817</v>
      </c>
    </row>
    <row r="1600" spans="1:4" x14ac:dyDescent="0.3">
      <c r="A1600" s="19">
        <v>1594</v>
      </c>
      <c r="B1600" s="17">
        <f>IF($B$4="표준",'2.치형좌표'!D1599,'2.치형좌표'!G1599)</f>
        <v>59.610655367332285</v>
      </c>
      <c r="C1600" s="17">
        <f>IF($B$4="표준",'2.치형좌표'!E1599,'2.치형좌표'!H1599)</f>
        <v>52.578381477726253</v>
      </c>
      <c r="D1600" s="6" t="str">
        <f t="shared" si="24"/>
        <v>59.61066,52.57838</v>
      </c>
    </row>
    <row r="1601" spans="1:4" x14ac:dyDescent="0.3">
      <c r="A1601" s="19">
        <v>1595</v>
      </c>
      <c r="B1601" s="17">
        <f>IF($B$4="표준",'2.치형좌표'!D1600,'2.치형좌표'!G1600)</f>
        <v>59.762216011659042</v>
      </c>
      <c r="C1601" s="17">
        <f>IF($B$4="표준",'2.치형좌표'!E1600,'2.치형좌표'!H1600)</f>
        <v>52.379967096756204</v>
      </c>
      <c r="D1601" s="6" t="str">
        <f t="shared" si="24"/>
        <v>59.76222,52.37997</v>
      </c>
    </row>
    <row r="1602" spans="1:4" x14ac:dyDescent="0.3">
      <c r="A1602" s="19">
        <v>1596</v>
      </c>
      <c r="B1602" s="17">
        <f>IF($B$4="표준",'2.치형좌표'!D1601,'2.치형좌표'!G1601)</f>
        <v>59.899693470266364</v>
      </c>
      <c r="C1602" s="17">
        <f>IF($B$4="표준",'2.치형좌표'!E1601,'2.치형좌표'!H1601)</f>
        <v>52.175297472281123</v>
      </c>
      <c r="D1602" s="6" t="str">
        <f t="shared" si="24"/>
        <v>59.89969,52.17530</v>
      </c>
    </row>
    <row r="1603" spans="1:4" x14ac:dyDescent="0.3">
      <c r="A1603" s="19">
        <v>1597</v>
      </c>
      <c r="B1603" s="17">
        <f>IF($B$4="표준",'2.치형좌표'!D1602,'2.치형좌표'!G1602)</f>
        <v>60.022031054952663</v>
      </c>
      <c r="C1603" s="17">
        <f>IF($B$4="표준",'2.치형좌표'!E1602,'2.치형좌표'!H1602)</f>
        <v>51.966915794554041</v>
      </c>
      <c r="D1603" s="6" t="str">
        <f t="shared" si="24"/>
        <v>60.02203,51.96692</v>
      </c>
    </row>
    <row r="1604" spans="1:4" x14ac:dyDescent="0.3">
      <c r="A1604" s="19">
        <v>1598</v>
      </c>
      <c r="B1604" s="17">
        <f>IF($B$4="표준",'2.치형좌표'!D1603,'2.치형좌표'!G1603)</f>
        <v>60.128580097501718</v>
      </c>
      <c r="C1604" s="17">
        <f>IF($B$4="표준",'2.치형좌표'!E1603,'2.치형좌표'!H1603)</f>
        <v>51.757460610337752</v>
      </c>
      <c r="D1604" s="6" t="str">
        <f t="shared" si="24"/>
        <v>60.12858,51.75746</v>
      </c>
    </row>
    <row r="1605" spans="1:4" x14ac:dyDescent="0.3">
      <c r="A1605" s="19">
        <v>1599</v>
      </c>
      <c r="B1605" s="17">
        <f>IF($B$4="표준",'2.치형좌표'!D1604,'2.치형좌표'!G1604)</f>
        <v>60.219112457354925</v>
      </c>
      <c r="C1605" s="17">
        <f>IF($B$4="표준",'2.치형좌표'!E1604,'2.치형좌표'!H1604)</f>
        <v>51.549584057168012</v>
      </c>
      <c r="D1605" s="6" t="str">
        <f t="shared" si="24"/>
        <v>60.21911,51.54958</v>
      </c>
    </row>
    <row r="1606" spans="1:4" x14ac:dyDescent="0.3">
      <c r="A1606" s="19">
        <v>1600</v>
      </c>
      <c r="B1606" s="17">
        <f>IF($B$4="표준",'2.치형좌표'!D1605,'2.치형좌표'!G1605)</f>
        <v>60.293819291589287</v>
      </c>
      <c r="C1606" s="17">
        <f>IF($B$4="표준",'2.치형좌표'!E1605,'2.치형좌표'!H1605)</f>
        <v>51.345862964891182</v>
      </c>
      <c r="D1606" s="6" t="str">
        <f t="shared" si="24"/>
        <v>60.29382,51.34586</v>
      </c>
    </row>
    <row r="1607" spans="1:4" x14ac:dyDescent="0.3">
      <c r="A1607" s="19">
        <v>1601</v>
      </c>
      <c r="B1607" s="17">
        <f>IF($B$4="표준",'2.치형좌표'!D1606,'2.치형좌표'!G1606)</f>
        <v>60.353294931855395</v>
      </c>
      <c r="C1607" s="17">
        <f>IF($B$4="표준",'2.치형좌표'!E1606,'2.치형좌표'!H1606)</f>
        <v>51.148702233241131</v>
      </c>
      <c r="D1607" s="6" t="str">
        <f t="shared" ref="D1607:D1670" si="25">TEXT(B1607,"0.00000")&amp;","&amp;TEXT(C1607,"0.00000")</f>
        <v>60.35329,51.14870</v>
      </c>
    </row>
    <row r="1608" spans="1:4" x14ac:dyDescent="0.3">
      <c r="A1608" s="19">
        <v>1602</v>
      </c>
      <c r="B1608" s="17">
        <f>IF($B$4="표준",'2.치형좌표'!D1607,'2.치형좌표'!G1607)</f>
        <v>60.398504423761352</v>
      </c>
      <c r="C1608" s="17">
        <f>IF($B$4="표준",'2.치형좌표'!E1607,'2.치형좌표'!H1607)</f>
        <v>50.960228714422257</v>
      </c>
      <c r="D1608" s="6" t="str">
        <f t="shared" si="25"/>
        <v>60.39850,50.96023</v>
      </c>
    </row>
    <row r="1609" spans="1:4" x14ac:dyDescent="0.3">
      <c r="A1609" s="19">
        <v>1603</v>
      </c>
      <c r="B1609" s="17">
        <f>IF($B$4="표준",'2.치형좌표'!D1608,'2.치형좌표'!G1608)</f>
        <v>60.430732774733187</v>
      </c>
      <c r="C1609" s="17">
        <f>IF($B$4="표준",'2.치형좌표'!E1608,'2.치형좌표'!H1608)</f>
        <v>50.782171855439969</v>
      </c>
      <c r="D1609" s="6" t="str">
        <f t="shared" si="25"/>
        <v>60.43073,50.78217</v>
      </c>
    </row>
    <row r="1610" spans="1:4" x14ac:dyDescent="0.3">
      <c r="A1610" s="19">
        <v>1604</v>
      </c>
      <c r="B1610" s="17">
        <f>IF($B$4="표준",'2.치형좌표'!D1609,'2.치형좌표'!G1609)</f>
        <v>60.451513110277148</v>
      </c>
      <c r="C1610" s="17">
        <f>IF($B$4="표준",'2.치형좌표'!E1609,'2.치형좌표'!H1609)</f>
        <v>50.615723997099039</v>
      </c>
      <c r="D1610" s="6" t="str">
        <f t="shared" si="25"/>
        <v>60.45151,50.61572</v>
      </c>
    </row>
    <row r="1611" spans="1:4" x14ac:dyDescent="0.3">
      <c r="A1611" s="19">
        <v>1605</v>
      </c>
      <c r="B1611" s="17">
        <f>IF($B$4="표준",'2.치형좌표'!D1610,'2.치형좌표'!G1610)</f>
        <v>60.462529607510625</v>
      </c>
      <c r="C1611" s="17">
        <f>IF($B$4="표준",'2.치형좌표'!E1610,'2.치형좌표'!H1610)</f>
        <v>50.461367372208485</v>
      </c>
      <c r="D1611" s="6" t="str">
        <f t="shared" si="25"/>
        <v>60.46253,50.46137</v>
      </c>
    </row>
    <row r="1612" spans="1:4" x14ac:dyDescent="0.3">
      <c r="A1612" s="19">
        <v>1606</v>
      </c>
      <c r="B1612" s="17">
        <f>IF($B$4="표준",'2.치형좌표'!D1611,'2.치형좌표'!G1611)</f>
        <v>60.4654891234971</v>
      </c>
      <c r="C1612" s="17">
        <f>IF($B$4="표준",'2.치형좌표'!E1611,'2.치형좌표'!H1611)</f>
        <v>50.318644318875066</v>
      </c>
      <c r="D1612" s="6" t="str">
        <f t="shared" si="25"/>
        <v>60.46549,50.31864</v>
      </c>
    </row>
    <row r="1613" spans="1:4" x14ac:dyDescent="0.3">
      <c r="A1613" s="19">
        <v>1607</v>
      </c>
      <c r="B1613" s="17">
        <f>IF($B$4="표준",'2.치형좌표'!D1612,'2.치형좌표'!G1612)</f>
        <v>60.461952956467577</v>
      </c>
      <c r="C1613" s="17">
        <f>IF($B$4="표준",'2.치형좌표'!E1612,'2.치형좌표'!H1612)</f>
        <v>50.185827620573505</v>
      </c>
      <c r="D1613" s="6" t="str">
        <f t="shared" si="25"/>
        <v>60.46195,50.18583</v>
      </c>
    </row>
    <row r="1614" spans="1:4" x14ac:dyDescent="0.3">
      <c r="A1614" s="19">
        <v>1608</v>
      </c>
      <c r="B1614" s="17">
        <f>IF($B$4="표준",'2.치형좌표'!D1613,'2.치형좌표'!G1613)</f>
        <v>60.453118308706969</v>
      </c>
      <c r="C1614" s="17">
        <f>IF($B$4="표준",'2.치형좌표'!E1613,'2.치형좌표'!H1613)</f>
        <v>50.059409964149097</v>
      </c>
      <c r="D1614" s="6" t="str">
        <f t="shared" si="25"/>
        <v>60.45312,50.05941</v>
      </c>
    </row>
    <row r="1615" spans="1:4" x14ac:dyDescent="0.3">
      <c r="A1615" s="19">
        <v>1609</v>
      </c>
      <c r="B1615" s="17">
        <f>IF($B$4="표준",'2.치형좌표'!D1614,'2.치형좌표'!G1614)</f>
        <v>60.439542904341984</v>
      </c>
      <c r="C1615" s="17">
        <f>IF($B$4="표준",'2.치형좌표'!E1614,'2.치형좌표'!H1614)</f>
        <v>49.933255263976172</v>
      </c>
      <c r="D1615" s="6" t="str">
        <f t="shared" si="25"/>
        <v>60.43954,49.93326</v>
      </c>
    </row>
    <row r="1616" spans="1:4" x14ac:dyDescent="0.3">
      <c r="A1616" s="19">
        <v>1610</v>
      </c>
      <c r="B1616" s="17">
        <f>IF($B$4="표준",'2.치형좌표'!D1615,'2.치형좌표'!G1615)</f>
        <v>60.420835713726404</v>
      </c>
      <c r="C1616" s="17">
        <f>IF($B$4="표준",'2.치형좌표'!E1615,'2.치형좌표'!H1615)</f>
        <v>49.797095824737035</v>
      </c>
      <c r="D1616" s="6" t="str">
        <f t="shared" si="25"/>
        <v>60.42084,49.79710</v>
      </c>
    </row>
    <row r="1617" spans="1:4" x14ac:dyDescent="0.3">
      <c r="A1617" s="19">
        <v>1611</v>
      </c>
      <c r="B1617" s="17">
        <f>IF($B$4="표준",'2.치형좌표'!D1616,'2.치형좌표'!G1616)</f>
        <v>60.395466187367589</v>
      </c>
      <c r="C1617" s="17">
        <f>IF($B$4="표준",'2.치형좌표'!E1616,'2.치형좌표'!H1616)</f>
        <v>49.633721889383224</v>
      </c>
      <c r="D1617" s="6" t="str">
        <f t="shared" si="25"/>
        <v>60.39547,49.63372</v>
      </c>
    </row>
    <row r="1618" spans="1:4" x14ac:dyDescent="0.3">
      <c r="A1618" s="19">
        <v>1612</v>
      </c>
      <c r="B1618" s="17">
        <f>IF($B$4="표준",'2.치형좌표'!D1617,'2.치형좌표'!G1617)</f>
        <v>60.361354259863035</v>
      </c>
      <c r="C1618" s="17">
        <f>IF($B$4="표준",'2.치형좌표'!E1617,'2.치형좌표'!H1617)</f>
        <v>49.413514146028973</v>
      </c>
      <c r="D1618" s="6" t="str">
        <f t="shared" si="25"/>
        <v>60.36135,49.41351</v>
      </c>
    </row>
    <row r="1619" spans="1:4" x14ac:dyDescent="0.3">
      <c r="A1619" s="19">
        <v>1613</v>
      </c>
      <c r="B1619" s="17">
        <f>IF($B$4="표준",'2.치형좌표'!D1618,'2.치형좌표'!G1618)</f>
        <v>60.319850592786175</v>
      </c>
      <c r="C1619" s="17">
        <f>IF($B$4="표준",'2.치형좌표'!E1618,'2.치형좌표'!H1618)</f>
        <v>49.083840993925442</v>
      </c>
      <c r="D1619" s="6" t="str">
        <f t="shared" si="25"/>
        <v>60.31985,49.08384</v>
      </c>
    </row>
    <row r="1620" spans="1:4" x14ac:dyDescent="0.3">
      <c r="A1620" s="19">
        <v>1614</v>
      </c>
      <c r="B1620" s="17">
        <f>IF($B$4="표준",'2.치형좌표'!D1619,'2.치형좌표'!G1619)</f>
        <v>60.292654239065136</v>
      </c>
      <c r="C1620" s="17">
        <f>IF($B$4="표준",'2.치형좌표'!E1619,'2.치형좌표'!H1619)</f>
        <v>48.551679939827856</v>
      </c>
      <c r="D1620" s="6" t="str">
        <f t="shared" si="25"/>
        <v>60.29265,48.55168</v>
      </c>
    </row>
    <row r="1621" spans="1:4" x14ac:dyDescent="0.3">
      <c r="A1621" s="19">
        <v>1615</v>
      </c>
      <c r="B1621" s="17">
        <f>IF($B$4="표준",'2.치형좌표'!D1620,'2.치형좌표'!G1620)</f>
        <v>60.377632848996697</v>
      </c>
      <c r="C1621" s="17">
        <f>IF($B$4="표준",'2.치형좌표'!E1620,'2.치형좌표'!H1620)</f>
        <v>47.681464427696994</v>
      </c>
      <c r="D1621" s="6" t="str">
        <f t="shared" si="25"/>
        <v>60.37763,47.68146</v>
      </c>
    </row>
    <row r="1622" spans="1:4" x14ac:dyDescent="0.3">
      <c r="A1622" s="19">
        <v>1616</v>
      </c>
      <c r="B1622" s="17">
        <f>IF($B$4="표준",'2.치형좌표'!D1621,'2.치형좌표'!G1621)</f>
        <v>60.827806451909467</v>
      </c>
      <c r="C1622" s="17">
        <f>IF($B$4="표준",'2.치형좌표'!E1621,'2.치형좌표'!H1621)</f>
        <v>46.445403051818239</v>
      </c>
      <c r="D1622" s="6" t="str">
        <f t="shared" si="25"/>
        <v>60.82781,46.44540</v>
      </c>
    </row>
    <row r="1623" spans="1:4" x14ac:dyDescent="0.3">
      <c r="A1623" s="19">
        <v>1617</v>
      </c>
      <c r="B1623" s="17">
        <f>IF($B$4="표준",'2.치형좌표'!D1622,'2.치형좌표'!G1622)</f>
        <v>61.78445962595643</v>
      </c>
      <c r="C1623" s="17">
        <f>IF($B$4="표준",'2.치형좌표'!E1622,'2.치형좌표'!H1622)</f>
        <v>45.27362856462301</v>
      </c>
      <c r="D1623" s="6" t="str">
        <f t="shared" si="25"/>
        <v>61.78446,45.27363</v>
      </c>
    </row>
    <row r="1624" spans="1:4" x14ac:dyDescent="0.3">
      <c r="A1624" s="19">
        <v>1618</v>
      </c>
      <c r="B1624" s="17">
        <f>IF($B$4="표준",'2.치형좌표'!D1623,'2.치형좌표'!G1623)</f>
        <v>62.813711545596782</v>
      </c>
      <c r="C1624" s="17">
        <f>IF($B$4="표준",'2.치형좌표'!E1623,'2.치형좌표'!H1623)</f>
        <v>44.623293238697201</v>
      </c>
      <c r="D1624" s="6" t="str">
        <f t="shared" si="25"/>
        <v>62.81371,44.62329</v>
      </c>
    </row>
    <row r="1625" spans="1:4" x14ac:dyDescent="0.3">
      <c r="A1625" s="19">
        <v>1619</v>
      </c>
      <c r="B1625" s="17">
        <f>IF($B$4="표준",'2.치형좌표'!D1624,'2.치형좌표'!G1624)</f>
        <v>63.551518274281271</v>
      </c>
      <c r="C1625" s="17">
        <f>IF($B$4="표준",'2.치형좌표'!E1624,'2.치형좌표'!H1624)</f>
        <v>44.365096134020057</v>
      </c>
      <c r="D1625" s="6" t="str">
        <f t="shared" si="25"/>
        <v>63.55152,44.36510</v>
      </c>
    </row>
    <row r="1626" spans="1:4" x14ac:dyDescent="0.3">
      <c r="A1626" s="19">
        <v>1620</v>
      </c>
      <c r="B1626" s="17">
        <f>IF($B$4="표준",'2.치형좌표'!D1625,'2.치형좌표'!G1625)</f>
        <v>64.016950537356053</v>
      </c>
      <c r="C1626" s="17">
        <f>IF($B$4="표준",'2.치형좌표'!E1625,'2.치형좌표'!H1625)</f>
        <v>44.266675667824295</v>
      </c>
      <c r="D1626" s="6" t="str">
        <f t="shared" si="25"/>
        <v>64.01695,44.26668</v>
      </c>
    </row>
    <row r="1627" spans="1:4" x14ac:dyDescent="0.3">
      <c r="A1627" s="19">
        <v>1621</v>
      </c>
      <c r="B1627" s="17">
        <f>IF($B$4="표준",'2.치형좌표'!D1626,'2.치형좌표'!G1626)</f>
        <v>64.314397310772037</v>
      </c>
      <c r="C1627" s="17">
        <f>IF($B$4="표준",'2.치형좌표'!E1626,'2.치형좌표'!H1626)</f>
        <v>44.2226697613076</v>
      </c>
      <c r="D1627" s="6" t="str">
        <f t="shared" si="25"/>
        <v>64.31440,44.22267</v>
      </c>
    </row>
    <row r="1628" spans="1:4" x14ac:dyDescent="0.3">
      <c r="A1628" s="19">
        <v>1622</v>
      </c>
      <c r="B1628" s="17">
        <f>IF($B$4="표준",'2.치형좌표'!D1627,'2.치형좌표'!G1627)</f>
        <v>64.518749221794153</v>
      </c>
      <c r="C1628" s="17">
        <f>IF($B$4="표준",'2.치형좌표'!E1627,'2.치형좌표'!H1627)</f>
        <v>44.196756160285645</v>
      </c>
      <c r="D1628" s="6" t="str">
        <f t="shared" si="25"/>
        <v>64.51875,44.19676</v>
      </c>
    </row>
    <row r="1629" spans="1:4" x14ac:dyDescent="0.3">
      <c r="A1629" s="19">
        <v>1623</v>
      </c>
      <c r="B1629" s="17">
        <f>IF($B$4="표준",'2.치형좌표'!D1628,'2.치형좌표'!G1628)</f>
        <v>64.674245843960776</v>
      </c>
      <c r="C1629" s="17">
        <f>IF($B$4="표준",'2.치형좌표'!E1628,'2.치형좌표'!H1628)</f>
        <v>44.176330709346409</v>
      </c>
      <c r="D1629" s="6" t="str">
        <f t="shared" si="25"/>
        <v>64.67425,44.17633</v>
      </c>
    </row>
    <row r="1630" spans="1:4" x14ac:dyDescent="0.3">
      <c r="A1630" s="19">
        <v>1624</v>
      </c>
      <c r="B1630" s="17">
        <f>IF($B$4="표준",'2.치형좌표'!D1629,'2.치형좌표'!G1629)</f>
        <v>64.80649660951957</v>
      </c>
      <c r="C1630" s="17">
        <f>IF($B$4="표준",'2.치형좌표'!E1629,'2.치형좌표'!H1629)</f>
        <v>44.156168803282817</v>
      </c>
      <c r="D1630" s="6" t="str">
        <f t="shared" si="25"/>
        <v>64.80650,44.15617</v>
      </c>
    </row>
    <row r="1631" spans="1:4" x14ac:dyDescent="0.3">
      <c r="A1631" s="19">
        <v>1625</v>
      </c>
      <c r="B1631" s="17">
        <f>IF($B$4="표준",'2.치형좌표'!D1630,'2.치형좌표'!G1630)</f>
        <v>64.930503283718508</v>
      </c>
      <c r="C1631" s="17">
        <f>IF($B$4="표준",'2.치형좌표'!E1630,'2.치형좌표'!H1630)</f>
        <v>44.133249166469234</v>
      </c>
      <c r="D1631" s="6" t="str">
        <f t="shared" si="25"/>
        <v>64.93050,44.13325</v>
      </c>
    </row>
    <row r="1632" spans="1:4" x14ac:dyDescent="0.3">
      <c r="A1632" s="19">
        <v>1626</v>
      </c>
      <c r="B1632" s="17">
        <f>IF($B$4="표준",'2.치형좌표'!D1631,'2.치형좌표'!G1631)</f>
        <v>65.055073667212099</v>
      </c>
      <c r="C1632" s="17">
        <f>IF($B$4="표준",'2.치형좌표'!E1631,'2.치형좌표'!H1631)</f>
        <v>44.105172626299655</v>
      </c>
      <c r="D1632" s="6" t="str">
        <f t="shared" si="25"/>
        <v>65.05507,44.10517</v>
      </c>
    </row>
    <row r="1633" spans="1:4" x14ac:dyDescent="0.3">
      <c r="A1633" s="19">
        <v>1627</v>
      </c>
      <c r="B1633" s="17">
        <f>IF($B$4="표준",'2.치형좌표'!D1632,'2.치형좌표'!G1632)</f>
        <v>65.18521683501379</v>
      </c>
      <c r="C1633" s="17">
        <f>IF($B$4="표준",'2.치형좌표'!E1632,'2.치형좌표'!H1632)</f>
        <v>44.069725720813864</v>
      </c>
      <c r="D1633" s="6" t="str">
        <f t="shared" si="25"/>
        <v>65.18522,44.06973</v>
      </c>
    </row>
    <row r="1634" spans="1:4" x14ac:dyDescent="0.3">
      <c r="A1634" s="19">
        <v>1628</v>
      </c>
      <c r="B1634" s="17">
        <f>IF($B$4="표준",'2.치형좌표'!D1633,'2.치형좌표'!G1633)</f>
        <v>65.323487256562885</v>
      </c>
      <c r="C1634" s="17">
        <f>IF($B$4="표준",'2.치형좌표'!E1633,'2.치형좌표'!H1633)</f>
        <v>44.024811351230461</v>
      </c>
      <c r="D1634" s="6" t="str">
        <f t="shared" si="25"/>
        <v>65.32349,44.02481</v>
      </c>
    </row>
    <row r="1635" spans="1:4" x14ac:dyDescent="0.3">
      <c r="A1635" s="19">
        <v>1629</v>
      </c>
      <c r="B1635" s="17">
        <f>IF($B$4="표준",'2.치형좌표'!D1634,'2.치형좌표'!G1634)</f>
        <v>65.470778515916621</v>
      </c>
      <c r="C1635" s="17">
        <f>IF($B$4="표준",'2.치형좌표'!E1634,'2.치형좌표'!H1634)</f>
        <v>43.968492131190182</v>
      </c>
      <c r="D1635" s="6" t="str">
        <f t="shared" si="25"/>
        <v>65.47078,43.96849</v>
      </c>
    </row>
    <row r="1636" spans="1:4" x14ac:dyDescent="0.3">
      <c r="A1636" s="19">
        <v>1630</v>
      </c>
      <c r="B1636" s="17">
        <f>IF($B$4="표준",'2.치형좌표'!D1635,'2.치형좌표'!G1635)</f>
        <v>65.626821041446632</v>
      </c>
      <c r="C1636" s="17">
        <f>IF($B$4="표준",'2.치형좌표'!E1635,'2.치형좌표'!H1635)</f>
        <v>43.899060707617117</v>
      </c>
      <c r="D1636" s="6" t="str">
        <f t="shared" si="25"/>
        <v>65.62682,43.89906</v>
      </c>
    </row>
    <row r="1637" spans="1:4" x14ac:dyDescent="0.3">
      <c r="A1637" s="19">
        <v>1631</v>
      </c>
      <c r="B1637" s="17">
        <f>IF($B$4="표준",'2.치형좌표'!D1636,'2.치형좌표'!G1636)</f>
        <v>65.790515436926427</v>
      </c>
      <c r="C1637" s="17">
        <f>IF($B$4="표준",'2.치형좌표'!E1636,'2.치형좌표'!H1636)</f>
        <v>43.815107859000264</v>
      </c>
      <c r="D1637" s="6" t="str">
        <f t="shared" si="25"/>
        <v>65.79052,43.81511</v>
      </c>
    </row>
    <row r="1638" spans="1:4" x14ac:dyDescent="0.3">
      <c r="A1638" s="19">
        <v>1632</v>
      </c>
      <c r="B1638" s="17">
        <f>IF($B$4="표준",'2.치형좌표'!D1637,'2.치형좌표'!G1637)</f>
        <v>65.960171338890419</v>
      </c>
      <c r="C1638" s="17">
        <f>IF($B$4="표준",'2.치형좌표'!E1637,'2.치형좌표'!H1637)</f>
        <v>43.715578744176234</v>
      </c>
      <c r="D1638" s="6" t="str">
        <f t="shared" si="25"/>
        <v>65.96017,43.71558</v>
      </c>
    </row>
    <row r="1639" spans="1:4" x14ac:dyDescent="0.3">
      <c r="A1639" s="19">
        <v>1633</v>
      </c>
      <c r="B1639" s="17">
        <f>IF($B$4="표준",'2.치형좌표'!D1638,'2.치형좌표'!G1638)</f>
        <v>66.133689931309007</v>
      </c>
      <c r="C1639" s="17">
        <f>IF($B$4="표준",'2.치형좌표'!E1638,'2.치형좌표'!H1638)</f>
        <v>43.599814555803292</v>
      </c>
      <c r="D1639" s="6" t="str">
        <f t="shared" si="25"/>
        <v>66.13369,43.59981</v>
      </c>
    </row>
    <row r="1640" spans="1:4" x14ac:dyDescent="0.3">
      <c r="A1640" s="19">
        <v>1634</v>
      </c>
      <c r="B1640" s="17">
        <f>IF($B$4="표준",'2.치형좌표'!D1639,'2.치형좌표'!G1639)</f>
        <v>66.308711322326573</v>
      </c>
      <c r="C1640" s="17">
        <f>IF($B$4="표준",'2.치형좌표'!E1639,'2.치형좌표'!H1639)</f>
        <v>43.467579240003978</v>
      </c>
      <c r="D1640" s="6" t="str">
        <f t="shared" si="25"/>
        <v>66.30871,43.46758</v>
      </c>
    </row>
    <row r="1641" spans="1:4" x14ac:dyDescent="0.3">
      <c r="A1641" s="19">
        <v>1635</v>
      </c>
      <c r="B1641" s="17">
        <f>IF($B$4="표준",'2.치형좌표'!D1640,'2.치형좌표'!G1640)</f>
        <v>66.482738682187502</v>
      </c>
      <c r="C1641" s="17">
        <f>IF($B$4="표준",'2.치형좌표'!E1640,'2.치형좌표'!H1640)</f>
        <v>43.319071763312479</v>
      </c>
      <c r="D1641" s="6" t="str">
        <f t="shared" si="25"/>
        <v>66.48274,43.31907</v>
      </c>
    </row>
    <row r="1642" spans="1:4" x14ac:dyDescent="0.3">
      <c r="A1642" s="19">
        <v>1636</v>
      </c>
      <c r="B1642" s="17">
        <f>IF($B$4="표준",'2.치형좌표'!D1641,'2.치형좌표'!G1641)</f>
        <v>66.653245772550633</v>
      </c>
      <c r="C1642" s="17">
        <f>IF($B$4="표준",'2.치형좌표'!E1641,'2.치형좌표'!H1641)</f>
        <v>43.154924679558377</v>
      </c>
      <c r="D1642" s="6" t="str">
        <f t="shared" si="25"/>
        <v>66.65325,43.15492</v>
      </c>
    </row>
    <row r="1643" spans="1:4" x14ac:dyDescent="0.3">
      <c r="A1643" s="19">
        <v>1637</v>
      </c>
      <c r="B1643" s="17">
        <f>IF($B$4="표준",'2.치형좌표'!D1642,'2.치형좌표'!G1642)</f>
        <v>66.817771439314157</v>
      </c>
      <c r="C1643" s="17">
        <f>IF($B$4="표준",'2.치형좌표'!E1642,'2.치형좌표'!H1642)</f>
        <v>42.976189847803511</v>
      </c>
      <c r="D1643" s="6" t="str">
        <f t="shared" si="25"/>
        <v>66.81777,42.97619</v>
      </c>
    </row>
    <row r="1644" spans="1:4" x14ac:dyDescent="0.3">
      <c r="A1644" s="19">
        <v>1638</v>
      </c>
      <c r="B1644" s="17">
        <f>IF($B$4="표준",'2.치형좌표'!D1643,'2.치형좌표'!G1643)</f>
        <v>66.974002833933653</v>
      </c>
      <c r="C1644" s="17">
        <f>IF($B$4="표준",'2.치형좌표'!E1643,'2.치형좌표'!H1643)</f>
        <v>42.784312207828293</v>
      </c>
      <c r="D1644" s="6" t="str">
        <f t="shared" si="25"/>
        <v>66.97400,42.78431</v>
      </c>
    </row>
    <row r="1645" spans="1:4" x14ac:dyDescent="0.3">
      <c r="A1645" s="19">
        <v>1639</v>
      </c>
      <c r="B1645" s="17">
        <f>IF($B$4="표준",'2.치형좌표'!D1644,'2.치형좌표'!G1644)</f>
        <v>67.119848050915465</v>
      </c>
      <c r="C1645" s="17">
        <f>IF($B$4="표준",'2.치형좌표'!E1644,'2.치형좌표'!H1644)</f>
        <v>42.581092570103756</v>
      </c>
      <c r="D1645" s="6" t="str">
        <f t="shared" si="25"/>
        <v>67.11985,42.58109</v>
      </c>
    </row>
    <row r="1646" spans="1:4" x14ac:dyDescent="0.3">
      <c r="A1646" s="19">
        <v>1640</v>
      </c>
      <c r="B1646" s="17">
        <f>IF($B$4="표준",'2.치형좌표'!D1645,'2.치형좌표'!G1645)</f>
        <v>67.25349822915264</v>
      </c>
      <c r="C1646" s="17">
        <f>IF($B$4="표준",'2.치형좌표'!E1645,'2.치형좌표'!H1645)</f>
        <v>42.368640426518972</v>
      </c>
      <c r="D1646" s="6" t="str">
        <f t="shared" si="25"/>
        <v>67.25350,42.36864</v>
      </c>
    </row>
    <row r="1647" spans="1:4" x14ac:dyDescent="0.3">
      <c r="A1647" s="19">
        <v>1641</v>
      </c>
      <c r="B1647" s="17">
        <f>IF($B$4="표준",'2.치형좌표'!D1646,'2.치형좌표'!G1646)</f>
        <v>67.373478791398981</v>
      </c>
      <c r="C1647" s="17">
        <f>IF($B$4="표준",'2.치형좌표'!E1646,'2.치형좌표'!H1646)</f>
        <v>42.149317827197166</v>
      </c>
      <c r="D1647" s="6" t="str">
        <f t="shared" si="25"/>
        <v>67.37348,42.14932</v>
      </c>
    </row>
    <row r="1648" spans="1:4" x14ac:dyDescent="0.3">
      <c r="A1648" s="19">
        <v>1642</v>
      </c>
      <c r="B1648" s="17">
        <f>IF($B$4="표준",'2.치형좌표'!D1647,'2.치형좌표'!G1647)</f>
        <v>67.478689284824128</v>
      </c>
      <c r="C1648" s="17">
        <f>IF($B$4="표준",'2.치형좌표'!E1647,'2.치형좌표'!H1647)</f>
        <v>41.925675382652344</v>
      </c>
      <c r="D1648" s="6" t="str">
        <f t="shared" si="25"/>
        <v>67.47869,41.92568</v>
      </c>
    </row>
    <row r="1649" spans="1:4" x14ac:dyDescent="0.3">
      <c r="A1649" s="19">
        <v>1643</v>
      </c>
      <c r="B1649" s="17">
        <f>IF($B$4="표준",'2.치형좌표'!D1648,'2.치형좌표'!G1648)</f>
        <v>67.568431167175191</v>
      </c>
      <c r="C1649" s="17">
        <f>IF($B$4="표준",'2.치형좌표'!E1648,'2.치형좌표'!H1648)</f>
        <v>41.700381420044636</v>
      </c>
      <c r="D1649" s="6" t="str">
        <f t="shared" si="25"/>
        <v>67.56843,41.70038</v>
      </c>
    </row>
    <row r="1650" spans="1:4" x14ac:dyDescent="0.3">
      <c r="A1650" s="19">
        <v>1644</v>
      </c>
      <c r="B1650" s="17">
        <f>IF($B$4="표준",'2.치형좌표'!D1649,'2.치형좌표'!G1649)</f>
        <v>67.642422806348208</v>
      </c>
      <c r="C1650" s="17">
        <f>IF($B$4="표준",'2.치형좌표'!E1649,'2.치형좌표'!H1649)</f>
        <v>41.4761452218888</v>
      </c>
      <c r="D1650" s="6" t="str">
        <f t="shared" si="25"/>
        <v>67.64242,41.47615</v>
      </c>
    </row>
    <row r="1651" spans="1:4" x14ac:dyDescent="0.3">
      <c r="A1651" s="19">
        <v>1645</v>
      </c>
      <c r="B1651" s="17">
        <f>IF($B$4="표준",'2.치형좌표'!D1650,'2.치형좌표'!G1650)</f>
        <v>67.700800881299784</v>
      </c>
      <c r="C1651" s="17">
        <f>IF($B$4="표준",'2.치형좌표'!E1650,'2.치형좌표'!H1650)</f>
        <v>41.255635068808239</v>
      </c>
      <c r="D1651" s="6" t="str">
        <f t="shared" si="25"/>
        <v>67.70080,41.25564</v>
      </c>
    </row>
    <row r="1652" spans="1:4" x14ac:dyDescent="0.3">
      <c r="A1652" s="19">
        <v>1646</v>
      </c>
      <c r="B1652" s="17">
        <f>IF($B$4="표준",'2.치형좌표'!D1651,'2.치형좌표'!G1651)</f>
        <v>67.744107241661609</v>
      </c>
      <c r="C1652" s="17">
        <f>IF($B$4="표준",'2.치형좌표'!E1651,'2.치형좌표'!H1651)</f>
        <v>41.041391438691818</v>
      </c>
      <c r="D1652" s="6" t="str">
        <f t="shared" si="25"/>
        <v>67.74411,41.04139</v>
      </c>
    </row>
    <row r="1653" spans="1:4" x14ac:dyDescent="0.3">
      <c r="A1653" s="19">
        <v>1647</v>
      </c>
      <c r="B1653" s="17">
        <f>IF($B$4="표준",'2.치형좌표'!D1652,'2.치형좌표'!G1652)</f>
        <v>67.77326004256139</v>
      </c>
      <c r="C1653" s="17">
        <f>IF($B$4="표준",'2.치형좌표'!E1652,'2.치형좌표'!H1652)</f>
        <v>40.83573509120604</v>
      </c>
      <c r="D1653" s="6" t="str">
        <f t="shared" si="25"/>
        <v>67.77326,40.83574</v>
      </c>
    </row>
    <row r="1654" spans="1:4" x14ac:dyDescent="0.3">
      <c r="A1654" s="19">
        <v>1648</v>
      </c>
      <c r="B1654" s="17">
        <f>IF($B$4="표준",'2.치형좌표'!D1653,'2.치형좌표'!G1653)</f>
        <v>67.789507536161295</v>
      </c>
      <c r="C1654" s="17">
        <f>IF($B$4="표준",'2.치형좌표'!E1653,'2.치형좌표'!H1653)</f>
        <v>40.640668732251825</v>
      </c>
      <c r="D1654" s="6" t="str">
        <f t="shared" si="25"/>
        <v>67.78951,40.64067</v>
      </c>
    </row>
    <row r="1655" spans="1:4" x14ac:dyDescent="0.3">
      <c r="A1655" s="19">
        <v>1649</v>
      </c>
      <c r="B1655" s="17">
        <f>IF($B$4="표준",'2.치형좌표'!D1654,'2.치형좌표'!G1654)</f>
        <v>67.794362146277095</v>
      </c>
      <c r="C1655" s="17">
        <f>IF($B$4="표준",'2.치형좌표'!E1654,'2.치형좌표'!H1654)</f>
        <v>40.457769229341793</v>
      </c>
      <c r="D1655" s="6" t="str">
        <f t="shared" si="25"/>
        <v>67.79436,40.45777</v>
      </c>
    </row>
    <row r="1656" spans="1:4" x14ac:dyDescent="0.3">
      <c r="A1656" s="19">
        <v>1650</v>
      </c>
      <c r="B1656" s="17">
        <f>IF($B$4="표준",'2.치형좌표'!D1655,'2.치형좌표'!G1655)</f>
        <v>67.789511181645167</v>
      </c>
      <c r="C1656" s="17">
        <f>IF($B$4="표준",'2.치형좌표'!E1655,'2.치형좌표'!H1655)</f>
        <v>40.288064424933296</v>
      </c>
      <c r="D1656" s="6" t="str">
        <f t="shared" si="25"/>
        <v>67.78951,40.28806</v>
      </c>
    </row>
    <row r="1657" spans="1:4" x14ac:dyDescent="0.3">
      <c r="A1657" s="19">
        <v>1651</v>
      </c>
      <c r="B1657" s="17">
        <f>IF($B$4="표준",'2.치형좌표'!D1656,'2.치형좌표'!G1656)</f>
        <v>67.776698452834864</v>
      </c>
      <c r="C1657" s="17">
        <f>IF($B$4="표준",'2.치형좌표'!E1656,'2.치형좌표'!H1656)</f>
        <v>40.131883499692286</v>
      </c>
      <c r="D1657" s="6" t="str">
        <f t="shared" si="25"/>
        <v>67.77670,40.13188</v>
      </c>
    </row>
    <row r="1658" spans="1:4" x14ac:dyDescent="0.3">
      <c r="A1658" s="19">
        <v>1652</v>
      </c>
      <c r="B1658" s="17">
        <f>IF($B$4="표준",'2.치형좌표'!D1657,'2.치형좌표'!G1657)</f>
        <v>67.757567690793095</v>
      </c>
      <c r="C1658" s="17">
        <f>IF($B$4="표준",'2.치형좌표'!E1657,'2.치형좌표'!H1657)</f>
        <v>39.988660661944408</v>
      </c>
      <c r="D1658" s="6" t="str">
        <f t="shared" si="25"/>
        <v>67.75757,39.98866</v>
      </c>
    </row>
    <row r="1659" spans="1:4" x14ac:dyDescent="0.3">
      <c r="A1659" s="19">
        <v>1653</v>
      </c>
      <c r="B1659" s="17">
        <f>IF($B$4="표준",'2.치형좌표'!D1658,'2.치형좌표'!G1658)</f>
        <v>67.733453416670699</v>
      </c>
      <c r="C1659" s="17">
        <f>IF($B$4="표준",'2.치형좌표'!E1658,'2.치형좌표'!H1658)</f>
        <v>39.856654786681496</v>
      </c>
      <c r="D1659" s="6" t="str">
        <f t="shared" si="25"/>
        <v>67.73345,39.85665</v>
      </c>
    </row>
    <row r="1660" spans="1:4" x14ac:dyDescent="0.3">
      <c r="A1660" s="19">
        <v>1654</v>
      </c>
      <c r="B1660" s="17">
        <f>IF($B$4="표준",'2.치형좌표'!D1659,'2.치형좌표'!G1659)</f>
        <v>67.705097322600324</v>
      </c>
      <c r="C1660" s="17">
        <f>IF($B$4="표준",'2.치형좌표'!E1659,'2.치형좌표'!H1659)</f>
        <v>39.732514238746397</v>
      </c>
      <c r="D1660" s="6" t="str">
        <f t="shared" si="25"/>
        <v>67.70510,39.73251</v>
      </c>
    </row>
    <row r="1661" spans="1:4" x14ac:dyDescent="0.3">
      <c r="A1661" s="19">
        <v>1655</v>
      </c>
      <c r="B1661" s="17">
        <f>IF($B$4="표준",'2.치형좌표'!D1660,'2.치형좌표'!G1660)</f>
        <v>67.672259536563217</v>
      </c>
      <c r="C1661" s="17">
        <f>IF($B$4="표준",'2.치형좌표'!E1660,'2.치형좌표'!H1660)</f>
        <v>39.610548322795928</v>
      </c>
      <c r="D1661" s="6" t="str">
        <f t="shared" si="25"/>
        <v>67.67226,39.61055</v>
      </c>
    </row>
    <row r="1662" spans="1:4" x14ac:dyDescent="0.3">
      <c r="A1662" s="19">
        <v>1656</v>
      </c>
      <c r="B1662" s="17">
        <f>IF($B$4="표준",'2.치형좌표'!D1661,'2.치형좌표'!G1661)</f>
        <v>67.633194069307677</v>
      </c>
      <c r="C1662" s="17">
        <f>IF($B$4="표준",'2.치형좌표'!E1661,'2.치형좌표'!H1661)</f>
        <v>39.481423396986308</v>
      </c>
      <c r="D1662" s="6" t="str">
        <f t="shared" si="25"/>
        <v>67.63319,39.48142</v>
      </c>
    </row>
    <row r="1663" spans="1:4" x14ac:dyDescent="0.3">
      <c r="A1663" s="19">
        <v>1657</v>
      </c>
      <c r="B1663" s="17">
        <f>IF($B$4="표준",'2.치형좌표'!D1662,'2.치형좌표'!G1662)</f>
        <v>67.584012425810499</v>
      </c>
      <c r="C1663" s="17">
        <f>IF($B$4="표준",'2.치형좌표'!E1662,'2.치형좌표'!H1662)</f>
        <v>39.32968839459717</v>
      </c>
      <c r="D1663" s="6" t="str">
        <f t="shared" si="25"/>
        <v>67.58401,39.32969</v>
      </c>
    </row>
    <row r="1664" spans="1:4" x14ac:dyDescent="0.3">
      <c r="A1664" s="19">
        <v>1658</v>
      </c>
      <c r="B1664" s="17">
        <f>IF($B$4="표준",'2.치형좌표'!D1663,'2.치형좌표'!G1663)</f>
        <v>67.51826746873374</v>
      </c>
      <c r="C1664" s="17">
        <f>IF($B$4="표준",'2.치형좌표'!E1663,'2.치형좌표'!H1663)</f>
        <v>39.128849561166319</v>
      </c>
      <c r="D1664" s="6" t="str">
        <f t="shared" si="25"/>
        <v>67.51827,39.12885</v>
      </c>
    </row>
    <row r="1665" spans="1:4" x14ac:dyDescent="0.3">
      <c r="A1665" s="19">
        <v>1659</v>
      </c>
      <c r="B1665" s="17">
        <f>IF($B$4="표준",'2.치형좌표'!D1664,'2.치형좌표'!G1664)</f>
        <v>67.42848165124208</v>
      </c>
      <c r="C1665" s="17">
        <f>IF($B$4="표준",'2.치형좌표'!E1664,'2.치형좌표'!H1664)</f>
        <v>38.831382491989665</v>
      </c>
      <c r="D1665" s="6" t="str">
        <f t="shared" si="25"/>
        <v>67.42848,38.83138</v>
      </c>
    </row>
    <row r="1666" spans="1:4" x14ac:dyDescent="0.3">
      <c r="A1666" s="19">
        <v>1660</v>
      </c>
      <c r="B1666" s="17">
        <f>IF($B$4="표준",'2.치형좌표'!D1665,'2.치형좌표'!G1665)</f>
        <v>67.317042048825456</v>
      </c>
      <c r="C1666" s="17">
        <f>IF($B$4="표준",'2.치형좌표'!E1665,'2.치형좌표'!H1665)</f>
        <v>38.350168810659987</v>
      </c>
      <c r="D1666" s="6" t="str">
        <f t="shared" si="25"/>
        <v>67.31704,38.35017</v>
      </c>
    </row>
    <row r="1667" spans="1:4" x14ac:dyDescent="0.3">
      <c r="A1667" s="19">
        <v>1661</v>
      </c>
      <c r="B1667" s="17">
        <f>IF($B$4="표준",'2.치형좌표'!D1666,'2.치형좌표'!G1666)</f>
        <v>67.24181369547297</v>
      </c>
      <c r="C1667" s="17">
        <f>IF($B$4="표준",'2.치형좌표'!E1666,'2.치형좌표'!H1666)</f>
        <v>37.541954143953696</v>
      </c>
      <c r="D1667" s="6" t="str">
        <f t="shared" si="25"/>
        <v>67.24181,37.54195</v>
      </c>
    </row>
    <row r="1668" spans="1:4" x14ac:dyDescent="0.3">
      <c r="A1668" s="19">
        <v>1662</v>
      </c>
      <c r="B1668" s="17">
        <f>IF($B$4="표준",'2.치형좌표'!D1667,'2.치형좌표'!G1667)</f>
        <v>67.419430804478054</v>
      </c>
      <c r="C1668" s="17">
        <f>IF($B$4="표준",'2.치형좌표'!E1667,'2.치형좌표'!H1667)</f>
        <v>36.303460470061353</v>
      </c>
      <c r="D1668" s="6" t="str">
        <f t="shared" si="25"/>
        <v>67.41943,36.30346</v>
      </c>
    </row>
    <row r="1669" spans="1:4" x14ac:dyDescent="0.3">
      <c r="A1669" s="19">
        <v>1663</v>
      </c>
      <c r="B1669" s="17">
        <f>IF($B$4="표준",'2.치형좌표'!D1668,'2.치형좌표'!G1668)</f>
        <v>68.105924710769798</v>
      </c>
      <c r="C1669" s="17">
        <f>IF($B$4="표준",'2.치형좌표'!E1668,'2.치형좌표'!H1668)</f>
        <v>34.95166591309038</v>
      </c>
      <c r="D1669" s="6" t="str">
        <f t="shared" si="25"/>
        <v>68.10592,34.95167</v>
      </c>
    </row>
    <row r="1670" spans="1:4" x14ac:dyDescent="0.3">
      <c r="A1670" s="19">
        <v>1664</v>
      </c>
      <c r="B1670" s="17">
        <f>IF($B$4="표준",'2.치형좌표'!D1669,'2.치형좌표'!G1669)</f>
        <v>69.028401541103307</v>
      </c>
      <c r="C1670" s="17">
        <f>IF($B$4="표준",'2.치형좌표'!E1669,'2.치형좌표'!H1669)</f>
        <v>34.058657121674031</v>
      </c>
      <c r="D1670" s="6" t="str">
        <f t="shared" si="25"/>
        <v>69.02840,34.05866</v>
      </c>
    </row>
    <row r="1671" spans="1:4" x14ac:dyDescent="0.3">
      <c r="A1671" s="19">
        <v>1665</v>
      </c>
      <c r="B1671" s="17">
        <f>IF($B$4="표준",'2.치형좌표'!D1670,'2.치형좌표'!G1670)</f>
        <v>69.757302571788202</v>
      </c>
      <c r="C1671" s="17">
        <f>IF($B$4="표준",'2.치형좌표'!E1670,'2.치형좌표'!H1670)</f>
        <v>33.635925191096916</v>
      </c>
      <c r="D1671" s="6" t="str">
        <f t="shared" ref="D1671:D1734" si="26">TEXT(B1671,"0.00000")&amp;","&amp;TEXT(C1671,"0.00000")</f>
        <v>69.75730,33.63593</v>
      </c>
    </row>
    <row r="1672" spans="1:4" x14ac:dyDescent="0.3">
      <c r="A1672" s="19">
        <v>1666</v>
      </c>
      <c r="B1672" s="17">
        <f>IF($B$4="표준",'2.치형좌표'!D1671,'2.치형좌표'!G1671)</f>
        <v>70.232913537807704</v>
      </c>
      <c r="C1672" s="17">
        <f>IF($B$4="표준",'2.치형좌표'!E1671,'2.치형좌표'!H1671)</f>
        <v>33.443709704105373</v>
      </c>
      <c r="D1672" s="6" t="str">
        <f t="shared" si="26"/>
        <v>70.23291,33.44371</v>
      </c>
    </row>
    <row r="1673" spans="1:4" x14ac:dyDescent="0.3">
      <c r="A1673" s="19">
        <v>1667</v>
      </c>
      <c r="B1673" s="17">
        <f>IF($B$4="표준",'2.치형좌표'!D1672,'2.치형좌표'!G1672)</f>
        <v>70.538423366247216</v>
      </c>
      <c r="C1673" s="17">
        <f>IF($B$4="표준",'2.치형좌표'!E1672,'2.치형좌표'!H1672)</f>
        <v>33.344401177209896</v>
      </c>
      <c r="D1673" s="6" t="str">
        <f t="shared" si="26"/>
        <v>70.53842,33.34440</v>
      </c>
    </row>
    <row r="1674" spans="1:4" x14ac:dyDescent="0.3">
      <c r="A1674" s="19">
        <v>1668</v>
      </c>
      <c r="B1674" s="17">
        <f>IF($B$4="표준",'2.치형좌표'!D1673,'2.치형좌표'!G1673)</f>
        <v>70.746394902466122</v>
      </c>
      <c r="C1674" s="17">
        <f>IF($B$4="표준",'2.치형좌표'!E1673,'2.치형좌표'!H1673)</f>
        <v>33.282679770921398</v>
      </c>
      <c r="D1674" s="6" t="str">
        <f t="shared" si="26"/>
        <v>70.74639,33.28268</v>
      </c>
    </row>
    <row r="1675" spans="1:4" x14ac:dyDescent="0.3">
      <c r="A1675" s="19">
        <v>1669</v>
      </c>
      <c r="B1675" s="17">
        <f>IF($B$4="표준",'2.치형좌표'!D1674,'2.치형좌표'!G1674)</f>
        <v>70.901963148263505</v>
      </c>
      <c r="C1675" s="17">
        <f>IF($B$4="표준",'2.치형좌표'!E1674,'2.치형좌표'!H1674)</f>
        <v>33.236290194191561</v>
      </c>
      <c r="D1675" s="6" t="str">
        <f t="shared" si="26"/>
        <v>70.90196,33.23629</v>
      </c>
    </row>
    <row r="1676" spans="1:4" x14ac:dyDescent="0.3">
      <c r="A1676" s="19">
        <v>1670</v>
      </c>
      <c r="B1676" s="17">
        <f>IF($B$4="표준",'2.치형좌표'!D1675,'2.치형좌표'!G1675)</f>
        <v>71.031664382718319</v>
      </c>
      <c r="C1676" s="17">
        <f>IF($B$4="표준",'2.치형좌표'!E1675,'2.치형좌표'!H1675)</f>
        <v>33.194971431290256</v>
      </c>
      <c r="D1676" s="6" t="str">
        <f t="shared" si="26"/>
        <v>71.03166,33.19497</v>
      </c>
    </row>
    <row r="1677" spans="1:4" x14ac:dyDescent="0.3">
      <c r="A1677" s="19">
        <v>1671</v>
      </c>
      <c r="B1677" s="17">
        <f>IF($B$4="표준",'2.치형좌표'!D1676,'2.치형좌표'!G1676)</f>
        <v>71.151050270574146</v>
      </c>
      <c r="C1677" s="17">
        <f>IF($B$4="표준",'2.치형좌표'!E1676,'2.치형좌표'!H1676)</f>
        <v>33.152944702967751</v>
      </c>
      <c r="D1677" s="6" t="str">
        <f t="shared" si="26"/>
        <v>71.15105,33.15294</v>
      </c>
    </row>
    <row r="1678" spans="1:4" x14ac:dyDescent="0.3">
      <c r="A1678" s="19">
        <v>1672</v>
      </c>
      <c r="B1678" s="17">
        <f>IF($B$4="표준",'2.치형좌표'!D1677,'2.치형좌표'!G1677)</f>
        <v>71.269172241043165</v>
      </c>
      <c r="C1678" s="17">
        <f>IF($B$4="표준",'2.치형좌표'!E1677,'2.치형좌표'!H1677)</f>
        <v>33.106255803542773</v>
      </c>
      <c r="D1678" s="6" t="str">
        <f t="shared" si="26"/>
        <v>71.26917,33.10626</v>
      </c>
    </row>
    <row r="1679" spans="1:4" x14ac:dyDescent="0.3">
      <c r="A1679" s="19">
        <v>1673</v>
      </c>
      <c r="B1679" s="17">
        <f>IF($B$4="표준",'2.치형좌표'!D1678,'2.치형좌표'!G1678)</f>
        <v>71.391088267247824</v>
      </c>
      <c r="C1679" s="17">
        <f>IF($B$4="표준",'2.치형좌표'!E1678,'2.치형좌표'!H1678)</f>
        <v>33.051820822705899</v>
      </c>
      <c r="D1679" s="6" t="str">
        <f t="shared" si="26"/>
        <v>71.39109,33.05182</v>
      </c>
    </row>
    <row r="1680" spans="1:4" x14ac:dyDescent="0.3">
      <c r="A1680" s="19">
        <v>1674</v>
      </c>
      <c r="B1680" s="17">
        <f>IF($B$4="표준",'2.치형좌표'!D1679,'2.치형좌표'!G1679)</f>
        <v>71.519292121801669</v>
      </c>
      <c r="C1680" s="17">
        <f>IF($B$4="표준",'2.치형좌표'!E1679,'2.치형좌표'!H1679)</f>
        <v>32.987090277786706</v>
      </c>
      <c r="D1680" s="6" t="str">
        <f t="shared" si="26"/>
        <v>71.51929,32.98709</v>
      </c>
    </row>
    <row r="1681" spans="1:4" x14ac:dyDescent="0.3">
      <c r="A1681" s="19">
        <v>1675</v>
      </c>
      <c r="B1681" s="17">
        <f>IF($B$4="표준",'2.치형좌표'!D1680,'2.치형좌표'!G1680)</f>
        <v>71.65456522928632</v>
      </c>
      <c r="C1681" s="17">
        <f>IF($B$4="표준",'2.치형좌표'!E1680,'2.치형좌표'!H1680)</f>
        <v>32.909945027078479</v>
      </c>
      <c r="D1681" s="6" t="str">
        <f t="shared" si="26"/>
        <v>71.65457,32.90995</v>
      </c>
    </row>
    <row r="1682" spans="1:4" x14ac:dyDescent="0.3">
      <c r="A1682" s="19">
        <v>1676</v>
      </c>
      <c r="B1682" s="17">
        <f>IF($B$4="표준",'2.치형좌표'!D1681,'2.치형좌표'!G1681)</f>
        <v>71.796513368101856</v>
      </c>
      <c r="C1682" s="17">
        <f>IF($B$4="표준",'2.치형좌표'!E1681,'2.치형좌표'!H1681)</f>
        <v>32.818678816675749</v>
      </c>
      <c r="D1682" s="6" t="str">
        <f t="shared" si="26"/>
        <v>71.79651,32.81868</v>
      </c>
    </row>
    <row r="1683" spans="1:4" x14ac:dyDescent="0.3">
      <c r="A1683" s="19">
        <v>1677</v>
      </c>
      <c r="B1683" s="17">
        <f>IF($B$4="표준",'2.치형좌표'!D1682,'2.치형좌표'!G1682)</f>
        <v>71.943926201353577</v>
      </c>
      <c r="C1683" s="17">
        <f>IF($B$4="표준",'2.치형좌표'!E1682,'2.치형좌표'!H1682)</f>
        <v>32.712010106267911</v>
      </c>
      <c r="D1683" s="6" t="str">
        <f t="shared" si="26"/>
        <v>71.94393,32.71201</v>
      </c>
    </row>
    <row r="1684" spans="1:4" x14ac:dyDescent="0.3">
      <c r="A1684" s="19">
        <v>1678</v>
      </c>
      <c r="B1684" s="17">
        <f>IF($B$4="표준",'2.치형좌표'!D1683,'2.치형좌표'!G1683)</f>
        <v>72.095033730814791</v>
      </c>
      <c r="C1684" s="17">
        <f>IF($B$4="표준",'2.치형좌표'!E1683,'2.치형좌표'!H1683)</f>
        <v>32.58909950543304</v>
      </c>
      <c r="D1684" s="6" t="str">
        <f t="shared" si="26"/>
        <v>72.09503,32.58910</v>
      </c>
    </row>
    <row r="1685" spans="1:4" x14ac:dyDescent="0.3">
      <c r="A1685" s="19">
        <v>1679</v>
      </c>
      <c r="B1685" s="17">
        <f>IF($B$4="표준",'2.치형좌표'!D1684,'2.치형좌표'!G1684)</f>
        <v>72.247700385385215</v>
      </c>
      <c r="C1685" s="17">
        <f>IF($B$4="표준",'2.치형좌표'!E1684,'2.치형좌표'!H1684)</f>
        <v>32.449562762674105</v>
      </c>
      <c r="D1685" s="6" t="str">
        <f t="shared" si="26"/>
        <v>72.24770,32.44956</v>
      </c>
    </row>
    <row r="1686" spans="1:4" x14ac:dyDescent="0.3">
      <c r="A1686" s="19">
        <v>1680</v>
      </c>
      <c r="B1686" s="17">
        <f>IF($B$4="표준",'2.치형좌표'!D1685,'2.치형좌표'!G1685)</f>
        <v>72.399579540460863</v>
      </c>
      <c r="C1686" s="17">
        <f>IF($B$4="표준",'2.치형좌표'!E1685,'2.치형좌표'!H1685)</f>
        <v>32.293475031111861</v>
      </c>
      <c r="D1686" s="6" t="str">
        <f t="shared" si="26"/>
        <v>72.39958,32.29348</v>
      </c>
    </row>
    <row r="1687" spans="1:4" x14ac:dyDescent="0.3">
      <c r="A1687" s="19">
        <v>1681</v>
      </c>
      <c r="B1687" s="17">
        <f>IF($B$4="표준",'2.치형좌표'!D1686,'2.치형좌표'!G1686)</f>
        <v>72.548241369772313</v>
      </c>
      <c r="C1687" s="17">
        <f>IF($B$4="표준",'2.치형좌표'!E1686,'2.치형좌표'!H1686)</f>
        <v>32.121364725263646</v>
      </c>
      <c r="D1687" s="6" t="str">
        <f t="shared" si="26"/>
        <v>72.54824,32.12136</v>
      </c>
    </row>
    <row r="1688" spans="1:4" x14ac:dyDescent="0.3">
      <c r="A1688" s="19">
        <v>1682</v>
      </c>
      <c r="B1688" s="17">
        <f>IF($B$4="표준",'2.치형좌표'!D1687,'2.치형좌표'!G1687)</f>
        <v>72.691281316489693</v>
      </c>
      <c r="C1688" s="17">
        <f>IF($B$4="표준",'2.치형좌표'!E1687,'2.치형좌표'!H1687)</f>
        <v>31.934196521735604</v>
      </c>
      <c r="D1688" s="6" t="str">
        <f t="shared" si="26"/>
        <v>72.69128,31.93420</v>
      </c>
    </row>
    <row r="1689" spans="1:4" x14ac:dyDescent="0.3">
      <c r="A1689" s="19">
        <v>1683</v>
      </c>
      <c r="B1689" s="17">
        <f>IF($B$4="표준",'2.치형좌표'!D1688,'2.치형좌표'!G1688)</f>
        <v>72.826413211011783</v>
      </c>
      <c r="C1689" s="17">
        <f>IF($B$4="표준",'2.치형좌표'!E1688,'2.치형좌표'!H1688)</f>
        <v>31.733343700860928</v>
      </c>
      <c r="D1689" s="6" t="str">
        <f t="shared" si="26"/>
        <v>72.82641,31.73334</v>
      </c>
    </row>
    <row r="1690" spans="1:4" x14ac:dyDescent="0.3">
      <c r="A1690" s="19">
        <v>1684</v>
      </c>
      <c r="B1690" s="17">
        <f>IF($B$4="표준",'2.치형좌표'!D1689,'2.치형좌표'!G1689)</f>
        <v>72.951549139701996</v>
      </c>
      <c r="C1690" s="17">
        <f>IF($B$4="표준",'2.치형좌표'!E1689,'2.치형좌표'!H1689)</f>
        <v>31.520550397789656</v>
      </c>
      <c r="D1690" s="6" t="str">
        <f t="shared" si="26"/>
        <v>72.95155,31.52055</v>
      </c>
    </row>
    <row r="1691" spans="1:4" x14ac:dyDescent="0.3">
      <c r="A1691" s="19">
        <v>1685</v>
      </c>
      <c r="B1691" s="17">
        <f>IF($B$4="표준",'2.치형좌표'!D1690,'2.치형좌표'!G1690)</f>
        <v>73.064867025628729</v>
      </c>
      <c r="C1691" s="17">
        <f>IF($B$4="표준",'2.치형좌표'!E1690,'2.치형좌표'!H1690)</f>
        <v>31.297884568430472</v>
      </c>
      <c r="D1691" s="6" t="str">
        <f t="shared" si="26"/>
        <v>73.06487,31.29788</v>
      </c>
    </row>
    <row r="1692" spans="1:4" x14ac:dyDescent="0.3">
      <c r="A1692" s="19">
        <v>1686</v>
      </c>
      <c r="B1692" s="17">
        <f>IF($B$4="표준",'2.치형좌표'!D1691,'2.치형좌표'!G1691)</f>
        <v>73.164866205408558</v>
      </c>
      <c r="C1692" s="17">
        <f>IF($B$4="표준",'2.치형좌표'!E1691,'2.치형좌표'!H1691)</f>
        <v>31.067682636215821</v>
      </c>
      <c r="D1692" s="6" t="str">
        <f t="shared" si="26"/>
        <v>73.16487,31.06768</v>
      </c>
    </row>
    <row r="1693" spans="1:4" x14ac:dyDescent="0.3">
      <c r="A1693" s="19">
        <v>1687</v>
      </c>
      <c r="B1693" s="17">
        <f>IF($B$4="표준",'2.치형좌표'!D1692,'2.치형좌표'!G1692)</f>
        <v>73.250410891799405</v>
      </c>
      <c r="C1693" s="17">
        <f>IF($B$4="표준",'2.치형좌표'!E1692,'2.치형좌표'!H1692)</f>
        <v>30.832486891815559</v>
      </c>
      <c r="D1693" s="6" t="str">
        <f t="shared" si="26"/>
        <v>73.25041,30.83249</v>
      </c>
    </row>
    <row r="1694" spans="1:4" x14ac:dyDescent="0.3">
      <c r="A1694" s="19">
        <v>1688</v>
      </c>
      <c r="B1694" s="17">
        <f>IF($B$4="표준",'2.치형좌표'!D1693,'2.치형좌표'!G1693)</f>
        <v>73.320761186578736</v>
      </c>
      <c r="C1694" s="17">
        <f>IF($B$4="표준",'2.치형좌표'!E1693,'2.치형좌표'!H1693)</f>
        <v>30.594976773679779</v>
      </c>
      <c r="D1694" s="6" t="str">
        <f t="shared" si="26"/>
        <v>73.32076,30.59498</v>
      </c>
    </row>
    <row r="1695" spans="1:4" x14ac:dyDescent="0.3">
      <c r="A1695" s="19">
        <v>1689</v>
      </c>
      <c r="B1695" s="17">
        <f>IF($B$4="표준",'2.치형좌표'!D1694,'2.치형좌표'!G1694)</f>
        <v>73.375591177267964</v>
      </c>
      <c r="C1695" s="17">
        <f>IF($B$4="표준",'2.치형좌표'!E1694,'2.치형좌표'!H1694)</f>
        <v>30.357895156088485</v>
      </c>
      <c r="D1695" s="6" t="str">
        <f t="shared" si="26"/>
        <v>73.37559,30.35790</v>
      </c>
    </row>
    <row r="1696" spans="1:4" x14ac:dyDescent="0.3">
      <c r="A1696" s="19">
        <v>1690</v>
      </c>
      <c r="B1696" s="17">
        <f>IF($B$4="표준",'2.치형좌표'!D1695,'2.치형좌표'!G1695)</f>
        <v>73.414993558077342</v>
      </c>
      <c r="C1696" s="17">
        <f>IF($B$4="표준",'2.치형좌표'!E1695,'2.치형좌표'!H1695)</f>
        <v>30.123970697755738</v>
      </c>
      <c r="D1696" s="6" t="str">
        <f t="shared" si="26"/>
        <v>73.41499,30.12397</v>
      </c>
    </row>
    <row r="1697" spans="1:4" x14ac:dyDescent="0.3">
      <c r="A1697" s="19">
        <v>1691</v>
      </c>
      <c r="B1697" s="17">
        <f>IF($B$4="표준",'2.치형좌표'!D1696,'2.치형좌표'!G1696)</f>
        <v>73.439470109917039</v>
      </c>
      <c r="C1697" s="17">
        <f>IF($B$4="표준",'2.치형좌표'!E1696,'2.치형좌표'!H1696)</f>
        <v>29.895837131349793</v>
      </c>
      <c r="D1697" s="6" t="str">
        <f t="shared" si="26"/>
        <v>73.43947,29.89584</v>
      </c>
    </row>
    <row r="1698" spans="1:4" x14ac:dyDescent="0.3">
      <c r="A1698" s="19">
        <v>1692</v>
      </c>
      <c r="B1698" s="17">
        <f>IF($B$4="표준",'2.치형좌표'!D1697,'2.치형좌표'!G1697)</f>
        <v>73.449907202107937</v>
      </c>
      <c r="C1698" s="17">
        <f>IF($B$4="표준",'2.치형좌표'!E1697,'2.치형좌표'!H1697)</f>
        <v>29.675950058412184</v>
      </c>
      <c r="D1698" s="6" t="str">
        <f t="shared" si="26"/>
        <v>73.44991,29.67595</v>
      </c>
    </row>
    <row r="1699" spans="1:4" x14ac:dyDescent="0.3">
      <c r="A1699" s="19">
        <v>1693</v>
      </c>
      <c r="B1699" s="17">
        <f>IF($B$4="표준",'2.치형좌표'!D1698,'2.치형좌표'!G1698)</f>
        <v>73.447535169623009</v>
      </c>
      <c r="C1699" s="17">
        <f>IF($B$4="표준",'2.치형좌표'!E1698,'2.치형좌표'!H1698)</f>
        <v>29.4665012805857</v>
      </c>
      <c r="D1699" s="6" t="str">
        <f t="shared" si="26"/>
        <v>73.44754,29.46650</v>
      </c>
    </row>
    <row r="1700" spans="1:4" x14ac:dyDescent="0.3">
      <c r="A1700" s="19">
        <v>1694</v>
      </c>
      <c r="B1700" s="17">
        <f>IF($B$4="표준",'2.치형좌표'!D1699,'2.치형좌표'!G1699)</f>
        <v>73.43386987309762</v>
      </c>
      <c r="C1700" s="17">
        <f>IF($B$4="표준",'2.치형좌표'!E1699,'2.치형좌표'!H1699)</f>
        <v>29.269329817349067</v>
      </c>
      <c r="D1700" s="6" t="str">
        <f t="shared" si="26"/>
        <v>73.43387,29.26933</v>
      </c>
    </row>
    <row r="1701" spans="1:4" x14ac:dyDescent="0.3">
      <c r="A1701" s="19">
        <v>1695</v>
      </c>
      <c r="B1701" s="17">
        <f>IF($B$4="표준",'2.치형좌표'!D1700,'2.치형좌표'!G1700)</f>
        <v>73.410633807180986</v>
      </c>
      <c r="C1701" s="17">
        <f>IF($B$4="표준",'2.치형좌표'!E1700,'2.치형좌표'!H1700)</f>
        <v>29.085827300634854</v>
      </c>
      <c r="D1701" s="6" t="str">
        <f t="shared" si="26"/>
        <v>73.41063,29.08583</v>
      </c>
    </row>
    <row r="1702" spans="1:4" x14ac:dyDescent="0.3">
      <c r="A1702" s="19">
        <v>1696</v>
      </c>
      <c r="B1702" s="17">
        <f>IF($B$4="표준",'2.치형좌표'!D1701,'2.치형좌표'!G1701)</f>
        <v>73.379652531365878</v>
      </c>
      <c r="C1702" s="17">
        <f>IF($B$4="표준",'2.치형좌표'!E1701,'2.치형좌표'!H1701)</f>
        <v>28.916832968626437</v>
      </c>
      <c r="D1702" s="6" t="str">
        <f t="shared" si="26"/>
        <v>73.37965,28.91683</v>
      </c>
    </row>
    <row r="1703" spans="1:4" x14ac:dyDescent="0.3">
      <c r="A1703" s="19">
        <v>1697</v>
      </c>
      <c r="B1703" s="17">
        <f>IF($B$4="표준",'2.치형좌표'!D1702,'2.치형좌표'!G1702)</f>
        <v>73.342719534700521</v>
      </c>
      <c r="C1703" s="17">
        <f>IF($B$4="표준",'2.치형좌표'!E1702,'2.치형좌표'!H1702)</f>
        <v>28.762509184109447</v>
      </c>
      <c r="D1703" s="6" t="str">
        <f t="shared" si="26"/>
        <v>73.34272,28.76251</v>
      </c>
    </row>
    <row r="1704" spans="1:4" x14ac:dyDescent="0.3">
      <c r="A1704" s="19">
        <v>1698</v>
      </c>
      <c r="B1704" s="17">
        <f>IF($B$4="표준",'2.치형좌표'!D1703,'2.치형좌표'!G1703)</f>
        <v>73.301418210920275</v>
      </c>
      <c r="C1704" s="17">
        <f>IF($B$4="표준",'2.치형좌표'!E1703,'2.치형좌표'!H1703)</f>
        <v>28.622180651596693</v>
      </c>
      <c r="D1704" s="6" t="str">
        <f t="shared" si="26"/>
        <v>73.30142,28.62218</v>
      </c>
    </row>
    <row r="1705" spans="1:4" x14ac:dyDescent="0.3">
      <c r="A1705" s="19">
        <v>1699</v>
      </c>
      <c r="B1705" s="17">
        <f>IF($B$4="표준",'2.치형좌표'!D1704,'2.치형좌표'!G1704)</f>
        <v>73.256882273837746</v>
      </c>
      <c r="C1705" s="17">
        <f>IF($B$4="표준",'2.치형좌표'!E1704,'2.치형좌표'!H1704)</f>
        <v>28.494105958548381</v>
      </c>
      <c r="D1705" s="6" t="str">
        <f t="shared" si="26"/>
        <v>73.25688,28.49411</v>
      </c>
    </row>
    <row r="1706" spans="1:4" x14ac:dyDescent="0.3">
      <c r="A1706" s="19">
        <v>1700</v>
      </c>
      <c r="B1706" s="17">
        <f>IF($B$4="표준",'2.치형좌표'!D1705,'2.치형좌표'!G1705)</f>
        <v>73.209463982801296</v>
      </c>
      <c r="C1706" s="17">
        <f>IF($B$4="표준",'2.치형좌표'!E1705,'2.치형좌표'!H1705)</f>
        <v>28.375121560487635</v>
      </c>
      <c r="D1706" s="6" t="str">
        <f t="shared" si="26"/>
        <v>73.20946,28.37512</v>
      </c>
    </row>
    <row r="1707" spans="1:4" x14ac:dyDescent="0.3">
      <c r="A1707" s="19">
        <v>1701</v>
      </c>
      <c r="B1707" s="17">
        <f>IF($B$4="표준",'2.치형좌표'!D1706,'2.치형좌표'!G1706)</f>
        <v>73.158261147894166</v>
      </c>
      <c r="C1707" s="17">
        <f>IF($B$4="표준",'2.치형좌표'!E1706,'2.치형좌표'!H1706)</f>
        <v>28.26003989798183</v>
      </c>
      <c r="D1707" s="6" t="str">
        <f t="shared" si="26"/>
        <v>73.15826,28.26004</v>
      </c>
    </row>
    <row r="1708" spans="1:4" x14ac:dyDescent="0.3">
      <c r="A1708" s="19">
        <v>1702</v>
      </c>
      <c r="B1708" s="17">
        <f>IF($B$4="표준",'2.치형좌표'!D1707,'2.치형좌표'!G1707)</f>
        <v>73.100430596222722</v>
      </c>
      <c r="C1708" s="17">
        <f>IF($B$4="표준",'2.치형좌표'!E1707,'2.치형좌표'!H1707)</f>
        <v>28.140557967092505</v>
      </c>
      <c r="D1708" s="6" t="str">
        <f t="shared" si="26"/>
        <v>73.10043,28.14056</v>
      </c>
    </row>
    <row r="1709" spans="1:4" x14ac:dyDescent="0.3">
      <c r="A1709" s="19">
        <v>1703</v>
      </c>
      <c r="B1709" s="17">
        <f>IF($B$4="표준",'2.치형좌표'!D1708,'2.치형좌표'!G1708)</f>
        <v>73.030210468636014</v>
      </c>
      <c r="C1709" s="17">
        <f>IF($B$4="표준",'2.치형좌표'!E1708,'2.치형좌표'!H1708)</f>
        <v>28.003152443713319</v>
      </c>
      <c r="D1709" s="6" t="str">
        <f t="shared" si="26"/>
        <v>73.03021,28.00315</v>
      </c>
    </row>
    <row r="1710" spans="1:4" x14ac:dyDescent="0.3">
      <c r="A1710" s="19">
        <v>1704</v>
      </c>
      <c r="B1710" s="17">
        <f>IF($B$4="표준",'2.치형좌표'!D1709,'2.치형좌표'!G1709)</f>
        <v>72.937714279696237</v>
      </c>
      <c r="C1710" s="17">
        <f>IF($B$4="표준",'2.치형좌표'!E1709,'2.치형좌표'!H1709)</f>
        <v>27.824797695971736</v>
      </c>
      <c r="D1710" s="6" t="str">
        <f t="shared" si="26"/>
        <v>72.93771,27.82480</v>
      </c>
    </row>
    <row r="1711" spans="1:4" x14ac:dyDescent="0.3">
      <c r="A1711" s="19">
        <v>1705</v>
      </c>
      <c r="B1711" s="17">
        <f>IF($B$4="표준",'2.치형좌표'!D1710,'2.치형좌표'!G1710)</f>
        <v>72.808459486158668</v>
      </c>
      <c r="C1711" s="17">
        <f>IF($B$4="표준",'2.치형좌표'!E1710,'2.치형좌표'!H1710)</f>
        <v>27.56395450504041</v>
      </c>
      <c r="D1711" s="6" t="str">
        <f t="shared" si="26"/>
        <v>72.80846,27.56395</v>
      </c>
    </row>
    <row r="1712" spans="1:4" x14ac:dyDescent="0.3">
      <c r="A1712" s="19">
        <v>1706</v>
      </c>
      <c r="B1712" s="17">
        <f>IF($B$4="표준",'2.치형좌표'!D1711,'2.치형좌표'!G1711)</f>
        <v>72.628957718277206</v>
      </c>
      <c r="C1712" s="17">
        <f>IF($B$4="표준",'2.치형좌표'!E1711,'2.치형좌표'!H1711)</f>
        <v>27.142286127611207</v>
      </c>
      <c r="D1712" s="6" t="str">
        <f t="shared" si="26"/>
        <v>72.62896,27.14229</v>
      </c>
    </row>
    <row r="1713" spans="1:4" x14ac:dyDescent="0.3">
      <c r="A1713" s="19">
        <v>1707</v>
      </c>
      <c r="B1713" s="17">
        <f>IF($B$4="표준",'2.치형좌표'!D1712,'2.치형좌표'!G1712)</f>
        <v>72.420603885779812</v>
      </c>
      <c r="C1713" s="17">
        <f>IF($B$4="표준",'2.치형좌표'!E1712,'2.치형좌표'!H1712)</f>
        <v>26.41913908968462</v>
      </c>
      <c r="D1713" s="6" t="str">
        <f t="shared" si="26"/>
        <v>72.42060,26.41914</v>
      </c>
    </row>
    <row r="1714" spans="1:4" x14ac:dyDescent="0.3">
      <c r="A1714" s="19">
        <v>1708</v>
      </c>
      <c r="B1714" s="17">
        <f>IF($B$4="표준",'2.치형좌표'!D1713,'2.치형좌표'!G1713)</f>
        <v>72.347297476750896</v>
      </c>
      <c r="C1714" s="17">
        <f>IF($B$4="표준",'2.치형좌표'!E1713,'2.치형좌표'!H1713)</f>
        <v>25.238272972857729</v>
      </c>
      <c r="D1714" s="6" t="str">
        <f t="shared" si="26"/>
        <v>72.34730,25.23827</v>
      </c>
    </row>
    <row r="1715" spans="1:4" x14ac:dyDescent="0.3">
      <c r="A1715" s="19">
        <v>1709</v>
      </c>
      <c r="B1715" s="17">
        <f>IF($B$4="표준",'2.치형좌표'!D1714,'2.치형좌표'!G1714)</f>
        <v>72.727499399169972</v>
      </c>
      <c r="C1715" s="17">
        <f>IF($B$4="표준",'2.치형좌표'!E1714,'2.치형좌표'!H1714)</f>
        <v>23.781181961647977</v>
      </c>
      <c r="D1715" s="6" t="str">
        <f t="shared" si="26"/>
        <v>72.72750,23.78118</v>
      </c>
    </row>
    <row r="1716" spans="1:4" x14ac:dyDescent="0.3">
      <c r="A1716" s="19">
        <v>1710</v>
      </c>
      <c r="B1716" s="17">
        <f>IF($B$4="표준",'2.치형좌표'!D1715,'2.치형좌표'!G1715)</f>
        <v>73.480273708589465</v>
      </c>
      <c r="C1716" s="17">
        <f>IF($B$4="표준",'2.치형좌표'!E1715,'2.치형좌표'!H1715)</f>
        <v>22.665805599614121</v>
      </c>
      <c r="D1716" s="6" t="str">
        <f t="shared" si="26"/>
        <v>73.48027,22.66581</v>
      </c>
    </row>
    <row r="1717" spans="1:4" x14ac:dyDescent="0.3">
      <c r="A1717" s="19">
        <v>1711</v>
      </c>
      <c r="B1717" s="17">
        <f>IF($B$4="표준",'2.치형좌표'!D1716,'2.치형좌표'!G1716)</f>
        <v>74.163875458892079</v>
      </c>
      <c r="C1717" s="17">
        <f>IF($B$4="표준",'2.치형좌표'!E1716,'2.치형좌표'!H1716)</f>
        <v>22.069897016558684</v>
      </c>
      <c r="D1717" s="6" t="str">
        <f t="shared" si="26"/>
        <v>74.16388,22.06990</v>
      </c>
    </row>
    <row r="1718" spans="1:4" x14ac:dyDescent="0.3">
      <c r="A1718" s="19">
        <v>1712</v>
      </c>
      <c r="B1718" s="17">
        <f>IF($B$4="표준",'2.치형좌표'!D1717,'2.치형좌표'!G1717)</f>
        <v>74.632482417123057</v>
      </c>
      <c r="C1718" s="17">
        <f>IF($B$4="표준",'2.치형좌표'!E1717,'2.치형좌표'!H1717)</f>
        <v>21.775165242079591</v>
      </c>
      <c r="D1718" s="6" t="str">
        <f t="shared" si="26"/>
        <v>74.63248,21.77517</v>
      </c>
    </row>
    <row r="1719" spans="1:4" x14ac:dyDescent="0.3">
      <c r="A1719" s="19">
        <v>1713</v>
      </c>
      <c r="B1719" s="17">
        <f>IF($B$4="표준",'2.치형좌표'!D1718,'2.치형좌표'!G1718)</f>
        <v>74.937031238927091</v>
      </c>
      <c r="C1719" s="17">
        <f>IF($B$4="표준",'2.치형좌표'!E1718,'2.치형좌표'!H1718)</f>
        <v>21.615563902118776</v>
      </c>
      <c r="D1719" s="6" t="str">
        <f t="shared" si="26"/>
        <v>74.93703,21.61556</v>
      </c>
    </row>
    <row r="1720" spans="1:4" x14ac:dyDescent="0.3">
      <c r="A1720" s="19">
        <v>1714</v>
      </c>
      <c r="B1720" s="17">
        <f>IF($B$4="표준",'2.치형좌표'!D1719,'2.치형좌표'!G1719)</f>
        <v>75.143112179229561</v>
      </c>
      <c r="C1720" s="17">
        <f>IF($B$4="표준",'2.치형좌표'!E1719,'2.치형좌표'!H1719)</f>
        <v>21.515636720692186</v>
      </c>
      <c r="D1720" s="6" t="str">
        <f t="shared" si="26"/>
        <v>75.14311,21.51564</v>
      </c>
    </row>
    <row r="1721" spans="1:4" x14ac:dyDescent="0.3">
      <c r="A1721" s="19">
        <v>1715</v>
      </c>
      <c r="B1721" s="17">
        <f>IF($B$4="표준",'2.치형좌표'!D1720,'2.치형좌표'!G1720)</f>
        <v>75.294879174977297</v>
      </c>
      <c r="C1721" s="17">
        <f>IF($B$4="표준",'2.치형좌표'!E1720,'2.치형좌표'!H1720)</f>
        <v>21.442438534279383</v>
      </c>
      <c r="D1721" s="6" t="str">
        <f t="shared" si="26"/>
        <v>75.29488,21.44244</v>
      </c>
    </row>
    <row r="1722" spans="1:4" x14ac:dyDescent="0.3">
      <c r="A1722" s="19">
        <v>1716</v>
      </c>
      <c r="B1722" s="17">
        <f>IF($B$4="표준",'2.치형좌표'!D1721,'2.치형좌표'!G1721)</f>
        <v>75.418940338971694</v>
      </c>
      <c r="C1722" s="17">
        <f>IF($B$4="표준",'2.치형좌표'!E1721,'2.치형좌표'!H1721)</f>
        <v>21.380075616209286</v>
      </c>
      <c r="D1722" s="6" t="str">
        <f t="shared" si="26"/>
        <v>75.41894,21.38008</v>
      </c>
    </row>
    <row r="1723" spans="1:4" x14ac:dyDescent="0.3">
      <c r="A1723" s="19">
        <v>1717</v>
      </c>
      <c r="B1723" s="17">
        <f>IF($B$4="표준",'2.치형좌표'!D1722,'2.치형좌표'!G1722)</f>
        <v>75.530962188761777</v>
      </c>
      <c r="C1723" s="17">
        <f>IF($B$4="표준",'2.치형좌표'!E1722,'2.치형좌표'!H1722)</f>
        <v>21.319693578424346</v>
      </c>
      <c r="D1723" s="6" t="str">
        <f t="shared" si="26"/>
        <v>75.53096,21.31969</v>
      </c>
    </row>
    <row r="1724" spans="1:4" x14ac:dyDescent="0.3">
      <c r="A1724" s="19">
        <v>1718</v>
      </c>
      <c r="B1724" s="17">
        <f>IF($B$4="표준",'2.치형좌표'!D1723,'2.치형좌표'!G1723)</f>
        <v>75.640003322162428</v>
      </c>
      <c r="C1724" s="17">
        <f>IF($B$4="표준",'2.치형좌표'!E1723,'2.치형좌표'!H1723)</f>
        <v>21.255617607009643</v>
      </c>
      <c r="D1724" s="6" t="str">
        <f t="shared" si="26"/>
        <v>75.64000,21.25562</v>
      </c>
    </row>
    <row r="1725" spans="1:4" x14ac:dyDescent="0.3">
      <c r="A1725" s="19">
        <v>1719</v>
      </c>
      <c r="B1725" s="17">
        <f>IF($B$4="표준",'2.치형좌표'!D1724,'2.치형좌표'!G1724)</f>
        <v>75.751040256365471</v>
      </c>
      <c r="C1725" s="17">
        <f>IF($B$4="표준",'2.치형좌표'!E1724,'2.치형좌표'!H1724)</f>
        <v>21.183810318313895</v>
      </c>
      <c r="D1725" s="6" t="str">
        <f t="shared" si="26"/>
        <v>75.75104,21.18381</v>
      </c>
    </row>
    <row r="1726" spans="1:4" x14ac:dyDescent="0.3">
      <c r="A1726" s="19">
        <v>1720</v>
      </c>
      <c r="B1726" s="17">
        <f>IF($B$4="표준",'2.치형좌표'!D1725,'2.치형좌표'!G1725)</f>
        <v>75.866438169032875</v>
      </c>
      <c r="C1726" s="17">
        <f>IF($B$4="표준",'2.치형좌표'!E1725,'2.치형좌표'!H1725)</f>
        <v>21.101231466379325</v>
      </c>
      <c r="D1726" s="6" t="str">
        <f t="shared" si="26"/>
        <v>75.86644,21.10123</v>
      </c>
    </row>
    <row r="1727" spans="1:4" x14ac:dyDescent="0.3">
      <c r="A1727" s="19">
        <v>1721</v>
      </c>
      <c r="B1727" s="17">
        <f>IF($B$4="표준",'2.치형좌표'!D1726,'2.치형좌표'!G1726)</f>
        <v>75.986837953582366</v>
      </c>
      <c r="C1727" s="17">
        <f>IF($B$4="표준",'2.치형좌표'!E1726,'2.치형좌표'!H1726)</f>
        <v>21.005565297220048</v>
      </c>
      <c r="D1727" s="6" t="str">
        <f t="shared" si="26"/>
        <v>75.98684,21.00557</v>
      </c>
    </row>
    <row r="1728" spans="1:4" x14ac:dyDescent="0.3">
      <c r="A1728" s="19">
        <v>1722</v>
      </c>
      <c r="B1728" s="17">
        <f>IF($B$4="표준",'2.치형좌표'!D1727,'2.치형좌표'!G1727)</f>
        <v>76.111718651979345</v>
      </c>
      <c r="C1728" s="17">
        <f>IF($B$4="표준",'2.치형좌표'!E1727,'2.치형좌표'!H1727)</f>
        <v>20.895103064809611</v>
      </c>
      <c r="D1728" s="6" t="str">
        <f t="shared" si="26"/>
        <v>76.11172,20.89510</v>
      </c>
    </row>
    <row r="1729" spans="1:4" x14ac:dyDescent="0.3">
      <c r="A1729" s="19">
        <v>1723</v>
      </c>
      <c r="B1729" s="17">
        <f>IF($B$4="표준",'2.치형좌표'!D1728,'2.치형좌표'!G1728)</f>
        <v>76.239774849786301</v>
      </c>
      <c r="C1729" s="17">
        <f>IF($B$4="표준",'2.치형좌표'!E1728,'2.치형좌표'!H1728)</f>
        <v>20.768691200545081</v>
      </c>
      <c r="D1729" s="6" t="str">
        <f t="shared" si="26"/>
        <v>76.23977,20.76869</v>
      </c>
    </row>
    <row r="1730" spans="1:4" x14ac:dyDescent="0.3">
      <c r="A1730" s="19">
        <v>1724</v>
      </c>
      <c r="B1730" s="17">
        <f>IF($B$4="표준",'2.치형좌표'!D1729,'2.치형좌표'!G1729)</f>
        <v>76.369185046366823</v>
      </c>
      <c r="C1730" s="17">
        <f>IF($B$4="표준",'2.치형좌표'!E1729,'2.치형좌표'!H1729)</f>
        <v>20.625705370703141</v>
      </c>
      <c r="D1730" s="6" t="str">
        <f t="shared" si="26"/>
        <v>76.36919,20.62571</v>
      </c>
    </row>
    <row r="1731" spans="1:4" x14ac:dyDescent="0.3">
      <c r="A1731" s="19">
        <v>1725</v>
      </c>
      <c r="B1731" s="17">
        <f>IF($B$4="표준",'2.치형좌표'!D1730,'2.치형좌표'!G1730)</f>
        <v>76.497813162886885</v>
      </c>
      <c r="C1731" s="17">
        <f>IF($B$4="표준",'2.치형좌표'!E1730,'2.치형좌표'!H1730)</f>
        <v>20.46603195821417</v>
      </c>
      <c r="D1731" s="6" t="str">
        <f t="shared" si="26"/>
        <v>76.49781,20.46603</v>
      </c>
    </row>
    <row r="1732" spans="1:4" x14ac:dyDescent="0.3">
      <c r="A1732" s="19">
        <v>1726</v>
      </c>
      <c r="B1732" s="17">
        <f>IF($B$4="표준",'2.치형좌표'!D1731,'2.치형좌표'!G1731)</f>
        <v>76.623366981825384</v>
      </c>
      <c r="C1732" s="17">
        <f>IF($B$4="표준",'2.치형좌표'!E1731,'2.치형좌표'!H1731)</f>
        <v>20.290048150435208</v>
      </c>
      <c r="D1732" s="6" t="str">
        <f t="shared" si="26"/>
        <v>76.62337,20.29005</v>
      </c>
    </row>
    <row r="1733" spans="1:4" x14ac:dyDescent="0.3">
      <c r="A1733" s="19">
        <v>1727</v>
      </c>
      <c r="B1733" s="17">
        <f>IF($B$4="표준",'2.치형좌표'!D1732,'2.치형좌표'!G1732)</f>
        <v>76.743527099014358</v>
      </c>
      <c r="C1733" s="17">
        <f>IF($B$4="표준",'2.치형좌표'!E1732,'2.치형좌표'!H1732)</f>
        <v>20.09859643253402</v>
      </c>
      <c r="D1733" s="6" t="str">
        <f t="shared" si="26"/>
        <v>76.74353,20.09860</v>
      </c>
    </row>
    <row r="1734" spans="1:4" x14ac:dyDescent="0.3">
      <c r="A1734" s="19">
        <v>1728</v>
      </c>
      <c r="B1734" s="17">
        <f>IF($B$4="표준",'2.치형좌표'!D1733,'2.치형좌표'!G1733)</f>
        <v>76.856054153575002</v>
      </c>
      <c r="C1734" s="17">
        <f>IF($B$4="표준",'2.치형좌표'!E1733,'2.치형좌표'!H1733)</f>
        <v>19.892951629808948</v>
      </c>
      <c r="D1734" s="6" t="str">
        <f t="shared" si="26"/>
        <v>76.85605,19.89295</v>
      </c>
    </row>
    <row r="1735" spans="1:4" x14ac:dyDescent="0.3">
      <c r="A1735" s="19">
        <v>1729</v>
      </c>
      <c r="B1735" s="17">
        <f>IF($B$4="표준",'2.치형좌표'!D1734,'2.치형좌표'!G1734)</f>
        <v>76.958878721083494</v>
      </c>
      <c r="C1735" s="17">
        <f>IF($B$4="표준",'2.치형좌표'!E1734,'2.치형좌표'!H1734)</f>
        <v>19.674779908686844</v>
      </c>
      <c r="D1735" s="6" t="str">
        <f t="shared" ref="D1735:D1798" si="27">TEXT(B1735,"0.00000")&amp;","&amp;TEXT(C1735,"0.00000")</f>
        <v>76.95888,19.67478</v>
      </c>
    </row>
    <row r="1736" spans="1:4" x14ac:dyDescent="0.3">
      <c r="A1736" s="19">
        <v>1730</v>
      </c>
      <c r="B1736" s="17">
        <f>IF($B$4="표준",'2.치형좌표'!D1735,'2.치형좌표'!G1735)</f>
        <v>77.050176262471098</v>
      </c>
      <c r="C1736" s="17">
        <f>IF($B$4="표준",'2.치형좌표'!E1735,'2.치형좌표'!H1735)</f>
        <v>19.446089876764901</v>
      </c>
      <c r="D1736" s="6" t="str">
        <f t="shared" si="27"/>
        <v>77.05018,19.44609</v>
      </c>
    </row>
    <row r="1737" spans="1:4" x14ac:dyDescent="0.3">
      <c r="A1737" s="19">
        <v>1731</v>
      </c>
      <c r="B1737" s="17">
        <f>IF($B$4="표준",'2.치형좌표'!D1736,'2.치형좌표'!G1736)</f>
        <v>77.128428339327911</v>
      </c>
      <c r="C1737" s="17">
        <f>IF($B$4="표준",'2.치형좌표'!E1736,'2.치형좌표'!H1736)</f>
        <v>19.209176370134625</v>
      </c>
      <c r="D1737" s="6" t="str">
        <f t="shared" si="27"/>
        <v>77.12843,19.20918</v>
      </c>
    </row>
    <row r="1738" spans="1:4" x14ac:dyDescent="0.3">
      <c r="A1738" s="19">
        <v>1732</v>
      </c>
      <c r="B1738" s="17">
        <f>IF($B$4="표준",'2.치형좌표'!D1737,'2.치형좌표'!G1737)</f>
        <v>77.192470608758725</v>
      </c>
      <c r="C1738" s="17">
        <f>IF($B$4="표준",'2.치형좌표'!E1737,'2.치형좌표'!H1737)</f>
        <v>18.966557802086683</v>
      </c>
      <c r="D1738" s="6" t="str">
        <f t="shared" si="27"/>
        <v>77.19247,18.96656</v>
      </c>
    </row>
    <row r="1739" spans="1:4" x14ac:dyDescent="0.3">
      <c r="A1739" s="19">
        <v>1733</v>
      </c>
      <c r="B1739" s="17">
        <f>IF($B$4="표준",'2.치형좌표'!D1738,'2.치형좌표'!G1738)</f>
        <v>77.241527705522017</v>
      </c>
      <c r="C1739" s="17">
        <f>IF($B$4="표준",'2.치형좌표'!E1738,'2.치형좌표'!H1738)</f>
        <v>18.720908128617257</v>
      </c>
      <c r="D1739" s="6" t="str">
        <f t="shared" si="27"/>
        <v>77.24153,18.72091</v>
      </c>
    </row>
    <row r="1740" spans="1:4" x14ac:dyDescent="0.3">
      <c r="A1740" s="19">
        <v>1734</v>
      </c>
      <c r="B1740" s="17">
        <f>IF($B$4="표준",'2.치형좌표'!D1739,'2.치형좌표'!G1739)</f>
        <v>77.275234886999712</v>
      </c>
      <c r="C1740" s="17">
        <f>IF($B$4="표준",'2.치형좌표'!E1739,'2.치형좌표'!H1739)</f>
        <v>18.474984588434356</v>
      </c>
      <c r="D1740" s="6" t="str">
        <f t="shared" si="27"/>
        <v>77.27523,18.47498</v>
      </c>
    </row>
    <row r="1741" spans="1:4" x14ac:dyDescent="0.3">
      <c r="A1741" s="19">
        <v>1735</v>
      </c>
      <c r="B1741" s="17">
        <f>IF($B$4="표준",'2.치형좌표'!D1740,'2.치형좌표'!G1740)</f>
        <v>77.29364617822938</v>
      </c>
      <c r="C1741" s="17">
        <f>IF($B$4="표준",'2.치형좌표'!E1740,'2.치형좌표'!H1740)</f>
        <v>18.231552406088944</v>
      </c>
      <c r="D1741" s="6" t="str">
        <f t="shared" si="27"/>
        <v>77.29365,18.23155</v>
      </c>
    </row>
    <row r="1742" spans="1:4" x14ac:dyDescent="0.3">
      <c r="A1742" s="19">
        <v>1736</v>
      </c>
      <c r="B1742" s="17">
        <f>IF($B$4="표준",'2.치형좌표'!D1741,'2.치형좌표'!G1741)</f>
        <v>77.297228649967437</v>
      </c>
      <c r="C1742" s="17">
        <f>IF($B$4="표준",'2.치형좌표'!E1741,'2.치형좌표'!H1741)</f>
        <v>17.993307601914093</v>
      </c>
      <c r="D1742" s="6" t="str">
        <f t="shared" si="27"/>
        <v>77.29723,17.99331</v>
      </c>
    </row>
    <row r="1743" spans="1:4" x14ac:dyDescent="0.3">
      <c r="A1743" s="19">
        <v>1737</v>
      </c>
      <c r="B1743" s="17">
        <f>IF($B$4="표준",'2.치형좌표'!D1742,'2.치형좌표'!G1742)</f>
        <v>77.286842338849866</v>
      </c>
      <c r="C1743" s="17">
        <f>IF($B$4="표준",'2.치형좌표'!E1742,'2.치형좌표'!H1742)</f>
        <v>17.762798915436505</v>
      </c>
      <c r="D1743" s="6" t="str">
        <f t="shared" si="27"/>
        <v>77.28684,17.76280</v>
      </c>
    </row>
    <row r="1744" spans="1:4" x14ac:dyDescent="0.3">
      <c r="A1744" s="19">
        <v>1738</v>
      </c>
      <c r="B1744" s="17">
        <f>IF($B$4="표준",'2.치형좌표'!D1743,'2.치형좌표'!G1743)</f>
        <v>77.263705116304891</v>
      </c>
      <c r="C1744" s="17">
        <f>IF($B$4="표준",'2.치형좌표'!E1743,'2.치형좌표'!H1743)</f>
        <v>17.542349588048296</v>
      </c>
      <c r="D1744" s="6" t="str">
        <f t="shared" si="27"/>
        <v>77.26371,17.54235</v>
      </c>
    </row>
    <row r="1745" spans="1:4" x14ac:dyDescent="0.3">
      <c r="A1745" s="19">
        <v>1739</v>
      </c>
      <c r="B1745" s="17">
        <f>IF($B$4="표준",'2.치형좌표'!D1744,'2.치형좌표'!G1744)</f>
        <v>77.229341455162171</v>
      </c>
      <c r="C1745" s="17">
        <f>IF($B$4="표준",'2.치형좌표'!E1744,'2.치형좌표'!H1744)</f>
        <v>17.333979308957989</v>
      </c>
      <c r="D1745" s="6" t="str">
        <f t="shared" si="27"/>
        <v>77.22934,17.33398</v>
      </c>
    </row>
    <row r="1746" spans="1:4" x14ac:dyDescent="0.3">
      <c r="A1746" s="19">
        <v>1740</v>
      </c>
      <c r="B1746" s="17">
        <f>IF($B$4="표준",'2.치형좌표'!D1745,'2.치형좌표'!G1745)</f>
        <v>77.185513417025973</v>
      </c>
      <c r="C1746" s="17">
        <f>IF($B$4="표준",'2.치형좌표'!E1745,'2.치형좌표'!H1745)</f>
        <v>17.139325903902893</v>
      </c>
      <c r="D1746" s="6" t="str">
        <f t="shared" si="27"/>
        <v>77.18551,17.13933</v>
      </c>
    </row>
    <row r="1747" spans="1:4" x14ac:dyDescent="0.3">
      <c r="A1747" s="19">
        <v>1741</v>
      </c>
      <c r="B1747" s="17">
        <f>IF($B$4="표준",'2.치형좌표'!D1746,'2.치형좌표'!G1746)</f>
        <v>77.134131110893733</v>
      </c>
      <c r="C1747" s="17">
        <f>IF($B$4="표준",'2.치형좌표'!E1746,'2.치형좌표'!H1746)</f>
        <v>16.959565153417657</v>
      </c>
      <c r="D1747" s="6" t="str">
        <f t="shared" si="27"/>
        <v>77.13413,16.95957</v>
      </c>
    </row>
    <row r="1748" spans="1:4" x14ac:dyDescent="0.3">
      <c r="A1748" s="19">
        <v>1742</v>
      </c>
      <c r="B1748" s="17">
        <f>IF($B$4="표준",'2.치형좌표'!D1747,'2.치형좌표'!G1747)</f>
        <v>77.077138058714098</v>
      </c>
      <c r="C1748" s="17">
        <f>IF($B$4="표준",'2.치형좌표'!E1747,'2.치형좌표'!H1747)</f>
        <v>16.795325119949045</v>
      </c>
      <c r="D1748" s="6" t="str">
        <f t="shared" si="27"/>
        <v>77.07714,16.79533</v>
      </c>
    </row>
    <row r="1749" spans="1:4" x14ac:dyDescent="0.3">
      <c r="A1749" s="19">
        <v>1743</v>
      </c>
      <c r="B1749" s="17">
        <f>IF($B$4="표준",'2.치형좌표'!D1748,'2.치형좌표'!G1748)</f>
        <v>77.016363842977356</v>
      </c>
      <c r="C1749" s="17">
        <f>IF($B$4="표준",'2.치형좌표'!E1748,'2.치형좌표'!H1748)</f>
        <v>16.646587871871883</v>
      </c>
      <c r="D1749" s="6" t="str">
        <f t="shared" si="27"/>
        <v>77.01636,16.64659</v>
      </c>
    </row>
    <row r="1750" spans="1:4" x14ac:dyDescent="0.3">
      <c r="A1750" s="19">
        <v>1744</v>
      </c>
      <c r="B1750" s="17">
        <f>IF($B$4="표준",'2.치형좌표'!D1749,'2.치형좌표'!G1749)</f>
        <v>76.953331230791065</v>
      </c>
      <c r="C1750" s="17">
        <f>IF($B$4="표준",'2.치형좌표'!E1749,'2.치형좌표'!H1749)</f>
        <v>16.512565180758664</v>
      </c>
      <c r="D1750" s="6" t="str">
        <f t="shared" si="27"/>
        <v>76.95333,16.51257</v>
      </c>
    </row>
    <row r="1751" spans="1:4" x14ac:dyDescent="0.3">
      <c r="A1751" s="19">
        <v>1745</v>
      </c>
      <c r="B1751" s="17">
        <f>IF($B$4="표준",'2.치형좌표'!D1750,'2.치형좌표'!G1750)</f>
        <v>76.888996142238483</v>
      </c>
      <c r="C1751" s="17">
        <f>IF($B$4="표준",'2.치형좌표'!E1750,'2.치형좌표'!H1750)</f>
        <v>16.391522860232083</v>
      </c>
      <c r="D1751" s="6" t="str">
        <f t="shared" si="27"/>
        <v>76.88900,16.39152</v>
      </c>
    </row>
    <row r="1752" spans="1:4" x14ac:dyDescent="0.3">
      <c r="A1752" s="19">
        <v>1746</v>
      </c>
      <c r="B1752" s="17">
        <f>IF($B$4="표준",'2.치형좌표'!D1751,'2.치형좌표'!G1751)</f>
        <v>76.823383743256642</v>
      </c>
      <c r="C1752" s="17">
        <f>IF($B$4="표준",'2.치형좌표'!E1751,'2.치형좌표'!H1751)</f>
        <v>16.280504901401205</v>
      </c>
      <c r="D1752" s="6" t="str">
        <f t="shared" si="27"/>
        <v>76.82338,16.28050</v>
      </c>
    </row>
    <row r="1753" spans="1:4" x14ac:dyDescent="0.3">
      <c r="A1753" s="19">
        <v>1747</v>
      </c>
      <c r="B1753" s="17">
        <f>IF($B$4="표준",'2.치형좌표'!D1752,'2.치형좌표'!G1752)</f>
        <v>76.75505845945618</v>
      </c>
      <c r="C1753" s="17">
        <f>IF($B$4="표준",'2.치형좌표'!E1752,'2.치형좌표'!H1752)</f>
        <v>16.174859850353144</v>
      </c>
      <c r="D1753" s="6" t="str">
        <f t="shared" si="27"/>
        <v>76.75506,16.17486</v>
      </c>
    </row>
    <row r="1754" spans="1:4" x14ac:dyDescent="0.3">
      <c r="A1754" s="19">
        <v>1748</v>
      </c>
      <c r="B1754" s="17">
        <f>IF($B$4="표준",'2.치형좌표'!D1753,'2.치형좌표'!G1753)</f>
        <v>76.680325098885248</v>
      </c>
      <c r="C1754" s="17">
        <f>IF($B$4="표준",'2.치형좌표'!E1753,'2.치형좌표'!H1753)</f>
        <v>16.067365860359477</v>
      </c>
      <c r="D1754" s="6" t="str">
        <f t="shared" si="27"/>
        <v>76.68033,16.06737</v>
      </c>
    </row>
    <row r="1755" spans="1:4" x14ac:dyDescent="0.3">
      <c r="A1755" s="19">
        <v>1749</v>
      </c>
      <c r="B1755" s="17">
        <f>IF($B$4="표준",'2.치형좌표'!D1754,'2.치형좌표'!G1754)</f>
        <v>76.592006927857597</v>
      </c>
      <c r="C1755" s="17">
        <f>IF($B$4="표준",'2.치형좌표'!E1754,'2.치형좌표'!H1754)</f>
        <v>15.946508886645656</v>
      </c>
      <c r="D1755" s="6" t="str">
        <f t="shared" si="27"/>
        <v>76.59201,15.94651</v>
      </c>
    </row>
    <row r="1756" spans="1:4" x14ac:dyDescent="0.3">
      <c r="A1756" s="19">
        <v>1750</v>
      </c>
      <c r="B1756" s="17">
        <f>IF($B$4="표준",'2.치형좌표'!D1755,'2.치형좌표'!G1755)</f>
        <v>76.47765379860158</v>
      </c>
      <c r="C1756" s="17">
        <f>IF($B$4="표준",'2.치형좌표'!E1755,'2.치형좌표'!H1755)</f>
        <v>15.792896242043115</v>
      </c>
      <c r="D1756" s="6" t="str">
        <f t="shared" si="27"/>
        <v>76.47765,15.79290</v>
      </c>
    </row>
    <row r="1757" spans="1:4" x14ac:dyDescent="0.3">
      <c r="A1757" s="19">
        <v>1751</v>
      </c>
      <c r="B1757" s="17">
        <f>IF($B$4="표준",'2.치형좌표'!D1756,'2.치형좌표'!G1756)</f>
        <v>76.317518785282175</v>
      </c>
      <c r="C1757" s="17">
        <f>IF($B$4="표준",'2.치형좌표'!E1756,'2.치형좌표'!H1756)</f>
        <v>15.571447513414583</v>
      </c>
      <c r="D1757" s="6" t="str">
        <f t="shared" si="27"/>
        <v>76.31752,15.57145</v>
      </c>
    </row>
    <row r="1758" spans="1:4" x14ac:dyDescent="0.3">
      <c r="A1758" s="19">
        <v>1752</v>
      </c>
      <c r="B1758" s="17">
        <f>IF($B$4="표준",'2.치형좌표'!D1757,'2.치형좌표'!G1757)</f>
        <v>76.085730667043535</v>
      </c>
      <c r="C1758" s="17">
        <f>IF($B$4="표준",'2.치형좌표'!E1757,'2.치형좌표'!H1757)</f>
        <v>15.214438704094547</v>
      </c>
      <c r="D1758" s="6" t="str">
        <f t="shared" si="27"/>
        <v>76.08573,15.21444</v>
      </c>
    </row>
    <row r="1759" spans="1:4" x14ac:dyDescent="0.3">
      <c r="A1759" s="19">
        <v>1753</v>
      </c>
      <c r="B1759" s="17">
        <f>IF($B$4="표준",'2.치형좌표'!D1758,'2.치형좌표'!G1758)</f>
        <v>75.772550010428901</v>
      </c>
      <c r="C1759" s="17">
        <f>IF($B$4="표준",'2.치형좌표'!E1758,'2.치형좌표'!H1758)</f>
        <v>14.591595906323725</v>
      </c>
      <c r="D1759" s="6" t="str">
        <f t="shared" si="27"/>
        <v>75.77255,14.59160</v>
      </c>
    </row>
    <row r="1760" spans="1:4" x14ac:dyDescent="0.3">
      <c r="A1760" s="19">
        <v>1754</v>
      </c>
      <c r="B1760" s="17">
        <f>IF($B$4="표준",'2.치형좌표'!D1759,'2.치형좌표'!G1759)</f>
        <v>75.482155037995554</v>
      </c>
      <c r="C1760" s="17">
        <f>IF($B$4="표준",'2.치형좌표'!E1759,'2.치형좌표'!H1759)</f>
        <v>13.516893531272427</v>
      </c>
      <c r="D1760" s="6" t="str">
        <f t="shared" si="27"/>
        <v>75.48216,13.51689</v>
      </c>
    </row>
    <row r="1761" spans="1:4" x14ac:dyDescent="0.3">
      <c r="A1761" s="19">
        <v>1755</v>
      </c>
      <c r="B1761" s="17">
        <f>IF($B$4="표준",'2.치형좌표'!D1760,'2.치형좌표'!G1760)</f>
        <v>75.543127213942014</v>
      </c>
      <c r="C1761" s="17">
        <f>IF($B$4="표준",'2.치형좌표'!E1760,'2.치형좌표'!H1760)</f>
        <v>12.035713968247522</v>
      </c>
      <c r="D1761" s="6" t="str">
        <f t="shared" si="27"/>
        <v>75.54313,12.03571</v>
      </c>
    </row>
    <row r="1762" spans="1:4" x14ac:dyDescent="0.3">
      <c r="A1762" s="19">
        <v>1756</v>
      </c>
      <c r="B1762" s="17">
        <f>IF($B$4="표준",'2.치형좌표'!D1761,'2.치형좌표'!G1761)</f>
        <v>76.067453301425189</v>
      </c>
      <c r="C1762" s="17">
        <f>IF($B$4="표준",'2.치형좌표'!E1761,'2.치형좌표'!H1761)</f>
        <v>10.736937211422543</v>
      </c>
      <c r="D1762" s="6" t="str">
        <f t="shared" si="27"/>
        <v>76.06745,10.73694</v>
      </c>
    </row>
    <row r="1763" spans="1:4" x14ac:dyDescent="0.3">
      <c r="A1763" s="19">
        <v>1757</v>
      </c>
      <c r="B1763" s="17">
        <f>IF($B$4="표준",'2.치형좌표'!D1762,'2.치형좌표'!G1762)</f>
        <v>76.66446370821258</v>
      </c>
      <c r="C1763" s="17">
        <f>IF($B$4="표준",'2.치형좌표'!E1762,'2.치형좌표'!H1762)</f>
        <v>9.9674272657339991</v>
      </c>
      <c r="D1763" s="6" t="str">
        <f t="shared" si="27"/>
        <v>76.66446,9.96743</v>
      </c>
    </row>
    <row r="1764" spans="1:4" x14ac:dyDescent="0.3">
      <c r="A1764" s="19">
        <v>1758</v>
      </c>
      <c r="B1764" s="17">
        <f>IF($B$4="표준",'2.치형좌표'!D1763,'2.치형좌표'!G1763)</f>
        <v>77.10561851047234</v>
      </c>
      <c r="C1764" s="17">
        <f>IF($B$4="표준",'2.치형좌표'!E1763,'2.치형좌표'!H1763)</f>
        <v>9.5641227191071074</v>
      </c>
      <c r="D1764" s="6" t="str">
        <f t="shared" si="27"/>
        <v>77.10562,9.56412</v>
      </c>
    </row>
    <row r="1765" spans="1:4" x14ac:dyDescent="0.3">
      <c r="A1765" s="19">
        <v>1759</v>
      </c>
      <c r="B1765" s="17">
        <f>IF($B$4="표준",'2.치형좌표'!D1764,'2.치형좌표'!G1764)</f>
        <v>77.39858461321603</v>
      </c>
      <c r="C1765" s="17">
        <f>IF($B$4="표준",'2.치형좌표'!E1764,'2.치형좌표'!H1764)</f>
        <v>9.3403744500784569</v>
      </c>
      <c r="D1765" s="6" t="str">
        <f t="shared" si="27"/>
        <v>77.39858,9.34037</v>
      </c>
    </row>
    <row r="1766" spans="1:4" x14ac:dyDescent="0.3">
      <c r="A1766" s="19">
        <v>1760</v>
      </c>
      <c r="B1766" s="17">
        <f>IF($B$4="표준",'2.치형좌표'!D1765,'2.치형좌표'!G1765)</f>
        <v>77.596526841592777</v>
      </c>
      <c r="C1766" s="17">
        <f>IF($B$4="표준",'2.치형좌표'!E1765,'2.치형좌표'!H1765)</f>
        <v>9.2005047082883742</v>
      </c>
      <c r="D1766" s="6" t="str">
        <f t="shared" si="27"/>
        <v>77.59653,9.20050</v>
      </c>
    </row>
    <row r="1767" spans="1:4" x14ac:dyDescent="0.3">
      <c r="A1767" s="19">
        <v>1761</v>
      </c>
      <c r="B1767" s="17">
        <f>IF($B$4="표준",'2.치형좌표'!D1766,'2.치형좌표'!G1766)</f>
        <v>77.740325432062136</v>
      </c>
      <c r="C1767" s="17">
        <f>IF($B$4="표준",'2.치형좌표'!E1766,'2.치형좌표'!H1766)</f>
        <v>9.1001261415011729</v>
      </c>
      <c r="D1767" s="6" t="str">
        <f t="shared" si="27"/>
        <v>77.74033,9.10013</v>
      </c>
    </row>
    <row r="1768" spans="1:4" x14ac:dyDescent="0.3">
      <c r="A1768" s="19">
        <v>1762</v>
      </c>
      <c r="B1768" s="17">
        <f>IF($B$4="표준",'2.치형좌표'!D1767,'2.치형좌표'!G1767)</f>
        <v>77.855610628403227</v>
      </c>
      <c r="C1768" s="17">
        <f>IF($B$4="표준",'2.치형좌표'!E1767,'2.치형좌표'!H1767)</f>
        <v>9.0172199041773151</v>
      </c>
      <c r="D1768" s="6" t="str">
        <f t="shared" si="27"/>
        <v>77.85561,9.01722</v>
      </c>
    </row>
    <row r="1769" spans="1:4" x14ac:dyDescent="0.3">
      <c r="A1769" s="19">
        <v>1763</v>
      </c>
      <c r="B1769" s="17">
        <f>IF($B$4="표준",'2.치형좌표'!D1768,'2.치형좌표'!G1768)</f>
        <v>77.957633660279853</v>
      </c>
      <c r="C1769" s="17">
        <f>IF($B$4="표준",'2.치형좌표'!E1768,'2.치형좌표'!H1768)</f>
        <v>8.9395865351950352</v>
      </c>
      <c r="D1769" s="6" t="str">
        <f t="shared" si="27"/>
        <v>77.95763,8.93959</v>
      </c>
    </row>
    <row r="1770" spans="1:4" x14ac:dyDescent="0.3">
      <c r="A1770" s="19">
        <v>1764</v>
      </c>
      <c r="B1770" s="17">
        <f>IF($B$4="표준",'2.치형좌표'!D1769,'2.치형좌표'!G1769)</f>
        <v>78.055175118711503</v>
      </c>
      <c r="C1770" s="17">
        <f>IF($B$4="표준",'2.치형좌표'!E1769,'2.치형좌표'!H1769)</f>
        <v>8.8596911611652587</v>
      </c>
      <c r="D1770" s="6" t="str">
        <f t="shared" si="27"/>
        <v>78.05518,8.85969</v>
      </c>
    </row>
    <row r="1771" spans="1:4" x14ac:dyDescent="0.3">
      <c r="A1771" s="19">
        <v>1765</v>
      </c>
      <c r="B1771" s="17">
        <f>IF($B$4="표준",'2.치형좌표'!D1770,'2.치형좌표'!G1770)</f>
        <v>78.152973977600098</v>
      </c>
      <c r="C1771" s="17">
        <f>IF($B$4="표준",'2.치형좌표'!E1770,'2.치형좌표'!H1770)</f>
        <v>8.7724743964663663</v>
      </c>
      <c r="D1771" s="6" t="str">
        <f t="shared" si="27"/>
        <v>78.15297,8.77247</v>
      </c>
    </row>
    <row r="1772" spans="1:4" x14ac:dyDescent="0.3">
      <c r="A1772" s="19">
        <v>1766</v>
      </c>
      <c r="B1772" s="17">
        <f>IF($B$4="표준",'2.치형좌표'!D1771,'2.치형좌표'!G1771)</f>
        <v>78.253185139933052</v>
      </c>
      <c r="C1772" s="17">
        <f>IF($B$4="표준",'2.치형좌표'!E1771,'2.치형좌표'!H1771)</f>
        <v>8.6743743630792416</v>
      </c>
      <c r="D1772" s="6" t="str">
        <f t="shared" si="27"/>
        <v>78.25319,8.67437</v>
      </c>
    </row>
    <row r="1773" spans="1:4" x14ac:dyDescent="0.3">
      <c r="A1773" s="19">
        <v>1767</v>
      </c>
      <c r="B1773" s="17">
        <f>IF($B$4="표준",'2.치형좌표'!D1772,'2.치형좌표'!G1772)</f>
        <v>78.356273169026807</v>
      </c>
      <c r="C1773" s="17">
        <f>IF($B$4="표준",'2.치형좌표'!E1772,'2.치형좌표'!H1772)</f>
        <v>8.5628667672684742</v>
      </c>
      <c r="D1773" s="6" t="str">
        <f t="shared" si="27"/>
        <v>78.35627,8.56287</v>
      </c>
    </row>
    <row r="1774" spans="1:4" x14ac:dyDescent="0.3">
      <c r="A1774" s="19">
        <v>1768</v>
      </c>
      <c r="B1774" s="17">
        <f>IF($B$4="표준",'2.치형좌표'!D1773,'2.치형좌표'!G1773)</f>
        <v>78.461584180387078</v>
      </c>
      <c r="C1774" s="17">
        <f>IF($B$4="표준",'2.치형좌표'!E1773,'2.치형좌표'!H1773)</f>
        <v>8.4362365623029945</v>
      </c>
      <c r="D1774" s="6" t="str">
        <f t="shared" si="27"/>
        <v>78.46158,8.43624</v>
      </c>
    </row>
    <row r="1775" spans="1:4" x14ac:dyDescent="0.3">
      <c r="A1775" s="19">
        <v>1769</v>
      </c>
      <c r="B1775" s="17">
        <f>IF($B$4="표준",'2.치형좌표'!D1774,'2.치형좌표'!G1774)</f>
        <v>78.567731035287352</v>
      </c>
      <c r="C1775" s="17">
        <f>IF($B$4="표준",'2.치형좌표'!E1774,'2.치형좌표'!H1774)</f>
        <v>8.2934560268683146</v>
      </c>
      <c r="D1775" s="6" t="str">
        <f t="shared" si="27"/>
        <v>78.56773,8.29346</v>
      </c>
    </row>
    <row r="1776" spans="1:4" x14ac:dyDescent="0.3">
      <c r="A1776" s="19">
        <v>1770</v>
      </c>
      <c r="B1776" s="17">
        <f>IF($B$4="표준",'2.치형좌표'!D1775,'2.치형좌표'!G1775)</f>
        <v>78.672866920505712</v>
      </c>
      <c r="C1776" s="17">
        <f>IF($B$4="표준",'2.치형좌표'!E1775,'2.치형좌표'!H1775)</f>
        <v>8.1341115575223313</v>
      </c>
      <c r="D1776" s="6" t="str">
        <f t="shared" si="27"/>
        <v>78.67287,8.13411</v>
      </c>
    </row>
    <row r="1777" spans="1:4" x14ac:dyDescent="0.3">
      <c r="A1777" s="19">
        <v>1771</v>
      </c>
      <c r="B1777" s="17">
        <f>IF($B$4="표준",'2.치형좌표'!D1776,'2.치형좌표'!G1776)</f>
        <v>78.774889500262589</v>
      </c>
      <c r="C1777" s="17">
        <f>IF($B$4="표준",'2.치형좌표'!E1776,'2.치형좌표'!H1776)</f>
        <v>7.9583513193130093</v>
      </c>
      <c r="D1777" s="6" t="str">
        <f t="shared" si="27"/>
        <v>78.77489,7.95835</v>
      </c>
    </row>
    <row r="1778" spans="1:4" x14ac:dyDescent="0.3">
      <c r="A1778" s="19">
        <v>1772</v>
      </c>
      <c r="B1778" s="17">
        <f>IF($B$4="표준",'2.치형좌표'!D1777,'2.치형좌표'!G1777)</f>
        <v>78.871599679430531</v>
      </c>
      <c r="C1778" s="17">
        <f>IF($B$4="표준",'2.치형좌표'!E1777,'2.치형좌표'!H1777)</f>
        <v>7.7668398468199884</v>
      </c>
      <c r="D1778" s="6" t="str">
        <f t="shared" si="27"/>
        <v>78.87160,7.76684</v>
      </c>
    </row>
    <row r="1779" spans="1:4" x14ac:dyDescent="0.3">
      <c r="A1779" s="19">
        <v>1773</v>
      </c>
      <c r="B1779" s="17">
        <f>IF($B$4="표준",'2.치형좌표'!D1778,'2.치형좌표'!G1778)</f>
        <v>78.960828828220002</v>
      </c>
      <c r="C1779" s="17">
        <f>IF($B$4="표준",'2.치형좌표'!E1778,'2.치형좌표'!H1778)</f>
        <v>7.5607125642205517</v>
      </c>
      <c r="D1779" s="6" t="str">
        <f t="shared" si="27"/>
        <v>78.96083,7.56071</v>
      </c>
    </row>
    <row r="1780" spans="1:4" x14ac:dyDescent="0.3">
      <c r="A1780" s="19">
        <v>1774</v>
      </c>
      <c r="B1780" s="17">
        <f>IF($B$4="표준",'2.치형좌표'!D1779,'2.치형좌표'!G1779)</f>
        <v>79.040542483463994</v>
      </c>
      <c r="C1780" s="17">
        <f>IF($B$4="표준",'2.치형좌표'!E1779,'2.치형좌표'!H1779)</f>
        <v>7.341526766447716</v>
      </c>
      <c r="D1780" s="6" t="str">
        <f t="shared" si="27"/>
        <v>79.04054,7.34153</v>
      </c>
    </row>
    <row r="1781" spans="1:4" x14ac:dyDescent="0.3">
      <c r="A1781" s="19">
        <v>1775</v>
      </c>
      <c r="B1781" s="17">
        <f>IF($B$4="표준",'2.치형좌표'!D1780,'2.치형좌표'!G1780)</f>
        <v>79.108925141287983</v>
      </c>
      <c r="C1781" s="17">
        <f>IF($B$4="표준",'2.치형좌표'!E1780,'2.치형좌표'!H1780)</f>
        <v>7.1112075606137219</v>
      </c>
      <c r="D1781" s="6" t="str">
        <f t="shared" si="27"/>
        <v>79.10893,7.11121</v>
      </c>
    </row>
    <row r="1782" spans="1:4" x14ac:dyDescent="0.3">
      <c r="A1782" s="19">
        <v>1776</v>
      </c>
      <c r="B1782" s="17">
        <f>IF($B$4="표준",'2.치형좌표'!D1781,'2.치형좌표'!G1781)</f>
        <v>79.164448750703713</v>
      </c>
      <c r="C1782" s="17">
        <f>IF($B$4="표준",'2.치형좌표'!E1781,'2.치형좌표'!H1781)</f>
        <v>6.8719883949524281</v>
      </c>
      <c r="D1782" s="6" t="str">
        <f t="shared" si="27"/>
        <v>79.16445,6.87199</v>
      </c>
    </row>
    <row r="1783" spans="1:4" x14ac:dyDescent="0.3">
      <c r="A1783" s="19">
        <v>1777</v>
      </c>
      <c r="B1783" s="17">
        <f>IF($B$4="표준",'2.치형좌표'!D1782,'2.치형좌표'!G1782)</f>
        <v>79.205926330664497</v>
      </c>
      <c r="C1783" s="17">
        <f>IF($B$4="표준",'2.치형좌표'!E1782,'2.치형좌표'!H1782)</f>
        <v>6.6263464830215586</v>
      </c>
      <c r="D1783" s="6" t="str">
        <f t="shared" si="27"/>
        <v>79.20593,6.62635</v>
      </c>
    </row>
    <row r="1784" spans="1:4" x14ac:dyDescent="0.3">
      <c r="A1784" s="19">
        <v>1778</v>
      </c>
      <c r="B1784" s="17">
        <f>IF($B$4="표준",'2.치형좌표'!D1783,'2.치형좌표'!G1783)</f>
        <v>79.232551434950352</v>
      </c>
      <c r="C1784" s="17">
        <f>IF($B$4="표준",'2.치형좌표'!E1783,'2.치형좌표'!H1783)</f>
        <v>6.3769338543303649</v>
      </c>
      <c r="D1784" s="6" t="str">
        <f t="shared" si="27"/>
        <v>79.23255,6.37693</v>
      </c>
    </row>
    <row r="1785" spans="1:4" x14ac:dyDescent="0.3">
      <c r="A1785" s="19">
        <v>1779</v>
      </c>
      <c r="B1785" s="17">
        <f>IF($B$4="표준",'2.치형좌표'!D1784,'2.치형좌표'!G1784)</f>
        <v>79.243923785006388</v>
      </c>
      <c r="C1785" s="17">
        <f>IF($B$4="표준",'2.치형좌표'!E1784,'2.치형좌표'!H1784)</f>
        <v>6.1265050259763951</v>
      </c>
      <c r="D1785" s="6" t="str">
        <f t="shared" si="27"/>
        <v>79.24392,6.12651</v>
      </c>
    </row>
    <row r="1786" spans="1:4" x14ac:dyDescent="0.3">
      <c r="A1786" s="19">
        <v>1780</v>
      </c>
      <c r="B1786" s="17">
        <f>IF($B$4="표준",'2.치형좌표'!D1785,'2.치형좌표'!G1785)</f>
        <v>79.240061159393477</v>
      </c>
      <c r="C1786" s="17">
        <f>IF($B$4="표준",'2.치형좌표'!E1785,'2.치형좌표'!H1785)</f>
        <v>5.877842442573967</v>
      </c>
      <c r="D1786" s="6" t="str">
        <f t="shared" si="27"/>
        <v>79.24006,5.87784</v>
      </c>
    </row>
    <row r="1787" spans="1:4" x14ac:dyDescent="0.3">
      <c r="A1787" s="19">
        <v>1781</v>
      </c>
      <c r="B1787" s="17">
        <f>IF($B$4="표준",'2.치형좌표'!D1786,'2.치형좌표'!G1786)</f>
        <v>79.221397488610833</v>
      </c>
      <c r="C1787" s="17">
        <f>IF($B$4="표준",'2.치형좌표'!E1786,'2.치형좌표'!H1786)</f>
        <v>5.6336808969570864</v>
      </c>
      <c r="D1787" s="6" t="str">
        <f t="shared" si="27"/>
        <v>79.22140,5.63368</v>
      </c>
    </row>
    <row r="1788" spans="1:4" x14ac:dyDescent="0.3">
      <c r="A1788" s="19">
        <v>1782</v>
      </c>
      <c r="B1788" s="17">
        <f>IF($B$4="표준",'2.치형좌표'!D1787,'2.치형좌표'!G1787)</f>
        <v>79.188766994216664</v>
      </c>
      <c r="C1788" s="17">
        <f>IF($B$4="표준",'2.치형좌표'!E1787,'2.치형좌표'!H1787)</f>
        <v>5.3966321290387542</v>
      </c>
      <c r="D1788" s="6" t="str">
        <f t="shared" si="27"/>
        <v>79.18877,5.39663</v>
      </c>
    </row>
    <row r="1789" spans="1:4" x14ac:dyDescent="0.3">
      <c r="A1789" s="19">
        <v>1783</v>
      </c>
      <c r="B1789" s="17">
        <f>IF($B$4="표준",'2.치형좌표'!D1788,'2.치형좌표'!G1788)</f>
        <v>79.143374075931945</v>
      </c>
      <c r="C1789" s="17">
        <f>IF($B$4="표준",'2.치형좌표'!E1788,'2.치형좌표'!H1788)</f>
        <v>5.1691106993393126</v>
      </c>
      <c r="D1789" s="6" t="str">
        <f t="shared" si="27"/>
        <v>79.14337,5.16911</v>
      </c>
    </row>
    <row r="1790" spans="1:4" x14ac:dyDescent="0.3">
      <c r="A1790" s="19">
        <v>1784</v>
      </c>
      <c r="B1790" s="17">
        <f>IF($B$4="표준",'2.치형좌표'!D1789,'2.치형좌표'!G1789)</f>
        <v>79.086748428542606</v>
      </c>
      <c r="C1790" s="17">
        <f>IF($B$4="표준",'2.치형좌표'!E1789,'2.치형좌표'!H1789)</f>
        <v>4.9532620277217845</v>
      </c>
      <c r="D1790" s="6" t="str">
        <f t="shared" si="27"/>
        <v>79.08675,4.95326</v>
      </c>
    </row>
    <row r="1791" spans="1:4" x14ac:dyDescent="0.3">
      <c r="A1791" s="19">
        <v>1785</v>
      </c>
      <c r="B1791" s="17">
        <f>IF($B$4="표준",'2.치형좌표'!D1790,'2.치형좌표'!G1790)</f>
        <v>79.020684481447361</v>
      </c>
      <c r="C1791" s="17">
        <f>IF($B$4="표준",'2.치형좌표'!E1790,'2.치형좌표'!H1790)</f>
        <v>4.7508931369659564</v>
      </c>
      <c r="D1791" s="6" t="str">
        <f t="shared" si="27"/>
        <v>79.02068,4.75089</v>
      </c>
    </row>
    <row r="1792" spans="1:4" x14ac:dyDescent="0.3">
      <c r="A1792" s="19">
        <v>1786</v>
      </c>
      <c r="B1792" s="17">
        <f>IF($B$4="표준",'2.치형좌표'!D1791,'2.치형좌표'!G1791)</f>
        <v>78.947163578303417</v>
      </c>
      <c r="C1792" s="17">
        <f>IF($B$4="표준",'2.치형좌표'!E1791,'2.치형좌표'!H1791)</f>
        <v>4.563406070073845</v>
      </c>
      <c r="D1792" s="6" t="str">
        <f t="shared" si="27"/>
        <v>78.94716,4.56341</v>
      </c>
    </row>
    <row r="1793" spans="1:4" x14ac:dyDescent="0.3">
      <c r="A1793" s="19">
        <v>1787</v>
      </c>
      <c r="B1793" s="17">
        <f>IF($B$4="표준",'2.치형좌표'!D1792,'2.치형좌표'!G1792)</f>
        <v>78.868256161663624</v>
      </c>
      <c r="C1793" s="17">
        <f>IF($B$4="표준",'2.치형좌표'!E1792,'2.치형좌표'!H1792)</f>
        <v>4.3917330195974662</v>
      </c>
      <c r="D1793" s="6" t="str">
        <f t="shared" si="27"/>
        <v>78.86826,4.39173</v>
      </c>
    </row>
    <row r="1794" spans="1:4" x14ac:dyDescent="0.3">
      <c r="A1794" s="19">
        <v>1788</v>
      </c>
      <c r="B1794" s="17">
        <f>IF($B$4="표준",'2.치형좌표'!D1793,'2.치형좌표'!G1793)</f>
        <v>78.785999278061226</v>
      </c>
      <c r="C1794" s="17">
        <f>IF($B$4="표준",'2.치형좌표'!E1793,'2.치형좌표'!H1793)</f>
        <v>4.2362706504397094</v>
      </c>
      <c r="D1794" s="6" t="str">
        <f t="shared" si="27"/>
        <v>78.78600,4.23627</v>
      </c>
    </row>
    <row r="1795" spans="1:4" x14ac:dyDescent="0.3">
      <c r="A1795" s="19">
        <v>1789</v>
      </c>
      <c r="B1795" s="17">
        <f>IF($B$4="표준",'2.치형좌표'!D1794,'2.치형좌표'!G1794)</f>
        <v>78.702241418626798</v>
      </c>
      <c r="C1795" s="17">
        <f>IF($B$4="표준",'2.치형좌표'!E1794,'2.치형좌표'!H1794)</f>
        <v>4.096808393361731</v>
      </c>
      <c r="D1795" s="6" t="str">
        <f t="shared" si="27"/>
        <v>78.70224,4.09681</v>
      </c>
    </row>
    <row r="1796" spans="1:4" x14ac:dyDescent="0.3">
      <c r="A1796" s="19">
        <v>1790</v>
      </c>
      <c r="B1796" s="17">
        <f>IF($B$4="표준",'2.치형좌표'!D1795,'2.치형좌표'!G1795)</f>
        <v>78.618441074620677</v>
      </c>
      <c r="C1796" s="17">
        <f>IF($B$4="표준",'2.치형좌표'!E1795,'2.치형좌표'!H1795)</f>
        <v>3.9724405803211917</v>
      </c>
      <c r="D1796" s="6" t="str">
        <f t="shared" si="27"/>
        <v>78.61844,3.97244</v>
      </c>
    </row>
    <row r="1797" spans="1:4" x14ac:dyDescent="0.3">
      <c r="A1797" s="19">
        <v>1791</v>
      </c>
      <c r="B1797" s="17">
        <f>IF($B$4="표준",'2.치형좌표'!D1796,'2.치형좌표'!G1796)</f>
        <v>78.535395636300521</v>
      </c>
      <c r="C1797" s="17">
        <f>IF($B$4="표준",'2.치형좌표'!E1796,'2.치형좌표'!H1796)</f>
        <v>3.8614429673842667</v>
      </c>
      <c r="D1797" s="6" t="str">
        <f t="shared" si="27"/>
        <v>78.53540,3.86144</v>
      </c>
    </row>
    <row r="1798" spans="1:4" x14ac:dyDescent="0.3">
      <c r="A1798" s="19">
        <v>1792</v>
      </c>
      <c r="B1798" s="17">
        <f>IF($B$4="표준",'2.치형좌표'!D1797,'2.치형좌표'!G1797)</f>
        <v>78.452860161163855</v>
      </c>
      <c r="C1798" s="17">
        <f>IF($B$4="표준",'2.치형좌표'!E1797,'2.치형좌표'!H1797)</f>
        <v>3.7610755816204366</v>
      </c>
      <c r="D1798" s="6" t="str">
        <f t="shared" si="27"/>
        <v>78.45286,3.76108</v>
      </c>
    </row>
    <row r="1799" spans="1:4" x14ac:dyDescent="0.3">
      <c r="A1799" s="19">
        <v>1793</v>
      </c>
      <c r="B1799" s="17">
        <f>IF($B$4="표준",'2.치형좌표'!D1798,'2.치형좌표'!G1798)</f>
        <v>78.368985322788603</v>
      </c>
      <c r="C1799" s="17">
        <f>IF($B$4="표준",'2.치형좌표'!E1798,'2.치형좌표'!H1798)</f>
        <v>3.6672347619258092</v>
      </c>
      <c r="D1799" s="6" t="str">
        <f t="shared" ref="D1799:D1862" si="28">TEXT(B1799,"0.00000")&amp;","&amp;TEXT(C1799,"0.00000")</f>
        <v>78.36899,3.66723</v>
      </c>
    </row>
    <row r="1800" spans="1:4" x14ac:dyDescent="0.3">
      <c r="A1800" s="19">
        <v>1794</v>
      </c>
      <c r="B1800" s="17">
        <f>IF($B$4="표준",'2.치형좌표'!D1799,'2.치형좌표'!G1799)</f>
        <v>78.279451213250496</v>
      </c>
      <c r="C1800" s="17">
        <f>IF($B$4="표준",'2.치형좌표'!E1799,'2.치형좌표'!H1799)</f>
        <v>3.5737908308444752</v>
      </c>
      <c r="D1800" s="6" t="str">
        <f t="shared" si="28"/>
        <v>78.27945,3.57379</v>
      </c>
    </row>
    <row r="1801" spans="1:4" x14ac:dyDescent="0.3">
      <c r="A1801" s="19">
        <v>1795</v>
      </c>
      <c r="B1801" s="17">
        <f>IF($B$4="표준",'2.치형좌표'!D1800,'2.치형좌표'!G1800)</f>
        <v>78.176088997920544</v>
      </c>
      <c r="C1801" s="17">
        <f>IF($B$4="표준",'2.치형좌표'!E1800,'2.치형좌표'!H1800)</f>
        <v>3.4712462910303072</v>
      </c>
      <c r="D1801" s="6" t="str">
        <f t="shared" si="28"/>
        <v>78.17609,3.47125</v>
      </c>
    </row>
    <row r="1802" spans="1:4" x14ac:dyDescent="0.3">
      <c r="A1802" s="19">
        <v>1796</v>
      </c>
      <c r="B1802" s="17">
        <f>IF($B$4="표준",'2.치형좌표'!D1801,'2.치형좌표'!G1801)</f>
        <v>78.044688653574795</v>
      </c>
      <c r="C1802" s="17">
        <f>IF($B$4="표준",'2.치형좌표'!E1801,'2.치형좌표'!H1801)</f>
        <v>3.3438574356441659</v>
      </c>
      <c r="D1802" s="6" t="str">
        <f t="shared" si="28"/>
        <v>78.04469,3.34386</v>
      </c>
    </row>
    <row r="1803" spans="1:4" x14ac:dyDescent="0.3">
      <c r="A1803" s="19">
        <v>1797</v>
      </c>
      <c r="B1803" s="17">
        <f>IF($B$4="표준",'2.치형좌표'!D1802,'2.치형좌표'!G1802)</f>
        <v>77.861843967016725</v>
      </c>
      <c r="C1803" s="17">
        <f>IF($B$4="표준",'2.치형좌표'!E1802,'2.치형좌표'!H1802)</f>
        <v>3.1631405015640892</v>
      </c>
      <c r="D1803" s="6" t="str">
        <f t="shared" si="28"/>
        <v>77.86184,3.16314</v>
      </c>
    </row>
    <row r="1804" spans="1:4" x14ac:dyDescent="0.3">
      <c r="A1804" s="19">
        <v>1798</v>
      </c>
      <c r="B1804" s="17">
        <f>IF($B$4="표준",'2.치형좌표'!D1803,'2.치형좌표'!G1803)</f>
        <v>77.592647235307183</v>
      </c>
      <c r="C1804" s="17">
        <f>IF($B$4="표준",'2.치형좌표'!E1803,'2.치형좌표'!H1803)</f>
        <v>2.8729282560034592</v>
      </c>
      <c r="D1804" s="6" t="str">
        <f t="shared" si="28"/>
        <v>77.59265,2.87293</v>
      </c>
    </row>
    <row r="1805" spans="1:4" x14ac:dyDescent="0.3">
      <c r="A1805" s="19">
        <v>1799</v>
      </c>
      <c r="B1805" s="17">
        <f>IF($B$4="표준",'2.치형좌표'!D1804,'2.치형좌표'!G1804)</f>
        <v>77.20244537407811</v>
      </c>
      <c r="C1805" s="17">
        <f>IF($B$4="표준",'2.치형좌표'!E1804,'2.치형좌표'!H1804)</f>
        <v>2.3586645832908935</v>
      </c>
      <c r="D1805" s="6" t="str">
        <f t="shared" si="28"/>
        <v>77.20245,2.35866</v>
      </c>
    </row>
    <row r="1806" spans="1:4" x14ac:dyDescent="0.3">
      <c r="A1806" s="19">
        <v>1800</v>
      </c>
      <c r="B1806" s="17">
        <f>IF($B$4="표준",'2.치형좌표'!D1805,'2.치형좌표'!G1805)</f>
        <v>76.736390133452659</v>
      </c>
      <c r="C1806" s="17">
        <f>IF($B$4="표준",'2.치형좌표'!E1805,'2.치형좌표'!H1805)</f>
        <v>1.4254979835775874</v>
      </c>
      <c r="D1806" s="6" t="str">
        <f t="shared" si="28"/>
        <v>76.73639,1.42550</v>
      </c>
    </row>
  </sheetData>
  <mergeCells count="3">
    <mergeCell ref="A1:D1"/>
    <mergeCell ref="A2:D2"/>
    <mergeCell ref="C4:D4"/>
  </mergeCells>
  <phoneticPr fontId="5" type="noConversion"/>
  <dataValidations count="1">
    <dataValidation type="list" sqref="B4" xr:uid="{00000000-0002-0000-0300-000000000000}">
      <formula1>"표준,수정"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966"/>
  </sheetPr>
  <dimension ref="B2:C49"/>
  <sheetViews>
    <sheetView workbookViewId="0"/>
  </sheetViews>
  <sheetFormatPr defaultRowHeight="16.5" x14ac:dyDescent="0.3"/>
  <cols>
    <col min="1" max="1" width="3" customWidth="1"/>
    <col min="2" max="2" width="30" customWidth="1"/>
    <col min="3" max="3" width="100" customWidth="1"/>
  </cols>
  <sheetData>
    <row r="2" spans="2:3" x14ac:dyDescent="0.3">
      <c r="B2" s="34" t="s">
        <v>149</v>
      </c>
      <c r="C2" s="31"/>
    </row>
    <row r="4" spans="2:3" x14ac:dyDescent="0.3">
      <c r="B4" s="33" t="s">
        <v>150</v>
      </c>
      <c r="C4" s="31"/>
    </row>
    <row r="5" spans="2:3" ht="27.95" customHeight="1" x14ac:dyDescent="0.3">
      <c r="B5" s="20" t="s">
        <v>151</v>
      </c>
      <c r="C5" s="21" t="s">
        <v>152</v>
      </c>
    </row>
    <row r="6" spans="2:3" ht="42" customHeight="1" x14ac:dyDescent="0.3">
      <c r="B6" s="20" t="s">
        <v>153</v>
      </c>
      <c r="C6" s="21" t="s">
        <v>154</v>
      </c>
    </row>
    <row r="7" spans="2:3" ht="27.95" customHeight="1" x14ac:dyDescent="0.3">
      <c r="B7" s="20" t="s">
        <v>155</v>
      </c>
      <c r="C7" s="21" t="s">
        <v>156</v>
      </c>
    </row>
    <row r="8" spans="2:3" x14ac:dyDescent="0.3">
      <c r="B8" s="33" t="s">
        <v>157</v>
      </c>
      <c r="C8" s="31"/>
    </row>
    <row r="9" spans="2:3" ht="15" customHeight="1" x14ac:dyDescent="0.3">
      <c r="B9" s="20" t="s">
        <v>158</v>
      </c>
      <c r="C9" s="21" t="s">
        <v>159</v>
      </c>
    </row>
    <row r="10" spans="2:3" ht="15" customHeight="1" x14ac:dyDescent="0.3">
      <c r="B10" s="20" t="s">
        <v>160</v>
      </c>
      <c r="C10" s="21" t="s">
        <v>161</v>
      </c>
    </row>
    <row r="11" spans="2:3" ht="15" customHeight="1" x14ac:dyDescent="0.3">
      <c r="B11" s="20" t="s">
        <v>162</v>
      </c>
      <c r="C11" s="21" t="s">
        <v>163</v>
      </c>
    </row>
    <row r="12" spans="2:3" ht="15" customHeight="1" x14ac:dyDescent="0.3">
      <c r="B12" s="20" t="s">
        <v>164</v>
      </c>
      <c r="C12" s="21" t="s">
        <v>165</v>
      </c>
    </row>
    <row r="13" spans="2:3" ht="15" customHeight="1" x14ac:dyDescent="0.3">
      <c r="B13" s="20" t="s">
        <v>166</v>
      </c>
      <c r="C13" s="21" t="s">
        <v>167</v>
      </c>
    </row>
    <row r="14" spans="2:3" ht="15" customHeight="1" x14ac:dyDescent="0.3">
      <c r="B14" s="20" t="s">
        <v>168</v>
      </c>
      <c r="C14" s="21" t="s">
        <v>169</v>
      </c>
    </row>
    <row r="15" spans="2:3" x14ac:dyDescent="0.3">
      <c r="B15" s="33" t="s">
        <v>170</v>
      </c>
      <c r="C15" s="31"/>
    </row>
    <row r="16" spans="2:3" ht="56.1" customHeight="1" x14ac:dyDescent="0.3">
      <c r="B16" s="20" t="s">
        <v>171</v>
      </c>
      <c r="C16" s="21" t="s">
        <v>172</v>
      </c>
    </row>
    <row r="17" spans="2:3" ht="42" customHeight="1" x14ac:dyDescent="0.3">
      <c r="B17" s="20" t="s">
        <v>173</v>
      </c>
      <c r="C17" s="21" t="s">
        <v>174</v>
      </c>
    </row>
    <row r="18" spans="2:3" ht="15" customHeight="1" x14ac:dyDescent="0.3">
      <c r="B18" s="20" t="s">
        <v>175</v>
      </c>
      <c r="C18" s="21" t="s">
        <v>176</v>
      </c>
    </row>
    <row r="19" spans="2:3" ht="56.1" customHeight="1" x14ac:dyDescent="0.3">
      <c r="B19" s="20" t="s">
        <v>177</v>
      </c>
      <c r="C19" s="21" t="s">
        <v>178</v>
      </c>
    </row>
    <row r="20" spans="2:3" ht="42" customHeight="1" x14ac:dyDescent="0.3">
      <c r="B20" s="20" t="s">
        <v>179</v>
      </c>
      <c r="C20" s="21" t="s">
        <v>180</v>
      </c>
    </row>
    <row r="21" spans="2:3" ht="42" customHeight="1" x14ac:dyDescent="0.3">
      <c r="B21" s="20" t="s">
        <v>181</v>
      </c>
      <c r="C21" s="21" t="s">
        <v>182</v>
      </c>
    </row>
    <row r="22" spans="2:3" x14ac:dyDescent="0.3">
      <c r="B22" s="33" t="s">
        <v>183</v>
      </c>
      <c r="C22" s="31"/>
    </row>
    <row r="23" spans="2:3" ht="15" customHeight="1" x14ac:dyDescent="0.3">
      <c r="B23" s="20" t="s">
        <v>184</v>
      </c>
      <c r="C23" s="21" t="s">
        <v>185</v>
      </c>
    </row>
    <row r="24" spans="2:3" ht="27.95" customHeight="1" x14ac:dyDescent="0.3">
      <c r="B24" s="20" t="s">
        <v>186</v>
      </c>
      <c r="C24" s="21" t="s">
        <v>187</v>
      </c>
    </row>
    <row r="25" spans="2:3" ht="15" customHeight="1" x14ac:dyDescent="0.3">
      <c r="B25" s="20" t="s">
        <v>188</v>
      </c>
      <c r="C25" s="21" t="s">
        <v>189</v>
      </c>
    </row>
    <row r="26" spans="2:3" x14ac:dyDescent="0.3">
      <c r="B26" s="33" t="s">
        <v>190</v>
      </c>
      <c r="C26" s="31"/>
    </row>
    <row r="27" spans="2:3" ht="27.95" customHeight="1" x14ac:dyDescent="0.3">
      <c r="B27" s="20" t="s">
        <v>191</v>
      </c>
      <c r="C27" s="21" t="s">
        <v>192</v>
      </c>
    </row>
    <row r="28" spans="2:3" ht="27.95" customHeight="1" x14ac:dyDescent="0.3">
      <c r="B28" s="20" t="s">
        <v>193</v>
      </c>
      <c r="C28" s="21" t="s">
        <v>194</v>
      </c>
    </row>
    <row r="29" spans="2:3" ht="15" customHeight="1" x14ac:dyDescent="0.3">
      <c r="B29" s="20" t="s">
        <v>195</v>
      </c>
      <c r="C29" s="21" t="s">
        <v>196</v>
      </c>
    </row>
    <row r="30" spans="2:3" ht="27.95" customHeight="1" x14ac:dyDescent="0.3">
      <c r="B30" s="20" t="s">
        <v>197</v>
      </c>
      <c r="C30" s="21" t="s">
        <v>198</v>
      </c>
    </row>
    <row r="31" spans="2:3" x14ac:dyDescent="0.3">
      <c r="B31" s="33" t="s">
        <v>199</v>
      </c>
      <c r="C31" s="31"/>
    </row>
    <row r="32" spans="2:3" ht="27.95" customHeight="1" x14ac:dyDescent="0.3">
      <c r="B32" s="20" t="s">
        <v>200</v>
      </c>
      <c r="C32" s="21" t="s">
        <v>201</v>
      </c>
    </row>
    <row r="33" spans="2:3" ht="42" customHeight="1" x14ac:dyDescent="0.3">
      <c r="B33" s="20" t="s">
        <v>202</v>
      </c>
      <c r="C33" s="21" t="s">
        <v>203</v>
      </c>
    </row>
    <row r="34" spans="2:3" ht="27.95" customHeight="1" x14ac:dyDescent="0.3">
      <c r="B34" s="20" t="s">
        <v>204</v>
      </c>
      <c r="C34" s="21" t="s">
        <v>205</v>
      </c>
    </row>
    <row r="35" spans="2:3" ht="27.95" customHeight="1" x14ac:dyDescent="0.3">
      <c r="B35" s="20" t="s">
        <v>206</v>
      </c>
      <c r="C35" s="21" t="s">
        <v>207</v>
      </c>
    </row>
    <row r="36" spans="2:3" ht="15" customHeight="1" x14ac:dyDescent="0.3">
      <c r="B36" s="20" t="s">
        <v>208</v>
      </c>
      <c r="C36" s="21" t="s">
        <v>209</v>
      </c>
    </row>
    <row r="37" spans="2:3" ht="56.1" customHeight="1" x14ac:dyDescent="0.3">
      <c r="B37" s="20" t="s">
        <v>210</v>
      </c>
      <c r="C37" s="21" t="s">
        <v>211</v>
      </c>
    </row>
    <row r="38" spans="2:3" x14ac:dyDescent="0.3">
      <c r="B38" s="33" t="s">
        <v>212</v>
      </c>
      <c r="C38" s="31"/>
    </row>
    <row r="39" spans="2:3" ht="15" customHeight="1" x14ac:dyDescent="0.3">
      <c r="B39" s="20" t="s">
        <v>213</v>
      </c>
      <c r="C39" s="21" t="s">
        <v>214</v>
      </c>
    </row>
    <row r="40" spans="2:3" ht="27.95" customHeight="1" x14ac:dyDescent="0.3">
      <c r="B40" s="20" t="s">
        <v>215</v>
      </c>
      <c r="C40" s="21" t="s">
        <v>216</v>
      </c>
    </row>
    <row r="41" spans="2:3" ht="15" customHeight="1" x14ac:dyDescent="0.3">
      <c r="B41" s="20" t="s">
        <v>217</v>
      </c>
      <c r="C41" s="21" t="s">
        <v>218</v>
      </c>
    </row>
    <row r="42" spans="2:3" ht="15" customHeight="1" x14ac:dyDescent="0.3">
      <c r="B42" s="20" t="s">
        <v>219</v>
      </c>
      <c r="C42" s="21" t="s">
        <v>220</v>
      </c>
    </row>
    <row r="43" spans="2:3" x14ac:dyDescent="0.3">
      <c r="B43" s="33" t="s">
        <v>221</v>
      </c>
      <c r="C43" s="31"/>
    </row>
    <row r="44" spans="2:3" ht="15" customHeight="1" x14ac:dyDescent="0.3">
      <c r="B44" s="20" t="s">
        <v>222</v>
      </c>
      <c r="C44" s="21" t="s">
        <v>223</v>
      </c>
    </row>
    <row r="45" spans="2:3" ht="42" customHeight="1" x14ac:dyDescent="0.3">
      <c r="B45" s="20" t="s">
        <v>224</v>
      </c>
      <c r="C45" s="21" t="s">
        <v>225</v>
      </c>
    </row>
    <row r="46" spans="2:3" ht="15" customHeight="1" x14ac:dyDescent="0.3">
      <c r="B46" s="20" t="s">
        <v>226</v>
      </c>
      <c r="C46" s="21" t="s">
        <v>227</v>
      </c>
    </row>
    <row r="47" spans="2:3" ht="15" customHeight="1" x14ac:dyDescent="0.3">
      <c r="B47" s="20" t="s">
        <v>228</v>
      </c>
      <c r="C47" s="21" t="s">
        <v>229</v>
      </c>
    </row>
    <row r="48" spans="2:3" ht="15" customHeight="1" x14ac:dyDescent="0.3">
      <c r="B48" s="20" t="s">
        <v>230</v>
      </c>
      <c r="C48" s="21" t="s">
        <v>231</v>
      </c>
    </row>
    <row r="49" spans="2:3" ht="27.95" customHeight="1" x14ac:dyDescent="0.3">
      <c r="B49" s="20" t="s">
        <v>232</v>
      </c>
      <c r="C49" s="21" t="s">
        <v>233</v>
      </c>
    </row>
  </sheetData>
  <mergeCells count="9">
    <mergeCell ref="B43:C43"/>
    <mergeCell ref="B38:C38"/>
    <mergeCell ref="B2:C2"/>
    <mergeCell ref="B15:C15"/>
    <mergeCell ref="B22:C22"/>
    <mergeCell ref="B31:C31"/>
    <mergeCell ref="B26:C26"/>
    <mergeCell ref="B8:C8"/>
    <mergeCell ref="B4:C4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B2:K280"/>
  <sheetViews>
    <sheetView workbookViewId="0"/>
  </sheetViews>
  <sheetFormatPr defaultRowHeight="16.5" x14ac:dyDescent="0.3"/>
  <cols>
    <col min="1" max="1" width="4" customWidth="1"/>
    <col min="2" max="2" width="26" customWidth="1"/>
    <col min="3" max="3" width="14" customWidth="1"/>
    <col min="4" max="4" width="10" customWidth="1"/>
    <col min="5" max="5" width="46" customWidth="1"/>
    <col min="6" max="6" width="3" customWidth="1"/>
    <col min="7" max="10" width="12" customWidth="1"/>
  </cols>
  <sheetData>
    <row r="2" spans="2:5" x14ac:dyDescent="0.3">
      <c r="B2" s="34" t="s">
        <v>234</v>
      </c>
      <c r="C2" s="31"/>
      <c r="D2" s="31"/>
      <c r="E2" s="31"/>
    </row>
    <row r="3" spans="2:5" x14ac:dyDescent="0.3">
      <c r="B3" s="30" t="s">
        <v>235</v>
      </c>
      <c r="C3" s="31"/>
      <c r="D3" s="31"/>
      <c r="E3" s="31"/>
    </row>
    <row r="5" spans="2:5" x14ac:dyDescent="0.3">
      <c r="B5" s="33" t="s">
        <v>236</v>
      </c>
      <c r="C5" s="31"/>
      <c r="D5" s="31"/>
      <c r="E5" s="31"/>
    </row>
    <row r="6" spans="2:5" x14ac:dyDescent="0.3">
      <c r="B6" s="3" t="s">
        <v>237</v>
      </c>
      <c r="C6" s="11">
        <v>82</v>
      </c>
      <c r="D6" s="5" t="s">
        <v>4</v>
      </c>
      <c r="E6" s="22" t="s">
        <v>238</v>
      </c>
    </row>
    <row r="7" spans="2:5" x14ac:dyDescent="0.3">
      <c r="B7" s="3" t="s">
        <v>239</v>
      </c>
      <c r="C7" s="11">
        <v>4</v>
      </c>
      <c r="D7" s="5" t="s">
        <v>4</v>
      </c>
      <c r="E7" s="22" t="s">
        <v>240</v>
      </c>
    </row>
    <row r="8" spans="2:5" x14ac:dyDescent="0.3">
      <c r="B8" s="3" t="s">
        <v>241</v>
      </c>
      <c r="C8" s="11">
        <v>1.5</v>
      </c>
      <c r="D8" s="5" t="s">
        <v>4</v>
      </c>
      <c r="E8" s="22" t="s">
        <v>242</v>
      </c>
    </row>
    <row r="9" spans="2:5" x14ac:dyDescent="0.3">
      <c r="B9" s="3" t="s">
        <v>243</v>
      </c>
      <c r="C9" s="8">
        <v>39</v>
      </c>
      <c r="D9" s="5" t="s">
        <v>14</v>
      </c>
      <c r="E9" s="22" t="s">
        <v>244</v>
      </c>
    </row>
    <row r="10" spans="2:5" x14ac:dyDescent="0.3">
      <c r="B10" s="3" t="s">
        <v>245</v>
      </c>
      <c r="C10" s="8">
        <v>40</v>
      </c>
      <c r="D10" s="5" t="s">
        <v>14</v>
      </c>
      <c r="E10" s="22" t="s">
        <v>246</v>
      </c>
    </row>
    <row r="11" spans="2:5" x14ac:dyDescent="0.3">
      <c r="B11" s="3" t="s">
        <v>247</v>
      </c>
      <c r="C11" s="11">
        <v>15</v>
      </c>
      <c r="D11" s="5" t="s">
        <v>4</v>
      </c>
      <c r="E11" s="22" t="s">
        <v>248</v>
      </c>
    </row>
    <row r="12" spans="2:5" x14ac:dyDescent="0.3">
      <c r="B12" s="3" t="s">
        <v>81</v>
      </c>
      <c r="C12" s="11">
        <v>420</v>
      </c>
      <c r="D12" s="5" t="s">
        <v>82</v>
      </c>
      <c r="E12" s="22" t="s">
        <v>249</v>
      </c>
    </row>
    <row r="13" spans="2:5" x14ac:dyDescent="0.3">
      <c r="B13" s="3" t="s">
        <v>250</v>
      </c>
      <c r="C13" s="11">
        <v>-3.0999999999999999E-3</v>
      </c>
      <c r="D13" s="5" t="s">
        <v>4</v>
      </c>
      <c r="E13" s="22" t="s">
        <v>251</v>
      </c>
    </row>
    <row r="14" spans="2:5" x14ac:dyDescent="0.3">
      <c r="B14" s="3" t="s">
        <v>252</v>
      </c>
      <c r="C14" s="11">
        <v>8.0999999999999996E-3</v>
      </c>
      <c r="D14" s="5" t="s">
        <v>4</v>
      </c>
      <c r="E14" s="22" t="s">
        <v>253</v>
      </c>
    </row>
    <row r="15" spans="2:5" x14ac:dyDescent="0.3">
      <c r="B15" s="3" t="s">
        <v>254</v>
      </c>
      <c r="C15" s="9">
        <v>0.73173498022486216</v>
      </c>
      <c r="D15" s="5" t="s">
        <v>32</v>
      </c>
      <c r="E15" s="22" t="s">
        <v>255</v>
      </c>
    </row>
    <row r="17" spans="2:5" x14ac:dyDescent="0.3">
      <c r="B17" s="33" t="s">
        <v>256</v>
      </c>
      <c r="C17" s="31"/>
      <c r="D17" s="31"/>
      <c r="E17" s="31"/>
    </row>
    <row r="18" spans="2:5" x14ac:dyDescent="0.3">
      <c r="B18" s="3" t="s">
        <v>257</v>
      </c>
      <c r="C18" s="11">
        <v>583.46090253795808</v>
      </c>
      <c r="D18" s="5" t="s">
        <v>258</v>
      </c>
      <c r="E18" s="22" t="s">
        <v>259</v>
      </c>
    </row>
    <row r="19" spans="2:5" x14ac:dyDescent="0.3">
      <c r="B19" s="3" t="s">
        <v>260</v>
      </c>
      <c r="C19" s="11">
        <v>2.8253196685521891</v>
      </c>
      <c r="D19" s="5" t="s">
        <v>261</v>
      </c>
      <c r="E19" s="22" t="s">
        <v>262</v>
      </c>
    </row>
    <row r="20" spans="2:5" x14ac:dyDescent="0.3">
      <c r="B20" s="3" t="s">
        <v>263</v>
      </c>
      <c r="C20" s="8">
        <v>8</v>
      </c>
      <c r="D20" s="5" t="s">
        <v>14</v>
      </c>
      <c r="E20" s="22" t="s">
        <v>264</v>
      </c>
    </row>
    <row r="21" spans="2:5" x14ac:dyDescent="0.3">
      <c r="B21" s="3" t="s">
        <v>265</v>
      </c>
      <c r="C21" s="23">
        <v>18</v>
      </c>
      <c r="D21" s="5" t="s">
        <v>24</v>
      </c>
      <c r="E21" s="22" t="s">
        <v>266</v>
      </c>
    </row>
    <row r="22" spans="2:5" x14ac:dyDescent="0.3">
      <c r="B22" s="3" t="s">
        <v>267</v>
      </c>
      <c r="C22" s="11">
        <v>11.2</v>
      </c>
      <c r="D22" s="5" t="s">
        <v>261</v>
      </c>
      <c r="E22" s="22" t="s">
        <v>268</v>
      </c>
    </row>
    <row r="23" spans="2:5" x14ac:dyDescent="0.3">
      <c r="B23" s="3" t="s">
        <v>269</v>
      </c>
      <c r="C23" s="24">
        <v>4.6663386675036714E-12</v>
      </c>
      <c r="D23" s="5" t="s">
        <v>270</v>
      </c>
      <c r="E23" s="22" t="s">
        <v>271</v>
      </c>
    </row>
    <row r="25" spans="2:5" x14ac:dyDescent="0.3">
      <c r="B25" s="33" t="s">
        <v>272</v>
      </c>
      <c r="C25" s="31"/>
      <c r="D25" s="31"/>
      <c r="E25" s="31"/>
    </row>
    <row r="26" spans="2:5" x14ac:dyDescent="0.3">
      <c r="B26" s="3" t="s">
        <v>273</v>
      </c>
      <c r="C26" s="11">
        <v>0.61653648097944169</v>
      </c>
      <c r="D26" s="5" t="s">
        <v>274</v>
      </c>
      <c r="E26" s="22" t="s">
        <v>275</v>
      </c>
    </row>
    <row r="27" spans="2:5" x14ac:dyDescent="0.3">
      <c r="B27" s="3" t="s">
        <v>276</v>
      </c>
      <c r="C27" s="11">
        <v>1.2330729619588829</v>
      </c>
      <c r="D27" s="5" t="s">
        <v>274</v>
      </c>
      <c r="E27" s="22" t="s">
        <v>277</v>
      </c>
    </row>
    <row r="28" spans="2:5" x14ac:dyDescent="0.3">
      <c r="B28" s="3" t="s">
        <v>278</v>
      </c>
      <c r="C28" s="11">
        <v>0.60094121727196737</v>
      </c>
      <c r="D28" s="5" t="s">
        <v>274</v>
      </c>
      <c r="E28" s="22" t="s">
        <v>279</v>
      </c>
    </row>
    <row r="29" spans="2:5" x14ac:dyDescent="0.3">
      <c r="B29" s="3" t="s">
        <v>280</v>
      </c>
      <c r="C29" s="11">
        <v>0.60016659281068074</v>
      </c>
      <c r="D29" s="5" t="s">
        <v>274</v>
      </c>
      <c r="E29" s="22" t="s">
        <v>281</v>
      </c>
    </row>
    <row r="30" spans="2:5" x14ac:dyDescent="0.3">
      <c r="B30" s="3" t="s">
        <v>282</v>
      </c>
      <c r="C30" s="11">
        <v>0.60235028262093326</v>
      </c>
      <c r="D30" s="5" t="s">
        <v>274</v>
      </c>
      <c r="E30" s="22"/>
    </row>
    <row r="31" spans="2:5" x14ac:dyDescent="0.3">
      <c r="B31" s="3" t="s">
        <v>283</v>
      </c>
      <c r="C31" s="9">
        <v>2.18368981025252E-3</v>
      </c>
      <c r="D31" s="5" t="s">
        <v>274</v>
      </c>
      <c r="E31" s="22" t="s">
        <v>284</v>
      </c>
    </row>
    <row r="32" spans="2:5" x14ac:dyDescent="0.3">
      <c r="B32" s="3" t="s">
        <v>285</v>
      </c>
      <c r="C32" s="25">
        <v>4.1108304461711952E-5</v>
      </c>
      <c r="D32" s="5" t="s">
        <v>274</v>
      </c>
      <c r="E32" s="22" t="s">
        <v>286</v>
      </c>
    </row>
    <row r="34" spans="2:11" x14ac:dyDescent="0.3">
      <c r="B34" s="3" t="s">
        <v>287</v>
      </c>
      <c r="C34" s="11">
        <v>0.35868638505835498</v>
      </c>
      <c r="D34" s="5" t="s">
        <v>4</v>
      </c>
      <c r="E34" s="22" t="s">
        <v>288</v>
      </c>
    </row>
    <row r="36" spans="2:11" x14ac:dyDescent="0.3">
      <c r="G36" s="3" t="s">
        <v>289</v>
      </c>
    </row>
    <row r="37" spans="2:11" x14ac:dyDescent="0.3">
      <c r="G37" s="1" t="s">
        <v>290</v>
      </c>
      <c r="H37" s="1" t="s">
        <v>291</v>
      </c>
      <c r="I37" s="1" t="s">
        <v>292</v>
      </c>
      <c r="J37" s="1" t="s">
        <v>293</v>
      </c>
      <c r="K37" s="1" t="s">
        <v>294</v>
      </c>
    </row>
    <row r="38" spans="2:11" x14ac:dyDescent="0.3">
      <c r="G38" s="19">
        <v>1</v>
      </c>
      <c r="H38" s="26">
        <v>9</v>
      </c>
      <c r="I38" s="27">
        <v>0</v>
      </c>
      <c r="J38" s="28">
        <v>5.6394305494696919</v>
      </c>
      <c r="K38" s="28">
        <v>1.4733899858079831</v>
      </c>
    </row>
    <row r="39" spans="2:11" x14ac:dyDescent="0.3">
      <c r="G39" s="19">
        <v>2</v>
      </c>
      <c r="H39" s="26">
        <v>18</v>
      </c>
      <c r="I39" s="27">
        <v>9.2668054088066416</v>
      </c>
      <c r="J39" s="28">
        <v>2.259127895293696</v>
      </c>
      <c r="K39" s="28">
        <v>2.3040009750017991</v>
      </c>
    </row>
    <row r="40" spans="2:11" x14ac:dyDescent="0.3">
      <c r="G40" s="19">
        <v>3</v>
      </c>
      <c r="H40" s="26">
        <v>27</v>
      </c>
      <c r="I40" s="27">
        <v>404.90415413120138</v>
      </c>
      <c r="J40" s="28">
        <v>0.70532837661384218</v>
      </c>
      <c r="K40" s="28">
        <v>2.6660144578392191</v>
      </c>
    </row>
    <row r="41" spans="2:11" x14ac:dyDescent="0.3">
      <c r="G41" s="19">
        <v>4</v>
      </c>
      <c r="H41" s="26">
        <v>36</v>
      </c>
      <c r="I41" s="27">
        <v>556.23301738696887</v>
      </c>
      <c r="J41" s="28">
        <v>0.107738329074007</v>
      </c>
      <c r="K41" s="28">
        <v>2.8012111521639751</v>
      </c>
    </row>
    <row r="42" spans="2:11" x14ac:dyDescent="0.3">
      <c r="G42" s="19">
        <v>5</v>
      </c>
      <c r="H42" s="26">
        <v>45</v>
      </c>
      <c r="I42" s="27">
        <v>581.52466360027609</v>
      </c>
      <c r="J42" s="28">
        <v>7.663804266099407E-3</v>
      </c>
      <c r="K42" s="28">
        <v>2.8236075336082158</v>
      </c>
    </row>
    <row r="43" spans="2:11" x14ac:dyDescent="0.3">
      <c r="G43" s="19">
        <v>6</v>
      </c>
      <c r="H43" s="26">
        <v>54</v>
      </c>
      <c r="I43" s="27">
        <v>534.17477015879001</v>
      </c>
      <c r="J43" s="28">
        <v>0.1949708731663235</v>
      </c>
      <c r="K43" s="28">
        <v>2.7816300272058521</v>
      </c>
    </row>
    <row r="44" spans="2:11" x14ac:dyDescent="0.3">
      <c r="G44" s="19">
        <v>7</v>
      </c>
      <c r="H44" s="26">
        <v>63</v>
      </c>
      <c r="I44" s="27">
        <v>439.73754954858259</v>
      </c>
      <c r="J44" s="28">
        <v>0.56794797223902593</v>
      </c>
      <c r="K44" s="28">
        <v>2.697309412459481</v>
      </c>
    </row>
    <row r="45" spans="2:11" x14ac:dyDescent="0.3">
      <c r="G45" s="19">
        <v>8</v>
      </c>
      <c r="H45" s="26">
        <v>72</v>
      </c>
      <c r="I45" s="27">
        <v>311.6917761867997</v>
      </c>
      <c r="J45" s="28">
        <v>1.0724638640957951</v>
      </c>
      <c r="K45" s="28">
        <v>2.5817833436975</v>
      </c>
    </row>
    <row r="46" spans="2:11" x14ac:dyDescent="0.3">
      <c r="G46" s="19">
        <v>9</v>
      </c>
      <c r="H46" s="26">
        <v>81</v>
      </c>
      <c r="I46" s="27">
        <v>157.9248693238153</v>
      </c>
      <c r="J46" s="28">
        <v>1.676639657987758</v>
      </c>
      <c r="K46" s="28">
        <v>2.441366544593639</v>
      </c>
    </row>
    <row r="47" spans="2:11" x14ac:dyDescent="0.3">
      <c r="G47" s="19">
        <v>10</v>
      </c>
      <c r="H47" s="26">
        <v>90</v>
      </c>
      <c r="I47" s="27">
        <v>0</v>
      </c>
      <c r="J47" s="28">
        <v>2.359728120954439</v>
      </c>
      <c r="K47" s="28">
        <v>2.2800885931104951</v>
      </c>
    </row>
    <row r="48" spans="2:11" x14ac:dyDescent="0.3">
      <c r="G48" s="19">
        <v>11</v>
      </c>
      <c r="H48" s="26">
        <v>99</v>
      </c>
      <c r="I48" s="27">
        <v>0</v>
      </c>
      <c r="J48" s="28">
        <v>3.1068881467627141</v>
      </c>
      <c r="K48" s="28">
        <v>2.100836677868938</v>
      </c>
    </row>
    <row r="49" spans="7:11" x14ac:dyDescent="0.3">
      <c r="G49" s="19">
        <v>12</v>
      </c>
      <c r="H49" s="26">
        <v>108</v>
      </c>
      <c r="I49" s="27">
        <v>0</v>
      </c>
      <c r="J49" s="28">
        <v>3.9065689716930279</v>
      </c>
      <c r="K49" s="28">
        <v>1.9059057953093741</v>
      </c>
    </row>
    <row r="50" spans="7:11" x14ac:dyDescent="0.3">
      <c r="G50" s="19">
        <v>13</v>
      </c>
      <c r="H50" s="26">
        <v>117</v>
      </c>
      <c r="I50" s="27">
        <v>0</v>
      </c>
      <c r="J50" s="28">
        <v>4.7491285345008833</v>
      </c>
      <c r="K50" s="28">
        <v>1.6972787443640369</v>
      </c>
    </row>
    <row r="51" spans="7:11" x14ac:dyDescent="0.3">
      <c r="G51" s="19">
        <v>14</v>
      </c>
      <c r="H51" s="26">
        <v>126</v>
      </c>
      <c r="I51" s="27">
        <v>0</v>
      </c>
      <c r="J51" s="28">
        <v>5.626071845588573</v>
      </c>
      <c r="K51" s="28">
        <v>1.47677477465322</v>
      </c>
    </row>
    <row r="52" spans="7:11" x14ac:dyDescent="0.3">
      <c r="G52" s="19">
        <v>15</v>
      </c>
      <c r="H52" s="26">
        <v>135</v>
      </c>
      <c r="I52" s="27">
        <v>0</v>
      </c>
      <c r="J52" s="28">
        <v>6.5296179999768524</v>
      </c>
      <c r="K52" s="28">
        <v>1.2461306896110169</v>
      </c>
    </row>
    <row r="53" spans="7:11" x14ac:dyDescent="0.3">
      <c r="G53" s="19">
        <v>16</v>
      </c>
      <c r="H53" s="26">
        <v>144</v>
      </c>
      <c r="I53" s="27">
        <v>0</v>
      </c>
      <c r="J53" s="28">
        <v>7.4524497751801961</v>
      </c>
      <c r="K53" s="28">
        <v>1.007045471225849</v>
      </c>
    </row>
    <row r="54" spans="7:11" x14ac:dyDescent="0.3">
      <c r="G54" s="19">
        <v>17</v>
      </c>
      <c r="H54" s="26">
        <v>153</v>
      </c>
      <c r="I54" s="27">
        <v>0</v>
      </c>
      <c r="J54" s="28">
        <v>8.3875688913088151</v>
      </c>
      <c r="K54" s="28">
        <v>0.76120436548091674</v>
      </c>
    </row>
    <row r="55" spans="7:11" x14ac:dyDescent="0.3">
      <c r="G55" s="19">
        <v>18</v>
      </c>
      <c r="H55" s="26">
        <v>162</v>
      </c>
      <c r="I55" s="27">
        <v>0</v>
      </c>
      <c r="J55" s="28">
        <v>9.3282145765639992</v>
      </c>
      <c r="K55" s="28">
        <v>0.51029101186482373</v>
      </c>
    </row>
    <row r="56" spans="7:11" x14ac:dyDescent="0.3">
      <c r="G56" s="19">
        <v>19</v>
      </c>
      <c r="H56" s="26">
        <v>171</v>
      </c>
      <c r="I56" s="27">
        <v>0</v>
      </c>
      <c r="J56" s="28">
        <v>10.26782113476936</v>
      </c>
      <c r="K56" s="28">
        <v>0.25599246549977728</v>
      </c>
    </row>
    <row r="57" spans="7:11" x14ac:dyDescent="0.3">
      <c r="G57" s="19">
        <v>20</v>
      </c>
      <c r="H57" s="26">
        <v>180</v>
      </c>
      <c r="I57" s="27">
        <v>0</v>
      </c>
      <c r="J57" s="28">
        <v>11.2</v>
      </c>
      <c r="K57" s="28">
        <v>1.998007043901846E-16</v>
      </c>
    </row>
    <row r="59" spans="7:11" x14ac:dyDescent="0.3">
      <c r="G59" s="3" t="s">
        <v>295</v>
      </c>
    </row>
    <row r="60" spans="7:11" x14ac:dyDescent="0.3">
      <c r="G60" s="1" t="s">
        <v>296</v>
      </c>
      <c r="H60" s="1" t="s">
        <v>297</v>
      </c>
    </row>
    <row r="61" spans="7:11" x14ac:dyDescent="0.3">
      <c r="G61" s="28">
        <v>0</v>
      </c>
      <c r="H61" s="17">
        <v>0.60072476200551783</v>
      </c>
    </row>
    <row r="62" spans="7:11" x14ac:dyDescent="0.3">
      <c r="G62" s="28">
        <v>0.25</v>
      </c>
      <c r="H62" s="17">
        <v>0.60085457819771948</v>
      </c>
    </row>
    <row r="63" spans="7:11" x14ac:dyDescent="0.3">
      <c r="G63" s="28">
        <v>0.5</v>
      </c>
      <c r="H63" s="17">
        <v>0.60099834507792183</v>
      </c>
    </row>
    <row r="64" spans="7:11" x14ac:dyDescent="0.3">
      <c r="G64" s="28">
        <v>0.75000000000000011</v>
      </c>
      <c r="H64" s="17">
        <v>0.60115591672425839</v>
      </c>
    </row>
    <row r="65" spans="7:8" x14ac:dyDescent="0.3">
      <c r="G65" s="28">
        <v>1</v>
      </c>
      <c r="H65" s="17">
        <v>0.60132715193141562</v>
      </c>
    </row>
    <row r="66" spans="7:8" x14ac:dyDescent="0.3">
      <c r="G66" s="28">
        <v>1.25</v>
      </c>
      <c r="H66" s="17">
        <v>0.6015119141199019</v>
      </c>
    </row>
    <row r="67" spans="7:8" x14ac:dyDescent="0.3">
      <c r="G67" s="28">
        <v>1.5</v>
      </c>
      <c r="H67" s="17">
        <v>0.60171007122999443</v>
      </c>
    </row>
    <row r="68" spans="7:8" x14ac:dyDescent="0.3">
      <c r="G68" s="28">
        <v>1.75</v>
      </c>
      <c r="H68" s="17">
        <v>0.60190997952812964</v>
      </c>
    </row>
    <row r="69" spans="7:8" x14ac:dyDescent="0.3">
      <c r="G69" s="28">
        <v>2</v>
      </c>
      <c r="H69" s="17">
        <v>0.60210766017206119</v>
      </c>
    </row>
    <row r="70" spans="7:8" x14ac:dyDescent="0.3">
      <c r="G70" s="28">
        <v>2.25</v>
      </c>
      <c r="H70" s="17">
        <v>0.60231841796561403</v>
      </c>
    </row>
    <row r="71" spans="7:8" x14ac:dyDescent="0.3">
      <c r="G71" s="28">
        <v>2.5</v>
      </c>
      <c r="H71" s="17">
        <v>0.60235028262093326</v>
      </c>
    </row>
    <row r="72" spans="7:8" x14ac:dyDescent="0.3">
      <c r="G72" s="28">
        <v>2.75</v>
      </c>
      <c r="H72" s="17">
        <v>0.60209079755019512</v>
      </c>
    </row>
    <row r="73" spans="7:8" x14ac:dyDescent="0.3">
      <c r="G73" s="28">
        <v>3</v>
      </c>
      <c r="H73" s="17">
        <v>0.6018508017933053</v>
      </c>
    </row>
    <row r="74" spans="7:8" x14ac:dyDescent="0.3">
      <c r="G74" s="28">
        <v>3.25</v>
      </c>
      <c r="H74" s="17">
        <v>0.60162998725862804</v>
      </c>
    </row>
    <row r="75" spans="7:8" x14ac:dyDescent="0.3">
      <c r="G75" s="28">
        <v>3.5</v>
      </c>
      <c r="H75" s="17">
        <v>0.60142805488274287</v>
      </c>
    </row>
    <row r="76" spans="7:8" x14ac:dyDescent="0.3">
      <c r="G76" s="28">
        <v>3.75</v>
      </c>
      <c r="H76" s="17">
        <v>0.60124471438253058</v>
      </c>
    </row>
    <row r="77" spans="7:8" x14ac:dyDescent="0.3">
      <c r="G77" s="28">
        <v>4</v>
      </c>
      <c r="H77" s="17">
        <v>0.60107968401560985</v>
      </c>
    </row>
    <row r="78" spans="7:8" x14ac:dyDescent="0.3">
      <c r="G78" s="28">
        <v>4.25</v>
      </c>
      <c r="H78" s="17">
        <v>0.60093269033953023</v>
      </c>
    </row>
    <row r="79" spans="7:8" x14ac:dyDescent="0.3">
      <c r="G79" s="28">
        <v>4.5</v>
      </c>
      <c r="H79" s="17">
        <v>0.60080346799467044</v>
      </c>
    </row>
    <row r="80" spans="7:8" x14ac:dyDescent="0.3">
      <c r="G80" s="28">
        <v>4.75</v>
      </c>
      <c r="H80" s="17">
        <v>0.60067564653638572</v>
      </c>
    </row>
    <row r="81" spans="7:8" x14ac:dyDescent="0.3">
      <c r="G81" s="28">
        <v>5</v>
      </c>
      <c r="H81" s="17">
        <v>0.60055350617225878</v>
      </c>
    </row>
    <row r="82" spans="7:8" x14ac:dyDescent="0.3">
      <c r="G82" s="28">
        <v>5.25</v>
      </c>
      <c r="H82" s="17">
        <v>0.60044854967598438</v>
      </c>
    </row>
    <row r="83" spans="7:8" x14ac:dyDescent="0.3">
      <c r="G83" s="28">
        <v>5.5</v>
      </c>
      <c r="H83" s="17">
        <v>0.60036053483136675</v>
      </c>
    </row>
    <row r="84" spans="7:8" x14ac:dyDescent="0.3">
      <c r="G84" s="28">
        <v>5.75</v>
      </c>
      <c r="H84" s="17">
        <v>0.60028922649280536</v>
      </c>
    </row>
    <row r="85" spans="7:8" x14ac:dyDescent="0.3">
      <c r="G85" s="28">
        <v>6.0000000000000009</v>
      </c>
      <c r="H85" s="17">
        <v>0.60023439640350384</v>
      </c>
    </row>
    <row r="86" spans="7:8" x14ac:dyDescent="0.3">
      <c r="G86" s="28">
        <v>6.25</v>
      </c>
      <c r="H86" s="17">
        <v>0.60019582302411167</v>
      </c>
    </row>
    <row r="87" spans="7:8" x14ac:dyDescent="0.3">
      <c r="G87" s="28">
        <v>6.5</v>
      </c>
      <c r="H87" s="17">
        <v>0.60017329136212472</v>
      </c>
    </row>
    <row r="88" spans="7:8" x14ac:dyDescent="0.3">
      <c r="G88" s="28">
        <v>6.75</v>
      </c>
      <c r="H88" s="17">
        <v>0.60016659281068074</v>
      </c>
    </row>
    <row r="89" spans="7:8" x14ac:dyDescent="0.3">
      <c r="G89" s="28">
        <v>7</v>
      </c>
      <c r="H89" s="17">
        <v>0.60017552499523164</v>
      </c>
    </row>
    <row r="90" spans="7:8" x14ac:dyDescent="0.3">
      <c r="G90" s="28">
        <v>7.2500000000000009</v>
      </c>
      <c r="H90" s="17">
        <v>0.60019989161670195</v>
      </c>
    </row>
    <row r="91" spans="7:8" x14ac:dyDescent="0.3">
      <c r="G91" s="28">
        <v>7.4999999999999991</v>
      </c>
      <c r="H91" s="17">
        <v>0.60023950230828904</v>
      </c>
    </row>
    <row r="92" spans="7:8" x14ac:dyDescent="0.3">
      <c r="G92" s="28">
        <v>7.75</v>
      </c>
      <c r="H92" s="17">
        <v>0.60029417249628392</v>
      </c>
    </row>
    <row r="93" spans="7:8" x14ac:dyDescent="0.3">
      <c r="G93" s="28">
        <v>8</v>
      </c>
      <c r="H93" s="17">
        <v>0.60036372325663845</v>
      </c>
    </row>
    <row r="94" spans="7:8" x14ac:dyDescent="0.3">
      <c r="G94" s="28">
        <v>8.25</v>
      </c>
      <c r="H94" s="17">
        <v>0.60044798119609244</v>
      </c>
    </row>
    <row r="95" spans="7:8" x14ac:dyDescent="0.3">
      <c r="G95" s="28">
        <v>8.5</v>
      </c>
      <c r="H95" s="17">
        <v>0.60054677830830105</v>
      </c>
    </row>
    <row r="96" spans="7:8" x14ac:dyDescent="0.3">
      <c r="G96" s="28">
        <v>8.75</v>
      </c>
      <c r="H96" s="17">
        <v>0.60065995186542886</v>
      </c>
    </row>
    <row r="97" spans="2:8" x14ac:dyDescent="0.3">
      <c r="G97" s="28">
        <v>9</v>
      </c>
      <c r="H97" s="17">
        <v>0.60077066791991773</v>
      </c>
    </row>
    <row r="99" spans="2:8" x14ac:dyDescent="0.3">
      <c r="G99" s="3" t="s">
        <v>298</v>
      </c>
    </row>
    <row r="100" spans="2:8" x14ac:dyDescent="0.3">
      <c r="B100" s="33" t="s">
        <v>299</v>
      </c>
      <c r="C100" s="31"/>
      <c r="D100" s="31"/>
      <c r="E100" s="31"/>
      <c r="G100" s="1" t="s">
        <v>291</v>
      </c>
      <c r="H100" s="1" t="s">
        <v>300</v>
      </c>
    </row>
    <row r="101" spans="2:8" ht="30" customHeight="1" x14ac:dyDescent="0.3">
      <c r="B101" s="20" t="s">
        <v>301</v>
      </c>
      <c r="C101" s="36" t="s">
        <v>302</v>
      </c>
      <c r="D101" s="31"/>
      <c r="E101" s="31"/>
      <c r="G101" s="26">
        <v>0.5</v>
      </c>
      <c r="H101" s="29">
        <v>10.867029175391689</v>
      </c>
    </row>
    <row r="102" spans="2:8" ht="51.95" customHeight="1" x14ac:dyDescent="0.3">
      <c r="B102" s="20" t="s">
        <v>303</v>
      </c>
      <c r="C102" s="36" t="s">
        <v>304</v>
      </c>
      <c r="D102" s="31"/>
      <c r="E102" s="31"/>
      <c r="G102" s="26">
        <v>1.5</v>
      </c>
      <c r="H102" s="29">
        <v>10.19903275608789</v>
      </c>
    </row>
    <row r="103" spans="2:8" ht="39" customHeight="1" x14ac:dyDescent="0.3">
      <c r="B103" s="20" t="s">
        <v>305</v>
      </c>
      <c r="C103" s="36" t="s">
        <v>306</v>
      </c>
      <c r="D103" s="31"/>
      <c r="E103" s="31"/>
      <c r="G103" s="26">
        <v>2.5</v>
      </c>
      <c r="H103" s="29">
        <v>9.5336378371856458</v>
      </c>
    </row>
    <row r="104" spans="2:8" ht="39" customHeight="1" x14ac:dyDescent="0.3">
      <c r="B104" s="20" t="s">
        <v>307</v>
      </c>
      <c r="C104" s="36" t="s">
        <v>308</v>
      </c>
      <c r="D104" s="31"/>
      <c r="E104" s="31"/>
      <c r="G104" s="26">
        <v>3.5</v>
      </c>
      <c r="H104" s="29">
        <v>8.8770368310478478</v>
      </c>
    </row>
    <row r="105" spans="2:8" ht="30" customHeight="1" x14ac:dyDescent="0.3">
      <c r="B105" s="20" t="s">
        <v>309</v>
      </c>
      <c r="C105" s="36" t="s">
        <v>310</v>
      </c>
      <c r="D105" s="31"/>
      <c r="E105" s="31"/>
      <c r="G105" s="26">
        <v>4.5</v>
      </c>
      <c r="H105" s="29">
        <v>8.2349405339028205</v>
      </c>
    </row>
    <row r="106" spans="2:8" x14ac:dyDescent="0.3">
      <c r="G106" s="26">
        <v>5.5</v>
      </c>
      <c r="H106" s="29">
        <v>7.6123686814343738</v>
      </c>
    </row>
    <row r="107" spans="2:8" x14ac:dyDescent="0.3">
      <c r="G107" s="26">
        <v>6.5</v>
      </c>
      <c r="H107" s="29">
        <v>7.0135082914547073</v>
      </c>
    </row>
    <row r="108" spans="2:8" x14ac:dyDescent="0.3">
      <c r="G108" s="26">
        <v>7.5</v>
      </c>
      <c r="H108" s="29">
        <v>6.4416438013665172</v>
      </c>
    </row>
    <row r="109" spans="2:8" x14ac:dyDescent="0.3">
      <c r="G109" s="26">
        <v>8.5</v>
      </c>
      <c r="H109" s="29">
        <v>5.8991534585114094</v>
      </c>
    </row>
    <row r="110" spans="2:8" x14ac:dyDescent="0.3">
      <c r="G110" s="26">
        <v>9.5</v>
      </c>
      <c r="H110" s="29">
        <v>5.3875597110193958</v>
      </c>
    </row>
    <row r="111" spans="2:8" x14ac:dyDescent="0.3">
      <c r="G111" s="26">
        <v>10.5</v>
      </c>
      <c r="H111" s="29">
        <v>4.9076180440619748</v>
      </c>
    </row>
    <row r="112" spans="2:8" x14ac:dyDescent="0.3">
      <c r="G112" s="26">
        <v>11.5</v>
      </c>
      <c r="H112" s="29">
        <v>4.4594284667102011</v>
      </c>
    </row>
    <row r="113" spans="7:8" x14ac:dyDescent="0.3">
      <c r="G113" s="26">
        <v>12.5</v>
      </c>
      <c r="H113" s="29">
        <v>4.0425557962925991</v>
      </c>
    </row>
    <row r="114" spans="7:8" x14ac:dyDescent="0.3">
      <c r="G114" s="26">
        <v>13.5</v>
      </c>
      <c r="H114" s="29">
        <v>3.656147990731065</v>
      </c>
    </row>
    <row r="115" spans="7:8" x14ac:dyDescent="0.3">
      <c r="G115" s="26">
        <v>14.5</v>
      </c>
      <c r="H115" s="29">
        <v>3.2990451722264189</v>
      </c>
    </row>
    <row r="116" spans="7:8" x14ac:dyDescent="0.3">
      <c r="G116" s="26">
        <v>15.5</v>
      </c>
      <c r="H116" s="29">
        <v>2.9698750736036379</v>
      </c>
    </row>
    <row r="117" spans="7:8" x14ac:dyDescent="0.3">
      <c r="G117" s="26">
        <v>16.5</v>
      </c>
      <c r="H117" s="29">
        <v>2.6671331129807729</v>
      </c>
    </row>
    <row r="118" spans="7:8" x14ac:dyDescent="0.3">
      <c r="G118" s="26">
        <v>17.5</v>
      </c>
      <c r="H118" s="29">
        <v>2.3892470782192778</v>
      </c>
    </row>
    <row r="119" spans="7:8" x14ac:dyDescent="0.3">
      <c r="G119" s="26">
        <v>18.5</v>
      </c>
      <c r="H119" s="29">
        <v>2.1346275359958322</v>
      </c>
    </row>
    <row r="120" spans="7:8" x14ac:dyDescent="0.3">
      <c r="G120" s="26">
        <v>19.5</v>
      </c>
      <c r="H120" s="29">
        <v>1.901705695588169</v>
      </c>
    </row>
    <row r="121" spans="7:8" x14ac:dyDescent="0.3">
      <c r="G121" s="26">
        <v>20.5</v>
      </c>
      <c r="H121" s="29">
        <v>1.68896069556787</v>
      </c>
    </row>
    <row r="122" spans="7:8" x14ac:dyDescent="0.3">
      <c r="G122" s="26">
        <v>21.5</v>
      </c>
      <c r="H122" s="29">
        <v>1.494938270626009</v>
      </c>
    </row>
    <row r="123" spans="7:8" x14ac:dyDescent="0.3">
      <c r="G123" s="26">
        <v>22.5</v>
      </c>
      <c r="H123" s="29">
        <v>1.3182625980696161</v>
      </c>
    </row>
    <row r="124" spans="7:8" x14ac:dyDescent="0.3">
      <c r="G124" s="26">
        <v>23.5</v>
      </c>
      <c r="H124" s="29">
        <v>1.1576428934803491</v>
      </c>
    </row>
    <row r="125" spans="7:8" x14ac:dyDescent="0.3">
      <c r="G125" s="26">
        <v>24.5</v>
      </c>
      <c r="H125" s="29">
        <v>1.011876072272138</v>
      </c>
    </row>
    <row r="126" spans="7:8" x14ac:dyDescent="0.3">
      <c r="G126" s="26">
        <v>25.5</v>
      </c>
      <c r="H126" s="29">
        <v>0.87984654869154399</v>
      </c>
    </row>
    <row r="127" spans="7:8" x14ac:dyDescent="0.3">
      <c r="G127" s="26">
        <v>26.5</v>
      </c>
      <c r="H127" s="29">
        <v>0.7605240225085792</v>
      </c>
    </row>
    <row r="128" spans="7:8" x14ac:dyDescent="0.3">
      <c r="G128" s="26">
        <v>27.5</v>
      </c>
      <c r="H128" s="29">
        <v>0.65295991327334824</v>
      </c>
    </row>
    <row r="129" spans="7:8" x14ac:dyDescent="0.3">
      <c r="G129" s="26">
        <v>28.5</v>
      </c>
      <c r="H129" s="29">
        <v>0.55628294383265442</v>
      </c>
    </row>
    <row r="130" spans="7:8" x14ac:dyDescent="0.3">
      <c r="G130" s="26">
        <v>29.5</v>
      </c>
      <c r="H130" s="29">
        <v>0.46969424683065097</v>
      </c>
    </row>
    <row r="131" spans="7:8" x14ac:dyDescent="0.3">
      <c r="G131" s="26">
        <v>30.5</v>
      </c>
      <c r="H131" s="29">
        <v>0.39246226660315092</v>
      </c>
    </row>
    <row r="132" spans="7:8" x14ac:dyDescent="0.3">
      <c r="G132" s="26">
        <v>31.5</v>
      </c>
      <c r="H132" s="29">
        <v>0.32391765012422752</v>
      </c>
    </row>
    <row r="133" spans="7:8" x14ac:dyDescent="0.3">
      <c r="G133" s="26">
        <v>32.5</v>
      </c>
      <c r="H133" s="29">
        <v>0.26344826044854758</v>
      </c>
    </row>
    <row r="134" spans="7:8" x14ac:dyDescent="0.3">
      <c r="G134" s="26">
        <v>33.5</v>
      </c>
      <c r="H134" s="29">
        <v>0.21049440075902401</v>
      </c>
    </row>
    <row r="135" spans="7:8" x14ac:dyDescent="0.3">
      <c r="G135" s="26">
        <v>34.5</v>
      </c>
      <c r="H135" s="29">
        <v>0.1645443035264019</v>
      </c>
    </row>
    <row r="136" spans="7:8" x14ac:dyDescent="0.3">
      <c r="G136" s="26">
        <v>35.5</v>
      </c>
      <c r="H136" s="29">
        <v>0.12512991479050981</v>
      </c>
    </row>
    <row r="137" spans="7:8" x14ac:dyDescent="0.3">
      <c r="G137" s="26">
        <v>36.5</v>
      </c>
      <c r="H137" s="29">
        <v>9.1822986051161071E-2</v>
      </c>
    </row>
    <row r="138" spans="7:8" x14ac:dyDescent="0.3">
      <c r="G138" s="26">
        <v>37.5</v>
      </c>
      <c r="H138" s="29">
        <v>6.4231474012229797E-2</v>
      </c>
    </row>
    <row r="139" spans="7:8" x14ac:dyDescent="0.3">
      <c r="G139" s="26">
        <v>38.5</v>
      </c>
      <c r="H139" s="29">
        <v>4.1996240124031928E-2</v>
      </c>
    </row>
    <row r="140" spans="7:8" x14ac:dyDescent="0.3">
      <c r="G140" s="26">
        <v>39.5</v>
      </c>
      <c r="H140" s="29">
        <v>2.478803648594206E-2</v>
      </c>
    </row>
    <row r="141" spans="7:8" x14ac:dyDescent="0.3">
      <c r="G141" s="26">
        <v>40.5</v>
      </c>
      <c r="H141" s="29">
        <v>1.2304761413499409E-2</v>
      </c>
    </row>
    <row r="142" spans="7:8" x14ac:dyDescent="0.3">
      <c r="G142" s="26">
        <v>41.5</v>
      </c>
      <c r="H142" s="29">
        <v>4.2689662436127132E-3</v>
      </c>
    </row>
    <row r="143" spans="7:8" x14ac:dyDescent="0.3">
      <c r="G143" s="26">
        <v>42.5</v>
      </c>
      <c r="H143" s="29">
        <v>4.2559429791433622E-4</v>
      </c>
    </row>
    <row r="144" spans="7:8" x14ac:dyDescent="0.3">
      <c r="G144" s="26">
        <v>43.5</v>
      </c>
      <c r="H144" s="29">
        <v>5.3993301306568876E-4</v>
      </c>
    </row>
    <row r="145" spans="7:8" x14ac:dyDescent="0.3">
      <c r="G145" s="26">
        <v>44.5</v>
      </c>
      <c r="H145" s="29">
        <v>4.3957608310503304E-3</v>
      </c>
    </row>
    <row r="146" spans="7:8" x14ac:dyDescent="0.3">
      <c r="G146" s="26">
        <v>45.5</v>
      </c>
      <c r="H146" s="29">
        <v>1.1793671342004741E-2</v>
      </c>
    </row>
    <row r="147" spans="7:8" x14ac:dyDescent="0.3">
      <c r="G147" s="26">
        <v>46.5</v>
      </c>
      <c r="H147" s="29">
        <v>2.2549558256933971E-2</v>
      </c>
    </row>
    <row r="148" spans="7:8" x14ac:dyDescent="0.3">
      <c r="G148" s="26">
        <v>47.5</v>
      </c>
      <c r="H148" s="29">
        <v>3.649324596585013E-2</v>
      </c>
    </row>
    <row r="149" spans="7:8" x14ac:dyDescent="0.3">
      <c r="G149" s="26">
        <v>48.5</v>
      </c>
      <c r="H149" s="29">
        <v>5.3467251643455067E-2</v>
      </c>
    </row>
    <row r="150" spans="7:8" x14ac:dyDescent="0.3">
      <c r="G150" s="26">
        <v>49.5</v>
      </c>
      <c r="H150" s="29">
        <v>7.3325666056432426E-2</v>
      </c>
    </row>
    <row r="151" spans="7:8" x14ac:dyDescent="0.3">
      <c r="G151" s="26">
        <v>50.5</v>
      </c>
      <c r="H151" s="29">
        <v>9.593314137431927E-2</v>
      </c>
    </row>
    <row r="152" spans="7:8" x14ac:dyDescent="0.3">
      <c r="G152" s="26">
        <v>51.5</v>
      </c>
      <c r="H152" s="29">
        <v>0.1211639753722033</v>
      </c>
    </row>
    <row r="153" spans="7:8" x14ac:dyDescent="0.3">
      <c r="G153" s="26">
        <v>52.5</v>
      </c>
      <c r="H153" s="29">
        <v>0.14890128242800979</v>
      </c>
    </row>
    <row r="154" spans="7:8" x14ac:dyDescent="0.3">
      <c r="G154" s="26">
        <v>53.5</v>
      </c>
      <c r="H154" s="29">
        <v>0.1790362426551248</v>
      </c>
    </row>
    <row r="155" spans="7:8" x14ac:dyDescent="0.3">
      <c r="G155" s="26">
        <v>54.5</v>
      </c>
      <c r="H155" s="29">
        <v>0.2114674213717187</v>
      </c>
    </row>
    <row r="156" spans="7:8" x14ac:dyDescent="0.3">
      <c r="G156" s="26">
        <v>55.5</v>
      </c>
      <c r="H156" s="29">
        <v>0.2461001518930532</v>
      </c>
    </row>
    <row r="157" spans="7:8" x14ac:dyDescent="0.3">
      <c r="G157" s="26">
        <v>56.5</v>
      </c>
      <c r="H157" s="29">
        <v>0.28284597534554701</v>
      </c>
    </row>
    <row r="158" spans="7:8" x14ac:dyDescent="0.3">
      <c r="G158" s="26">
        <v>57.5</v>
      </c>
      <c r="H158" s="29">
        <v>0.32162213184565458</v>
      </c>
    </row>
    <row r="159" spans="7:8" x14ac:dyDescent="0.3">
      <c r="G159" s="26">
        <v>58.5</v>
      </c>
      <c r="H159" s="29">
        <v>0.3623510979675823</v>
      </c>
    </row>
    <row r="160" spans="7:8" x14ac:dyDescent="0.3">
      <c r="G160" s="26">
        <v>59.5</v>
      </c>
      <c r="H160" s="29">
        <v>0.40496016594645368</v>
      </c>
    </row>
    <row r="161" spans="7:8" x14ac:dyDescent="0.3">
      <c r="G161" s="26">
        <v>60.5</v>
      </c>
      <c r="H161" s="29">
        <v>0.44938106053278781</v>
      </c>
    </row>
    <row r="162" spans="7:8" x14ac:dyDescent="0.3">
      <c r="G162" s="26">
        <v>61.5</v>
      </c>
      <c r="H162" s="29">
        <v>0.49554958983492331</v>
      </c>
    </row>
    <row r="163" spans="7:8" x14ac:dyDescent="0.3">
      <c r="G163" s="26">
        <v>62.5</v>
      </c>
      <c r="H163" s="29">
        <v>0.54340532686291276</v>
      </c>
    </row>
    <row r="164" spans="7:8" x14ac:dyDescent="0.3">
      <c r="G164" s="26">
        <v>63.5</v>
      </c>
      <c r="H164" s="29">
        <v>0.59289131882471835</v>
      </c>
    </row>
    <row r="165" spans="7:8" x14ac:dyDescent="0.3">
      <c r="G165" s="26">
        <v>64.5</v>
      </c>
      <c r="H165" s="29">
        <v>0.64395382152733005</v>
      </c>
    </row>
    <row r="166" spans="7:8" x14ac:dyDescent="0.3">
      <c r="G166" s="26">
        <v>65.5</v>
      </c>
      <c r="H166" s="29">
        <v>0.69654205650521706</v>
      </c>
    </row>
    <row r="167" spans="7:8" x14ac:dyDescent="0.3">
      <c r="G167" s="26">
        <v>66.5</v>
      </c>
      <c r="H167" s="29">
        <v>0.7506079887398629</v>
      </c>
    </row>
    <row r="168" spans="7:8" x14ac:dyDescent="0.3">
      <c r="G168" s="26">
        <v>67.5</v>
      </c>
      <c r="H168" s="29">
        <v>0.80610612304978946</v>
      </c>
    </row>
    <row r="169" spans="7:8" x14ac:dyDescent="0.3">
      <c r="G169" s="26">
        <v>68.5</v>
      </c>
      <c r="H169" s="29">
        <v>0.86299331742341923</v>
      </c>
    </row>
    <row r="170" spans="7:8" x14ac:dyDescent="0.3">
      <c r="G170" s="26">
        <v>69.5</v>
      </c>
      <c r="H170" s="29">
        <v>0.92122861173962323</v>
      </c>
    </row>
    <row r="171" spans="7:8" x14ac:dyDescent="0.3">
      <c r="G171" s="26">
        <v>70.5</v>
      </c>
      <c r="H171" s="29">
        <v>0.98077307047515705</v>
      </c>
    </row>
    <row r="172" spans="7:8" x14ac:dyDescent="0.3">
      <c r="G172" s="26">
        <v>71.5</v>
      </c>
      <c r="H172" s="29">
        <v>1.0415896381363221</v>
      </c>
    </row>
    <row r="173" spans="7:8" x14ac:dyDescent="0.3">
      <c r="G173" s="26">
        <v>72.5</v>
      </c>
      <c r="H173" s="29">
        <v>1.1036430062758811</v>
      </c>
    </row>
    <row r="174" spans="7:8" x14ac:dyDescent="0.3">
      <c r="G174" s="26">
        <v>73.5</v>
      </c>
      <c r="H174" s="29">
        <v>1.166899491067082</v>
      </c>
    </row>
    <row r="175" spans="7:8" x14ac:dyDescent="0.3">
      <c r="G175" s="26">
        <v>74.5</v>
      </c>
      <c r="H175" s="29">
        <v>1.231326920505923</v>
      </c>
    </row>
    <row r="176" spans="7:8" x14ac:dyDescent="0.3">
      <c r="G176" s="26">
        <v>75.5</v>
      </c>
      <c r="H176" s="29">
        <v>1.296894530401874</v>
      </c>
    </row>
    <row r="177" spans="7:8" x14ac:dyDescent="0.3">
      <c r="G177" s="26">
        <v>76.5</v>
      </c>
      <c r="H177" s="29">
        <v>1.363572868397281</v>
      </c>
    </row>
    <row r="178" spans="7:8" x14ac:dyDescent="0.3">
      <c r="G178" s="26">
        <v>77.5</v>
      </c>
      <c r="H178" s="29">
        <v>1.431333705327323</v>
      </c>
    </row>
    <row r="179" spans="7:8" x14ac:dyDescent="0.3">
      <c r="G179" s="26">
        <v>78.5</v>
      </c>
      <c r="H179" s="29">
        <v>1.500149953297035</v>
      </c>
    </row>
    <row r="180" spans="7:8" x14ac:dyDescent="0.3">
      <c r="G180" s="26">
        <v>79.5</v>
      </c>
      <c r="H180" s="29">
        <v>1.569995589909831</v>
      </c>
    </row>
    <row r="181" spans="7:8" x14ac:dyDescent="0.3">
      <c r="G181" s="26">
        <v>80.5</v>
      </c>
      <c r="H181" s="29">
        <v>1.640845588134189</v>
      </c>
    </row>
    <row r="182" spans="7:8" x14ac:dyDescent="0.3">
      <c r="G182" s="26">
        <v>81.5</v>
      </c>
      <c r="H182" s="29">
        <v>1.712675851342168</v>
      </c>
    </row>
    <row r="183" spans="7:8" x14ac:dyDescent="0.3">
      <c r="G183" s="26">
        <v>82.5</v>
      </c>
      <c r="H183" s="29">
        <v>1.785463153095795</v>
      </c>
    </row>
    <row r="184" spans="7:8" x14ac:dyDescent="0.3">
      <c r="G184" s="26">
        <v>83.5</v>
      </c>
      <c r="H184" s="29">
        <v>1.8591850812955459</v>
      </c>
    </row>
    <row r="185" spans="7:8" x14ac:dyDescent="0.3">
      <c r="G185" s="26">
        <v>84.5</v>
      </c>
      <c r="H185" s="29">
        <v>1.933819986339641</v>
      </c>
    </row>
    <row r="186" spans="7:8" x14ac:dyDescent="0.3">
      <c r="G186" s="26">
        <v>85.5</v>
      </c>
      <c r="H186" s="29">
        <v>2.0093469329740441</v>
      </c>
    </row>
    <row r="187" spans="7:8" x14ac:dyDescent="0.3">
      <c r="G187" s="26">
        <v>86.5</v>
      </c>
      <c r="H187" s="29">
        <v>2.085745655541162</v>
      </c>
    </row>
    <row r="188" spans="7:8" x14ac:dyDescent="0.3">
      <c r="G188" s="26">
        <v>87.5</v>
      </c>
      <c r="H188" s="29">
        <v>2.1629965163607929</v>
      </c>
    </row>
    <row r="189" spans="7:8" x14ac:dyDescent="0.3">
      <c r="G189" s="26">
        <v>88.5</v>
      </c>
      <c r="H189" s="29">
        <v>2.2410804669998039</v>
      </c>
    </row>
    <row r="190" spans="7:8" x14ac:dyDescent="0.3">
      <c r="G190" s="26">
        <v>89.5</v>
      </c>
      <c r="H190" s="29">
        <v>2.319979012208075</v>
      </c>
    </row>
    <row r="191" spans="7:8" x14ac:dyDescent="0.3">
      <c r="G191" s="26">
        <v>90.5</v>
      </c>
      <c r="H191" s="29">
        <v>2.3996741763170388</v>
      </c>
    </row>
    <row r="192" spans="7:8" x14ac:dyDescent="0.3">
      <c r="G192" s="26">
        <v>91.5</v>
      </c>
      <c r="H192" s="29">
        <v>2.4801484719144629</v>
      </c>
    </row>
    <row r="193" spans="7:8" x14ac:dyDescent="0.3">
      <c r="G193" s="26">
        <v>92.5</v>
      </c>
      <c r="H193" s="29">
        <v>2.5613848706246052</v>
      </c>
    </row>
    <row r="194" spans="7:8" x14ac:dyDescent="0.3">
      <c r="G194" s="26">
        <v>93.5</v>
      </c>
      <c r="H194" s="29">
        <v>2.643366775837205</v>
      </c>
    </row>
    <row r="195" spans="7:8" x14ac:dyDescent="0.3">
      <c r="G195" s="26">
        <v>94.5</v>
      </c>
      <c r="H195" s="29">
        <v>2.726077997241529</v>
      </c>
    </row>
    <row r="196" spans="7:8" x14ac:dyDescent="0.3">
      <c r="G196" s="26">
        <v>95.5</v>
      </c>
      <c r="H196" s="29">
        <v>2.8095027270335629</v>
      </c>
    </row>
    <row r="197" spans="7:8" x14ac:dyDescent="0.3">
      <c r="G197" s="26">
        <v>96.5</v>
      </c>
      <c r="H197" s="29">
        <v>2.8936255176750461</v>
      </c>
    </row>
    <row r="198" spans="7:8" x14ac:dyDescent="0.3">
      <c r="G198" s="26">
        <v>97.5</v>
      </c>
      <c r="H198" s="29">
        <v>2.978431261092839</v>
      </c>
    </row>
    <row r="199" spans="7:8" x14ac:dyDescent="0.3">
      <c r="G199" s="26">
        <v>98.5</v>
      </c>
      <c r="H199" s="29">
        <v>3.063905169216008</v>
      </c>
    </row>
    <row r="200" spans="7:8" x14ac:dyDescent="0.3">
      <c r="G200" s="26">
        <v>99.5</v>
      </c>
      <c r="H200" s="29">
        <v>3.150032755756107</v>
      </c>
    </row>
    <row r="201" spans="7:8" x14ac:dyDescent="0.3">
      <c r="G201" s="26">
        <v>100.5</v>
      </c>
      <c r="H201" s="29">
        <v>3.2367998191435912</v>
      </c>
    </row>
    <row r="202" spans="7:8" x14ac:dyDescent="0.3">
      <c r="G202" s="26">
        <v>101.5</v>
      </c>
      <c r="H202" s="29">
        <v>3.3241924265400171</v>
      </c>
    </row>
    <row r="203" spans="7:8" x14ac:dyDescent="0.3">
      <c r="G203" s="26">
        <v>102.5</v>
      </c>
      <c r="H203" s="29">
        <v>3.4121968988519731</v>
      </c>
    </row>
    <row r="204" spans="7:8" x14ac:dyDescent="0.3">
      <c r="G204" s="26">
        <v>103.5</v>
      </c>
      <c r="H204" s="29">
        <v>3.5007997966782631</v>
      </c>
    </row>
    <row r="205" spans="7:8" x14ac:dyDescent="0.3">
      <c r="G205" s="26">
        <v>104.5</v>
      </c>
      <c r="H205" s="29">
        <v>3.5899879071271541</v>
      </c>
    </row>
    <row r="206" spans="7:8" x14ac:dyDescent="0.3">
      <c r="G206" s="26">
        <v>105.5</v>
      </c>
      <c r="H206" s="29">
        <v>3.679748231445199</v>
      </c>
    </row>
    <row r="207" spans="7:8" x14ac:dyDescent="0.3">
      <c r="G207" s="26">
        <v>106.5</v>
      </c>
      <c r="H207" s="29">
        <v>3.7700679734035818</v>
      </c>
    </row>
    <row r="208" spans="7:8" x14ac:dyDescent="0.3">
      <c r="G208" s="26">
        <v>107.5</v>
      </c>
      <c r="H208" s="29">
        <v>3.8609345283918848</v>
      </c>
    </row>
    <row r="209" spans="7:8" x14ac:dyDescent="0.3">
      <c r="G209" s="26">
        <v>108.5</v>
      </c>
      <c r="H209" s="29">
        <v>3.9523354731729121</v>
      </c>
    </row>
    <row r="210" spans="7:8" x14ac:dyDescent="0.3">
      <c r="G210" s="26">
        <v>109.5</v>
      </c>
      <c r="H210" s="29">
        <v>4.0442585562555724</v>
      </c>
    </row>
    <row r="211" spans="7:8" x14ac:dyDescent="0.3">
      <c r="G211" s="26">
        <v>110.5</v>
      </c>
      <c r="H211" s="29">
        <v>4.1366916888459411</v>
      </c>
    </row>
    <row r="212" spans="7:8" x14ac:dyDescent="0.3">
      <c r="G212" s="26">
        <v>111.5</v>
      </c>
      <c r="H212" s="29">
        <v>4.2296229363395161</v>
      </c>
    </row>
    <row r="213" spans="7:8" x14ac:dyDescent="0.3">
      <c r="G213" s="26">
        <v>112.5</v>
      </c>
      <c r="H213" s="29">
        <v>4.323040510320264</v>
      </c>
    </row>
    <row r="214" spans="7:8" x14ac:dyDescent="0.3">
      <c r="G214" s="26">
        <v>113.5</v>
      </c>
      <c r="H214" s="29">
        <v>4.4169327610345617</v>
      </c>
    </row>
    <row r="215" spans="7:8" x14ac:dyDescent="0.3">
      <c r="G215" s="26">
        <v>114.5</v>
      </c>
      <c r="H215" s="29">
        <v>4.511288170310344</v>
      </c>
    </row>
    <row r="216" spans="7:8" x14ac:dyDescent="0.3">
      <c r="G216" s="26">
        <v>115.5</v>
      </c>
      <c r="H216" s="29">
        <v>4.6060953448938191</v>
      </c>
    </row>
    <row r="217" spans="7:8" x14ac:dyDescent="0.3">
      <c r="G217" s="26">
        <v>116.5</v>
      </c>
      <c r="H217" s="29">
        <v>4.7013430101780873</v>
      </c>
    </row>
    <row r="218" spans="7:8" x14ac:dyDescent="0.3">
      <c r="G218" s="26">
        <v>117.5</v>
      </c>
      <c r="H218" s="29">
        <v>4.7970200042996796</v>
      </c>
    </row>
    <row r="219" spans="7:8" x14ac:dyDescent="0.3">
      <c r="G219" s="26">
        <v>118.5</v>
      </c>
      <c r="H219" s="29">
        <v>4.8931152725807872</v>
      </c>
    </row>
    <row r="220" spans="7:8" x14ac:dyDescent="0.3">
      <c r="G220" s="26">
        <v>119.5</v>
      </c>
      <c r="H220" s="29">
        <v>4.989617862296285</v>
      </c>
    </row>
    <row r="221" spans="7:8" x14ac:dyDescent="0.3">
      <c r="G221" s="26">
        <v>120.5</v>
      </c>
      <c r="H221" s="29">
        <v>5.0865169177462652</v>
      </c>
    </row>
    <row r="222" spans="7:8" x14ac:dyDescent="0.3">
      <c r="G222" s="26">
        <v>121.5</v>
      </c>
      <c r="H222" s="29">
        <v>5.1838016756158796</v>
      </c>
    </row>
    <row r="223" spans="7:8" x14ac:dyDescent="0.3">
      <c r="G223" s="26">
        <v>122.5</v>
      </c>
      <c r="H223" s="29">
        <v>5.2814614606056658</v>
      </c>
    </row>
    <row r="224" spans="7:8" x14ac:dyDescent="0.3">
      <c r="G224" s="26">
        <v>123.5</v>
      </c>
      <c r="H224" s="29">
        <v>5.3794856813164831</v>
      </c>
    </row>
    <row r="225" spans="7:8" x14ac:dyDescent="0.3">
      <c r="G225" s="26">
        <v>124.5</v>
      </c>
      <c r="H225" s="29">
        <v>5.4778638263743824</v>
      </c>
    </row>
    <row r="226" spans="7:8" x14ac:dyDescent="0.3">
      <c r="G226" s="26">
        <v>125.5</v>
      </c>
      <c r="H226" s="29">
        <v>5.5765854607815148</v>
      </c>
    </row>
    <row r="227" spans="7:8" x14ac:dyDescent="0.3">
      <c r="G227" s="26">
        <v>126.5</v>
      </c>
      <c r="H227" s="29">
        <v>5.6756402224802134</v>
      </c>
    </row>
    <row r="228" spans="7:8" x14ac:dyDescent="0.3">
      <c r="G228" s="26">
        <v>127.5</v>
      </c>
      <c r="H228" s="29">
        <v>5.7750178191181396</v>
      </c>
    </row>
    <row r="229" spans="7:8" x14ac:dyDescent="0.3">
      <c r="G229" s="26">
        <v>128.5</v>
      </c>
      <c r="H229" s="29">
        <v>5.8747080250031294</v>
      </c>
    </row>
    <row r="230" spans="7:8" x14ac:dyDescent="0.3">
      <c r="G230" s="26">
        <v>129.5</v>
      </c>
      <c r="H230" s="29">
        <v>5.9747006782371663</v>
      </c>
    </row>
    <row r="231" spans="7:8" x14ac:dyDescent="0.3">
      <c r="G231" s="26">
        <v>130.5</v>
      </c>
      <c r="H231" s="29">
        <v>6.0749856780194884</v>
      </c>
    </row>
    <row r="232" spans="7:8" x14ac:dyDescent="0.3">
      <c r="G232" s="26">
        <v>131.5</v>
      </c>
      <c r="H232" s="29">
        <v>6.1755529821095072</v>
      </c>
    </row>
    <row r="233" spans="7:8" x14ac:dyDescent="0.3">
      <c r="G233" s="26">
        <v>132.5</v>
      </c>
      <c r="H233" s="29">
        <v>6.2763926044407476</v>
      </c>
    </row>
    <row r="234" spans="7:8" x14ac:dyDescent="0.3">
      <c r="G234" s="26">
        <v>133.5</v>
      </c>
      <c r="H234" s="29">
        <v>6.3774946128776104</v>
      </c>
    </row>
    <row r="235" spans="7:8" x14ac:dyDescent="0.3">
      <c r="G235" s="26">
        <v>134.5</v>
      </c>
      <c r="H235" s="29">
        <v>6.4788491271071846</v>
      </c>
    </row>
    <row r="236" spans="7:8" x14ac:dyDescent="0.3">
      <c r="G236" s="26">
        <v>135.5</v>
      </c>
      <c r="H236" s="29">
        <v>6.5804463166588736</v>
      </c>
    </row>
    <row r="237" spans="7:8" x14ac:dyDescent="0.3">
      <c r="G237" s="26">
        <v>136.5</v>
      </c>
      <c r="H237" s="29">
        <v>6.6822763990449783</v>
      </c>
    </row>
    <row r="238" spans="7:8" x14ac:dyDescent="0.3">
      <c r="G238" s="26">
        <v>137.5</v>
      </c>
      <c r="H238" s="29">
        <v>6.7843296380158016</v>
      </c>
    </row>
    <row r="239" spans="7:8" x14ac:dyDescent="0.3">
      <c r="G239" s="26">
        <v>138.5</v>
      </c>
      <c r="H239" s="29">
        <v>6.8865963419232532</v>
      </c>
    </row>
    <row r="240" spans="7:8" x14ac:dyDescent="0.3">
      <c r="G240" s="26">
        <v>139.5</v>
      </c>
      <c r="H240" s="29">
        <v>6.9890668621872036</v>
      </c>
    </row>
    <row r="241" spans="7:8" x14ac:dyDescent="0.3">
      <c r="G241" s="26">
        <v>140.5</v>
      </c>
      <c r="H241" s="29">
        <v>7.0917315918592854</v>
      </c>
    </row>
    <row r="242" spans="7:8" x14ac:dyDescent="0.3">
      <c r="G242" s="26">
        <v>141.5</v>
      </c>
      <c r="H242" s="29">
        <v>7.1945809642789813</v>
      </c>
    </row>
    <row r="243" spans="7:8" x14ac:dyDescent="0.3">
      <c r="G243" s="26">
        <v>142.5</v>
      </c>
      <c r="H243" s="29">
        <v>7.2976054518173532</v>
      </c>
    </row>
    <row r="244" spans="7:8" x14ac:dyDescent="0.3">
      <c r="G244" s="26">
        <v>143.5</v>
      </c>
      <c r="H244" s="29">
        <v>7.4007955647037811</v>
      </c>
    </row>
    <row r="245" spans="7:8" x14ac:dyDescent="0.3">
      <c r="G245" s="26">
        <v>144.5</v>
      </c>
      <c r="H245" s="29">
        <v>7.50414184993154</v>
      </c>
    </row>
    <row r="246" spans="7:8" x14ac:dyDescent="0.3">
      <c r="G246" s="26">
        <v>145.5</v>
      </c>
      <c r="H246" s="29">
        <v>7.6076348902382067</v>
      </c>
    </row>
    <row r="247" spans="7:8" x14ac:dyDescent="0.3">
      <c r="G247" s="26">
        <v>146.5</v>
      </c>
      <c r="H247" s="29">
        <v>7.7112653031570284</v>
      </c>
    </row>
    <row r="248" spans="7:8" x14ac:dyDescent="0.3">
      <c r="G248" s="26">
        <v>147.5</v>
      </c>
      <c r="H248" s="29">
        <v>7.8150237401357554</v>
      </c>
    </row>
    <row r="249" spans="7:8" x14ac:dyDescent="0.3">
      <c r="G249" s="26">
        <v>148.5</v>
      </c>
      <c r="H249" s="29">
        <v>7.9189008857194887</v>
      </c>
    </row>
    <row r="250" spans="7:8" x14ac:dyDescent="0.3">
      <c r="G250" s="26">
        <v>149.5</v>
      </c>
      <c r="H250" s="29">
        <v>8.0228874567943809</v>
      </c>
    </row>
    <row r="251" spans="7:8" x14ac:dyDescent="0.3">
      <c r="G251" s="26">
        <v>150.5</v>
      </c>
      <c r="H251" s="29">
        <v>8.1269742018890803</v>
      </c>
    </row>
    <row r="252" spans="7:8" x14ac:dyDescent="0.3">
      <c r="G252" s="26">
        <v>151.5</v>
      </c>
      <c r="H252" s="29">
        <v>8.2311519005311666</v>
      </c>
    </row>
    <row r="253" spans="7:8" x14ac:dyDescent="0.3">
      <c r="G253" s="26">
        <v>152.5</v>
      </c>
      <c r="H253" s="29">
        <v>8.3354113626556927</v>
      </c>
    </row>
    <row r="254" spans="7:8" x14ac:dyDescent="0.3">
      <c r="G254" s="26">
        <v>153.5</v>
      </c>
      <c r="H254" s="29">
        <v>8.4397434280634087</v>
      </c>
    </row>
    <row r="255" spans="7:8" x14ac:dyDescent="0.3">
      <c r="G255" s="26">
        <v>154.5</v>
      </c>
      <c r="H255" s="29">
        <v>8.5441389659261002</v>
      </c>
    </row>
    <row r="256" spans="7:8" x14ac:dyDescent="0.3">
      <c r="G256" s="26">
        <v>155.5</v>
      </c>
      <c r="H256" s="29">
        <v>8.648588874336772</v>
      </c>
    </row>
    <row r="257" spans="7:8" x14ac:dyDescent="0.3">
      <c r="G257" s="26">
        <v>156.5</v>
      </c>
      <c r="H257" s="29">
        <v>8.7530840799024752</v>
      </c>
    </row>
    <row r="258" spans="7:8" x14ac:dyDescent="0.3">
      <c r="G258" s="26">
        <v>157.5</v>
      </c>
      <c r="H258" s="29">
        <v>8.85761553737761</v>
      </c>
    </row>
    <row r="259" spans="7:8" x14ac:dyDescent="0.3">
      <c r="G259" s="26">
        <v>158.5</v>
      </c>
      <c r="H259" s="29">
        <v>8.9621742293358473</v>
      </c>
    </row>
    <row r="260" spans="7:8" x14ac:dyDescent="0.3">
      <c r="G260" s="26">
        <v>159.5</v>
      </c>
      <c r="H260" s="29">
        <v>9.0667511658785802</v>
      </c>
    </row>
    <row r="261" spans="7:8" x14ac:dyDescent="0.3">
      <c r="G261" s="26">
        <v>160.5</v>
      </c>
      <c r="H261" s="29">
        <v>9.1713373843783081</v>
      </c>
    </row>
    <row r="262" spans="7:8" x14ac:dyDescent="0.3">
      <c r="G262" s="26">
        <v>161.5</v>
      </c>
      <c r="H262" s="29">
        <v>9.2759239492550609</v>
      </c>
    </row>
    <row r="263" spans="7:8" x14ac:dyDescent="0.3">
      <c r="G263" s="26">
        <v>162.5</v>
      </c>
      <c r="H263" s="29">
        <v>9.3805019517843213</v>
      </c>
    </row>
    <row r="264" spans="7:8" x14ac:dyDescent="0.3">
      <c r="G264" s="26">
        <v>163.5</v>
      </c>
      <c r="H264" s="29">
        <v>9.4850625099348704</v>
      </c>
    </row>
    <row r="265" spans="7:8" x14ac:dyDescent="0.3">
      <c r="G265" s="26">
        <v>164.5</v>
      </c>
      <c r="H265" s="29">
        <v>9.5895967682350189</v>
      </c>
    </row>
    <row r="266" spans="7:8" x14ac:dyDescent="0.3">
      <c r="G266" s="26">
        <v>165.5</v>
      </c>
      <c r="H266" s="29">
        <v>9.6940958976658802</v>
      </c>
    </row>
    <row r="267" spans="7:8" x14ac:dyDescent="0.3">
      <c r="G267" s="26">
        <v>166.5</v>
      </c>
      <c r="H267" s="29">
        <v>9.7985510955802155</v>
      </c>
    </row>
    <row r="268" spans="7:8" x14ac:dyDescent="0.3">
      <c r="G268" s="26">
        <v>167.5</v>
      </c>
      <c r="H268" s="29">
        <v>9.9029535856456725</v>
      </c>
    </row>
    <row r="269" spans="7:8" x14ac:dyDescent="0.3">
      <c r="G269" s="26">
        <v>168.5</v>
      </c>
      <c r="H269" s="29">
        <v>10.007294617811059</v>
      </c>
    </row>
    <row r="270" spans="7:8" x14ac:dyDescent="0.3">
      <c r="G270" s="26">
        <v>169.5</v>
      </c>
      <c r="H270" s="29">
        <v>10.111565468294559</v>
      </c>
    </row>
    <row r="271" spans="7:8" x14ac:dyDescent="0.3">
      <c r="G271" s="26">
        <v>170.5</v>
      </c>
      <c r="H271" s="29">
        <v>10.21575743959262</v>
      </c>
    </row>
    <row r="272" spans="7:8" x14ac:dyDescent="0.3">
      <c r="G272" s="26">
        <v>171.5</v>
      </c>
      <c r="H272" s="29">
        <v>10.319861860508549</v>
      </c>
    </row>
    <row r="273" spans="7:8" x14ac:dyDescent="0.3">
      <c r="G273" s="26">
        <v>172.5</v>
      </c>
      <c r="H273" s="29">
        <v>10.42387008619972</v>
      </c>
    </row>
    <row r="274" spans="7:8" x14ac:dyDescent="0.3">
      <c r="G274" s="26">
        <v>173.5</v>
      </c>
      <c r="H274" s="29">
        <v>10.527773498242221</v>
      </c>
    </row>
    <row r="275" spans="7:8" x14ac:dyDescent="0.3">
      <c r="G275" s="26">
        <v>174.5</v>
      </c>
      <c r="H275" s="29">
        <v>10.631563504712251</v>
      </c>
    </row>
    <row r="276" spans="7:8" x14ac:dyDescent="0.3">
      <c r="G276" s="26">
        <v>175.5</v>
      </c>
      <c r="H276" s="29">
        <v>10.735231540283079</v>
      </c>
    </row>
    <row r="277" spans="7:8" x14ac:dyDescent="0.3">
      <c r="G277" s="26">
        <v>176.5</v>
      </c>
      <c r="H277" s="29">
        <v>10.838769066336759</v>
      </c>
    </row>
    <row r="278" spans="7:8" x14ac:dyDescent="0.3">
      <c r="G278" s="26">
        <v>177.5</v>
      </c>
      <c r="H278" s="29">
        <v>10.94216757108966</v>
      </c>
    </row>
    <row r="279" spans="7:8" x14ac:dyDescent="0.3">
      <c r="G279" s="26">
        <v>178.5</v>
      </c>
      <c r="H279" s="29">
        <v>11.04541856973108</v>
      </c>
    </row>
    <row r="280" spans="7:8" x14ac:dyDescent="0.3">
      <c r="G280" s="26">
        <v>179.5</v>
      </c>
      <c r="H280" s="29">
        <v>11.148513604573941</v>
      </c>
    </row>
  </sheetData>
  <mergeCells count="11">
    <mergeCell ref="B3:E3"/>
    <mergeCell ref="B5:E5"/>
    <mergeCell ref="B2:E2"/>
    <mergeCell ref="C105:E105"/>
    <mergeCell ref="C103:E103"/>
    <mergeCell ref="B17:E17"/>
    <mergeCell ref="C104:E104"/>
    <mergeCell ref="C102:E102"/>
    <mergeCell ref="B100:E100"/>
    <mergeCell ref="B25:E25"/>
    <mergeCell ref="C101:E101"/>
  </mergeCells>
  <phoneticPr fontId="5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1.설계입력</vt:lpstr>
      <vt:lpstr>2.치형좌표</vt:lpstr>
      <vt:lpstr>3.치형그래프</vt:lpstr>
      <vt:lpstr>4.CAD출력</vt:lpstr>
      <vt:lpstr>5.사용설명</vt:lpstr>
      <vt:lpstr>6.성능계산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유재욱(IT융합공학과)</cp:lastModifiedBy>
  <dcterms:created xsi:type="dcterms:W3CDTF">2026-08-10T20:07:54Z</dcterms:created>
  <dcterms:modified xsi:type="dcterms:W3CDTF">2026-08-10T20:10:53Z</dcterms:modified>
</cp:coreProperties>
</file>